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9"/>
  <workbookPr/>
  <mc:AlternateContent xmlns:mc="http://schemas.openxmlformats.org/markup-compatibility/2006">
    <mc:Choice Requires="x15">
      <x15ac:absPath xmlns:x15ac="http://schemas.microsoft.com/office/spreadsheetml/2010/11/ac" url="https://d.docs.live.net/178744AB2CD56D41/"/>
    </mc:Choice>
  </mc:AlternateContent>
  <xr:revisionPtr revIDLastSave="0" documentId="8_{E70DF6E4-98B6-4D5E-ADB7-16ED375E44C1}" xr6:coauthVersionLast="47" xr6:coauthVersionMax="47" xr10:uidLastSave="{00000000-0000-0000-0000-000000000000}"/>
  <bookViews>
    <workbookView xWindow="-120" yWindow="-120" windowWidth="29040" windowHeight="15840" tabRatio="911" firstSheet="3" activeTab="16" xr2:uid="{00000000-000D-0000-FFFF-FFFF00000000}"/>
  </bookViews>
  <sheets>
    <sheet name="Build &amp; Totals" sheetId="1" r:id="rId1"/>
    <sheet name="Trait Selection" sheetId="15" r:id="rId2"/>
    <sheet name="Full Traits" sheetId="12" r:id="rId3"/>
    <sheet name="Trait Stats" sheetId="11" r:id="rId4"/>
    <sheet name="Attributes &amp; Prefixes" sheetId="2" r:id="rId5"/>
    <sheet name="Runes" sheetId="9" r:id="rId6"/>
    <sheet name="Jewels" sheetId="16" r:id="rId7"/>
    <sheet name="Signets" sheetId="4" r:id="rId8"/>
    <sheet name="Food" sheetId="5" r:id="rId9"/>
    <sheet name="Utilities" sheetId="6" r:id="rId10"/>
    <sheet name="Conditionals Helper" sheetId="14" r:id="rId11"/>
    <sheet name="Additional Bonuses" sheetId="18" state="hidden" r:id="rId12"/>
    <sheet name="Helpers" sheetId="7" r:id="rId13"/>
    <sheet name="Trait Filters &amp; Checks" sheetId="13" r:id="rId14"/>
    <sheet name="Sigils" sheetId="10" state="hidden" r:id="rId15"/>
    <sheet name="Notes" sheetId="8" state="hidden" r:id="rId16"/>
    <sheet name="Gear Values" sheetId="3" r:id="rId17"/>
  </sheets>
  <definedNames>
    <definedName name="_xlnm._FilterDatabase" localSheetId="9" hidden="1">Utilities!$Z$1:$Z$122</definedName>
    <definedName name="ArmourType">Helpers!$N$19</definedName>
    <definedName name="AttributeFilter">'Build &amp; Totals'!$B$2</definedName>
    <definedName name="BoonToggles">'Build &amp; Totals'!$F$57:$G$63</definedName>
    <definedName name="ChosenSpecs">Helpers!$A$24:$A$26</definedName>
    <definedName name="Class">'Build &amp; Totals'!$A$2</definedName>
    <definedName name="ConcentrationTotal">Helpers!$B$30</definedName>
    <definedName name="DerivedGain1">Helpers!$A$4</definedName>
    <definedName name="DerivedGain2">Helpers!$E$4</definedName>
    <definedName name="DerivedResult1" comment="Add to &quot;Gain&quot; stat">Helpers!$D$4</definedName>
    <definedName name="DerivedResult2">Helpers!$H$4</definedName>
    <definedName name="ExpertiseTotal">Helpers!$B$31</definedName>
    <definedName name="FlatGain">Helpers!$A$16</definedName>
    <definedName name="FlatResult">Helpers!$B$16</definedName>
    <definedName name="GearValues">'Attributes &amp; Prefixes'!$H$3:$S$1608</definedName>
    <definedName name="HealthyGain">Helpers!$A$8</definedName>
    <definedName name="HealthyResult">Helpers!$B$8</definedName>
    <definedName name="PowerSubtotal">Helpers!$A$20</definedName>
    <definedName name="PrecisionTotal">Helpers!$B$29</definedName>
    <definedName name="Rune1Bonus">Helpers!$N$3</definedName>
    <definedName name="Rune1Count">Helpers!$P$3</definedName>
    <definedName name="Rune1Stat">Helpers!$O$3</definedName>
    <definedName name="Rune2Bonus">Helpers!$N$4</definedName>
    <definedName name="Rune2Count">Helpers!$P$4</definedName>
    <definedName name="Rune2Stat">Helpers!$O$4</definedName>
    <definedName name="Rune3Bonus">Helpers!$N$5</definedName>
    <definedName name="Rune3Count">Helpers!$P$5</definedName>
    <definedName name="Rune3Stat">Helpers!$O$5</definedName>
    <definedName name="Rune4Bonus">Helpers!$N$6</definedName>
    <definedName name="Rune4Count">Helpers!$P$6</definedName>
    <definedName name="Rune4Stat">Helpers!$O$6</definedName>
    <definedName name="Rune5Bonus">Helpers!$N$7</definedName>
    <definedName name="Rune5Count">Helpers!$P$7</definedName>
    <definedName name="Rune5Stat">Helpers!$O$7</definedName>
    <definedName name="Rune6Bonus">Helpers!$N$8</definedName>
    <definedName name="Rune6Count">Helpers!$P$8</definedName>
    <definedName name="Rune6Stat">Helpers!$O$8</definedName>
    <definedName name="RuneTable">Runes!$A$2:$M$101</definedName>
    <definedName name="SharedGain1">Helpers!$B$12</definedName>
    <definedName name="SharedGain2">Helpers!$G$12</definedName>
    <definedName name="SharedResult1">Helpers!$E$12</definedName>
    <definedName name="SharedResult2">Helpers!$J$12</definedName>
    <definedName name="SigilTable">Sigils!$A:$B</definedName>
    <definedName name="Signet1">'Build &amp; Totals'!$A$46</definedName>
    <definedName name="Signet1Bonus">Helpers!$P$13</definedName>
    <definedName name="Signet1Check">Signets!$H$2</definedName>
    <definedName name="Signet1Stat">Helpers!$N$13</definedName>
    <definedName name="Signet2">'Build &amp; Totals'!$A$47</definedName>
    <definedName name="Signet2Bonus">Helpers!$P$14</definedName>
    <definedName name="Signet2Check">Signets!$H$3</definedName>
    <definedName name="Signet2Stat">Helpers!$N$14</definedName>
    <definedName name="Signet3">'Build &amp; Totals'!$A$48</definedName>
    <definedName name="Signet3Bonus">Helpers!$P$15</definedName>
    <definedName name="Signet3Check">Signets!$H$4</definedName>
    <definedName name="Signet3Stat">Helpers!$N$15</definedName>
    <definedName name="SignetPassives">Signets!$A$1:$D$16</definedName>
    <definedName name="SignetTable">Signets!$A$18:$D$61</definedName>
    <definedName name="Spec1">'Build &amp; Totals'!$B$4</definedName>
    <definedName name="Spec1MajorAdept">'Build &amp; Totals'!$B$5</definedName>
    <definedName name="Spec1MajorAdeptCondition">'Trait Selection'!$C$4</definedName>
    <definedName name="Spec1MajorAdeptStacking">'Trait Filters &amp; Checks'!$E$19</definedName>
    <definedName name="Spec1MajorAdeptStacks">'Trait Selection'!$D$4</definedName>
    <definedName name="Spec1MajorAdeptTotals">'Conditionals Helper'!$P$14:$X$14</definedName>
    <definedName name="Spec1MajorAdeptValid">'Trait Filters &amp; Checks'!$D$19</definedName>
    <definedName name="Spec1MajorGrandmaster">'Build &amp; Totals'!$B$7</definedName>
    <definedName name="Spec1MajorGrandmasterCondition">'Trait Selection'!$C$8</definedName>
    <definedName name="Spec1MajorGrandmasterStacking">'Trait Filters &amp; Checks'!$E$23</definedName>
    <definedName name="Spec1MajorGrandmasterStacks">'Trait Selection'!$D$8</definedName>
    <definedName name="Spec1MajorGrandmasterTotals">'Conditionals Helper'!$P$42:$X$42</definedName>
    <definedName name="Spec1MajorGrandmasterValid">'Trait Filters &amp; Checks'!$D$23</definedName>
    <definedName name="Spec1MajorMaster">'Build &amp; Totals'!$B$6</definedName>
    <definedName name="Spec1MajorMasterCondition">'Trait Selection'!$C$6</definedName>
    <definedName name="Spec1MajorMasterStacking">'Trait Filters &amp; Checks'!$E$21</definedName>
    <definedName name="Spec1MajorMasterStacks">'Trait Selection'!$D$6</definedName>
    <definedName name="Spec1MajorMasterTotals">'Conditionals Helper'!$P$28:$X$28</definedName>
    <definedName name="Spec1MajorMasterValid">'Trait Filters &amp; Checks'!$D$21</definedName>
    <definedName name="Spec1MinorAdept">'Trait Filters &amp; Checks'!$B$3</definedName>
    <definedName name="Spec1MinorAdeptCondition">'Trait Selection'!$C$3</definedName>
    <definedName name="Spec1MinorAdeptStacking">'Trait Filters &amp; Checks'!$E$18</definedName>
    <definedName name="Spec1MinorAdeptStacks">'Trait Selection'!$D$3</definedName>
    <definedName name="Spec1MinorAdeptTotals">'Conditionals Helper'!$P$7:$X$7</definedName>
    <definedName name="Spec1MinorGrandmaster">'Trait Filters &amp; Checks'!$F$3</definedName>
    <definedName name="Spec1MinorGrandmasterCondition">'Trait Selection'!$C$7</definedName>
    <definedName name="Spec1MinorGrandmasterStacking">'Trait Filters &amp; Checks'!$E$22</definedName>
    <definedName name="Spec1MinorGrandmasterStacks">'Trait Selection'!$D$7</definedName>
    <definedName name="Spec1MinorGrandmasterTotals">'Conditionals Helper'!$P$35:$X$35</definedName>
    <definedName name="Spec1MinorMaster">'Trait Filters &amp; Checks'!$D$3</definedName>
    <definedName name="Spec1MinorMasterCondition">'Trait Selection'!$C$5</definedName>
    <definedName name="Spec1MinorMasterStacking">'Trait Filters &amp; Checks'!$E$20</definedName>
    <definedName name="Spec1MinorMasterStacks">'Trait Selection'!$D$5</definedName>
    <definedName name="Spec1MinorMasterTotals">'Conditionals Helper'!$P$21:$X$21</definedName>
    <definedName name="Spec1Valid">'Trait Filters &amp; Checks'!$H$3</definedName>
    <definedName name="Spec2">'Build &amp; Totals'!$B$8</definedName>
    <definedName name="Spec2MajorAdept">'Build &amp; Totals'!$B$9</definedName>
    <definedName name="Spec2MajorAdeptCondition">'Trait Selection'!$G$4</definedName>
    <definedName name="Spec2MajorAdeptStacking">'Trait Filters &amp; Checks'!$E$25</definedName>
    <definedName name="Spec2MajorAdeptStacks">'Trait Selection'!$H$4</definedName>
    <definedName name="Spec2MajorAdeptTotals">'Conditionals Helper'!$P$56:$X$56</definedName>
    <definedName name="Spec2MajorAdeptValid">'Trait Filters &amp; Checks'!$D$25</definedName>
    <definedName name="Spec2MajorGrandmaster">'Build &amp; Totals'!$B$11</definedName>
    <definedName name="Spec2MajorGrandmasterCondition">'Trait Selection'!$G$8</definedName>
    <definedName name="Spec2MajorGrandmasterStacking">'Trait Filters &amp; Checks'!$E$29</definedName>
    <definedName name="Spec2MajorGrandmasterStacks">'Trait Selection'!$H$8</definedName>
    <definedName name="Spec2MajorGrandmasterTotals">'Conditionals Helper'!$P$84:$X$84</definedName>
    <definedName name="Spec2MajorGrandmasterValid">'Trait Filters &amp; Checks'!$D$29</definedName>
    <definedName name="Spec2MajorMaster">'Build &amp; Totals'!$B$10</definedName>
    <definedName name="Spec2MajorMasterCondition">'Trait Selection'!$G$6</definedName>
    <definedName name="Spec2MajorMasterStacking">'Trait Filters &amp; Checks'!$E$27</definedName>
    <definedName name="Spec2MajorMasterStacks">'Trait Selection'!$H$6</definedName>
    <definedName name="Spec2MajorMasterTotals">'Conditionals Helper'!$P$70:$X$70</definedName>
    <definedName name="Spec2MajorMasterValid">'Trait Filters &amp; Checks'!$D$27</definedName>
    <definedName name="Spec2MinorAdept">'Trait Filters &amp; Checks'!$B$7</definedName>
    <definedName name="Spec2MinorAdeptCondition">'Trait Selection'!$G$3</definedName>
    <definedName name="Spec2MinorAdeptStacking">'Trait Filters &amp; Checks'!$E$24</definedName>
    <definedName name="Spec2MinorAdeptStacks">'Trait Selection'!$H$3</definedName>
    <definedName name="Spec2MinorAdeptTotals">'Conditionals Helper'!$P$49:$X$49</definedName>
    <definedName name="Spec2MinorGrandmaster">'Trait Filters &amp; Checks'!$F$7</definedName>
    <definedName name="Spec2MinorGrandmasterCondition">'Trait Selection'!$G$7</definedName>
    <definedName name="Spec2MinorGrandmasterStacking">'Trait Filters &amp; Checks'!$E$28</definedName>
    <definedName name="Spec2MinorGrandmasterStacks">'Trait Selection'!$H$7</definedName>
    <definedName name="Spec2MinorGrandmasterTotals">'Conditionals Helper'!$P$77:$X$77</definedName>
    <definedName name="Spec2MinorMaster">'Trait Filters &amp; Checks'!$D$7</definedName>
    <definedName name="Spec2MinorMasterCondition">'Trait Selection'!$G$5</definedName>
    <definedName name="Spec2MinorMasterStacking">'Trait Filters &amp; Checks'!$E$26</definedName>
    <definedName name="Spec2MinorMasterStacks">'Trait Selection'!$H$5</definedName>
    <definedName name="Spec2MinorMasterTotals">'Conditionals Helper'!$P$63:$X$63</definedName>
    <definedName name="Spec2Valid">'Trait Filters &amp; Checks'!$H$7</definedName>
    <definedName name="Spec3">'Build &amp; Totals'!$B$12</definedName>
    <definedName name="Spec3MajorAdept">'Build &amp; Totals'!$B$13</definedName>
    <definedName name="Spec3MajorAdeptCondition">'Trait Selection'!$K$4</definedName>
    <definedName name="Spec3MajorAdeptStacking">'Trait Filters &amp; Checks'!$E$31</definedName>
    <definedName name="Spec3MajorAdeptStacks">'Trait Selection'!$L$4</definedName>
    <definedName name="Spec3MajorAdeptTotals">'Conditionals Helper'!$P$98:$X$98</definedName>
    <definedName name="Spec3MajorAdeptValid">'Trait Filters &amp; Checks'!$D$31</definedName>
    <definedName name="Spec3MajorGrandmaster">'Build &amp; Totals'!$B$15</definedName>
    <definedName name="Spec3MajorGrandmasterCondition">'Trait Selection'!$K$8</definedName>
    <definedName name="Spec3MajorGrandmasterStacking">'Trait Filters &amp; Checks'!$E$35</definedName>
    <definedName name="Spec3MajorGrandmasterStacks">'Trait Selection'!$L$8</definedName>
    <definedName name="Spec3MajorGrandmasterTotals">'Conditionals Helper'!$P$126:$X$126</definedName>
    <definedName name="Spec3MajorGrandmasterValid">'Trait Filters &amp; Checks'!$D$35</definedName>
    <definedName name="Spec3MajorMaster">'Build &amp; Totals'!$B$14</definedName>
    <definedName name="Spec3MajorMasterCondition">'Trait Selection'!$K$6</definedName>
    <definedName name="Spec3MajorMasterStacking">'Trait Filters &amp; Checks'!$E$33</definedName>
    <definedName name="Spec3MajorMasterStacks">'Trait Selection'!$L$6</definedName>
    <definedName name="Spec3MajorMasterTotals">'Conditionals Helper'!$P$112:$X$112</definedName>
    <definedName name="Spec3MajorMasterValid">'Trait Filters &amp; Checks'!$D$33</definedName>
    <definedName name="Spec3MinorAdept">'Trait Filters &amp; Checks'!$B$11</definedName>
    <definedName name="Spec3MinorAdeptCondition">'Trait Selection'!$K$3</definedName>
    <definedName name="Spec3MinorAdeptStacking">'Trait Filters &amp; Checks'!$E$30</definedName>
    <definedName name="Spec3MinorAdeptStacks">'Trait Selection'!$L$3</definedName>
    <definedName name="Spec3MinorAdeptTotals">'Conditionals Helper'!$P$91:$X$91</definedName>
    <definedName name="Spec3MinorGrandmaster">'Trait Filters &amp; Checks'!$F$11</definedName>
    <definedName name="Spec3MinorGrandmasterCondition">'Trait Selection'!$K$7</definedName>
    <definedName name="Spec3MinorGrandmasterStacking">'Trait Filters &amp; Checks'!$E$34</definedName>
    <definedName name="Spec3MinorGrandmasterStacks">'Trait Selection'!$L$7</definedName>
    <definedName name="Spec3MinorGrandmasterTotals">'Conditionals Helper'!$P$119:$X$119</definedName>
    <definedName name="Spec3MinorMaster">'Trait Filters &amp; Checks'!$D$11</definedName>
    <definedName name="Spec3MinorMasterCondition">'Trait Selection'!$K$5</definedName>
    <definedName name="Spec3MinorMasterStacking">'Trait Filters &amp; Checks'!$E$32</definedName>
    <definedName name="Spec3MinorMasterStacks">'Trait Selection'!$L$5</definedName>
    <definedName name="Spec3MinorMasterTotals">'Conditionals Helper'!$P$105:$X$105</definedName>
    <definedName name="Spec3Valid">'Trait Filters &amp; Checks'!$H$11</definedName>
    <definedName name="SpecFilter">'Trait Filters &amp; Checks'!$M$5:$M$85</definedName>
    <definedName name="StatList">Helpers!$A$19:$L$19</definedName>
    <definedName name="StatSubtotals" comment="for when stat points are gained based on percentage of stat total pre-calculation">Helpers!$A$20:$L$20</definedName>
    <definedName name="TraitConcentrationFlatTotal">'Conditionals Helper'!$T$131</definedName>
    <definedName name="TraitConditionDamageFlatTotal">'Conditionals Helper'!$U$131</definedName>
    <definedName name="TraitConditionDurationTotal">'Conditionals Helper'!$AA$132</definedName>
    <definedName name="TraitCritChanceTotal">'Conditionals Helper'!$Y$132</definedName>
    <definedName name="TraitCritDamageTotal">'Conditionals Helper'!$Z$132</definedName>
    <definedName name="TraitExpertiseFlatTotal">'Conditionals Helper'!$V$131</definedName>
    <definedName name="TraitFerocityFlatTotal">'Conditionals Helper'!$W$131</definedName>
    <definedName name="TraitHealingPowerFlatTotal">'Conditionals Helper'!$X$131</definedName>
    <definedName name="TraitPercentageAccumulations">'Conditionals Helper'!$P$127:$X$127</definedName>
    <definedName name="TraitPowerFlatTotal">'Conditionals Helper'!$P$131</definedName>
    <definedName name="TraitPrecisionFlatTotal">'Conditionals Helper'!$Q$131</definedName>
    <definedName name="TraitStats">TraitStatsTable[]</definedName>
    <definedName name="TraitTable">'Full Traits'!$A:$F</definedName>
    <definedName name="TraitToughnessFlatTotal">'Conditionals Helper'!$R$131</definedName>
    <definedName name="TraitVitalityFlatTotal">'Conditionals Helper'!$S$131</definedName>
    <definedName name="UtilBonusType" comment="&quot;Derived&quot;,&quot;Healthy&quot;,&quot;Shared&quot;,&quot;Flat&quot;">Utilities!$Z$2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 i="7" l="1" a="1"/>
  <c r="P14" i="7"/>
  <c r="P15" i="7" a="1"/>
  <c r="P15" i="7"/>
  <c r="O14" i="7" a="1"/>
  <c r="O14" i="7"/>
  <c r="O15" i="7" a="1"/>
  <c r="O15" i="7"/>
  <c r="O13" i="4"/>
  <c r="C54" i="1"/>
  <c r="E50" i="1"/>
  <c r="Y121" i="14" a="1"/>
  <c r="Y121" i="14"/>
  <c r="Z121" i="14" a="1"/>
  <c r="Z121" i="14"/>
  <c r="AA121" i="14" a="1"/>
  <c r="AA121" i="14"/>
  <c r="Y122" i="14" a="1"/>
  <c r="Y122" i="14"/>
  <c r="Z122" i="14" a="1"/>
  <c r="Z122" i="14"/>
  <c r="AA122" i="14" a="1"/>
  <c r="AA122" i="14"/>
  <c r="Y123" i="14" a="1"/>
  <c r="Y123" i="14"/>
  <c r="Z123" i="14" a="1"/>
  <c r="Z123" i="14"/>
  <c r="AA123" i="14" a="1"/>
  <c r="AA123" i="14"/>
  <c r="Y124" i="14" a="1"/>
  <c r="Y124" i="14"/>
  <c r="Z124" i="14" a="1"/>
  <c r="Z124" i="14"/>
  <c r="AA124" i="14" a="1"/>
  <c r="AA124" i="14"/>
  <c r="Y125" i="14" a="1"/>
  <c r="Y125" i="14"/>
  <c r="Z125" i="14" a="1"/>
  <c r="Z125" i="14"/>
  <c r="AA125" i="14" a="1"/>
  <c r="AA125" i="14"/>
  <c r="Y114" i="14" a="1"/>
  <c r="Y114" i="14"/>
  <c r="Z114" i="14" a="1"/>
  <c r="Z114" i="14"/>
  <c r="AA114" i="14" a="1"/>
  <c r="AA114" i="14"/>
  <c r="Y115" i="14" a="1"/>
  <c r="Y115" i="14"/>
  <c r="Z115" i="14" a="1"/>
  <c r="Z115" i="14"/>
  <c r="AA115" i="14" a="1"/>
  <c r="AA115" i="14"/>
  <c r="Y116" i="14" a="1"/>
  <c r="Y116" i="14"/>
  <c r="Z116" i="14" a="1"/>
  <c r="Z116" i="14"/>
  <c r="AA116" i="14" a="1"/>
  <c r="AA116" i="14"/>
  <c r="Y117" i="14" a="1"/>
  <c r="Y117" i="14"/>
  <c r="Z117" i="14" a="1"/>
  <c r="Z117" i="14"/>
  <c r="AA117" i="14" a="1"/>
  <c r="AA117" i="14"/>
  <c r="Y118" i="14" a="1"/>
  <c r="Y118" i="14"/>
  <c r="Z118" i="14" a="1"/>
  <c r="Z118" i="14"/>
  <c r="AA118" i="14" a="1"/>
  <c r="AA118" i="14"/>
  <c r="Y107" i="14" a="1"/>
  <c r="Y107" i="14"/>
  <c r="Z107" i="14" a="1"/>
  <c r="Z107" i="14"/>
  <c r="AA107" i="14" a="1"/>
  <c r="AA107" i="14"/>
  <c r="Y108" i="14" a="1"/>
  <c r="Y108" i="14"/>
  <c r="Z108" i="14" a="1"/>
  <c r="Z108" i="14"/>
  <c r="AA108" i="14" a="1"/>
  <c r="AA108" i="14"/>
  <c r="Y109" i="14" a="1"/>
  <c r="Y109" i="14"/>
  <c r="Z109" i="14" a="1"/>
  <c r="Z109" i="14"/>
  <c r="AA109" i="14" a="1"/>
  <c r="AA109" i="14"/>
  <c r="Y110" i="14" a="1"/>
  <c r="Y110" i="14"/>
  <c r="Z110" i="14" a="1"/>
  <c r="Z110" i="14"/>
  <c r="AA110" i="14" a="1"/>
  <c r="AA110" i="14"/>
  <c r="Y111" i="14" a="1"/>
  <c r="Y111" i="14"/>
  <c r="Z111" i="14" a="1"/>
  <c r="Z111" i="14"/>
  <c r="AA111" i="14" a="1"/>
  <c r="AA111" i="14"/>
  <c r="Y101" i="14" a="1"/>
  <c r="Y101" i="14"/>
  <c r="Z101" i="14" a="1"/>
  <c r="Z101" i="14"/>
  <c r="AA101" i="14" a="1"/>
  <c r="AA101" i="14"/>
  <c r="Y102" i="14" a="1"/>
  <c r="Y102" i="14"/>
  <c r="Z102" i="14" a="1"/>
  <c r="Z102" i="14"/>
  <c r="AA102" i="14" a="1"/>
  <c r="AA102" i="14"/>
  <c r="Y103" i="14" a="1"/>
  <c r="Y103" i="14"/>
  <c r="Z103" i="14" a="1"/>
  <c r="Z103" i="14"/>
  <c r="AA103" i="14" a="1"/>
  <c r="AA103" i="14"/>
  <c r="Y104" i="14" a="1"/>
  <c r="Y104" i="14"/>
  <c r="Z104" i="14" a="1"/>
  <c r="Z104" i="14"/>
  <c r="AA104" i="14" a="1"/>
  <c r="AA104" i="14"/>
  <c r="Y93" i="14" a="1"/>
  <c r="Y93" i="14"/>
  <c r="Z93" i="14" a="1"/>
  <c r="Z93" i="14"/>
  <c r="AA93" i="14" a="1"/>
  <c r="AA93" i="14"/>
  <c r="Y94" i="14" a="1"/>
  <c r="Y94" i="14"/>
  <c r="Z94" i="14" a="1"/>
  <c r="Z94" i="14"/>
  <c r="AA94" i="14" a="1"/>
  <c r="AA94" i="14"/>
  <c r="Y95" i="14" a="1"/>
  <c r="Y95" i="14"/>
  <c r="Z95" i="14" a="1"/>
  <c r="Z95" i="14"/>
  <c r="AA95" i="14" a="1"/>
  <c r="AA95" i="14"/>
  <c r="Y96" i="14" a="1"/>
  <c r="Y96" i="14"/>
  <c r="Z96" i="14" a="1"/>
  <c r="Z96" i="14"/>
  <c r="AA96" i="14" a="1"/>
  <c r="AA96" i="14"/>
  <c r="Y97" i="14" a="1"/>
  <c r="Y97" i="14"/>
  <c r="Z97" i="14" a="1"/>
  <c r="Z97" i="14"/>
  <c r="AA97" i="14" a="1"/>
  <c r="AA97" i="14"/>
  <c r="Y86" i="14" a="1"/>
  <c r="Y86" i="14"/>
  <c r="Z86" i="14" a="1"/>
  <c r="Z86" i="14"/>
  <c r="AA86" i="14" a="1"/>
  <c r="AA86" i="14"/>
  <c r="Y87" i="14" a="1"/>
  <c r="Y87" i="14"/>
  <c r="Z87" i="14" a="1"/>
  <c r="Z87" i="14"/>
  <c r="AA87" i="14" a="1"/>
  <c r="AA87" i="14"/>
  <c r="Y88" i="14" a="1"/>
  <c r="Y88" i="14"/>
  <c r="Z88" i="14" a="1"/>
  <c r="Z88" i="14"/>
  <c r="AA88" i="14" a="1"/>
  <c r="AA88" i="14"/>
  <c r="Y89" i="14" a="1"/>
  <c r="Y89" i="14"/>
  <c r="Z89" i="14" a="1"/>
  <c r="Z89" i="14"/>
  <c r="AA89" i="14" a="1"/>
  <c r="AA89" i="14"/>
  <c r="Y90" i="14" a="1"/>
  <c r="Y90" i="14"/>
  <c r="Z90" i="14" a="1"/>
  <c r="Z90" i="14"/>
  <c r="AA90" i="14" a="1"/>
  <c r="AA90" i="14"/>
  <c r="Y79" i="14" a="1"/>
  <c r="Y79" i="14"/>
  <c r="Z79" i="14" a="1"/>
  <c r="Z79" i="14"/>
  <c r="AA79" i="14" a="1"/>
  <c r="AA79" i="14"/>
  <c r="Y80" i="14" a="1"/>
  <c r="Y80" i="14"/>
  <c r="Z80" i="14" a="1"/>
  <c r="Z80" i="14"/>
  <c r="AA80" i="14" a="1"/>
  <c r="AA80" i="14"/>
  <c r="Y81" i="14" a="1"/>
  <c r="Y81" i="14"/>
  <c r="Z81" i="14" a="1"/>
  <c r="Z81" i="14"/>
  <c r="AA81" i="14" a="1"/>
  <c r="AA81" i="14"/>
  <c r="Y82" i="14" a="1"/>
  <c r="Y82" i="14"/>
  <c r="Z82" i="14" a="1"/>
  <c r="Z82" i="14"/>
  <c r="AA82" i="14" a="1"/>
  <c r="AA82" i="14"/>
  <c r="Y83" i="14" a="1"/>
  <c r="Y83" i="14"/>
  <c r="Z83" i="14" a="1"/>
  <c r="Z83" i="14"/>
  <c r="AA83" i="14" a="1"/>
  <c r="AA83" i="14"/>
  <c r="Y72" i="14" a="1"/>
  <c r="Y72" i="14"/>
  <c r="Z72" i="14" a="1"/>
  <c r="Z72" i="14"/>
  <c r="AA72" i="14" a="1"/>
  <c r="AA72" i="14"/>
  <c r="Y73" i="14" a="1"/>
  <c r="Y73" i="14"/>
  <c r="Z73" i="14" a="1"/>
  <c r="Z73" i="14"/>
  <c r="AA73" i="14" a="1"/>
  <c r="AA73" i="14"/>
  <c r="Y74" i="14" a="1"/>
  <c r="Y74" i="14"/>
  <c r="Z74" i="14" a="1"/>
  <c r="Z74" i="14"/>
  <c r="AA74" i="14" a="1"/>
  <c r="AA74" i="14"/>
  <c r="Y75" i="14" a="1"/>
  <c r="Y75" i="14"/>
  <c r="Z75" i="14" a="1"/>
  <c r="Z75" i="14"/>
  <c r="AA75" i="14" a="1"/>
  <c r="AA75" i="14"/>
  <c r="Y76" i="14" a="1"/>
  <c r="Y76" i="14"/>
  <c r="Z76" i="14" a="1"/>
  <c r="Z76" i="14"/>
  <c r="AA76" i="14" a="1"/>
  <c r="AA76" i="14"/>
  <c r="Y65" i="14" a="1"/>
  <c r="Y65" i="14"/>
  <c r="Z65" i="14" a="1"/>
  <c r="Z65" i="14"/>
  <c r="AA65" i="14" a="1"/>
  <c r="AA65" i="14"/>
  <c r="Y66" i="14" a="1"/>
  <c r="Y66" i="14"/>
  <c r="Z66" i="14" a="1"/>
  <c r="Z66" i="14"/>
  <c r="AA66" i="14" a="1"/>
  <c r="AA66" i="14"/>
  <c r="Y67" i="14" a="1"/>
  <c r="Y67" i="14"/>
  <c r="Z67" i="14" a="1"/>
  <c r="Z67" i="14"/>
  <c r="AA67" i="14" a="1"/>
  <c r="AA67" i="14"/>
  <c r="Y68" i="14" a="1"/>
  <c r="Y68" i="14"/>
  <c r="Z68" i="14" a="1"/>
  <c r="Z68" i="14"/>
  <c r="AA68" i="14" a="1"/>
  <c r="AA68" i="14"/>
  <c r="Y69" i="14" a="1"/>
  <c r="Y69" i="14"/>
  <c r="Z69" i="14" a="1"/>
  <c r="Z69" i="14"/>
  <c r="AA69" i="14" a="1"/>
  <c r="AA69" i="14"/>
  <c r="Y62" i="14" a="1"/>
  <c r="Y62" i="14"/>
  <c r="Z62" i="14" a="1"/>
  <c r="Z62" i="14"/>
  <c r="AA62" i="14" a="1"/>
  <c r="AA62" i="14"/>
  <c r="Y61" i="14" a="1"/>
  <c r="Y61" i="14"/>
  <c r="Z61" i="14" a="1"/>
  <c r="Z61" i="14"/>
  <c r="AA61" i="14" a="1"/>
  <c r="AA61" i="14"/>
  <c r="Y60" i="14" a="1"/>
  <c r="Y60" i="14"/>
  <c r="Z60" i="14" a="1"/>
  <c r="Z60" i="14"/>
  <c r="AA60" i="14" a="1"/>
  <c r="AA60" i="14"/>
  <c r="Y59" i="14" a="1"/>
  <c r="Y59" i="14"/>
  <c r="Z59" i="14" a="1"/>
  <c r="Z59" i="14"/>
  <c r="AA59" i="14" a="1"/>
  <c r="AA59" i="14"/>
  <c r="Y58" i="14" a="1"/>
  <c r="Y58" i="14"/>
  <c r="Z58" i="14" a="1"/>
  <c r="Z58" i="14"/>
  <c r="AA58" i="14" a="1"/>
  <c r="AA58" i="14"/>
  <c r="Y55" i="14" a="1"/>
  <c r="Y55" i="14"/>
  <c r="Z55" i="14" a="1"/>
  <c r="Z55" i="14"/>
  <c r="AA55" i="14" a="1"/>
  <c r="AA55" i="14"/>
  <c r="Y54" i="14" a="1"/>
  <c r="Y54" i="14"/>
  <c r="Z54" i="14" a="1"/>
  <c r="Z54" i="14"/>
  <c r="AA54" i="14" a="1"/>
  <c r="AA54" i="14"/>
  <c r="Y53" i="14" a="1"/>
  <c r="Y53" i="14"/>
  <c r="Z53" i="14" a="1"/>
  <c r="Z53" i="14"/>
  <c r="AA53" i="14" a="1"/>
  <c r="AA53" i="14"/>
  <c r="Y52" i="14" a="1"/>
  <c r="Y52" i="14"/>
  <c r="Z52" i="14" a="1"/>
  <c r="Z52" i="14"/>
  <c r="AA52" i="14" a="1"/>
  <c r="AA52" i="14"/>
  <c r="Y51" i="14" a="1"/>
  <c r="Y51" i="14"/>
  <c r="Z51" i="14" a="1"/>
  <c r="Z51" i="14"/>
  <c r="AA51" i="14" a="1"/>
  <c r="AA51" i="14"/>
  <c r="Y46" i="14" a="1"/>
  <c r="Y46" i="14"/>
  <c r="Y48" i="14" a="1"/>
  <c r="Y48" i="14"/>
  <c r="Z48" i="14" a="1"/>
  <c r="Z48" i="14"/>
  <c r="AA48" i="14" a="1"/>
  <c r="AA48" i="14"/>
  <c r="Y47" i="14" a="1"/>
  <c r="Y47" i="14"/>
  <c r="Z47" i="14" a="1"/>
  <c r="Z47" i="14"/>
  <c r="AA47" i="14" a="1"/>
  <c r="AA47" i="14"/>
  <c r="Z46" i="14" a="1"/>
  <c r="Z46" i="14"/>
  <c r="AA46" i="14" a="1"/>
  <c r="AA46" i="14"/>
  <c r="Y45" i="14" a="1"/>
  <c r="Y45" i="14"/>
  <c r="Z45" i="14" a="1"/>
  <c r="Z45" i="14"/>
  <c r="AA45" i="14" a="1"/>
  <c r="AA45" i="14"/>
  <c r="Y44" i="14" a="1"/>
  <c r="Y44" i="14"/>
  <c r="Z44" i="14" a="1"/>
  <c r="Z44" i="14"/>
  <c r="AA44" i="14" a="1"/>
  <c r="AA44" i="14"/>
  <c r="Y41" i="14" a="1"/>
  <c r="Y41" i="14"/>
  <c r="Z41" i="14" a="1"/>
  <c r="Z41" i="14"/>
  <c r="AA41" i="14" a="1"/>
  <c r="AA41" i="14"/>
  <c r="Y40" i="14" a="1"/>
  <c r="Y40" i="14"/>
  <c r="Z40" i="14" a="1"/>
  <c r="Z40" i="14"/>
  <c r="AA40" i="14" a="1"/>
  <c r="AA40" i="14"/>
  <c r="Y39" i="14" a="1"/>
  <c r="Y39" i="14"/>
  <c r="Z39" i="14" a="1"/>
  <c r="Z39" i="14"/>
  <c r="AA39" i="14" a="1"/>
  <c r="AA39" i="14"/>
  <c r="Y38" i="14" a="1"/>
  <c r="Y38" i="14"/>
  <c r="Z38" i="14" a="1"/>
  <c r="Z38" i="14"/>
  <c r="AA38" i="14" a="1"/>
  <c r="AA38" i="14"/>
  <c r="Y37" i="14" a="1"/>
  <c r="Y37" i="14"/>
  <c r="Z37" i="14" a="1"/>
  <c r="Z37" i="14"/>
  <c r="AA37" i="14" a="1"/>
  <c r="AA37" i="14"/>
  <c r="Y34" i="14" a="1"/>
  <c r="Y34" i="14"/>
  <c r="Z34" i="14" a="1"/>
  <c r="Z34" i="14"/>
  <c r="AA34" i="14" a="1"/>
  <c r="AA34" i="14"/>
  <c r="Y33" i="14" a="1"/>
  <c r="Y33" i="14"/>
  <c r="Z33" i="14" a="1"/>
  <c r="Z33" i="14"/>
  <c r="AA33" i="14" a="1"/>
  <c r="AA33" i="14"/>
  <c r="Y32" i="14" a="1"/>
  <c r="Y32" i="14"/>
  <c r="Z32" i="14" a="1"/>
  <c r="Z32" i="14"/>
  <c r="AA32" i="14" a="1"/>
  <c r="AA32" i="14"/>
  <c r="Y31" i="14" a="1"/>
  <c r="Y31" i="14"/>
  <c r="Z31" i="14" a="1"/>
  <c r="Z31" i="14"/>
  <c r="AA31" i="14" a="1"/>
  <c r="AA31" i="14"/>
  <c r="Y30" i="14" a="1"/>
  <c r="Y30" i="14"/>
  <c r="Z30" i="14" a="1"/>
  <c r="Z30" i="14"/>
  <c r="AA30" i="14" a="1"/>
  <c r="AA30" i="14"/>
  <c r="Y27" i="14" a="1"/>
  <c r="Y27" i="14"/>
  <c r="Z27" i="14" a="1"/>
  <c r="Z27" i="14"/>
  <c r="AA27" i="14" a="1"/>
  <c r="AA27" i="14"/>
  <c r="AA26" i="14" a="1"/>
  <c r="AA26" i="14"/>
  <c r="Y26" i="14" a="1"/>
  <c r="Y26" i="14"/>
  <c r="Z26" i="14" a="1"/>
  <c r="Z26" i="14"/>
  <c r="Y25" i="14" a="1"/>
  <c r="Y25" i="14"/>
  <c r="Z25" i="14" a="1"/>
  <c r="Z25" i="14"/>
  <c r="AA25" i="14" a="1"/>
  <c r="AA25" i="14"/>
  <c r="Y24" i="14" a="1"/>
  <c r="Y24" i="14"/>
  <c r="Z24" i="14" a="1"/>
  <c r="Z24" i="14"/>
  <c r="AA24" i="14" a="1"/>
  <c r="AA24" i="14"/>
  <c r="Y23" i="14" a="1"/>
  <c r="Y23" i="14"/>
  <c r="Z23" i="14" a="1"/>
  <c r="Z23" i="14"/>
  <c r="AA23" i="14" a="1"/>
  <c r="AA23" i="14"/>
  <c r="Y20" i="14" a="1"/>
  <c r="Y20" i="14"/>
  <c r="Z20" i="14" a="1"/>
  <c r="Z20" i="14"/>
  <c r="AA20" i="14" a="1"/>
  <c r="AA20" i="14"/>
  <c r="Y19" i="14" a="1"/>
  <c r="Y19" i="14"/>
  <c r="Z19" i="14" a="1"/>
  <c r="Z19" i="14"/>
  <c r="AA19" i="14" a="1"/>
  <c r="AA19" i="14"/>
  <c r="Y18" i="14" a="1"/>
  <c r="Y18" i="14"/>
  <c r="Z18" i="14" a="1"/>
  <c r="Z18" i="14"/>
  <c r="AA18" i="14" a="1"/>
  <c r="AA18" i="14"/>
  <c r="Y17" i="14" a="1"/>
  <c r="Y17" i="14"/>
  <c r="Z17" i="14" a="1"/>
  <c r="Z17" i="14"/>
  <c r="AA17" i="14" a="1"/>
  <c r="AA17" i="14"/>
  <c r="Y13" i="14" a="1"/>
  <c r="Y13" i="14"/>
  <c r="Z13" i="14" a="1"/>
  <c r="Z13" i="14"/>
  <c r="AA13" i="14" a="1"/>
  <c r="AA13" i="14"/>
  <c r="Y12" i="14" a="1"/>
  <c r="Y12" i="14"/>
  <c r="Z12" i="14" a="1"/>
  <c r="Z12" i="14"/>
  <c r="AA12" i="14" a="1"/>
  <c r="AA12" i="14"/>
  <c r="Y11" i="14" a="1"/>
  <c r="Y11" i="14"/>
  <c r="Z11" i="14" a="1"/>
  <c r="Z11" i="14"/>
  <c r="AA11" i="14" a="1"/>
  <c r="AA11" i="14"/>
  <c r="Y10" i="14" a="1"/>
  <c r="Y10" i="14"/>
  <c r="Z10" i="14" a="1"/>
  <c r="Z10" i="14"/>
  <c r="AA10" i="14" a="1"/>
  <c r="AA10" i="14"/>
  <c r="Y9" i="14" a="1"/>
  <c r="Y9" i="14"/>
  <c r="Z9" i="14" a="1"/>
  <c r="Z9" i="14"/>
  <c r="AA9" i="14" a="1"/>
  <c r="AA9" i="14"/>
  <c r="Y6" i="14" a="1"/>
  <c r="Y6" i="14"/>
  <c r="Z6" i="14" a="1"/>
  <c r="Z6" i="14"/>
  <c r="AA6" i="14" a="1"/>
  <c r="AA6" i="14"/>
  <c r="Y5" i="14" a="1"/>
  <c r="Y5" i="14"/>
  <c r="Z5" i="14" a="1"/>
  <c r="Z5" i="14"/>
  <c r="AA5" i="14" a="1"/>
  <c r="AA5" i="14"/>
  <c r="Y4" i="14" a="1"/>
  <c r="Y4" i="14"/>
  <c r="Z4" i="14" a="1"/>
  <c r="Z4" i="14"/>
  <c r="AA4" i="14" a="1"/>
  <c r="AA4" i="14"/>
  <c r="Y3" i="14" a="1"/>
  <c r="Y3" i="14"/>
  <c r="Z3" i="14" a="1"/>
  <c r="Z3" i="14"/>
  <c r="AA3" i="14" a="1"/>
  <c r="AA3" i="14"/>
  <c r="Y2" i="14" a="1"/>
  <c r="Y2" i="14"/>
  <c r="Z2" i="14" a="1"/>
  <c r="Z2" i="14"/>
  <c r="AA2" i="14" a="1"/>
  <c r="AA2" i="14"/>
  <c r="AC16" i="14"/>
  <c r="AC14" i="14"/>
  <c r="C17" i="1"/>
  <c r="D17" i="1"/>
  <c r="E17" i="1"/>
  <c r="F17" i="1"/>
  <c r="G17" i="1"/>
  <c r="H17" i="1"/>
  <c r="I17" i="1"/>
  <c r="J17" i="1"/>
  <c r="K17" i="1"/>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3" i="5"/>
  <c r="K4" i="5"/>
  <c r="K5" i="5"/>
  <c r="K6" i="5"/>
  <c r="K7" i="5"/>
  <c r="K8" i="5"/>
  <c r="O4" i="16"/>
  <c r="O5" i="16"/>
  <c r="O6" i="16"/>
  <c r="O7" i="16"/>
  <c r="O8" i="16"/>
  <c r="O9" i="16"/>
  <c r="O10" i="16"/>
  <c r="O11" i="16"/>
  <c r="O12" i="16"/>
  <c r="O13" i="16"/>
  <c r="O14" i="16"/>
  <c r="O15" i="16"/>
  <c r="O16" i="16"/>
  <c r="O17" i="16"/>
  <c r="O18" i="16"/>
  <c r="O19" i="16"/>
  <c r="O20" i="16"/>
  <c r="O21" i="16"/>
  <c r="O22" i="16"/>
  <c r="O23" i="16"/>
  <c r="O24" i="16"/>
  <c r="O25" i="16"/>
  <c r="O26" i="16"/>
  <c r="O27" i="16"/>
  <c r="O3" i="1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Z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G2" i="4"/>
  <c r="G3" i="4"/>
  <c r="G4" i="4"/>
  <c r="C93" i="14" a="1"/>
  <c r="C93" i="14"/>
  <c r="C107" i="14" a="1"/>
  <c r="C107" i="14"/>
  <c r="C121" i="14" a="1"/>
  <c r="C121" i="14"/>
  <c r="C9" i="14" a="1"/>
  <c r="C9" i="14"/>
  <c r="C23" i="14" a="1"/>
  <c r="C23" i="14"/>
  <c r="C37" i="14" a="1"/>
  <c r="C37" i="14"/>
  <c r="C51" i="14" a="1"/>
  <c r="C51" i="14"/>
  <c r="C65" i="14" a="1"/>
  <c r="C65" i="14"/>
  <c r="C79" i="14" a="1"/>
  <c r="C79" i="14"/>
  <c r="F56" i="2"/>
  <c r="F57" i="2"/>
  <c r="F58" i="2"/>
  <c r="F59" i="2"/>
  <c r="F60" i="2"/>
  <c r="F61" i="2"/>
  <c r="F62" i="2"/>
  <c r="F63" i="2"/>
  <c r="F64" i="2"/>
  <c r="F65" i="2"/>
  <c r="F66" i="2"/>
  <c r="F67" i="2"/>
  <c r="F68" i="2"/>
  <c r="F69" i="2"/>
  <c r="F70" i="2"/>
  <c r="F71" i="2"/>
  <c r="F72" i="2"/>
  <c r="F73" i="2"/>
  <c r="F74" i="2"/>
  <c r="F75" i="2"/>
  <c r="F76" i="2"/>
  <c r="F77" i="2"/>
  <c r="F78" i="2"/>
  <c r="F79"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5" i="2"/>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3" i="9"/>
  <c r="A7" i="13"/>
  <c r="B7" i="13" a="1"/>
  <c r="B7" i="13"/>
  <c r="C44" i="14" s="1" a="1"/>
  <c r="C44" i="14" s="1"/>
  <c r="D7" i="13" a="1"/>
  <c r="D7" i="13"/>
  <c r="C58" i="14" s="1" a="1"/>
  <c r="C58" i="14" s="1"/>
  <c r="F7" i="13" a="1"/>
  <c r="F7" i="13"/>
  <c r="C72" i="14" s="1" a="1"/>
  <c r="C72" i="14" s="1"/>
  <c r="X9" i="13"/>
  <c r="A11" i="13"/>
  <c r="B11" i="13" a="1"/>
  <c r="B11" i="13"/>
  <c r="C86" i="14" s="1" a="1"/>
  <c r="C86" i="14" s="1"/>
  <c r="D11" i="13" a="1"/>
  <c r="D11" i="13"/>
  <c r="C100" i="14" s="1" a="1"/>
  <c r="F11" i="13" a="1"/>
  <c r="F11" i="13" s="1"/>
  <c r="C114" i="14" s="1" a="1"/>
  <c r="C114" i="14" s="1"/>
  <c r="Q14" i="13"/>
  <c r="X16" i="13"/>
  <c r="A18" i="13"/>
  <c r="D19" i="13" a="1"/>
  <c r="D19" i="13" s="1"/>
  <c r="D21" i="13" a="1"/>
  <c r="D21" i="13" s="1"/>
  <c r="D23" i="13" a="1"/>
  <c r="D23" i="13" s="1"/>
  <c r="A24" i="13"/>
  <c r="D25" i="13" a="1"/>
  <c r="D25" i="13" s="1"/>
  <c r="Q26" i="13"/>
  <c r="D27" i="13" a="1"/>
  <c r="D27" i="13" s="1"/>
  <c r="D29" i="13" a="1"/>
  <c r="D29" i="13" s="1"/>
  <c r="A30" i="13"/>
  <c r="D31" i="13" a="1"/>
  <c r="D31" i="13" s="1"/>
  <c r="D33" i="13" a="1"/>
  <c r="D33" i="13" s="1"/>
  <c r="D35" i="13" a="1"/>
  <c r="D35" i="13" s="1"/>
  <c r="Q2" i="13"/>
  <c r="X2" i="13"/>
  <c r="A3" i="13"/>
  <c r="B3" i="13" s="1" a="1"/>
  <c r="B3" i="13" s="1"/>
  <c r="C2" i="14" s="1" a="1"/>
  <c r="C2" i="14" s="1"/>
  <c r="C19" i="1"/>
  <c r="C18" i="1"/>
  <c r="D18" i="1"/>
  <c r="E18" i="1"/>
  <c r="F18" i="1"/>
  <c r="G18" i="1"/>
  <c r="H18" i="1"/>
  <c r="I18" i="1"/>
  <c r="J18" i="1"/>
  <c r="K18" i="1"/>
  <c r="D19" i="1"/>
  <c r="E19" i="1"/>
  <c r="F19" i="1"/>
  <c r="G19" i="1"/>
  <c r="H19" i="1"/>
  <c r="I19" i="1"/>
  <c r="J19" i="1"/>
  <c r="K19" i="1"/>
  <c r="C20" i="1"/>
  <c r="D20" i="1"/>
  <c r="E20" i="1"/>
  <c r="F20" i="1"/>
  <c r="G20" i="1"/>
  <c r="H20" i="1"/>
  <c r="I20" i="1"/>
  <c r="J20" i="1"/>
  <c r="K20" i="1"/>
  <c r="C21" i="1"/>
  <c r="D21" i="1"/>
  <c r="E21" i="1"/>
  <c r="F21" i="1"/>
  <c r="G21" i="1"/>
  <c r="H21" i="1"/>
  <c r="I21" i="1"/>
  <c r="J21" i="1"/>
  <c r="K21" i="1"/>
  <c r="C22" i="1"/>
  <c r="D22" i="1"/>
  <c r="E22" i="1"/>
  <c r="F22" i="1"/>
  <c r="G22" i="1"/>
  <c r="H22" i="1"/>
  <c r="I22" i="1"/>
  <c r="J22" i="1"/>
  <c r="K22" i="1"/>
  <c r="C23" i="1"/>
  <c r="D23" i="1"/>
  <c r="E23" i="1"/>
  <c r="F23" i="1"/>
  <c r="G23" i="1"/>
  <c r="H23" i="1"/>
  <c r="I23" i="1"/>
  <c r="J23" i="1"/>
  <c r="K23" i="1"/>
  <c r="C24" i="1"/>
  <c r="D24" i="1"/>
  <c r="E24" i="1"/>
  <c r="F24" i="1"/>
  <c r="G24" i="1"/>
  <c r="H24" i="1"/>
  <c r="I24" i="1"/>
  <c r="J24" i="1"/>
  <c r="K24" i="1"/>
  <c r="C25" i="1"/>
  <c r="D25" i="1"/>
  <c r="E25" i="1"/>
  <c r="F25" i="1"/>
  <c r="G25" i="1"/>
  <c r="H25" i="1"/>
  <c r="I25" i="1"/>
  <c r="J25" i="1"/>
  <c r="K25" i="1"/>
  <c r="L25" i="1"/>
  <c r="C26" i="1"/>
  <c r="D26" i="1"/>
  <c r="E26" i="1"/>
  <c r="F26" i="1"/>
  <c r="G26" i="1"/>
  <c r="H26" i="1"/>
  <c r="I26" i="1"/>
  <c r="J26" i="1"/>
  <c r="K26" i="1"/>
  <c r="C27" i="1"/>
  <c r="D27" i="1"/>
  <c r="E27" i="1"/>
  <c r="F27" i="1"/>
  <c r="G27" i="1"/>
  <c r="H27" i="1"/>
  <c r="I27" i="1"/>
  <c r="J27" i="1"/>
  <c r="K27" i="1"/>
  <c r="C28" i="1"/>
  <c r="D28" i="1"/>
  <c r="E28" i="1"/>
  <c r="F28" i="1"/>
  <c r="G28" i="1"/>
  <c r="H28" i="1"/>
  <c r="I28" i="1"/>
  <c r="J28" i="1"/>
  <c r="K28" i="1"/>
  <c r="C29" i="1"/>
  <c r="D29" i="1"/>
  <c r="E29" i="1"/>
  <c r="F29" i="1"/>
  <c r="G29" i="1"/>
  <c r="H29" i="1"/>
  <c r="I29" i="1"/>
  <c r="J29" i="1"/>
  <c r="K29" i="1"/>
  <c r="C30" i="1"/>
  <c r="D30" i="1"/>
  <c r="E30" i="1"/>
  <c r="F30" i="1"/>
  <c r="G30" i="1"/>
  <c r="H30" i="1"/>
  <c r="I30" i="1"/>
  <c r="J30" i="1"/>
  <c r="K30" i="1"/>
  <c r="C31" i="1"/>
  <c r="D31" i="1"/>
  <c r="E31" i="1"/>
  <c r="F31" i="1"/>
  <c r="G31" i="1"/>
  <c r="H31" i="1"/>
  <c r="I31" i="1"/>
  <c r="J31" i="1"/>
  <c r="K31" i="1"/>
  <c r="C40" i="1" a="1"/>
  <c r="C40" i="1" s="1"/>
  <c r="D40" i="1" a="1"/>
  <c r="D40" i="1" s="1"/>
  <c r="E40" i="1" a="1"/>
  <c r="E40" i="1" s="1"/>
  <c r="F40" i="1" a="1"/>
  <c r="F40" i="1" s="1"/>
  <c r="G40" i="1" a="1"/>
  <c r="G40" i="1" s="1"/>
  <c r="H40" i="1" a="1"/>
  <c r="H40" i="1" s="1"/>
  <c r="I40" i="1" a="1"/>
  <c r="I40" i="1"/>
  <c r="J40" i="1" a="1"/>
  <c r="J40" i="1" s="1"/>
  <c r="K40" i="1" a="1"/>
  <c r="K40" i="1" s="1"/>
  <c r="C41" i="1" a="1"/>
  <c r="C41" i="1" s="1"/>
  <c r="D41" i="1" a="1"/>
  <c r="D41" i="1" s="1"/>
  <c r="E41" i="1" a="1"/>
  <c r="E41" i="1" s="1"/>
  <c r="F41" i="1" a="1"/>
  <c r="F41" i="1" s="1"/>
  <c r="G41" i="1" a="1"/>
  <c r="G41" i="1" s="1"/>
  <c r="H41" i="1" a="1"/>
  <c r="H41" i="1" s="1"/>
  <c r="I41" i="1" a="1"/>
  <c r="I41" i="1" s="1"/>
  <c r="J41" i="1" a="1"/>
  <c r="J41" i="1" s="1"/>
  <c r="K41" i="1" a="1"/>
  <c r="K41" i="1" s="1"/>
  <c r="C42" i="1" a="1"/>
  <c r="C42" i="1" s="1"/>
  <c r="D42" i="1" a="1"/>
  <c r="D42" i="1" s="1"/>
  <c r="E42" i="1" a="1"/>
  <c r="E42" i="1" s="1"/>
  <c r="F42" i="1" a="1"/>
  <c r="F42" i="1" s="1"/>
  <c r="G42" i="1" a="1"/>
  <c r="G42" i="1" s="1"/>
  <c r="H42" i="1" a="1"/>
  <c r="H42" i="1" s="1"/>
  <c r="I42" i="1" a="1"/>
  <c r="I42" i="1" s="1"/>
  <c r="J42" i="1" a="1"/>
  <c r="J42" i="1" s="1"/>
  <c r="K42" i="1" a="1"/>
  <c r="K42" i="1" s="1"/>
  <c r="C43" i="1" a="1"/>
  <c r="C43" i="1" s="1"/>
  <c r="D43" i="1" a="1"/>
  <c r="D43" i="1" s="1"/>
  <c r="E43" i="1" a="1"/>
  <c r="E43" i="1" s="1"/>
  <c r="F43" i="1" a="1"/>
  <c r="F43" i="1" s="1"/>
  <c r="G43" i="1" a="1"/>
  <c r="G43" i="1" s="1"/>
  <c r="H43" i="1" a="1"/>
  <c r="H43" i="1" s="1"/>
  <c r="I43" i="1" a="1"/>
  <c r="I43" i="1" s="1"/>
  <c r="J43" i="1" a="1"/>
  <c r="J43" i="1" s="1"/>
  <c r="K43" i="1" a="1"/>
  <c r="K43" i="1" s="1"/>
  <c r="C44" i="1" a="1"/>
  <c r="C44" i="1" s="1"/>
  <c r="D44" i="1" a="1"/>
  <c r="D44" i="1" s="1"/>
  <c r="E44" i="1" a="1"/>
  <c r="E44" i="1" s="1"/>
  <c r="F44" i="1" a="1"/>
  <c r="F44" i="1" s="1"/>
  <c r="G44" i="1" a="1"/>
  <c r="G44" i="1" s="1"/>
  <c r="H44" i="1" a="1"/>
  <c r="H44" i="1" s="1"/>
  <c r="I44" i="1" a="1"/>
  <c r="I44" i="1" s="1"/>
  <c r="J44" i="1" a="1"/>
  <c r="J44" i="1" s="1"/>
  <c r="K44" i="1" a="1"/>
  <c r="K44" i="1" s="1"/>
  <c r="C50" i="1"/>
  <c r="D50" i="1"/>
  <c r="F50" i="1"/>
  <c r="G50" i="1"/>
  <c r="H50" i="1"/>
  <c r="I50" i="1"/>
  <c r="J50" i="1"/>
  <c r="K50" i="1"/>
  <c r="M15" i="2" a="1"/>
  <c r="M15" i="2"/>
  <c r="I3" i="8"/>
  <c r="I2" i="8"/>
  <c r="M5" i="13" a="1"/>
  <c r="M5" i="13" s="1"/>
  <c r="M6" i="13" a="1"/>
  <c r="M6" i="13" s="1"/>
  <c r="M7" i="13" a="1"/>
  <c r="M7" i="13" s="1"/>
  <c r="M8" i="13" a="1"/>
  <c r="M8" i="13" s="1"/>
  <c r="M9" i="13" a="1"/>
  <c r="M9" i="13" s="1"/>
  <c r="M10" i="13" a="1"/>
  <c r="M10" i="13" s="1"/>
  <c r="M11" i="13" a="1"/>
  <c r="M11" i="13" s="1"/>
  <c r="M12" i="13" a="1"/>
  <c r="M12" i="13" s="1"/>
  <c r="M13" i="13" a="1"/>
  <c r="M13" i="13" s="1"/>
  <c r="M23" i="13" a="1"/>
  <c r="M23" i="13" s="1"/>
  <c r="M24" i="13" a="1"/>
  <c r="M24" i="13" s="1"/>
  <c r="M25" i="13" a="1"/>
  <c r="M25" i="13" s="1"/>
  <c r="M26" i="13" a="1"/>
  <c r="M26" i="13" s="1"/>
  <c r="M27" i="13" a="1"/>
  <c r="M27" i="13" s="1"/>
  <c r="M28" i="13" a="1"/>
  <c r="M28" i="13" s="1"/>
  <c r="M29" i="13" a="1"/>
  <c r="M29" i="13" s="1"/>
  <c r="M30" i="13" a="1"/>
  <c r="M30" i="13" s="1"/>
  <c r="M31" i="13" a="1"/>
  <c r="M31" i="13" s="1"/>
  <c r="M41" i="13" a="1"/>
  <c r="M41" i="13" s="1"/>
  <c r="M42" i="13" a="1"/>
  <c r="M42" i="13" s="1"/>
  <c r="M43" i="13" a="1"/>
  <c r="M43" i="13" s="1"/>
  <c r="M44" i="13" a="1"/>
  <c r="M44" i="13" s="1"/>
  <c r="M45" i="13" a="1"/>
  <c r="M45" i="13" s="1"/>
  <c r="M46" i="13" a="1"/>
  <c r="M46" i="13" s="1"/>
  <c r="M47" i="13" a="1"/>
  <c r="M47" i="13" s="1"/>
  <c r="M48" i="13" a="1"/>
  <c r="M48" i="13" s="1"/>
  <c r="M49" i="13" a="1"/>
  <c r="M49" i="13" s="1"/>
  <c r="M77" i="13" a="1"/>
  <c r="M77" i="13" s="1"/>
  <c r="M78" i="13" a="1"/>
  <c r="M78" i="13" s="1"/>
  <c r="M79" i="13" a="1"/>
  <c r="M79" i="13" s="1"/>
  <c r="M80" i="13" a="1"/>
  <c r="M80" i="13" s="1"/>
  <c r="M81" i="13" a="1"/>
  <c r="M81" i="13" s="1"/>
  <c r="M82" i="13" a="1"/>
  <c r="M82" i="13" s="1"/>
  <c r="M83" i="13" a="1"/>
  <c r="M83" i="13" s="1"/>
  <c r="M84" i="13" a="1"/>
  <c r="M84" i="13" s="1"/>
  <c r="M85" i="13" a="1"/>
  <c r="M85" i="13" s="1"/>
  <c r="J8" i="15"/>
  <c r="J6" i="15"/>
  <c r="J4" i="15"/>
  <c r="F8" i="15"/>
  <c r="F6" i="15"/>
  <c r="F4" i="15"/>
  <c r="B8" i="15"/>
  <c r="B6" i="15"/>
  <c r="B4" i="15"/>
  <c r="M8" i="15" a="1"/>
  <c r="M8" i="15" s="1"/>
  <c r="M6" i="15" a="1"/>
  <c r="M6" i="15" s="1"/>
  <c r="M4" i="15" a="1"/>
  <c r="M4" i="15" s="1"/>
  <c r="I8" i="15" a="1"/>
  <c r="I8" i="15" s="1"/>
  <c r="I6" i="15" a="1"/>
  <c r="I6" i="15" s="1"/>
  <c r="I4" i="15" a="1"/>
  <c r="I4" i="15" s="1"/>
  <c r="E8" i="15" a="1"/>
  <c r="E8" i="15" s="1"/>
  <c r="E6" i="15" a="1"/>
  <c r="E6" i="15" s="1"/>
  <c r="E4" i="15" a="1"/>
  <c r="E4" i="15" s="1"/>
  <c r="H11" i="13" a="1"/>
  <c r="H11" i="13" s="1"/>
  <c r="H7" i="13" a="1"/>
  <c r="H7" i="13" s="1"/>
  <c r="H3" i="13" a="1"/>
  <c r="H3" i="13" s="1"/>
  <c r="A26" i="7"/>
  <c r="A25" i="7"/>
  <c r="A24" i="7"/>
  <c r="Z121" i="6" a="1"/>
  <c r="Z121" i="6"/>
  <c r="Z122" i="6" a="1"/>
  <c r="Z122" i="6"/>
  <c r="Z3" i="6" a="1"/>
  <c r="Z3" i="6"/>
  <c r="Z4" i="6" a="1"/>
  <c r="Z4" i="6"/>
  <c r="Z5" i="6" a="1"/>
  <c r="Z5" i="6"/>
  <c r="Z6" i="6" a="1"/>
  <c r="Z6" i="6"/>
  <c r="Z7" i="6" a="1"/>
  <c r="Z7" i="6"/>
  <c r="Z8" i="6" a="1"/>
  <c r="Z8" i="6"/>
  <c r="Z9" i="6" a="1"/>
  <c r="Z9" i="6"/>
  <c r="Z10" i="6" a="1"/>
  <c r="Z10" i="6"/>
  <c r="Z11" i="6" a="1"/>
  <c r="Z11" i="6"/>
  <c r="Z12" i="6" a="1"/>
  <c r="Z12" i="6"/>
  <c r="Z13" i="6" a="1"/>
  <c r="Z13" i="6"/>
  <c r="Z14" i="6" a="1"/>
  <c r="Z14" i="6"/>
  <c r="Z15" i="6" a="1"/>
  <c r="Z15" i="6"/>
  <c r="Z16" i="6" a="1"/>
  <c r="Z16" i="6"/>
  <c r="Z17" i="6" a="1"/>
  <c r="Z17" i="6"/>
  <c r="Z18" i="6" a="1"/>
  <c r="Z18" i="6"/>
  <c r="Z19" i="6" a="1"/>
  <c r="Z19" i="6"/>
  <c r="Z20" i="6" a="1"/>
  <c r="Z20" i="6"/>
  <c r="Z21" i="6" a="1"/>
  <c r="Z21" i="6"/>
  <c r="Z22" i="6" a="1"/>
  <c r="Z22" i="6"/>
  <c r="Z23" i="6" a="1"/>
  <c r="Z23" i="6"/>
  <c r="Z24" i="6" a="1"/>
  <c r="Z24" i="6"/>
  <c r="Z25" i="6" a="1"/>
  <c r="Z25" i="6"/>
  <c r="Z26" i="6" a="1"/>
  <c r="Z26" i="6"/>
  <c r="Z27" i="6" a="1"/>
  <c r="Z27" i="6"/>
  <c r="Z28" i="6" a="1"/>
  <c r="Z28" i="6"/>
  <c r="Z29" i="6" a="1"/>
  <c r="Z29" i="6"/>
  <c r="Z30" i="6" a="1"/>
  <c r="Z30" i="6"/>
  <c r="Z31" i="6" a="1"/>
  <c r="Z31" i="6"/>
  <c r="Z32" i="6" a="1"/>
  <c r="Z32" i="6"/>
  <c r="Z33" i="6" a="1"/>
  <c r="Z33" i="6"/>
  <c r="Z34" i="6" a="1"/>
  <c r="Z34" i="6"/>
  <c r="Z35" i="6" a="1"/>
  <c r="Z35" i="6"/>
  <c r="Z36" i="6" a="1"/>
  <c r="Z36" i="6"/>
  <c r="Z37" i="6" a="1"/>
  <c r="Z37" i="6"/>
  <c r="Z38" i="6" a="1"/>
  <c r="Z38" i="6"/>
  <c r="Z39" i="6" a="1"/>
  <c r="Z39" i="6"/>
  <c r="Z40" i="6" a="1"/>
  <c r="Z40" i="6"/>
  <c r="Z41" i="6" a="1"/>
  <c r="Z41" i="6"/>
  <c r="Z42" i="6" a="1"/>
  <c r="Z42" i="6"/>
  <c r="Z43" i="6" a="1"/>
  <c r="Z43" i="6"/>
  <c r="Z44" i="6" a="1"/>
  <c r="Z44" i="6"/>
  <c r="Z45" i="6" a="1"/>
  <c r="Z45" i="6"/>
  <c r="Z46" i="6" a="1"/>
  <c r="Z46" i="6"/>
  <c r="Z47" i="6" a="1"/>
  <c r="Z47" i="6"/>
  <c r="Z48" i="6" a="1"/>
  <c r="Z48" i="6"/>
  <c r="Z49" i="6" a="1"/>
  <c r="Z49" i="6"/>
  <c r="Z50" i="6" a="1"/>
  <c r="Z50" i="6"/>
  <c r="Z51" i="6" a="1"/>
  <c r="Z51" i="6"/>
  <c r="Z52" i="6" a="1"/>
  <c r="Z52" i="6"/>
  <c r="Z53" i="6" a="1"/>
  <c r="Z53" i="6"/>
  <c r="Z54" i="6" a="1"/>
  <c r="Z54" i="6"/>
  <c r="Z55" i="6" a="1"/>
  <c r="Z55" i="6"/>
  <c r="Z56" i="6" a="1"/>
  <c r="Z56" i="6"/>
  <c r="Z57" i="6" a="1"/>
  <c r="Z57" i="6"/>
  <c r="Z58" i="6" a="1"/>
  <c r="Z58" i="6"/>
  <c r="Z59" i="6" a="1"/>
  <c r="Z59" i="6"/>
  <c r="Z60" i="6" a="1"/>
  <c r="Z60" i="6"/>
  <c r="Z61" i="6" a="1"/>
  <c r="Z61" i="6"/>
  <c r="Z62" i="6" a="1"/>
  <c r="Z62" i="6"/>
  <c r="Z63" i="6" a="1"/>
  <c r="Z63" i="6"/>
  <c r="Z64" i="6" a="1"/>
  <c r="Z64" i="6"/>
  <c r="Z65" i="6" a="1"/>
  <c r="Z65" i="6"/>
  <c r="Z66" i="6" a="1"/>
  <c r="Z66" i="6"/>
  <c r="Z67" i="6" a="1"/>
  <c r="Z67" i="6"/>
  <c r="Z68" i="6" a="1"/>
  <c r="Z68" i="6"/>
  <c r="Z69" i="6" a="1"/>
  <c r="Z69" i="6"/>
  <c r="Z70" i="6" a="1"/>
  <c r="Z70" i="6"/>
  <c r="Z71" i="6" a="1"/>
  <c r="Z71" i="6"/>
  <c r="Z72" i="6" a="1"/>
  <c r="Z72" i="6"/>
  <c r="Z73" i="6" a="1"/>
  <c r="Z73" i="6"/>
  <c r="Z74" i="6" a="1"/>
  <c r="Z74" i="6"/>
  <c r="Z75" i="6" a="1"/>
  <c r="Z75" i="6"/>
  <c r="Z76" i="6" a="1"/>
  <c r="Z76" i="6"/>
  <c r="Z77" i="6" a="1"/>
  <c r="Z77" i="6"/>
  <c r="Z78" i="6" a="1"/>
  <c r="Z78" i="6"/>
  <c r="Z79" i="6" a="1"/>
  <c r="Z79" i="6"/>
  <c r="Z80" i="6" a="1"/>
  <c r="Z80" i="6"/>
  <c r="Z81" i="6" a="1"/>
  <c r="Z81" i="6"/>
  <c r="Z82" i="6" a="1"/>
  <c r="Z82" i="6"/>
  <c r="Z83" i="6" a="1"/>
  <c r="Z83" i="6"/>
  <c r="Z84" i="6" a="1"/>
  <c r="Z84" i="6"/>
  <c r="Z85" i="6" a="1"/>
  <c r="Z85" i="6"/>
  <c r="Z86" i="6" a="1"/>
  <c r="Z86" i="6"/>
  <c r="Z87" i="6" a="1"/>
  <c r="Z87" i="6"/>
  <c r="Z88" i="6" a="1"/>
  <c r="Z88" i="6"/>
  <c r="Z89" i="6" a="1"/>
  <c r="Z89" i="6"/>
  <c r="Z90" i="6" a="1"/>
  <c r="Z90" i="6"/>
  <c r="Z91" i="6" a="1"/>
  <c r="Z91" i="6"/>
  <c r="Z92" i="6" a="1"/>
  <c r="Z92" i="6"/>
  <c r="Z93" i="6" a="1"/>
  <c r="Z93" i="6"/>
  <c r="Z94" i="6" a="1"/>
  <c r="Z94" i="6"/>
  <c r="Z95" i="6" a="1"/>
  <c r="Z95" i="6"/>
  <c r="Z96" i="6" a="1"/>
  <c r="Z96" i="6"/>
  <c r="Z97" i="6" a="1"/>
  <c r="Z97" i="6"/>
  <c r="Z98" i="6" a="1"/>
  <c r="Z98" i="6"/>
  <c r="Z99" i="6" a="1"/>
  <c r="Z99" i="6"/>
  <c r="Z100" i="6" a="1"/>
  <c r="Z100" i="6"/>
  <c r="Z101" i="6" a="1"/>
  <c r="Z101" i="6"/>
  <c r="Z102" i="6" a="1"/>
  <c r="Z102" i="6"/>
  <c r="Z103" i="6" a="1"/>
  <c r="Z103" i="6"/>
  <c r="Z104" i="6" a="1"/>
  <c r="Z104" i="6"/>
  <c r="Z105" i="6" a="1"/>
  <c r="Z105" i="6"/>
  <c r="Z106" i="6" a="1"/>
  <c r="Z106" i="6"/>
  <c r="Z107" i="6" a="1"/>
  <c r="Z107" i="6"/>
  <c r="Z108" i="6" a="1"/>
  <c r="Z108" i="6"/>
  <c r="Z109" i="6" a="1"/>
  <c r="Z109" i="6"/>
  <c r="Z110" i="6" a="1"/>
  <c r="Z110" i="6"/>
  <c r="Z111" i="6" a="1"/>
  <c r="Z111" i="6"/>
  <c r="Z112" i="6" a="1"/>
  <c r="Z112" i="6"/>
  <c r="Z113" i="6" a="1"/>
  <c r="Z113" i="6"/>
  <c r="Z114" i="6" a="1"/>
  <c r="Z114" i="6"/>
  <c r="Z115" i="6" a="1"/>
  <c r="Z115" i="6"/>
  <c r="Z116" i="6" a="1"/>
  <c r="Z116" i="6"/>
  <c r="Z117" i="6" a="1"/>
  <c r="Z117" i="6"/>
  <c r="Z118" i="6" a="1"/>
  <c r="Z118" i="6"/>
  <c r="Z119" i="6" a="1"/>
  <c r="Z119" i="6"/>
  <c r="Z120" i="6" a="1"/>
  <c r="Z120" i="6"/>
  <c r="B1" i="15"/>
  <c r="H4" i="4" a="1"/>
  <c r="H4" i="4" s="1"/>
  <c r="H3" i="4" a="1"/>
  <c r="H3" i="4" s="1"/>
  <c r="H2" i="4" a="1"/>
  <c r="H2" i="4" s="1"/>
  <c r="E4" i="4"/>
  <c r="E5" i="4"/>
  <c r="E6" i="4"/>
  <c r="E7" i="4"/>
  <c r="E8" i="4"/>
  <c r="E9" i="4"/>
  <c r="E10" i="4"/>
  <c r="E11" i="4"/>
  <c r="E12" i="4"/>
  <c r="E13" i="4"/>
  <c r="E14" i="4"/>
  <c r="E15" i="4"/>
  <c r="E16" i="4"/>
  <c r="E3" i="4"/>
  <c r="M13" i="7"/>
  <c r="O13" i="7" s="1" a="1"/>
  <c r="O13" i="7" s="1"/>
  <c r="M15" i="7"/>
  <c r="M14" i="7"/>
  <c r="F3" i="12"/>
  <c r="O130" i="14"/>
  <c r="O129" i="14"/>
  <c r="O128" i="14"/>
  <c r="G10" i="16"/>
  <c r="H10" i="16"/>
  <c r="I10" i="16"/>
  <c r="J10" i="16"/>
  <c r="K10" i="16"/>
  <c r="L10" i="16"/>
  <c r="M10" i="16"/>
  <c r="N10" i="16"/>
  <c r="F10" i="16"/>
  <c r="K3" i="2" a="1"/>
  <c r="K3" i="2"/>
  <c r="C4" i="16" a="1"/>
  <c r="C4" i="16"/>
  <c r="D4" i="16" a="1"/>
  <c r="D4" i="16"/>
  <c r="E4" i="16" a="1"/>
  <c r="E4" i="16"/>
  <c r="C5" i="16" a="1"/>
  <c r="C5" i="16"/>
  <c r="D5" i="16" a="1"/>
  <c r="D5" i="16"/>
  <c r="E5" i="16" a="1"/>
  <c r="E5" i="16"/>
  <c r="C6" i="16" a="1"/>
  <c r="C6" i="16"/>
  <c r="D6" i="16" a="1"/>
  <c r="D6" i="16"/>
  <c r="E6" i="16" a="1"/>
  <c r="E6" i="16"/>
  <c r="C7" i="16" a="1"/>
  <c r="C7" i="16"/>
  <c r="D7" i="16" a="1"/>
  <c r="D7" i="16"/>
  <c r="E7" i="16" a="1"/>
  <c r="E7" i="16"/>
  <c r="C8" i="16" a="1"/>
  <c r="C8" i="16"/>
  <c r="D8" i="16" a="1"/>
  <c r="D8" i="16"/>
  <c r="E8" i="16" a="1"/>
  <c r="E8" i="16"/>
  <c r="C9" i="16" a="1"/>
  <c r="C9" i="16"/>
  <c r="D9" i="16" a="1"/>
  <c r="D9" i="16"/>
  <c r="E9" i="16" a="1"/>
  <c r="E9" i="16"/>
  <c r="C11" i="16" a="1"/>
  <c r="C11" i="16"/>
  <c r="D11" i="16" a="1"/>
  <c r="D11" i="16"/>
  <c r="E11" i="16" a="1"/>
  <c r="E11" i="16"/>
  <c r="C12" i="16" a="1"/>
  <c r="C12" i="16"/>
  <c r="D12" i="16" a="1"/>
  <c r="D12" i="16"/>
  <c r="E12" i="16" a="1"/>
  <c r="E12" i="16"/>
  <c r="C13" i="16" a="1"/>
  <c r="C13" i="16"/>
  <c r="D13" i="16" a="1"/>
  <c r="D13" i="16"/>
  <c r="E13" i="16" a="1"/>
  <c r="E13" i="16"/>
  <c r="C14" i="16" a="1"/>
  <c r="C14" i="16"/>
  <c r="D14" i="16" a="1"/>
  <c r="D14" i="16"/>
  <c r="E14" i="16" a="1"/>
  <c r="E14" i="16"/>
  <c r="C15" i="16" a="1"/>
  <c r="C15" i="16"/>
  <c r="D15" i="16" a="1"/>
  <c r="D15" i="16"/>
  <c r="E15" i="16" a="1"/>
  <c r="E15" i="16"/>
  <c r="C16" i="16" a="1"/>
  <c r="C16" i="16"/>
  <c r="D16" i="16" a="1"/>
  <c r="D16" i="16"/>
  <c r="E16" i="16" a="1"/>
  <c r="E16" i="16"/>
  <c r="C17" i="16" a="1"/>
  <c r="C17" i="16"/>
  <c r="D17" i="16" a="1"/>
  <c r="D17" i="16"/>
  <c r="E17" i="16" a="1"/>
  <c r="E17" i="16"/>
  <c r="C18" i="16" a="1"/>
  <c r="C18" i="16"/>
  <c r="D18" i="16" a="1"/>
  <c r="D18" i="16"/>
  <c r="E18" i="16" a="1"/>
  <c r="E18" i="16"/>
  <c r="C19" i="16" a="1"/>
  <c r="C19" i="16"/>
  <c r="D19" i="16" a="1"/>
  <c r="D19" i="16"/>
  <c r="E19" i="16" a="1"/>
  <c r="E19" i="16"/>
  <c r="C20" i="16" a="1"/>
  <c r="C20" i="16"/>
  <c r="D20" i="16" a="1"/>
  <c r="D20" i="16"/>
  <c r="E20" i="16" a="1"/>
  <c r="E20" i="16"/>
  <c r="C21" i="16" a="1"/>
  <c r="C21" i="16"/>
  <c r="D21" i="16" a="1"/>
  <c r="D21" i="16"/>
  <c r="E21" i="16" a="1"/>
  <c r="E21" i="16"/>
  <c r="C22" i="16" a="1"/>
  <c r="C22" i="16"/>
  <c r="D22" i="16" a="1"/>
  <c r="D22" i="16"/>
  <c r="E22" i="16" a="1"/>
  <c r="E22" i="16"/>
  <c r="C23" i="16" a="1"/>
  <c r="C23" i="16"/>
  <c r="D23" i="16" a="1"/>
  <c r="D23" i="16"/>
  <c r="E23" i="16" a="1"/>
  <c r="E23" i="16"/>
  <c r="C24" i="16" a="1"/>
  <c r="C24" i="16"/>
  <c r="D24" i="16" a="1"/>
  <c r="D24" i="16"/>
  <c r="E24" i="16" a="1"/>
  <c r="E24" i="16"/>
  <c r="C25" i="16" a="1"/>
  <c r="C25" i="16"/>
  <c r="D25" i="16" a="1"/>
  <c r="D25" i="16"/>
  <c r="E25" i="16" a="1"/>
  <c r="E25" i="16"/>
  <c r="C26" i="16" a="1"/>
  <c r="C26" i="16"/>
  <c r="D26" i="16" a="1"/>
  <c r="D26" i="16"/>
  <c r="E26" i="16" a="1"/>
  <c r="E26" i="16"/>
  <c r="C27" i="16" a="1"/>
  <c r="C27" i="16"/>
  <c r="D27" i="16" a="1"/>
  <c r="D27" i="16"/>
  <c r="E27" i="16" a="1"/>
  <c r="E27" i="16"/>
  <c r="C3" i="16" a="1"/>
  <c r="C3" i="16"/>
  <c r="D3" i="16" a="1"/>
  <c r="D3" i="16"/>
  <c r="E3" i="16" a="1"/>
  <c r="E3" i="16"/>
  <c r="B4" i="16" a="1"/>
  <c r="B4" i="16"/>
  <c r="B5" i="16" a="1"/>
  <c r="B5" i="16"/>
  <c r="B6" i="16" a="1"/>
  <c r="B6" i="16"/>
  <c r="B7" i="16" a="1"/>
  <c r="B7" i="16"/>
  <c r="B8" i="16" a="1"/>
  <c r="B8" i="16"/>
  <c r="B9" i="16" a="1"/>
  <c r="B9" i="16"/>
  <c r="B10" i="16" a="1"/>
  <c r="B10" i="16"/>
  <c r="B11" i="16" a="1"/>
  <c r="B11" i="16"/>
  <c r="B12" i="16" a="1"/>
  <c r="B12" i="16"/>
  <c r="B13" i="16" a="1"/>
  <c r="B13" i="16"/>
  <c r="B14" i="16" a="1"/>
  <c r="B14" i="16"/>
  <c r="B15" i="16" a="1"/>
  <c r="B15" i="16"/>
  <c r="B16" i="16" a="1"/>
  <c r="B16" i="16"/>
  <c r="B17" i="16" a="1"/>
  <c r="B17" i="16"/>
  <c r="B18" i="16" a="1"/>
  <c r="B18" i="16"/>
  <c r="B19" i="16" a="1"/>
  <c r="B19" i="16"/>
  <c r="B20" i="16" a="1"/>
  <c r="B20" i="16"/>
  <c r="B21" i="16" a="1"/>
  <c r="B21" i="16"/>
  <c r="B22" i="16" a="1"/>
  <c r="B22" i="16"/>
  <c r="B23" i="16" a="1"/>
  <c r="B23" i="16"/>
  <c r="B24" i="16" a="1"/>
  <c r="B24" i="16"/>
  <c r="B25" i="16" a="1"/>
  <c r="B25" i="16"/>
  <c r="B26" i="16" a="1"/>
  <c r="B26" i="16"/>
  <c r="B27" i="16" a="1"/>
  <c r="B27" i="16"/>
  <c r="B3" i="16" a="1"/>
  <c r="B3" i="16"/>
  <c r="A4" i="16"/>
  <c r="A5" i="16"/>
  <c r="A6" i="16"/>
  <c r="A7" i="16"/>
  <c r="A8" i="16"/>
  <c r="A9" i="16"/>
  <c r="A10" i="16"/>
  <c r="A11" i="16"/>
  <c r="A12" i="16"/>
  <c r="A13" i="16"/>
  <c r="A14" i="16"/>
  <c r="A15" i="16"/>
  <c r="A16" i="16"/>
  <c r="A17" i="16"/>
  <c r="A18" i="16"/>
  <c r="A19" i="16"/>
  <c r="A20" i="16"/>
  <c r="A21" i="16"/>
  <c r="A22" i="16"/>
  <c r="A23" i="16"/>
  <c r="A24" i="16"/>
  <c r="A25" i="16"/>
  <c r="A26" i="16"/>
  <c r="A27" i="16"/>
  <c r="A3" i="16"/>
  <c r="K111" i="2"/>
  <c r="K23" i="2" a="1"/>
  <c r="K23" i="2"/>
  <c r="L608" i="2" a="1"/>
  <c r="L608" i="2"/>
  <c r="M608" i="2" a="1"/>
  <c r="M608" i="2"/>
  <c r="N608" i="2" a="1"/>
  <c r="N608" i="2"/>
  <c r="O608" i="2" a="1"/>
  <c r="O608" i="2"/>
  <c r="P608" i="2" a="1"/>
  <c r="P608" i="2"/>
  <c r="Q608" i="2" a="1"/>
  <c r="Q608" i="2"/>
  <c r="R608" i="2" a="1"/>
  <c r="R608" i="2"/>
  <c r="S608" i="2" a="1"/>
  <c r="S608" i="2"/>
  <c r="L607" i="2" a="1"/>
  <c r="L607" i="2"/>
  <c r="M607" i="2" a="1"/>
  <c r="M607" i="2"/>
  <c r="N607" i="2" a="1"/>
  <c r="N607" i="2"/>
  <c r="O607" i="2" a="1"/>
  <c r="O607" i="2"/>
  <c r="P607" i="2" a="1"/>
  <c r="P607" i="2"/>
  <c r="Q607" i="2" a="1"/>
  <c r="Q607" i="2"/>
  <c r="R607" i="2" a="1"/>
  <c r="R607" i="2"/>
  <c r="S607" i="2" a="1"/>
  <c r="S607" i="2"/>
  <c r="L606" i="2" a="1"/>
  <c r="L606" i="2"/>
  <c r="M606" i="2" a="1"/>
  <c r="M606" i="2"/>
  <c r="N606" i="2" a="1"/>
  <c r="N606" i="2"/>
  <c r="O606" i="2" a="1"/>
  <c r="O606" i="2"/>
  <c r="P606" i="2" a="1"/>
  <c r="P606" i="2"/>
  <c r="Q606" i="2" a="1"/>
  <c r="Q606" i="2"/>
  <c r="R606" i="2" a="1"/>
  <c r="R606" i="2"/>
  <c r="S606" i="2" a="1"/>
  <c r="S606" i="2"/>
  <c r="K607" i="2" a="1"/>
  <c r="K607" i="2"/>
  <c r="K608" i="2" a="1"/>
  <c r="K608" i="2"/>
  <c r="K606" i="2" a="1"/>
  <c r="K606" i="2"/>
  <c r="L605" i="2" a="1"/>
  <c r="L605" i="2"/>
  <c r="M605" i="2" a="1"/>
  <c r="M605" i="2"/>
  <c r="N605" i="2" a="1"/>
  <c r="N605" i="2"/>
  <c r="O605" i="2" a="1"/>
  <c r="O605" i="2"/>
  <c r="P605" i="2" a="1"/>
  <c r="P605" i="2"/>
  <c r="Q605" i="2" a="1"/>
  <c r="Q605" i="2"/>
  <c r="R605" i="2" a="1"/>
  <c r="R605" i="2"/>
  <c r="S605" i="2" a="1"/>
  <c r="S605" i="2"/>
  <c r="L604" i="2" a="1"/>
  <c r="L604" i="2"/>
  <c r="M604" i="2" a="1"/>
  <c r="M604" i="2"/>
  <c r="N604" i="2" a="1"/>
  <c r="N604" i="2"/>
  <c r="O604" i="2" a="1"/>
  <c r="O604" i="2"/>
  <c r="P604" i="2" a="1"/>
  <c r="P604" i="2"/>
  <c r="Q604" i="2" a="1"/>
  <c r="Q604" i="2"/>
  <c r="R604" i="2" a="1"/>
  <c r="R604" i="2"/>
  <c r="S604" i="2" a="1"/>
  <c r="S604" i="2"/>
  <c r="L603" i="2" a="1"/>
  <c r="L603" i="2"/>
  <c r="M603" i="2" a="1"/>
  <c r="M603" i="2"/>
  <c r="N603" i="2" a="1"/>
  <c r="N603" i="2"/>
  <c r="O603" i="2" a="1"/>
  <c r="O603" i="2"/>
  <c r="P603" i="2" a="1"/>
  <c r="P603" i="2"/>
  <c r="Q603" i="2" a="1"/>
  <c r="Q603" i="2"/>
  <c r="R603" i="2" a="1"/>
  <c r="R603" i="2"/>
  <c r="S603" i="2" a="1"/>
  <c r="S603" i="2"/>
  <c r="K603" i="2" a="1"/>
  <c r="K603" i="2"/>
  <c r="K604" i="2" a="1"/>
  <c r="K604" i="2"/>
  <c r="K605" i="2" a="1"/>
  <c r="K605" i="2"/>
  <c r="K589" i="2" a="1"/>
  <c r="K589" i="2"/>
  <c r="K600" i="2" a="1"/>
  <c r="K600" i="2"/>
  <c r="K602" i="2" a="1"/>
  <c r="K602" i="2"/>
  <c r="K601" i="2" a="1"/>
  <c r="K601" i="2"/>
  <c r="H608" i="2"/>
  <c r="H607" i="2"/>
  <c r="H606" i="2"/>
  <c r="H604" i="2"/>
  <c r="H605" i="2"/>
  <c r="H603" i="2"/>
  <c r="H203" i="2"/>
  <c r="H204" i="2"/>
  <c r="H205" i="2"/>
  <c r="H599" i="2"/>
  <c r="H600" i="2"/>
  <c r="H601" i="2"/>
  <c r="H131" i="2"/>
  <c r="H132" i="2"/>
  <c r="H133" i="2"/>
  <c r="H59" i="2"/>
  <c r="H60" i="2"/>
  <c r="H61" i="2"/>
  <c r="H407" i="2"/>
  <c r="H408" i="2"/>
  <c r="H409" i="2"/>
  <c r="H23" i="2"/>
  <c r="H24" i="2"/>
  <c r="H25" i="2"/>
  <c r="H35" i="2"/>
  <c r="H36" i="2"/>
  <c r="H37" i="2"/>
  <c r="H575" i="2"/>
  <c r="H576" i="2"/>
  <c r="H577" i="2"/>
  <c r="H515" i="2"/>
  <c r="H516" i="2"/>
  <c r="H517" i="2"/>
  <c r="K167" i="2" a="1"/>
  <c r="K167" i="2"/>
  <c r="L167" i="2" a="1"/>
  <c r="L167" i="2"/>
  <c r="M167" i="2" a="1"/>
  <c r="M167" i="2"/>
  <c r="N167" i="2" a="1"/>
  <c r="N167" i="2"/>
  <c r="O167" i="2" a="1"/>
  <c r="O167" i="2"/>
  <c r="P167" i="2" a="1"/>
  <c r="P167" i="2"/>
  <c r="Q167" i="2" a="1"/>
  <c r="Q167" i="2"/>
  <c r="R167" i="2" a="1"/>
  <c r="R167" i="2"/>
  <c r="S167" i="2" a="1"/>
  <c r="S167" i="2"/>
  <c r="H215" i="2"/>
  <c r="H216" i="2"/>
  <c r="H217" i="2"/>
  <c r="K267" i="2" a="1"/>
  <c r="K267" i="2"/>
  <c r="L267" i="2" a="1"/>
  <c r="L267" i="2"/>
  <c r="M267" i="2" a="1"/>
  <c r="M267" i="2"/>
  <c r="N267" i="2" a="1"/>
  <c r="N267" i="2"/>
  <c r="O267" i="2" a="1"/>
  <c r="O267" i="2"/>
  <c r="P267" i="2" a="1"/>
  <c r="P267" i="2"/>
  <c r="Q267" i="2" a="1"/>
  <c r="Q267" i="2"/>
  <c r="R267" i="2" a="1"/>
  <c r="R267" i="2"/>
  <c r="S267" i="2" a="1"/>
  <c r="S267" i="2"/>
  <c r="K367" i="2" a="1"/>
  <c r="K367" i="2"/>
  <c r="L367" i="2" a="1"/>
  <c r="L367" i="2"/>
  <c r="M367" i="2" a="1"/>
  <c r="M367" i="2"/>
  <c r="N367" i="2" a="1"/>
  <c r="N367" i="2"/>
  <c r="O367" i="2" a="1"/>
  <c r="O367" i="2"/>
  <c r="P367" i="2" a="1"/>
  <c r="P367" i="2"/>
  <c r="Q367" i="2" a="1"/>
  <c r="Q367" i="2"/>
  <c r="R367" i="2" a="1"/>
  <c r="R367" i="2"/>
  <c r="S367" i="2" a="1"/>
  <c r="S367" i="2"/>
  <c r="K467" i="2" a="1"/>
  <c r="K467" i="2"/>
  <c r="L467" i="2" a="1"/>
  <c r="L467" i="2"/>
  <c r="M467" i="2" a="1"/>
  <c r="M467" i="2"/>
  <c r="N467" i="2" a="1"/>
  <c r="N467" i="2"/>
  <c r="O467" i="2" a="1"/>
  <c r="O467" i="2"/>
  <c r="P467" i="2" a="1"/>
  <c r="P467" i="2"/>
  <c r="Q467" i="2" a="1"/>
  <c r="Q467" i="2"/>
  <c r="R467" i="2" a="1"/>
  <c r="R467" i="2"/>
  <c r="S467" i="2" a="1"/>
  <c r="S467" i="2"/>
  <c r="K567" i="2" a="1"/>
  <c r="K567" i="2"/>
  <c r="L567" i="2" a="1"/>
  <c r="L567" i="2"/>
  <c r="M567" i="2" a="1"/>
  <c r="M567" i="2"/>
  <c r="N567" i="2" a="1"/>
  <c r="N567" i="2"/>
  <c r="O567" i="2" a="1"/>
  <c r="O567" i="2"/>
  <c r="P567" i="2" a="1"/>
  <c r="P567" i="2"/>
  <c r="Q567" i="2" a="1"/>
  <c r="Q567" i="2"/>
  <c r="R567" i="2" a="1"/>
  <c r="R567" i="2"/>
  <c r="S567" i="2" a="1"/>
  <c r="S567" i="2"/>
  <c r="K67" i="2" a="1"/>
  <c r="K67" i="2"/>
  <c r="L67" i="2" a="1"/>
  <c r="L67" i="2"/>
  <c r="M67" i="2" a="1"/>
  <c r="M67" i="2"/>
  <c r="N67" i="2" a="1"/>
  <c r="N67" i="2"/>
  <c r="O67" i="2" a="1"/>
  <c r="O67" i="2"/>
  <c r="P67" i="2" a="1"/>
  <c r="P67" i="2"/>
  <c r="Q67" i="2" a="1"/>
  <c r="Q67" i="2"/>
  <c r="R67" i="2" a="1"/>
  <c r="R67" i="2"/>
  <c r="S67" i="2" a="1"/>
  <c r="S67" i="2"/>
  <c r="H335" i="2"/>
  <c r="H336" i="2"/>
  <c r="H337" i="2"/>
  <c r="H551" i="2"/>
  <c r="H552" i="2"/>
  <c r="H553" i="2"/>
  <c r="H287" i="2"/>
  <c r="H288" i="2"/>
  <c r="H289" i="2"/>
  <c r="H311" i="2"/>
  <c r="H312" i="2"/>
  <c r="H313" i="2"/>
  <c r="H395" i="2"/>
  <c r="H396" i="2"/>
  <c r="H397" i="2"/>
  <c r="H95" i="2"/>
  <c r="H96" i="2"/>
  <c r="H97" i="2"/>
  <c r="H119" i="2"/>
  <c r="H120" i="2"/>
  <c r="H121" i="2"/>
  <c r="H479" i="2"/>
  <c r="H480" i="2"/>
  <c r="H481" i="2"/>
  <c r="H143" i="2"/>
  <c r="H144" i="2"/>
  <c r="H145" i="2"/>
  <c r="H563" i="2"/>
  <c r="H564" i="2"/>
  <c r="H565" i="2"/>
  <c r="H539" i="2"/>
  <c r="H540" i="2"/>
  <c r="H541" i="2"/>
  <c r="H431" i="2"/>
  <c r="H432" i="2"/>
  <c r="H433" i="2"/>
  <c r="H156" i="2"/>
  <c r="H157" i="2"/>
  <c r="H155" i="2"/>
  <c r="Z4" i="13" a="1"/>
  <c r="Z4" i="13" s="1"/>
  <c r="Z6" i="13" a="1"/>
  <c r="Z6" i="13" s="1"/>
  <c r="Z8" i="13" a="1"/>
  <c r="Z8" i="13" s="1"/>
  <c r="Z11" i="13" a="1"/>
  <c r="Z11" i="13" s="1"/>
  <c r="Z13" i="13" a="1"/>
  <c r="Z13" i="13" s="1"/>
  <c r="Z15" i="13" a="1"/>
  <c r="Z15" i="13" s="1"/>
  <c r="Z18" i="13" a="1"/>
  <c r="Z18" i="13" s="1"/>
  <c r="Z20" i="13" a="1"/>
  <c r="Z20" i="13" s="1"/>
  <c r="Z22" i="13" a="1"/>
  <c r="Z22" i="13" s="1"/>
  <c r="F31" i="13" a="1"/>
  <c r="F31" i="13" s="1"/>
  <c r="F33" i="13" a="1"/>
  <c r="F33" i="13" s="1"/>
  <c r="F35" i="13" a="1"/>
  <c r="F35" i="13" s="1"/>
  <c r="F25" i="13" a="1"/>
  <c r="F25" i="13" s="1"/>
  <c r="F27" i="13" a="1"/>
  <c r="F27" i="13" s="1"/>
  <c r="F29" i="13" a="1"/>
  <c r="F29" i="13" s="1"/>
  <c r="F23" i="13" a="1"/>
  <c r="F23" i="13" s="1"/>
  <c r="F21" i="13" a="1"/>
  <c r="F21" i="13" s="1"/>
  <c r="F19" i="13" a="1"/>
  <c r="F19" i="13" s="1"/>
  <c r="C35" i="13"/>
  <c r="C33" i="13"/>
  <c r="C31" i="13"/>
  <c r="C29" i="13"/>
  <c r="C27" i="13"/>
  <c r="C25" i="13"/>
  <c r="C23" i="13"/>
  <c r="C21" i="13"/>
  <c r="C19" i="13"/>
  <c r="F1" i="15"/>
  <c r="J1" i="15"/>
  <c r="E31" i="13" a="1"/>
  <c r="E31" i="13" s="1"/>
  <c r="T5" i="13" a="1"/>
  <c r="T5" i="13" s="1"/>
  <c r="E35" i="13" a="1"/>
  <c r="E35" i="13" s="1"/>
  <c r="E33" i="13" a="1"/>
  <c r="E33" i="13" s="1"/>
  <c r="E29" i="13" a="1"/>
  <c r="E29" i="13" s="1"/>
  <c r="E27" i="13" a="1"/>
  <c r="E27" i="13" s="1"/>
  <c r="E25" i="13" a="1"/>
  <c r="E25" i="13" s="1"/>
  <c r="E23" i="13" a="1"/>
  <c r="E23" i="13" s="1"/>
  <c r="E21" i="13" a="1"/>
  <c r="E21" i="13" s="1"/>
  <c r="E19" i="13" a="1"/>
  <c r="E19" i="13" s="1"/>
  <c r="Y18" i="13"/>
  <c r="Y20" i="13"/>
  <c r="Y22" i="13"/>
  <c r="Y11" i="13"/>
  <c r="Y13" i="13"/>
  <c r="Y15" i="13"/>
  <c r="Y8" i="13"/>
  <c r="Y6" i="13"/>
  <c r="Y4" i="13"/>
  <c r="V5" i="13" a="1"/>
  <c r="V5" i="13" s="1"/>
  <c r="R5" i="13" a="1"/>
  <c r="R5" i="13" s="1"/>
  <c r="A2" i="14"/>
  <c r="K208" i="11"/>
  <c r="K194" i="11"/>
  <c r="K193" i="11"/>
  <c r="K146" i="11"/>
  <c r="K57" i="11"/>
  <c r="K54" i="11"/>
  <c r="F1000" i="12"/>
  <c r="F999" i="12"/>
  <c r="F998" i="12"/>
  <c r="F997" i="12"/>
  <c r="F996" i="12"/>
  <c r="F995" i="12"/>
  <c r="F994" i="12"/>
  <c r="F993" i="12"/>
  <c r="F992" i="12"/>
  <c r="F991" i="12"/>
  <c r="F990" i="12"/>
  <c r="F989" i="12"/>
  <c r="F988" i="12"/>
  <c r="F987" i="12"/>
  <c r="F986" i="12"/>
  <c r="F985" i="12"/>
  <c r="F984" i="12"/>
  <c r="F983" i="12"/>
  <c r="F982" i="12"/>
  <c r="F981" i="12"/>
  <c r="F980" i="12"/>
  <c r="F979" i="12"/>
  <c r="F978" i="12"/>
  <c r="F977" i="12"/>
  <c r="F976" i="12"/>
  <c r="F975" i="12"/>
  <c r="F974" i="12"/>
  <c r="F973" i="12"/>
  <c r="F972" i="12"/>
  <c r="F971" i="12"/>
  <c r="F970" i="12"/>
  <c r="F969" i="12"/>
  <c r="F968" i="12"/>
  <c r="F967" i="12"/>
  <c r="F966" i="12"/>
  <c r="F965" i="12"/>
  <c r="F964" i="12"/>
  <c r="F963" i="12"/>
  <c r="F962" i="12"/>
  <c r="F961" i="12"/>
  <c r="F960" i="12"/>
  <c r="F959" i="12"/>
  <c r="F958" i="12"/>
  <c r="F957" i="12"/>
  <c r="F956" i="12"/>
  <c r="F955" i="12"/>
  <c r="F954" i="12"/>
  <c r="F953" i="12"/>
  <c r="F952" i="12"/>
  <c r="F951" i="12"/>
  <c r="F950" i="12"/>
  <c r="F949" i="12"/>
  <c r="F948" i="12"/>
  <c r="F947" i="12"/>
  <c r="F946" i="12"/>
  <c r="F945" i="12"/>
  <c r="F944" i="12"/>
  <c r="F943" i="12"/>
  <c r="F942" i="12"/>
  <c r="F941" i="12"/>
  <c r="F940" i="12"/>
  <c r="F939" i="12"/>
  <c r="F938" i="12"/>
  <c r="F937" i="12"/>
  <c r="F936" i="12"/>
  <c r="F935" i="12"/>
  <c r="F934" i="12"/>
  <c r="F933" i="12"/>
  <c r="F932" i="12"/>
  <c r="F931" i="12"/>
  <c r="F930" i="12"/>
  <c r="F929" i="12"/>
  <c r="F928" i="12"/>
  <c r="F927" i="12"/>
  <c r="F926" i="12"/>
  <c r="F925" i="12"/>
  <c r="F924" i="12"/>
  <c r="F923" i="12"/>
  <c r="F922" i="12"/>
  <c r="F921" i="12"/>
  <c r="F920" i="12"/>
  <c r="F919" i="12"/>
  <c r="F918" i="12"/>
  <c r="F917" i="12"/>
  <c r="F916" i="12"/>
  <c r="F915" i="12"/>
  <c r="F914" i="12"/>
  <c r="F913" i="12"/>
  <c r="F912" i="12"/>
  <c r="F911" i="12"/>
  <c r="F910" i="12"/>
  <c r="F909" i="12"/>
  <c r="F908" i="12"/>
  <c r="F907" i="12"/>
  <c r="F906" i="12"/>
  <c r="F905" i="12"/>
  <c r="F904" i="12"/>
  <c r="F903" i="12"/>
  <c r="F902" i="12"/>
  <c r="F901" i="12"/>
  <c r="F900" i="12"/>
  <c r="F899" i="12"/>
  <c r="F898" i="12"/>
  <c r="F897" i="12"/>
  <c r="F896" i="12"/>
  <c r="F895" i="12"/>
  <c r="F894" i="12"/>
  <c r="F893" i="12"/>
  <c r="F892" i="12"/>
  <c r="F891" i="12"/>
  <c r="F890" i="12"/>
  <c r="F889" i="12"/>
  <c r="F888" i="12"/>
  <c r="F887" i="12"/>
  <c r="F886" i="12"/>
  <c r="F885" i="12"/>
  <c r="F884" i="12"/>
  <c r="F883" i="12"/>
  <c r="F882" i="12"/>
  <c r="F881" i="12"/>
  <c r="F880" i="12"/>
  <c r="F879" i="12"/>
  <c r="F878" i="12"/>
  <c r="F877" i="12"/>
  <c r="F876" i="12"/>
  <c r="F875" i="12"/>
  <c r="F874" i="12"/>
  <c r="F873" i="12"/>
  <c r="F872" i="12"/>
  <c r="F871" i="12"/>
  <c r="F870" i="12"/>
  <c r="F869" i="12"/>
  <c r="F868" i="12"/>
  <c r="F867" i="12"/>
  <c r="F866" i="12"/>
  <c r="F865" i="12"/>
  <c r="F864" i="12"/>
  <c r="F863" i="12"/>
  <c r="F862" i="12"/>
  <c r="F861" i="12"/>
  <c r="F860" i="12"/>
  <c r="F859" i="12"/>
  <c r="F858" i="12"/>
  <c r="F857" i="12"/>
  <c r="F856" i="12"/>
  <c r="F855" i="12"/>
  <c r="F854" i="12"/>
  <c r="F853" i="12"/>
  <c r="F852" i="12"/>
  <c r="F851" i="12"/>
  <c r="F850" i="12"/>
  <c r="F849" i="12"/>
  <c r="F848" i="12"/>
  <c r="F847" i="12"/>
  <c r="F846" i="12"/>
  <c r="F845" i="12"/>
  <c r="F844" i="12"/>
  <c r="F843" i="12"/>
  <c r="F842" i="12"/>
  <c r="F841" i="12"/>
  <c r="F840" i="12"/>
  <c r="F839" i="12"/>
  <c r="F838" i="12"/>
  <c r="F837" i="12"/>
  <c r="F836" i="12"/>
  <c r="F835" i="12"/>
  <c r="F834" i="12"/>
  <c r="F833" i="12"/>
  <c r="F832" i="12"/>
  <c r="F831" i="12"/>
  <c r="F830" i="12"/>
  <c r="F829" i="12"/>
  <c r="F828" i="12"/>
  <c r="F827" i="12"/>
  <c r="F826" i="12"/>
  <c r="F825" i="12"/>
  <c r="F824" i="12"/>
  <c r="F823" i="12"/>
  <c r="F822" i="12"/>
  <c r="F821" i="12"/>
  <c r="F820" i="12"/>
  <c r="F819" i="12"/>
  <c r="F818" i="12"/>
  <c r="F817" i="12"/>
  <c r="F816" i="12"/>
  <c r="F815" i="12"/>
  <c r="F814" i="12"/>
  <c r="F813" i="12"/>
  <c r="F812" i="12"/>
  <c r="F811" i="12"/>
  <c r="F810" i="12"/>
  <c r="F809" i="12"/>
  <c r="F808" i="12"/>
  <c r="F807" i="12"/>
  <c r="F806" i="12"/>
  <c r="F805" i="12"/>
  <c r="F804" i="12"/>
  <c r="F803" i="12"/>
  <c r="F802" i="12"/>
  <c r="F801" i="12"/>
  <c r="F800" i="12"/>
  <c r="F799" i="12"/>
  <c r="F798" i="12"/>
  <c r="F797" i="12"/>
  <c r="F796" i="12"/>
  <c r="F795" i="12"/>
  <c r="F794" i="12"/>
  <c r="F793" i="12"/>
  <c r="F792" i="12"/>
  <c r="F791" i="12"/>
  <c r="F790" i="12"/>
  <c r="F789" i="12"/>
  <c r="F788" i="12"/>
  <c r="F787" i="12"/>
  <c r="F786" i="12"/>
  <c r="F785" i="12"/>
  <c r="F784" i="12"/>
  <c r="F783" i="12"/>
  <c r="F782" i="12"/>
  <c r="F781" i="12"/>
  <c r="F780" i="12"/>
  <c r="F779" i="12"/>
  <c r="F778" i="12"/>
  <c r="F777" i="12"/>
  <c r="F776" i="12"/>
  <c r="F775" i="12"/>
  <c r="F774" i="12"/>
  <c r="F773" i="12"/>
  <c r="F772" i="12"/>
  <c r="F771" i="12"/>
  <c r="F770" i="12"/>
  <c r="F769" i="12"/>
  <c r="F768" i="12"/>
  <c r="F767" i="12"/>
  <c r="F766" i="12"/>
  <c r="F765" i="12"/>
  <c r="F764" i="12"/>
  <c r="F763" i="12"/>
  <c r="F762" i="12"/>
  <c r="F761" i="12"/>
  <c r="F760" i="12"/>
  <c r="F759" i="12"/>
  <c r="F758" i="12"/>
  <c r="F757" i="12"/>
  <c r="F756" i="12"/>
  <c r="F755" i="12"/>
  <c r="F754" i="12"/>
  <c r="F753" i="12"/>
  <c r="F752" i="12"/>
  <c r="F751" i="12"/>
  <c r="F750" i="12"/>
  <c r="F749" i="12"/>
  <c r="F748" i="12"/>
  <c r="F747" i="12"/>
  <c r="F746" i="12"/>
  <c r="F745" i="12"/>
  <c r="F744" i="12"/>
  <c r="F743" i="12"/>
  <c r="F742" i="12"/>
  <c r="F741" i="12"/>
  <c r="F740" i="12"/>
  <c r="F739" i="12"/>
  <c r="F738" i="12"/>
  <c r="F737" i="12"/>
  <c r="F736" i="12"/>
  <c r="F735" i="12"/>
  <c r="F734" i="12"/>
  <c r="F733" i="12"/>
  <c r="F732" i="12"/>
  <c r="F731" i="12"/>
  <c r="F730" i="12"/>
  <c r="F729" i="12"/>
  <c r="F728" i="12"/>
  <c r="F727" i="12"/>
  <c r="F726" i="12"/>
  <c r="F725" i="12"/>
  <c r="F724" i="12"/>
  <c r="F723" i="12"/>
  <c r="F722" i="12"/>
  <c r="F721" i="12"/>
  <c r="F720" i="12"/>
  <c r="F719" i="12"/>
  <c r="F718" i="12"/>
  <c r="F717" i="12"/>
  <c r="F716" i="12"/>
  <c r="F715" i="12"/>
  <c r="F714" i="12"/>
  <c r="F713" i="12"/>
  <c r="F712" i="12"/>
  <c r="F711" i="12"/>
  <c r="F710" i="12"/>
  <c r="F709" i="12"/>
  <c r="F708" i="12"/>
  <c r="F707" i="12"/>
  <c r="F706" i="12"/>
  <c r="F705" i="12"/>
  <c r="F704" i="12"/>
  <c r="F703" i="12"/>
  <c r="F702" i="12"/>
  <c r="F701" i="12"/>
  <c r="F700" i="12"/>
  <c r="F699" i="12"/>
  <c r="F698" i="12"/>
  <c r="F697" i="12"/>
  <c r="F696" i="12"/>
  <c r="F695" i="12"/>
  <c r="F694" i="12"/>
  <c r="F693" i="12"/>
  <c r="F692" i="12"/>
  <c r="F691" i="12"/>
  <c r="F690" i="12"/>
  <c r="F689" i="12"/>
  <c r="F688" i="12"/>
  <c r="F687" i="12"/>
  <c r="F686" i="12"/>
  <c r="F685" i="12"/>
  <c r="F684" i="12"/>
  <c r="F683" i="12"/>
  <c r="F682" i="12"/>
  <c r="F681" i="12"/>
  <c r="F680" i="12"/>
  <c r="F679" i="12"/>
  <c r="F678" i="12"/>
  <c r="F677" i="12"/>
  <c r="F676" i="12"/>
  <c r="F675" i="12"/>
  <c r="F674" i="12"/>
  <c r="F673" i="12"/>
  <c r="F672" i="12"/>
  <c r="F671" i="12"/>
  <c r="F670" i="12"/>
  <c r="F669" i="12"/>
  <c r="F668" i="12"/>
  <c r="F667" i="12"/>
  <c r="F666" i="12"/>
  <c r="F665" i="12"/>
  <c r="F664" i="12"/>
  <c r="F663" i="12"/>
  <c r="F662" i="12"/>
  <c r="F661" i="12"/>
  <c r="F660" i="12"/>
  <c r="F659" i="12"/>
  <c r="F658" i="12"/>
  <c r="F657" i="12"/>
  <c r="F656" i="12"/>
  <c r="F655" i="12"/>
  <c r="F654" i="12"/>
  <c r="F653" i="12"/>
  <c r="F652" i="12"/>
  <c r="F651" i="12"/>
  <c r="F650" i="12"/>
  <c r="F649" i="12"/>
  <c r="F648" i="12"/>
  <c r="F647" i="12"/>
  <c r="F646" i="12"/>
  <c r="F645" i="12"/>
  <c r="F644" i="12"/>
  <c r="F643" i="12"/>
  <c r="F642" i="12"/>
  <c r="F641" i="12"/>
  <c r="F640" i="12"/>
  <c r="F639" i="12"/>
  <c r="F638" i="12"/>
  <c r="F637" i="12"/>
  <c r="F636" i="12"/>
  <c r="F635" i="12"/>
  <c r="F634" i="12"/>
  <c r="F633" i="12"/>
  <c r="F632" i="12"/>
  <c r="F631" i="12"/>
  <c r="F630" i="12"/>
  <c r="F629" i="12"/>
  <c r="F628" i="12"/>
  <c r="F627" i="12"/>
  <c r="F626" i="12"/>
  <c r="F625" i="12"/>
  <c r="F624" i="12"/>
  <c r="F623" i="12"/>
  <c r="F622" i="12"/>
  <c r="F621" i="12"/>
  <c r="F620" i="12"/>
  <c r="F619" i="12"/>
  <c r="F618" i="12"/>
  <c r="F617" i="12"/>
  <c r="F616" i="12"/>
  <c r="F615" i="12"/>
  <c r="F614" i="12"/>
  <c r="F613" i="12"/>
  <c r="F612" i="12"/>
  <c r="F611" i="12"/>
  <c r="F610" i="12"/>
  <c r="F609" i="12"/>
  <c r="F608" i="12"/>
  <c r="F607" i="12"/>
  <c r="F606" i="12"/>
  <c r="F605" i="12"/>
  <c r="F604" i="12"/>
  <c r="F603" i="12"/>
  <c r="F602" i="12"/>
  <c r="F601" i="12"/>
  <c r="F600" i="12"/>
  <c r="F599" i="12"/>
  <c r="F598" i="12"/>
  <c r="F597" i="12"/>
  <c r="F596" i="12"/>
  <c r="F595" i="12"/>
  <c r="F594" i="12"/>
  <c r="F593" i="12"/>
  <c r="F592" i="12"/>
  <c r="F591" i="12"/>
  <c r="F590" i="12"/>
  <c r="F589" i="12"/>
  <c r="F588" i="12"/>
  <c r="F587" i="12"/>
  <c r="F586" i="12"/>
  <c r="F585" i="12"/>
  <c r="F584" i="12"/>
  <c r="F583" i="12"/>
  <c r="F582" i="12"/>
  <c r="F581" i="12"/>
  <c r="F580" i="12"/>
  <c r="F579" i="12"/>
  <c r="F578" i="12"/>
  <c r="F577" i="12"/>
  <c r="F576" i="12"/>
  <c r="F575" i="12"/>
  <c r="F574" i="12"/>
  <c r="F573" i="12"/>
  <c r="F572" i="12"/>
  <c r="F571" i="12"/>
  <c r="F570" i="12"/>
  <c r="F569" i="12"/>
  <c r="F568" i="12"/>
  <c r="F567" i="12"/>
  <c r="F566" i="12"/>
  <c r="F565" i="12"/>
  <c r="F564" i="12"/>
  <c r="F563" i="12"/>
  <c r="F562" i="12"/>
  <c r="F561" i="12"/>
  <c r="F560" i="12"/>
  <c r="F559" i="12"/>
  <c r="F558" i="12"/>
  <c r="F557" i="12"/>
  <c r="F556" i="12"/>
  <c r="F555" i="12"/>
  <c r="F554" i="12"/>
  <c r="F553" i="12"/>
  <c r="F552" i="12"/>
  <c r="F551" i="12"/>
  <c r="F550" i="12"/>
  <c r="F549" i="12"/>
  <c r="F548" i="12"/>
  <c r="F547" i="12"/>
  <c r="F546" i="12"/>
  <c r="F545" i="12"/>
  <c r="F544" i="12"/>
  <c r="F543" i="12"/>
  <c r="F542" i="12"/>
  <c r="F541" i="12"/>
  <c r="F540" i="12"/>
  <c r="F539" i="12"/>
  <c r="F538" i="12"/>
  <c r="F537" i="12"/>
  <c r="F536" i="12"/>
  <c r="F535" i="12"/>
  <c r="F534" i="12"/>
  <c r="F533" i="12"/>
  <c r="F532" i="12"/>
  <c r="F531" i="12"/>
  <c r="F530" i="12"/>
  <c r="F529" i="12"/>
  <c r="F528" i="12"/>
  <c r="F527" i="12"/>
  <c r="F526" i="12"/>
  <c r="F525" i="12"/>
  <c r="F524" i="12"/>
  <c r="F523" i="12"/>
  <c r="F522" i="12"/>
  <c r="F521" i="12"/>
  <c r="F520" i="12"/>
  <c r="F519" i="12"/>
  <c r="F518" i="12"/>
  <c r="F517" i="12"/>
  <c r="F516" i="12"/>
  <c r="F515" i="12"/>
  <c r="F514" i="12"/>
  <c r="F513" i="12"/>
  <c r="F512" i="12"/>
  <c r="F511" i="12"/>
  <c r="F510" i="12"/>
  <c r="F509" i="12"/>
  <c r="F508" i="12"/>
  <c r="F507" i="12"/>
  <c r="F506" i="12"/>
  <c r="F505" i="12"/>
  <c r="F504" i="12"/>
  <c r="F503" i="12"/>
  <c r="F502" i="12"/>
  <c r="F501" i="12"/>
  <c r="F500" i="12"/>
  <c r="F499" i="12"/>
  <c r="F498" i="12"/>
  <c r="F497" i="12"/>
  <c r="F496" i="12"/>
  <c r="F495" i="12"/>
  <c r="F494" i="12"/>
  <c r="F493" i="12"/>
  <c r="F492" i="12"/>
  <c r="F491" i="12"/>
  <c r="F490" i="12"/>
  <c r="F489" i="12"/>
  <c r="F488" i="12"/>
  <c r="F487" i="12"/>
  <c r="F486" i="12"/>
  <c r="F485" i="12"/>
  <c r="F484" i="12"/>
  <c r="F483" i="12"/>
  <c r="F482" i="12"/>
  <c r="F481" i="12"/>
  <c r="F480" i="12"/>
  <c r="F479" i="12"/>
  <c r="F478" i="12"/>
  <c r="F477" i="12"/>
  <c r="F476" i="12"/>
  <c r="F475" i="12"/>
  <c r="F474" i="12"/>
  <c r="F473" i="12"/>
  <c r="F472" i="12"/>
  <c r="F471" i="12"/>
  <c r="F470" i="12"/>
  <c r="F469" i="12"/>
  <c r="F468" i="12"/>
  <c r="F467" i="12"/>
  <c r="F466" i="12"/>
  <c r="F465" i="12"/>
  <c r="F464" i="12"/>
  <c r="F463" i="12"/>
  <c r="F462" i="12"/>
  <c r="F461" i="12"/>
  <c r="F460" i="12"/>
  <c r="F459" i="12"/>
  <c r="F458" i="12"/>
  <c r="F457" i="12"/>
  <c r="F456" i="12"/>
  <c r="F455" i="12"/>
  <c r="F454" i="12"/>
  <c r="F453" i="12"/>
  <c r="F452" i="12"/>
  <c r="F451" i="12"/>
  <c r="F450" i="12"/>
  <c r="F449" i="12"/>
  <c r="F448" i="12"/>
  <c r="F447" i="12"/>
  <c r="F446" i="12"/>
  <c r="F445" i="12"/>
  <c r="F444" i="12"/>
  <c r="F443" i="12"/>
  <c r="F442" i="12"/>
  <c r="F441" i="12"/>
  <c r="F440" i="12"/>
  <c r="F439" i="12"/>
  <c r="F438" i="12"/>
  <c r="F437" i="12"/>
  <c r="F436" i="12"/>
  <c r="F435" i="12"/>
  <c r="F434" i="12"/>
  <c r="F433" i="12"/>
  <c r="F432" i="12"/>
  <c r="F431" i="12"/>
  <c r="F430" i="12"/>
  <c r="F429" i="12"/>
  <c r="F428" i="12"/>
  <c r="F427" i="12"/>
  <c r="F426" i="12"/>
  <c r="F425" i="12"/>
  <c r="F424" i="12"/>
  <c r="F423" i="12"/>
  <c r="F422" i="12"/>
  <c r="F421" i="12"/>
  <c r="F420" i="12"/>
  <c r="F419" i="12"/>
  <c r="F418" i="12"/>
  <c r="F417" i="12"/>
  <c r="F416" i="12"/>
  <c r="F415" i="12"/>
  <c r="F414" i="12"/>
  <c r="F413" i="12"/>
  <c r="F412" i="12"/>
  <c r="F411" i="12"/>
  <c r="F410" i="12"/>
  <c r="F409" i="12"/>
  <c r="F408" i="12"/>
  <c r="F407" i="12"/>
  <c r="F406" i="12"/>
  <c r="F405" i="12"/>
  <c r="F404" i="12"/>
  <c r="F403" i="12"/>
  <c r="F402" i="12"/>
  <c r="F401" i="12"/>
  <c r="F400" i="12"/>
  <c r="F399" i="12"/>
  <c r="F398" i="12"/>
  <c r="F397" i="12"/>
  <c r="F396" i="12"/>
  <c r="F395" i="12"/>
  <c r="F394" i="12"/>
  <c r="F393" i="12"/>
  <c r="F392" i="12"/>
  <c r="F391" i="12"/>
  <c r="F390" i="12"/>
  <c r="F389" i="12"/>
  <c r="F388" i="12"/>
  <c r="F387" i="12"/>
  <c r="F386" i="12"/>
  <c r="F385" i="12"/>
  <c r="F384" i="12"/>
  <c r="F383" i="12"/>
  <c r="F382" i="12"/>
  <c r="F381" i="12"/>
  <c r="F380" i="12"/>
  <c r="F379" i="12"/>
  <c r="F378" i="12"/>
  <c r="F377" i="12"/>
  <c r="F376" i="12"/>
  <c r="F375" i="12"/>
  <c r="F374" i="12"/>
  <c r="F373" i="12"/>
  <c r="F372" i="12"/>
  <c r="F371" i="12"/>
  <c r="F370" i="12"/>
  <c r="F369" i="12"/>
  <c r="F368" i="12"/>
  <c r="F367" i="12"/>
  <c r="F366" i="12"/>
  <c r="F365" i="12"/>
  <c r="F364" i="12"/>
  <c r="F363" i="12"/>
  <c r="F362" i="12"/>
  <c r="F361" i="12"/>
  <c r="F360" i="12"/>
  <c r="F359" i="12"/>
  <c r="F358" i="12"/>
  <c r="F357" i="12"/>
  <c r="F356" i="12"/>
  <c r="F355" i="12"/>
  <c r="F354" i="12"/>
  <c r="F353" i="12"/>
  <c r="F352" i="12"/>
  <c r="F351" i="12"/>
  <c r="F350" i="12"/>
  <c r="F349" i="12"/>
  <c r="F348" i="12"/>
  <c r="F347" i="12"/>
  <c r="F346" i="12"/>
  <c r="F345" i="12"/>
  <c r="F344" i="12"/>
  <c r="F343" i="12"/>
  <c r="F342" i="12"/>
  <c r="F341" i="12"/>
  <c r="F340" i="12"/>
  <c r="F339" i="12"/>
  <c r="F338" i="12"/>
  <c r="F337" i="12"/>
  <c r="F336" i="12"/>
  <c r="F335" i="12"/>
  <c r="F334" i="12"/>
  <c r="F333" i="12"/>
  <c r="F332" i="12"/>
  <c r="F331" i="12"/>
  <c r="F330" i="12"/>
  <c r="F329" i="12"/>
  <c r="F328" i="12"/>
  <c r="F327" i="12"/>
  <c r="F326" i="12"/>
  <c r="F325" i="12"/>
  <c r="F324" i="12"/>
  <c r="F323" i="12"/>
  <c r="F322" i="12"/>
  <c r="F321" i="12"/>
  <c r="F320" i="12"/>
  <c r="F319" i="12"/>
  <c r="F318" i="12"/>
  <c r="F317" i="12"/>
  <c r="F316" i="12"/>
  <c r="F315" i="12"/>
  <c r="F314" i="12"/>
  <c r="F313" i="12"/>
  <c r="F312" i="12"/>
  <c r="F311" i="12"/>
  <c r="F310" i="12"/>
  <c r="F309" i="12"/>
  <c r="F308" i="12"/>
  <c r="F307" i="12"/>
  <c r="F306" i="12"/>
  <c r="F305" i="12"/>
  <c r="F304" i="12"/>
  <c r="F303" i="12"/>
  <c r="F302" i="12"/>
  <c r="F301" i="12"/>
  <c r="F300" i="12"/>
  <c r="F299" i="12"/>
  <c r="F298" i="12"/>
  <c r="F297" i="12"/>
  <c r="F296" i="12"/>
  <c r="F295" i="12"/>
  <c r="F294" i="12"/>
  <c r="F293" i="12"/>
  <c r="F292" i="12"/>
  <c r="F291" i="12"/>
  <c r="F290" i="12"/>
  <c r="F289" i="12"/>
  <c r="F288" i="12"/>
  <c r="F287" i="12"/>
  <c r="F286" i="12"/>
  <c r="F285" i="12"/>
  <c r="F284" i="12"/>
  <c r="F283" i="12"/>
  <c r="F282" i="12"/>
  <c r="F281" i="12"/>
  <c r="F280" i="12"/>
  <c r="F279" i="12"/>
  <c r="F278" i="12"/>
  <c r="F277" i="12"/>
  <c r="F276" i="12"/>
  <c r="F275" i="12"/>
  <c r="F274" i="12"/>
  <c r="F273" i="12"/>
  <c r="F272" i="12"/>
  <c r="F271" i="12"/>
  <c r="F270" i="12"/>
  <c r="F269" i="12"/>
  <c r="F268" i="12"/>
  <c r="F267" i="12"/>
  <c r="F266" i="12"/>
  <c r="F265" i="12"/>
  <c r="F264" i="12"/>
  <c r="F263" i="12"/>
  <c r="F262" i="12"/>
  <c r="F261" i="12"/>
  <c r="F260" i="12"/>
  <c r="F259" i="12"/>
  <c r="F258" i="12"/>
  <c r="F257" i="12"/>
  <c r="F256" i="12"/>
  <c r="F255" i="12"/>
  <c r="F254" i="12"/>
  <c r="F253" i="12"/>
  <c r="F252" i="12"/>
  <c r="F251" i="12"/>
  <c r="F250" i="12"/>
  <c r="F249" i="12"/>
  <c r="F248" i="12"/>
  <c r="F247" i="12"/>
  <c r="F246" i="12"/>
  <c r="F245" i="12"/>
  <c r="F244" i="12"/>
  <c r="F243" i="12"/>
  <c r="F242" i="12"/>
  <c r="F241" i="12"/>
  <c r="F240" i="12"/>
  <c r="F239" i="12"/>
  <c r="F238" i="12"/>
  <c r="F237" i="12"/>
  <c r="F236" i="12"/>
  <c r="F235" i="12"/>
  <c r="F234" i="12"/>
  <c r="F233" i="12"/>
  <c r="F232" i="12"/>
  <c r="F231" i="12"/>
  <c r="F230" i="12"/>
  <c r="F229" i="12"/>
  <c r="F228" i="12"/>
  <c r="F227" i="12"/>
  <c r="F226" i="12"/>
  <c r="F225" i="12"/>
  <c r="F224" i="12"/>
  <c r="F223" i="12"/>
  <c r="F222" i="12"/>
  <c r="F221" i="12"/>
  <c r="F220" i="12"/>
  <c r="F219" i="12"/>
  <c r="F218" i="12"/>
  <c r="F217" i="12"/>
  <c r="F216" i="12"/>
  <c r="F215" i="12"/>
  <c r="F214" i="12"/>
  <c r="F213" i="12"/>
  <c r="F212" i="12"/>
  <c r="F211" i="12"/>
  <c r="F210" i="12"/>
  <c r="F209" i="12"/>
  <c r="F208" i="12"/>
  <c r="F207" i="12"/>
  <c r="F206" i="12"/>
  <c r="F205" i="12"/>
  <c r="F204" i="12"/>
  <c r="F203" i="12"/>
  <c r="F202" i="12"/>
  <c r="F201" i="12"/>
  <c r="F200" i="12"/>
  <c r="F199" i="12"/>
  <c r="F198" i="12"/>
  <c r="F197" i="12"/>
  <c r="F196" i="12"/>
  <c r="F195" i="12"/>
  <c r="F194" i="12"/>
  <c r="F193" i="12"/>
  <c r="F192" i="12"/>
  <c r="F191" i="12"/>
  <c r="F190" i="12"/>
  <c r="F189" i="12"/>
  <c r="F188" i="12"/>
  <c r="F187" i="12"/>
  <c r="F186" i="12"/>
  <c r="F185" i="12"/>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2" i="12"/>
  <c r="N19" i="7"/>
  <c r="L20" i="1" s="1"/>
  <c r="S602" i="2" a="1"/>
  <c r="S602" i="2" s="1"/>
  <c r="R602" i="2" a="1"/>
  <c r="R602" i="2"/>
  <c r="Q602" i="2" a="1"/>
  <c r="Q602" i="2"/>
  <c r="P602" i="2" a="1"/>
  <c r="P602" i="2" s="1"/>
  <c r="O602" i="2" a="1"/>
  <c r="O602" i="2" s="1"/>
  <c r="N602" i="2" a="1"/>
  <c r="N602" i="2"/>
  <c r="M602" i="2" a="1"/>
  <c r="M602" i="2" s="1"/>
  <c r="L602" i="2" a="1"/>
  <c r="L602" i="2"/>
  <c r="S601" i="2" a="1"/>
  <c r="S601" i="2"/>
  <c r="R601" i="2" a="1"/>
  <c r="R601" i="2" s="1"/>
  <c r="Q601" i="2" a="1"/>
  <c r="Q601" i="2"/>
  <c r="P601" i="2" a="1"/>
  <c r="P601" i="2"/>
  <c r="O601" i="2" a="1"/>
  <c r="O601" i="2" s="1"/>
  <c r="N601" i="2" a="1"/>
  <c r="N601" i="2" s="1"/>
  <c r="M601" i="2" a="1"/>
  <c r="M601" i="2"/>
  <c r="L601" i="2" a="1"/>
  <c r="L601" i="2" s="1"/>
  <c r="S600" i="2" a="1"/>
  <c r="S600" i="2"/>
  <c r="R600" i="2" a="1"/>
  <c r="R600" i="2" s="1"/>
  <c r="Q600" i="2" a="1"/>
  <c r="Q600" i="2"/>
  <c r="P600" i="2" a="1"/>
  <c r="P600" i="2"/>
  <c r="O600" i="2" a="1"/>
  <c r="O600" i="2" s="1"/>
  <c r="N600" i="2" a="1"/>
  <c r="N600" i="2" s="1"/>
  <c r="M600" i="2" a="1"/>
  <c r="M600" i="2"/>
  <c r="L600" i="2" a="1"/>
  <c r="L600" i="2" s="1"/>
  <c r="S599" i="2" a="1"/>
  <c r="S599" i="2"/>
  <c r="R599" i="2" a="1"/>
  <c r="R599" i="2" s="1"/>
  <c r="Q599" i="2" a="1"/>
  <c r="Q599" i="2"/>
  <c r="P599" i="2" a="1"/>
  <c r="P599" i="2"/>
  <c r="O599" i="2" a="1"/>
  <c r="O599" i="2" s="1"/>
  <c r="N599" i="2" a="1"/>
  <c r="N599" i="2" s="1"/>
  <c r="M599" i="2" a="1"/>
  <c r="M599" i="2"/>
  <c r="L599" i="2" a="1"/>
  <c r="L599" i="2" s="1"/>
  <c r="K599" i="2" a="1"/>
  <c r="K599" i="2" s="1"/>
  <c r="S598" i="2" a="1"/>
  <c r="S598" i="2"/>
  <c r="R598" i="2" a="1"/>
  <c r="R598" i="2" s="1"/>
  <c r="Q598" i="2" a="1"/>
  <c r="Q598" i="2"/>
  <c r="P598" i="2" a="1"/>
  <c r="P598" i="2"/>
  <c r="O598" i="2" a="1"/>
  <c r="O598" i="2" s="1"/>
  <c r="N598" i="2" a="1"/>
  <c r="N598" i="2" s="1"/>
  <c r="M598" i="2" a="1"/>
  <c r="M598" i="2"/>
  <c r="L598" i="2" a="1"/>
  <c r="L598" i="2" s="1"/>
  <c r="K598" i="2" a="1"/>
  <c r="K598" i="2" s="1"/>
  <c r="S597" i="2" a="1"/>
  <c r="S597" i="2"/>
  <c r="R597" i="2" a="1"/>
  <c r="R597" i="2" s="1"/>
  <c r="Q597" i="2" a="1"/>
  <c r="Q597" i="2"/>
  <c r="P597" i="2" a="1"/>
  <c r="P597" i="2"/>
  <c r="O597" i="2" a="1"/>
  <c r="O597" i="2" s="1"/>
  <c r="N597" i="2" a="1"/>
  <c r="N597" i="2" s="1"/>
  <c r="M597" i="2" a="1"/>
  <c r="M597" i="2"/>
  <c r="L597" i="2" a="1"/>
  <c r="L597" i="2" s="1"/>
  <c r="K597" i="2" a="1"/>
  <c r="K597" i="2" s="1"/>
  <c r="S596" i="2" a="1"/>
  <c r="S596" i="2"/>
  <c r="R596" i="2" a="1"/>
  <c r="R596" i="2" s="1"/>
  <c r="Q596" i="2" a="1"/>
  <c r="Q596" i="2"/>
  <c r="P596" i="2" a="1"/>
  <c r="P596" i="2"/>
  <c r="O596" i="2" a="1"/>
  <c r="O596" i="2" s="1"/>
  <c r="N596" i="2" a="1"/>
  <c r="N596" i="2" s="1"/>
  <c r="M596" i="2" a="1"/>
  <c r="M596" i="2"/>
  <c r="L596" i="2" a="1"/>
  <c r="L596" i="2" s="1"/>
  <c r="K596" i="2" a="1"/>
  <c r="K596" i="2" s="1"/>
  <c r="S595" i="2" a="1"/>
  <c r="S595" i="2"/>
  <c r="R595" i="2" a="1"/>
  <c r="R595" i="2" s="1"/>
  <c r="Q595" i="2" a="1"/>
  <c r="Q595" i="2"/>
  <c r="P595" i="2" a="1"/>
  <c r="P595" i="2"/>
  <c r="O595" i="2" a="1"/>
  <c r="O595" i="2" s="1"/>
  <c r="N595" i="2" a="1"/>
  <c r="N595" i="2" s="1"/>
  <c r="M595" i="2" a="1"/>
  <c r="M595" i="2"/>
  <c r="L595" i="2" a="1"/>
  <c r="L595" i="2" s="1"/>
  <c r="K595" i="2" a="1"/>
  <c r="K595" i="2" s="1"/>
  <c r="S594" i="2" a="1"/>
  <c r="S594" i="2"/>
  <c r="R594" i="2" a="1"/>
  <c r="R594" i="2" s="1"/>
  <c r="Q594" i="2" a="1"/>
  <c r="Q594" i="2"/>
  <c r="P594" i="2" a="1"/>
  <c r="P594" i="2"/>
  <c r="O594" i="2" a="1"/>
  <c r="O594" i="2" s="1"/>
  <c r="N594" i="2" a="1"/>
  <c r="N594" i="2" s="1"/>
  <c r="M594" i="2" a="1"/>
  <c r="M594" i="2"/>
  <c r="L594" i="2" a="1"/>
  <c r="L594" i="2" s="1"/>
  <c r="K594" i="2" a="1"/>
  <c r="K594" i="2" s="1"/>
  <c r="S593" i="2" a="1"/>
  <c r="S593" i="2"/>
  <c r="R593" i="2" a="1"/>
  <c r="R593" i="2" s="1"/>
  <c r="Q593" i="2" a="1"/>
  <c r="Q593" i="2"/>
  <c r="P593" i="2" a="1"/>
  <c r="P593" i="2"/>
  <c r="O593" i="2" a="1"/>
  <c r="O593" i="2" s="1"/>
  <c r="N593" i="2" a="1"/>
  <c r="N593" i="2" s="1"/>
  <c r="M593" i="2" a="1"/>
  <c r="M593" i="2"/>
  <c r="L593" i="2" a="1"/>
  <c r="L593" i="2" s="1"/>
  <c r="K593" i="2" a="1"/>
  <c r="K593" i="2" s="1"/>
  <c r="S592" i="2" a="1"/>
  <c r="S592" i="2"/>
  <c r="R592" i="2" a="1"/>
  <c r="R592" i="2" s="1"/>
  <c r="Q592" i="2" a="1"/>
  <c r="Q592" i="2"/>
  <c r="P592" i="2" a="1"/>
  <c r="P592" i="2" s="1"/>
  <c r="O592" i="2" a="1"/>
  <c r="O592" i="2" s="1"/>
  <c r="N592" i="2" a="1"/>
  <c r="N592" i="2"/>
  <c r="M592" i="2" a="1"/>
  <c r="M592" i="2" s="1"/>
  <c r="L592" i="2" a="1"/>
  <c r="L592" i="2" s="1"/>
  <c r="K592" i="2" a="1"/>
  <c r="K592" i="2"/>
  <c r="S591" i="2" a="1"/>
  <c r="S591" i="2"/>
  <c r="R591" i="2" a="1"/>
  <c r="R591" i="2" s="1"/>
  <c r="Q591" i="2" a="1"/>
  <c r="Q591" i="2" s="1"/>
  <c r="P591" i="2" a="1"/>
  <c r="P591" i="2"/>
  <c r="O591" i="2" a="1"/>
  <c r="O591" i="2" s="1"/>
  <c r="N591" i="2" a="1"/>
  <c r="N591" i="2" s="1"/>
  <c r="M591" i="2" a="1"/>
  <c r="M591" i="2"/>
  <c r="L591" i="2" a="1"/>
  <c r="L591" i="2" s="1"/>
  <c r="K591" i="2" a="1"/>
  <c r="K591" i="2" s="1"/>
  <c r="I591" i="2"/>
  <c r="S590" i="2" a="1"/>
  <c r="S590" i="2" s="1"/>
  <c r="R590" i="2" a="1"/>
  <c r="R590" i="2"/>
  <c r="Q590" i="2" a="1"/>
  <c r="Q590" i="2" s="1"/>
  <c r="P590" i="2" a="1"/>
  <c r="P590" i="2" s="1"/>
  <c r="O590" i="2" a="1"/>
  <c r="O590" i="2"/>
  <c r="N590" i="2" a="1"/>
  <c r="N590" i="2" s="1"/>
  <c r="M590" i="2" a="1"/>
  <c r="M590" i="2" s="1"/>
  <c r="L590" i="2" a="1"/>
  <c r="L590" i="2"/>
  <c r="K590" i="2" a="1"/>
  <c r="K590" i="2" s="1"/>
  <c r="S589" i="2" a="1"/>
  <c r="S589" i="2" s="1"/>
  <c r="R589" i="2" a="1"/>
  <c r="R589" i="2"/>
  <c r="Q589" i="2" a="1"/>
  <c r="Q589" i="2" s="1"/>
  <c r="P589" i="2" a="1"/>
  <c r="P589" i="2" s="1"/>
  <c r="O589" i="2" a="1"/>
  <c r="O589" i="2"/>
  <c r="N589" i="2" a="1"/>
  <c r="N589" i="2" s="1"/>
  <c r="M589" i="2" a="1"/>
  <c r="M589" i="2" s="1"/>
  <c r="L589" i="2" a="1"/>
  <c r="L589" i="2"/>
  <c r="S588" i="2" a="1"/>
  <c r="S588" i="2" s="1"/>
  <c r="R588" i="2" a="1"/>
  <c r="R588" i="2"/>
  <c r="Q588" i="2" a="1"/>
  <c r="Q588" i="2" s="1"/>
  <c r="P588" i="2" a="1"/>
  <c r="P588" i="2" s="1"/>
  <c r="O588" i="2" a="1"/>
  <c r="O588" i="2"/>
  <c r="N588" i="2" a="1"/>
  <c r="N588" i="2" s="1"/>
  <c r="M588" i="2" a="1"/>
  <c r="M588" i="2" s="1"/>
  <c r="L588" i="2" a="1"/>
  <c r="L588" i="2"/>
  <c r="K588" i="2" a="1"/>
  <c r="K588" i="2" s="1"/>
  <c r="S587" i="2" a="1"/>
  <c r="S587" i="2" s="1"/>
  <c r="R587" i="2" a="1"/>
  <c r="R587" i="2"/>
  <c r="Q587" i="2" a="1"/>
  <c r="Q587" i="2" s="1"/>
  <c r="P587" i="2" a="1"/>
  <c r="P587" i="2" s="1"/>
  <c r="O587" i="2" a="1"/>
  <c r="O587" i="2"/>
  <c r="N587" i="2" a="1"/>
  <c r="N587" i="2" s="1"/>
  <c r="M587" i="2" a="1"/>
  <c r="M587" i="2" s="1"/>
  <c r="L587" i="2" a="1"/>
  <c r="L587" i="2"/>
  <c r="K587" i="2" a="1"/>
  <c r="K587" i="2" s="1"/>
  <c r="S586" i="2" a="1"/>
  <c r="S586" i="2" s="1"/>
  <c r="R586" i="2" a="1"/>
  <c r="R586" i="2"/>
  <c r="Q586" i="2" a="1"/>
  <c r="Q586" i="2" s="1"/>
  <c r="P586" i="2" a="1"/>
  <c r="P586" i="2" s="1"/>
  <c r="O586" i="2" a="1"/>
  <c r="O586" i="2"/>
  <c r="N586" i="2" a="1"/>
  <c r="N586" i="2" s="1"/>
  <c r="M586" i="2" a="1"/>
  <c r="M586" i="2" s="1"/>
  <c r="L586" i="2" a="1"/>
  <c r="L586" i="2"/>
  <c r="K586" i="2" a="1"/>
  <c r="K586" i="2" s="1"/>
  <c r="S585" i="2" a="1"/>
  <c r="S585" i="2" s="1"/>
  <c r="R585" i="2" a="1"/>
  <c r="R585" i="2"/>
  <c r="Q585" i="2" a="1"/>
  <c r="Q585" i="2" s="1"/>
  <c r="P585" i="2" a="1"/>
  <c r="P585" i="2" s="1"/>
  <c r="O585" i="2" a="1"/>
  <c r="O585" i="2"/>
  <c r="N585" i="2" a="1"/>
  <c r="N585" i="2" s="1"/>
  <c r="M585" i="2" a="1"/>
  <c r="M585" i="2" s="1"/>
  <c r="L585" i="2" a="1"/>
  <c r="L585" i="2"/>
  <c r="K585" i="2" a="1"/>
  <c r="K585" i="2" s="1"/>
  <c r="S584" i="2" a="1"/>
  <c r="S584" i="2" s="1"/>
  <c r="R584" i="2" a="1"/>
  <c r="R584" i="2"/>
  <c r="Q584" i="2" a="1"/>
  <c r="Q584" i="2" s="1"/>
  <c r="P584" i="2" a="1"/>
  <c r="P584" i="2" s="1"/>
  <c r="O584" i="2" a="1"/>
  <c r="O584" i="2"/>
  <c r="N584" i="2" a="1"/>
  <c r="N584" i="2" s="1"/>
  <c r="M584" i="2" a="1"/>
  <c r="M584" i="2"/>
  <c r="L584" i="2" a="1"/>
  <c r="L584" i="2"/>
  <c r="K584" i="2" a="1"/>
  <c r="K584" i="2" s="1"/>
  <c r="S583" i="2" a="1"/>
  <c r="S583" i="2"/>
  <c r="R583" i="2" a="1"/>
  <c r="R583" i="2"/>
  <c r="Q583" i="2" a="1"/>
  <c r="Q583" i="2" s="1"/>
  <c r="P583" i="2" a="1"/>
  <c r="P583" i="2"/>
  <c r="O583" i="2" a="1"/>
  <c r="O583" i="2"/>
  <c r="N583" i="2" a="1"/>
  <c r="N583" i="2" s="1"/>
  <c r="M583" i="2" a="1"/>
  <c r="M583" i="2"/>
  <c r="L583" i="2" a="1"/>
  <c r="L583" i="2"/>
  <c r="K583" i="2" a="1"/>
  <c r="K583" i="2" s="1"/>
  <c r="S582" i="2" a="1"/>
  <c r="S582" i="2"/>
  <c r="R582" i="2" a="1"/>
  <c r="R582" i="2"/>
  <c r="Q582" i="2" a="1"/>
  <c r="Q582" i="2" s="1"/>
  <c r="P582" i="2" a="1"/>
  <c r="P582" i="2"/>
  <c r="O582" i="2" a="1"/>
  <c r="O582" i="2"/>
  <c r="N582" i="2" a="1"/>
  <c r="N582" i="2" s="1"/>
  <c r="M582" i="2" a="1"/>
  <c r="M582" i="2"/>
  <c r="L582" i="2" a="1"/>
  <c r="L582" i="2"/>
  <c r="K582" i="2" a="1"/>
  <c r="K582" i="2" s="1"/>
  <c r="S581" i="2" a="1"/>
  <c r="S581" i="2" s="1"/>
  <c r="R581" i="2" a="1"/>
  <c r="R581" i="2"/>
  <c r="Q581" i="2" a="1"/>
  <c r="Q581" i="2"/>
  <c r="P581" i="2" a="1"/>
  <c r="P581" i="2" s="1"/>
  <c r="O581" i="2" a="1"/>
  <c r="O581" i="2"/>
  <c r="N581" i="2" a="1"/>
  <c r="N581" i="2"/>
  <c r="M581" i="2" a="1"/>
  <c r="M581" i="2" s="1"/>
  <c r="L581" i="2" a="1"/>
  <c r="L581" i="2"/>
  <c r="K581" i="2" a="1"/>
  <c r="K581" i="2"/>
  <c r="S580" i="2" a="1"/>
  <c r="S580" i="2" s="1"/>
  <c r="R580" i="2" a="1"/>
  <c r="R580" i="2"/>
  <c r="Q580" i="2" a="1"/>
  <c r="Q580" i="2"/>
  <c r="P580" i="2" a="1"/>
  <c r="P580" i="2" s="1"/>
  <c r="O580" i="2" a="1"/>
  <c r="O580" i="2"/>
  <c r="N580" i="2" a="1"/>
  <c r="N580" i="2"/>
  <c r="M580" i="2" a="1"/>
  <c r="M580" i="2" s="1"/>
  <c r="L580" i="2" a="1"/>
  <c r="L580" i="2"/>
  <c r="K580" i="2" a="1"/>
  <c r="K580" i="2"/>
  <c r="S579" i="2" a="1"/>
  <c r="S579" i="2"/>
  <c r="R579" i="2" a="1"/>
  <c r="R579" i="2" s="1"/>
  <c r="Q579" i="2" a="1"/>
  <c r="Q579" i="2"/>
  <c r="P579" i="2" a="1"/>
  <c r="P579" i="2"/>
  <c r="O579" i="2" a="1"/>
  <c r="O579" i="2" s="1"/>
  <c r="N579" i="2" a="1"/>
  <c r="N579" i="2"/>
  <c r="M579" i="2" a="1"/>
  <c r="M579" i="2"/>
  <c r="L579" i="2" a="1"/>
  <c r="L579" i="2" s="1"/>
  <c r="K579" i="2" a="1"/>
  <c r="K579" i="2"/>
  <c r="S578" i="2" a="1"/>
  <c r="S578" i="2"/>
  <c r="R578" i="2" a="1"/>
  <c r="R578" i="2"/>
  <c r="Q578" i="2" a="1"/>
  <c r="Q578" i="2" s="1"/>
  <c r="P578" i="2" a="1"/>
  <c r="P578" i="2"/>
  <c r="O578" i="2" a="1"/>
  <c r="O578" i="2"/>
  <c r="N578" i="2" a="1"/>
  <c r="N578" i="2" s="1"/>
  <c r="M578" i="2" a="1"/>
  <c r="M578" i="2"/>
  <c r="L578" i="2" a="1"/>
  <c r="L578" i="2"/>
  <c r="K578" i="2" a="1"/>
  <c r="K578" i="2" s="1"/>
  <c r="S577" i="2" a="1"/>
  <c r="S577" i="2" s="1"/>
  <c r="R577" i="2" a="1"/>
  <c r="R577" i="2"/>
  <c r="Q577" i="2" a="1"/>
  <c r="Q577" i="2"/>
  <c r="P577" i="2" a="1"/>
  <c r="P577" i="2" s="1"/>
  <c r="O577" i="2" a="1"/>
  <c r="O577" i="2"/>
  <c r="N577" i="2" a="1"/>
  <c r="N577" i="2"/>
  <c r="M577" i="2" a="1"/>
  <c r="M577" i="2" s="1"/>
  <c r="L577" i="2" a="1"/>
  <c r="L577" i="2"/>
  <c r="K577" i="2" a="1"/>
  <c r="K577" i="2"/>
  <c r="S576" i="2" a="1"/>
  <c r="S576" i="2"/>
  <c r="R576" i="2" a="1"/>
  <c r="R576" i="2" s="1"/>
  <c r="Q576" i="2" a="1"/>
  <c r="Q576" i="2"/>
  <c r="P576" i="2" a="1"/>
  <c r="P576" i="2"/>
  <c r="O576" i="2" a="1"/>
  <c r="O576" i="2" s="1"/>
  <c r="N576" i="2" a="1"/>
  <c r="N576" i="2"/>
  <c r="M576" i="2" a="1"/>
  <c r="M576" i="2"/>
  <c r="L576" i="2" a="1"/>
  <c r="L576" i="2" s="1"/>
  <c r="K576" i="2" a="1"/>
  <c r="K576" i="2"/>
  <c r="S575" i="2" a="1"/>
  <c r="S575" i="2"/>
  <c r="R575" i="2" a="1"/>
  <c r="R575" i="2"/>
  <c r="Q575" i="2" a="1"/>
  <c r="Q575" i="2" s="1"/>
  <c r="P575" i="2" a="1"/>
  <c r="P575" i="2"/>
  <c r="O575" i="2" a="1"/>
  <c r="O575" i="2"/>
  <c r="N575" i="2" a="1"/>
  <c r="N575" i="2" s="1"/>
  <c r="M575" i="2" a="1"/>
  <c r="M575" i="2"/>
  <c r="L575" i="2" a="1"/>
  <c r="L575" i="2"/>
  <c r="K575" i="2" a="1"/>
  <c r="K575" i="2" s="1"/>
  <c r="S574" i="2" a="1"/>
  <c r="S574" i="2" s="1"/>
  <c r="R574" i="2" a="1"/>
  <c r="R574" i="2"/>
  <c r="Q574" i="2" a="1"/>
  <c r="Q574" i="2"/>
  <c r="P574" i="2" a="1"/>
  <c r="P574" i="2" s="1"/>
  <c r="O574" i="2" a="1"/>
  <c r="O574" i="2"/>
  <c r="N574" i="2" a="1"/>
  <c r="N574" i="2"/>
  <c r="M574" i="2" a="1"/>
  <c r="M574" i="2" s="1"/>
  <c r="L574" i="2" a="1"/>
  <c r="L574" i="2"/>
  <c r="K574" i="2" a="1"/>
  <c r="K574" i="2"/>
  <c r="S573" i="2" a="1"/>
  <c r="S573" i="2"/>
  <c r="R573" i="2" a="1"/>
  <c r="R573" i="2" s="1"/>
  <c r="Q573" i="2" a="1"/>
  <c r="Q573" i="2"/>
  <c r="P573" i="2" a="1"/>
  <c r="P573" i="2"/>
  <c r="O573" i="2" a="1"/>
  <c r="O573" i="2" s="1"/>
  <c r="N573" i="2" a="1"/>
  <c r="N573" i="2"/>
  <c r="M573" i="2" a="1"/>
  <c r="M573" i="2"/>
  <c r="L573" i="2" a="1"/>
  <c r="L573" i="2" s="1"/>
  <c r="K573" i="2" a="1"/>
  <c r="K573" i="2"/>
  <c r="S572" i="2" a="1"/>
  <c r="S572" i="2"/>
  <c r="R572" i="2" a="1"/>
  <c r="R572" i="2"/>
  <c r="Q572" i="2" a="1"/>
  <c r="Q572" i="2" s="1"/>
  <c r="P572" i="2" a="1"/>
  <c r="P572" i="2"/>
  <c r="O572" i="2" a="1"/>
  <c r="O572" i="2"/>
  <c r="N572" i="2" a="1"/>
  <c r="N572" i="2" s="1"/>
  <c r="M572" i="2" a="1"/>
  <c r="M572" i="2"/>
  <c r="L572" i="2" a="1"/>
  <c r="L572" i="2"/>
  <c r="K572" i="2" a="1"/>
  <c r="K572" i="2" s="1"/>
  <c r="S571" i="2" a="1"/>
  <c r="S571" i="2"/>
  <c r="R571" i="2" a="1"/>
  <c r="R571" i="2" s="1"/>
  <c r="Q571" i="2" a="1"/>
  <c r="Q571" i="2"/>
  <c r="P571" i="2" a="1"/>
  <c r="P571" i="2"/>
  <c r="O571" i="2" a="1"/>
  <c r="O571" i="2" s="1"/>
  <c r="N571" i="2" a="1"/>
  <c r="N571" i="2"/>
  <c r="M571" i="2" a="1"/>
  <c r="M571" i="2"/>
  <c r="L571" i="2" a="1"/>
  <c r="L571" i="2" s="1"/>
  <c r="K571" i="2" a="1"/>
  <c r="K571" i="2"/>
  <c r="S570" i="2" a="1"/>
  <c r="S570" i="2"/>
  <c r="R570" i="2" a="1"/>
  <c r="R570" i="2"/>
  <c r="Q570" i="2" a="1"/>
  <c r="Q570" i="2" s="1"/>
  <c r="P570" i="2" a="1"/>
  <c r="P570" i="2"/>
  <c r="O570" i="2" a="1"/>
  <c r="O570" i="2"/>
  <c r="N570" i="2" a="1"/>
  <c r="N570" i="2" s="1"/>
  <c r="M570" i="2" a="1"/>
  <c r="M570" i="2"/>
  <c r="L570" i="2" a="1"/>
  <c r="L570" i="2"/>
  <c r="K570" i="2" a="1"/>
  <c r="K570" i="2" s="1"/>
  <c r="S569" i="2" a="1"/>
  <c r="S569" i="2" s="1"/>
  <c r="R569" i="2" a="1"/>
  <c r="R569" i="2"/>
  <c r="Q569" i="2" a="1"/>
  <c r="Q569" i="2"/>
  <c r="P569" i="2" a="1"/>
  <c r="P569" i="2" s="1"/>
  <c r="O569" i="2" a="1"/>
  <c r="O569" i="2"/>
  <c r="N569" i="2" a="1"/>
  <c r="N569" i="2"/>
  <c r="M569" i="2" a="1"/>
  <c r="M569" i="2" s="1"/>
  <c r="L569" i="2" a="1"/>
  <c r="L569" i="2"/>
  <c r="K569" i="2" a="1"/>
  <c r="K569" i="2"/>
  <c r="S568" i="2" a="1"/>
  <c r="S568" i="2"/>
  <c r="R568" i="2" a="1"/>
  <c r="R568" i="2" s="1"/>
  <c r="Q568" i="2" a="1"/>
  <c r="Q568" i="2"/>
  <c r="P568" i="2" a="1"/>
  <c r="P568" i="2"/>
  <c r="O568" i="2" a="1"/>
  <c r="O568" i="2" s="1"/>
  <c r="N568" i="2" a="1"/>
  <c r="N568" i="2"/>
  <c r="M568" i="2" a="1"/>
  <c r="M568" i="2"/>
  <c r="L568" i="2" a="1"/>
  <c r="L568" i="2" s="1"/>
  <c r="K568" i="2" a="1"/>
  <c r="K568" i="2" s="1"/>
  <c r="S566" i="2" a="1"/>
  <c r="S566" i="2" s="1"/>
  <c r="R566" i="2" a="1"/>
  <c r="R566" i="2" s="1"/>
  <c r="Q566" i="2" a="1"/>
  <c r="Q566" i="2"/>
  <c r="P566" i="2" a="1"/>
  <c r="P566" i="2" s="1"/>
  <c r="O566" i="2" a="1"/>
  <c r="O566" i="2" s="1"/>
  <c r="N566" i="2" a="1"/>
  <c r="N566" i="2"/>
  <c r="M566" i="2" a="1"/>
  <c r="M566" i="2" s="1"/>
  <c r="L566" i="2" a="1"/>
  <c r="L566" i="2"/>
  <c r="K566" i="2" a="1"/>
  <c r="K566" i="2"/>
  <c r="S565" i="2" a="1"/>
  <c r="S565" i="2"/>
  <c r="R565" i="2" a="1"/>
  <c r="R565" i="2" s="1"/>
  <c r="Q565" i="2" a="1"/>
  <c r="Q565" i="2"/>
  <c r="P565" i="2" a="1"/>
  <c r="P565" i="2"/>
  <c r="O565" i="2" a="1"/>
  <c r="O565" i="2" s="1"/>
  <c r="N565" i="2" a="1"/>
  <c r="N565" i="2"/>
  <c r="M565" i="2" a="1"/>
  <c r="M565" i="2"/>
  <c r="L565" i="2" a="1"/>
  <c r="L565" i="2" s="1"/>
  <c r="K565" i="2" a="1"/>
  <c r="K565" i="2" s="1"/>
  <c r="S564" i="2" a="1"/>
  <c r="S564" i="2"/>
  <c r="R564" i="2" a="1"/>
  <c r="R564" i="2"/>
  <c r="Q564" i="2" a="1"/>
  <c r="Q564" i="2" s="1"/>
  <c r="P564" i="2" a="1"/>
  <c r="P564" i="2" s="1"/>
  <c r="O564" i="2" a="1"/>
  <c r="O564" i="2"/>
  <c r="N564" i="2" a="1"/>
  <c r="N564" i="2" s="1"/>
  <c r="M564" i="2" a="1"/>
  <c r="M564" i="2"/>
  <c r="L564" i="2" a="1"/>
  <c r="L564" i="2"/>
  <c r="K564" i="2" a="1"/>
  <c r="K564" i="2" s="1"/>
  <c r="S563" i="2" a="1"/>
  <c r="S563" i="2" s="1"/>
  <c r="R563" i="2" a="1"/>
  <c r="R563" i="2" s="1"/>
  <c r="Q563" i="2" a="1"/>
  <c r="Q563" i="2"/>
  <c r="P563" i="2" a="1"/>
  <c r="P563" i="2" s="1"/>
  <c r="O563" i="2" a="1"/>
  <c r="O563" i="2" s="1"/>
  <c r="N563" i="2" a="1"/>
  <c r="N563" i="2"/>
  <c r="M563" i="2" a="1"/>
  <c r="M563" i="2" s="1"/>
  <c r="L563" i="2" a="1"/>
  <c r="L563" i="2"/>
  <c r="K563" i="2" a="1"/>
  <c r="K563" i="2"/>
  <c r="S562" i="2" a="1"/>
  <c r="S562" i="2"/>
  <c r="R562" i="2" a="1"/>
  <c r="R562" i="2" s="1"/>
  <c r="Q562" i="2" a="1"/>
  <c r="Q562" i="2"/>
  <c r="P562" i="2" a="1"/>
  <c r="P562" i="2"/>
  <c r="O562" i="2" a="1"/>
  <c r="O562" i="2" s="1"/>
  <c r="N562" i="2" a="1"/>
  <c r="N562" i="2"/>
  <c r="M562" i="2" a="1"/>
  <c r="M562" i="2"/>
  <c r="L562" i="2" a="1"/>
  <c r="L562" i="2" s="1"/>
  <c r="K562" i="2" a="1"/>
  <c r="K562" i="2" s="1"/>
  <c r="S561" i="2" a="1"/>
  <c r="S561" i="2" s="1"/>
  <c r="R561" i="2" a="1"/>
  <c r="R561" i="2"/>
  <c r="Q561" i="2" a="1"/>
  <c r="Q561" i="2"/>
  <c r="P561" i="2" a="1"/>
  <c r="P561" i="2" s="1"/>
  <c r="O561" i="2" a="1"/>
  <c r="O561" i="2"/>
  <c r="N561" i="2" a="1"/>
  <c r="N561" i="2"/>
  <c r="M561" i="2" a="1"/>
  <c r="M561" i="2" s="1"/>
  <c r="L561" i="2" a="1"/>
  <c r="L561" i="2"/>
  <c r="K561" i="2" a="1"/>
  <c r="K561" i="2"/>
  <c r="S560" i="2" a="1"/>
  <c r="S560" i="2"/>
  <c r="R560" i="2" a="1"/>
  <c r="R560" i="2" s="1"/>
  <c r="Q560" i="2" a="1"/>
  <c r="Q560" i="2"/>
  <c r="P560" i="2" a="1"/>
  <c r="P560" i="2"/>
  <c r="O560" i="2" a="1"/>
  <c r="O560" i="2" s="1"/>
  <c r="N560" i="2" a="1"/>
  <c r="N560" i="2" s="1"/>
  <c r="M560" i="2" a="1"/>
  <c r="M560" i="2"/>
  <c r="L560" i="2" a="1"/>
  <c r="L560" i="2" s="1"/>
  <c r="K560" i="2" a="1"/>
  <c r="K560" i="2" s="1"/>
  <c r="S559" i="2" a="1"/>
  <c r="S559" i="2" s="1"/>
  <c r="R559" i="2" a="1"/>
  <c r="R559" i="2"/>
  <c r="Q559" i="2" a="1"/>
  <c r="Q559" i="2" s="1"/>
  <c r="P559" i="2" a="1"/>
  <c r="P559" i="2" s="1"/>
  <c r="O559" i="2" a="1"/>
  <c r="O559" i="2"/>
  <c r="N559" i="2" a="1"/>
  <c r="N559" i="2" s="1"/>
  <c r="M559" i="2" a="1"/>
  <c r="M559" i="2"/>
  <c r="L559" i="2" a="1"/>
  <c r="L559" i="2"/>
  <c r="K559" i="2" a="1"/>
  <c r="K559" i="2" s="1"/>
  <c r="S558" i="2" a="1"/>
  <c r="S558" i="2" s="1"/>
  <c r="R558" i="2" a="1"/>
  <c r="R558" i="2" s="1"/>
  <c r="Q558" i="2" a="1"/>
  <c r="Q558" i="2"/>
  <c r="P558" i="2" a="1"/>
  <c r="P558" i="2" s="1"/>
  <c r="O558" i="2" a="1"/>
  <c r="O558" i="2"/>
  <c r="N558" i="2" a="1"/>
  <c r="N558" i="2"/>
  <c r="M558" i="2" a="1"/>
  <c r="M558" i="2" s="1"/>
  <c r="L558" i="2" a="1"/>
  <c r="L558" i="2"/>
  <c r="K558" i="2" a="1"/>
  <c r="K558" i="2"/>
  <c r="S557" i="2" a="1"/>
  <c r="S557" i="2"/>
  <c r="R557" i="2" a="1"/>
  <c r="R557" i="2" s="1"/>
  <c r="Q557" i="2" a="1"/>
  <c r="Q557" i="2"/>
  <c r="P557" i="2" a="1"/>
  <c r="P557" i="2"/>
  <c r="O557" i="2" a="1"/>
  <c r="O557" i="2" s="1"/>
  <c r="N557" i="2" a="1"/>
  <c r="N557" i="2" s="1"/>
  <c r="M557" i="2" a="1"/>
  <c r="M557" i="2"/>
  <c r="L557" i="2" a="1"/>
  <c r="L557" i="2" s="1"/>
  <c r="K557" i="2" a="1"/>
  <c r="K557" i="2" s="1"/>
  <c r="S556" i="2" a="1"/>
  <c r="S556" i="2" s="1"/>
  <c r="R556" i="2" a="1"/>
  <c r="R556" i="2"/>
  <c r="Q556" i="2" a="1"/>
  <c r="Q556" i="2" s="1"/>
  <c r="P556" i="2" a="1"/>
  <c r="P556" i="2" s="1"/>
  <c r="O556" i="2" a="1"/>
  <c r="O556" i="2"/>
  <c r="N556" i="2" a="1"/>
  <c r="N556" i="2" s="1"/>
  <c r="M556" i="2" a="1"/>
  <c r="M556" i="2"/>
  <c r="L556" i="2" a="1"/>
  <c r="L556" i="2"/>
  <c r="K556" i="2" a="1"/>
  <c r="K556" i="2" s="1"/>
  <c r="S555" i="2" a="1"/>
  <c r="S555" i="2" s="1"/>
  <c r="R555" i="2" a="1"/>
  <c r="R555" i="2" s="1"/>
  <c r="Q555" i="2" a="1"/>
  <c r="Q555" i="2"/>
  <c r="P555" i="2" a="1"/>
  <c r="P555" i="2" s="1"/>
  <c r="O555" i="2" a="1"/>
  <c r="O555" i="2"/>
  <c r="N555" i="2" a="1"/>
  <c r="N555" i="2"/>
  <c r="M555" i="2" a="1"/>
  <c r="M555" i="2" s="1"/>
  <c r="L555" i="2" a="1"/>
  <c r="L555" i="2"/>
  <c r="K555" i="2" a="1"/>
  <c r="K555" i="2"/>
  <c r="S554" i="2" a="1"/>
  <c r="S554" i="2"/>
  <c r="R554" i="2" a="1"/>
  <c r="R554" i="2" s="1"/>
  <c r="Q554" i="2" a="1"/>
  <c r="Q554" i="2"/>
  <c r="P554" i="2" a="1"/>
  <c r="P554" i="2"/>
  <c r="O554" i="2" a="1"/>
  <c r="O554" i="2" s="1"/>
  <c r="N554" i="2" a="1"/>
  <c r="N554" i="2" s="1"/>
  <c r="M554" i="2" a="1"/>
  <c r="M554" i="2"/>
  <c r="L554" i="2" a="1"/>
  <c r="L554" i="2" s="1"/>
  <c r="K554" i="2" a="1"/>
  <c r="K554" i="2" s="1"/>
  <c r="S553" i="2" a="1"/>
  <c r="S553" i="2" s="1"/>
  <c r="R553" i="2" a="1"/>
  <c r="R553" i="2"/>
  <c r="Q553" i="2" a="1"/>
  <c r="Q553" i="2" s="1"/>
  <c r="P553" i="2" a="1"/>
  <c r="P553" i="2" s="1"/>
  <c r="O553" i="2" a="1"/>
  <c r="O553" i="2"/>
  <c r="N553" i="2" a="1"/>
  <c r="N553" i="2" s="1"/>
  <c r="M553" i="2" a="1"/>
  <c r="M553" i="2"/>
  <c r="L553" i="2" a="1"/>
  <c r="L553" i="2"/>
  <c r="K553" i="2" a="1"/>
  <c r="K553" i="2" s="1"/>
  <c r="S552" i="2" a="1"/>
  <c r="S552" i="2" s="1"/>
  <c r="R552" i="2" a="1"/>
  <c r="R552" i="2" s="1"/>
  <c r="Q552" i="2" a="1"/>
  <c r="Q552" i="2"/>
  <c r="P552" i="2" a="1"/>
  <c r="P552" i="2" s="1"/>
  <c r="O552" i="2" a="1"/>
  <c r="O552" i="2"/>
  <c r="N552" i="2" a="1"/>
  <c r="N552" i="2"/>
  <c r="M552" i="2" a="1"/>
  <c r="M552" i="2" s="1"/>
  <c r="L552" i="2" a="1"/>
  <c r="L552" i="2"/>
  <c r="K552" i="2" a="1"/>
  <c r="K552" i="2"/>
  <c r="S551" i="2" a="1"/>
  <c r="S551" i="2"/>
  <c r="R551" i="2" a="1"/>
  <c r="R551" i="2" s="1"/>
  <c r="Q551" i="2" a="1"/>
  <c r="Q551" i="2" s="1"/>
  <c r="P551" i="2" a="1"/>
  <c r="P551" i="2"/>
  <c r="O551" i="2" a="1"/>
  <c r="O551" i="2" s="1"/>
  <c r="N551" i="2" a="1"/>
  <c r="N551" i="2" s="1"/>
  <c r="M551" i="2" a="1"/>
  <c r="M551" i="2"/>
  <c r="L551" i="2" a="1"/>
  <c r="L551" i="2" s="1"/>
  <c r="K551" i="2" a="1"/>
  <c r="K551" i="2" s="1"/>
  <c r="S550" i="2" a="1"/>
  <c r="S550" i="2"/>
  <c r="R550" i="2" a="1"/>
  <c r="R550" i="2" s="1"/>
  <c r="Q550" i="2" a="1"/>
  <c r="Q550" i="2"/>
  <c r="P550" i="2" a="1"/>
  <c r="P550" i="2"/>
  <c r="O550" i="2" a="1"/>
  <c r="O550" i="2" s="1"/>
  <c r="N550" i="2" a="1"/>
  <c r="N550" i="2" s="1"/>
  <c r="M550" i="2" a="1"/>
  <c r="M550" i="2"/>
  <c r="L550" i="2" a="1"/>
  <c r="L550" i="2" s="1"/>
  <c r="K550" i="2" a="1"/>
  <c r="K550" i="2" s="1"/>
  <c r="S549" i="2" a="1"/>
  <c r="S549" i="2"/>
  <c r="R549" i="2" a="1"/>
  <c r="R549" i="2" s="1"/>
  <c r="Q549" i="2" a="1"/>
  <c r="Q549" i="2"/>
  <c r="P549" i="2" a="1"/>
  <c r="P549" i="2"/>
  <c r="O549" i="2" a="1"/>
  <c r="O549" i="2" s="1"/>
  <c r="N549" i="2" a="1"/>
  <c r="N549" i="2"/>
  <c r="M549" i="2" a="1"/>
  <c r="M549" i="2"/>
  <c r="L549" i="2" a="1"/>
  <c r="L549" i="2" s="1"/>
  <c r="K549" i="2" a="1"/>
  <c r="K549" i="2" s="1"/>
  <c r="S548" i="2" a="1"/>
  <c r="S548" i="2" s="1"/>
  <c r="R548" i="2" a="1"/>
  <c r="R548" i="2" s="1"/>
  <c r="Q548" i="2" a="1"/>
  <c r="Q548" i="2" s="1"/>
  <c r="P548" i="2" a="1"/>
  <c r="P548" i="2" s="1"/>
  <c r="O548" i="2" a="1"/>
  <c r="O548" i="2" s="1"/>
  <c r="N548" i="2" a="1"/>
  <c r="N548" i="2" s="1"/>
  <c r="M548" i="2" a="1"/>
  <c r="M548" i="2" s="1"/>
  <c r="L548" i="2" a="1"/>
  <c r="L548" i="2" s="1"/>
  <c r="K548" i="2" a="1"/>
  <c r="K548" i="2" s="1"/>
  <c r="S547" i="2" a="1"/>
  <c r="S547" i="2" s="1"/>
  <c r="R547" i="2" a="1"/>
  <c r="R547" i="2" s="1"/>
  <c r="Q547" i="2" a="1"/>
  <c r="Q547" i="2" s="1"/>
  <c r="P547" i="2" a="1"/>
  <c r="P547" i="2" s="1"/>
  <c r="O547" i="2" a="1"/>
  <c r="O547" i="2" s="1"/>
  <c r="N547" i="2" a="1"/>
  <c r="N547" i="2" s="1"/>
  <c r="M547" i="2" a="1"/>
  <c r="M547" i="2" s="1"/>
  <c r="L547" i="2" a="1"/>
  <c r="L547" i="2" s="1"/>
  <c r="K547" i="2" a="1"/>
  <c r="K547" i="2" s="1"/>
  <c r="S546" i="2" a="1"/>
  <c r="S546" i="2" s="1"/>
  <c r="R546" i="2" a="1"/>
  <c r="R546" i="2" s="1"/>
  <c r="Q546" i="2" a="1"/>
  <c r="Q546" i="2" s="1"/>
  <c r="P546" i="2" a="1"/>
  <c r="P546" i="2" s="1"/>
  <c r="O546" i="2" a="1"/>
  <c r="O546" i="2" s="1"/>
  <c r="N546" i="2" a="1"/>
  <c r="N546" i="2" s="1"/>
  <c r="M546" i="2" a="1"/>
  <c r="M546" i="2" s="1"/>
  <c r="L546" i="2" a="1"/>
  <c r="L546" i="2" s="1"/>
  <c r="K546" i="2" a="1"/>
  <c r="K546" i="2" s="1"/>
  <c r="S545" i="2" a="1"/>
  <c r="S545" i="2" s="1"/>
  <c r="R545" i="2" a="1"/>
  <c r="R545" i="2" s="1"/>
  <c r="Q545" i="2" a="1"/>
  <c r="Q545" i="2" s="1"/>
  <c r="P545" i="2" a="1"/>
  <c r="P545" i="2" s="1"/>
  <c r="O545" i="2" a="1"/>
  <c r="O545" i="2" s="1"/>
  <c r="N545" i="2" a="1"/>
  <c r="N545" i="2" s="1"/>
  <c r="M545" i="2" a="1"/>
  <c r="M545" i="2" s="1"/>
  <c r="L545" i="2" a="1"/>
  <c r="L545" i="2" s="1"/>
  <c r="K545" i="2" a="1"/>
  <c r="K545" i="2" s="1"/>
  <c r="S544" i="2" a="1"/>
  <c r="S544" i="2" s="1"/>
  <c r="R544" i="2" a="1"/>
  <c r="R544" i="2" s="1"/>
  <c r="Q544" i="2" a="1"/>
  <c r="Q544" i="2" s="1"/>
  <c r="P544" i="2" a="1"/>
  <c r="P544" i="2" s="1"/>
  <c r="O544" i="2" a="1"/>
  <c r="O544" i="2" s="1"/>
  <c r="N544" i="2" a="1"/>
  <c r="N544" i="2" s="1"/>
  <c r="M544" i="2" a="1"/>
  <c r="M544" i="2" s="1"/>
  <c r="L544" i="2" a="1"/>
  <c r="L544" i="2" s="1"/>
  <c r="K544" i="2" a="1"/>
  <c r="K544" i="2" s="1"/>
  <c r="S543" i="2" a="1"/>
  <c r="S543" i="2" s="1"/>
  <c r="R543" i="2" a="1"/>
  <c r="R543" i="2" s="1"/>
  <c r="Q543" i="2" a="1"/>
  <c r="Q543" i="2" s="1"/>
  <c r="P543" i="2" a="1"/>
  <c r="P543" i="2" s="1"/>
  <c r="O543" i="2" a="1"/>
  <c r="O543" i="2" s="1"/>
  <c r="N543" i="2" a="1"/>
  <c r="N543" i="2" s="1"/>
  <c r="M543" i="2" a="1"/>
  <c r="M543" i="2" s="1"/>
  <c r="L543" i="2" a="1"/>
  <c r="L543" i="2" s="1"/>
  <c r="K543" i="2" a="1"/>
  <c r="K543" i="2" s="1"/>
  <c r="S542" i="2" a="1"/>
  <c r="S542" i="2" s="1"/>
  <c r="R542" i="2" a="1"/>
  <c r="R542" i="2" s="1"/>
  <c r="Q542" i="2" a="1"/>
  <c r="Q542" i="2" s="1"/>
  <c r="P542" i="2" a="1"/>
  <c r="P542" i="2" s="1"/>
  <c r="O542" i="2" a="1"/>
  <c r="O542" i="2" s="1"/>
  <c r="N542" i="2" a="1"/>
  <c r="N542" i="2" s="1"/>
  <c r="M542" i="2" a="1"/>
  <c r="M542" i="2" s="1"/>
  <c r="L542" i="2" a="1"/>
  <c r="L542" i="2" s="1"/>
  <c r="K542" i="2" a="1"/>
  <c r="K542" i="2" s="1"/>
  <c r="S541" i="2" a="1"/>
  <c r="S541" i="2"/>
  <c r="R541" i="2" a="1"/>
  <c r="R541" i="2"/>
  <c r="Q541" i="2" a="1"/>
  <c r="Q541" i="2"/>
  <c r="P541" i="2" a="1"/>
  <c r="P541" i="2"/>
  <c r="O541" i="2" a="1"/>
  <c r="O541" i="2"/>
  <c r="N541" i="2" a="1"/>
  <c r="N541" i="2"/>
  <c r="M541" i="2" a="1"/>
  <c r="M541" i="2"/>
  <c r="L541" i="2" a="1"/>
  <c r="L541" i="2"/>
  <c r="K541" i="2" a="1"/>
  <c r="K541" i="2"/>
  <c r="S540" i="2" a="1"/>
  <c r="S540" i="2"/>
  <c r="R540" i="2" a="1"/>
  <c r="R540" i="2"/>
  <c r="Q540" i="2" a="1"/>
  <c r="Q540" i="2"/>
  <c r="P540" i="2" a="1"/>
  <c r="P540" i="2"/>
  <c r="O540" i="2" a="1"/>
  <c r="O540" i="2"/>
  <c r="N540" i="2" a="1"/>
  <c r="N540" i="2" s="1"/>
  <c r="M540" i="2" a="1"/>
  <c r="M540" i="2"/>
  <c r="L540" i="2" a="1"/>
  <c r="L540" i="2" s="1"/>
  <c r="K540" i="2" a="1"/>
  <c r="K540" i="2"/>
  <c r="S539" i="2" a="1"/>
  <c r="S539" i="2" s="1"/>
  <c r="R539" i="2" a="1"/>
  <c r="R539" i="2"/>
  <c r="Q539" i="2" a="1"/>
  <c r="Q539" i="2" s="1"/>
  <c r="P539" i="2" a="1"/>
  <c r="P539" i="2"/>
  <c r="O539" i="2" a="1"/>
  <c r="O539" i="2" s="1"/>
  <c r="N539" i="2" a="1"/>
  <c r="N539" i="2"/>
  <c r="M539" i="2" a="1"/>
  <c r="M539" i="2" s="1"/>
  <c r="L539" i="2" a="1"/>
  <c r="L539" i="2"/>
  <c r="K539" i="2" a="1"/>
  <c r="K539" i="2" s="1"/>
  <c r="S538" i="2" a="1"/>
  <c r="S538" i="2"/>
  <c r="R538" i="2" a="1"/>
  <c r="R538" i="2" s="1"/>
  <c r="Q538" i="2" a="1"/>
  <c r="Q538" i="2"/>
  <c r="P538" i="2" a="1"/>
  <c r="P538" i="2" s="1"/>
  <c r="O538" i="2" a="1"/>
  <c r="O538" i="2"/>
  <c r="N538" i="2" a="1"/>
  <c r="N538" i="2" s="1"/>
  <c r="M538" i="2" a="1"/>
  <c r="M538" i="2"/>
  <c r="L538" i="2" a="1"/>
  <c r="L538" i="2" s="1"/>
  <c r="K538" i="2" a="1"/>
  <c r="K538" i="2"/>
  <c r="S537" i="2" a="1"/>
  <c r="S537" i="2" s="1"/>
  <c r="R537" i="2" a="1"/>
  <c r="R537" i="2"/>
  <c r="Q537" i="2" a="1"/>
  <c r="Q537" i="2" s="1"/>
  <c r="P537" i="2" a="1"/>
  <c r="P537" i="2"/>
  <c r="O537" i="2" a="1"/>
  <c r="O537" i="2" s="1"/>
  <c r="N537" i="2" a="1"/>
  <c r="N537" i="2"/>
  <c r="M537" i="2" a="1"/>
  <c r="M537" i="2" s="1"/>
  <c r="L537" i="2" a="1"/>
  <c r="L537" i="2"/>
  <c r="K537" i="2" a="1"/>
  <c r="K537" i="2" s="1"/>
  <c r="S536" i="2" a="1"/>
  <c r="S536" i="2"/>
  <c r="R536" i="2" a="1"/>
  <c r="R536" i="2" s="1"/>
  <c r="Q536" i="2" a="1"/>
  <c r="Q536" i="2"/>
  <c r="P536" i="2" a="1"/>
  <c r="P536" i="2" s="1"/>
  <c r="O536" i="2" a="1"/>
  <c r="O536" i="2"/>
  <c r="N536" i="2" a="1"/>
  <c r="N536" i="2" s="1"/>
  <c r="M536" i="2" a="1"/>
  <c r="M536" i="2"/>
  <c r="L536" i="2" a="1"/>
  <c r="L536" i="2" s="1"/>
  <c r="K536" i="2" a="1"/>
  <c r="K536" i="2"/>
  <c r="S535" i="2" a="1"/>
  <c r="S535" i="2" s="1"/>
  <c r="R535" i="2" a="1"/>
  <c r="R535" i="2"/>
  <c r="Q535" i="2" a="1"/>
  <c r="Q535" i="2" s="1"/>
  <c r="P535" i="2" a="1"/>
  <c r="P535" i="2"/>
  <c r="O535" i="2" a="1"/>
  <c r="O535" i="2" s="1"/>
  <c r="N535" i="2" a="1"/>
  <c r="N535" i="2"/>
  <c r="M535" i="2" a="1"/>
  <c r="M535" i="2" s="1"/>
  <c r="L535" i="2" a="1"/>
  <c r="L535" i="2"/>
  <c r="K535" i="2" a="1"/>
  <c r="K535" i="2" s="1"/>
  <c r="S534" i="2" a="1"/>
  <c r="S534" i="2"/>
  <c r="R534" i="2" a="1"/>
  <c r="R534" i="2" s="1"/>
  <c r="Q534" i="2" a="1"/>
  <c r="Q534" i="2"/>
  <c r="P534" i="2" a="1"/>
  <c r="P534" i="2" s="1"/>
  <c r="O534" i="2" a="1"/>
  <c r="O534" i="2"/>
  <c r="N534" i="2" a="1"/>
  <c r="N534" i="2" s="1"/>
  <c r="M534" i="2" a="1"/>
  <c r="M534" i="2"/>
  <c r="L534" i="2" a="1"/>
  <c r="L534" i="2" s="1"/>
  <c r="K534" i="2" a="1"/>
  <c r="K534" i="2"/>
  <c r="S533" i="2" a="1"/>
  <c r="S533" i="2" s="1"/>
  <c r="R533" i="2" a="1"/>
  <c r="R533" i="2"/>
  <c r="Q533" i="2" a="1"/>
  <c r="Q533" i="2" s="1"/>
  <c r="P533" i="2" a="1"/>
  <c r="P533" i="2"/>
  <c r="O533" i="2" a="1"/>
  <c r="O533" i="2" s="1"/>
  <c r="N533" i="2" a="1"/>
  <c r="N533" i="2"/>
  <c r="M533" i="2" a="1"/>
  <c r="M533" i="2" s="1"/>
  <c r="L533" i="2" a="1"/>
  <c r="L533" i="2"/>
  <c r="K533" i="2" a="1"/>
  <c r="K533" i="2" s="1"/>
  <c r="S532" i="2" a="1"/>
  <c r="S532" i="2"/>
  <c r="R532" i="2" a="1"/>
  <c r="R532" i="2" s="1"/>
  <c r="Q532" i="2" a="1"/>
  <c r="Q532" i="2"/>
  <c r="P532" i="2" a="1"/>
  <c r="P532" i="2" s="1"/>
  <c r="O532" i="2" a="1"/>
  <c r="O532" i="2"/>
  <c r="N532" i="2" a="1"/>
  <c r="N532" i="2" s="1"/>
  <c r="M532" i="2" a="1"/>
  <c r="M532" i="2"/>
  <c r="L532" i="2" a="1"/>
  <c r="L532" i="2" s="1"/>
  <c r="K532" i="2" a="1"/>
  <c r="K532" i="2"/>
  <c r="S531" i="2" a="1"/>
  <c r="S531" i="2"/>
  <c r="R531" i="2" a="1"/>
  <c r="R531" i="2"/>
  <c r="Q531" i="2" a="1"/>
  <c r="Q531" i="2"/>
  <c r="P531" i="2" a="1"/>
  <c r="P531" i="2"/>
  <c r="O531" i="2" a="1"/>
  <c r="O531" i="2"/>
  <c r="N531" i="2" a="1"/>
  <c r="N531" i="2"/>
  <c r="M531" i="2" a="1"/>
  <c r="M531" i="2"/>
  <c r="L531" i="2" a="1"/>
  <c r="L531" i="2"/>
  <c r="K531" i="2" a="1"/>
  <c r="K531" i="2"/>
  <c r="S530" i="2" a="1"/>
  <c r="S530" i="2"/>
  <c r="R530" i="2" a="1"/>
  <c r="R530" i="2"/>
  <c r="Q530" i="2" a="1"/>
  <c r="Q530" i="2"/>
  <c r="P530" i="2" a="1"/>
  <c r="P530" i="2"/>
  <c r="O530" i="2" a="1"/>
  <c r="O530" i="2"/>
  <c r="N530" i="2" a="1"/>
  <c r="N530" i="2"/>
  <c r="M530" i="2" a="1"/>
  <c r="M530" i="2"/>
  <c r="L530" i="2" a="1"/>
  <c r="L530" i="2"/>
  <c r="K530" i="2" a="1"/>
  <c r="K530" i="2" s="1"/>
  <c r="S529" i="2" a="1"/>
  <c r="S529" i="2" s="1"/>
  <c r="R529" i="2" a="1"/>
  <c r="R529" i="2"/>
  <c r="Q529" i="2" a="1"/>
  <c r="Q529" i="2" s="1"/>
  <c r="P529" i="2" a="1"/>
  <c r="P529" i="2" s="1"/>
  <c r="O529" i="2" a="1"/>
  <c r="O529" i="2" s="1"/>
  <c r="N529" i="2" a="1"/>
  <c r="N529" i="2" s="1"/>
  <c r="M529" i="2" a="1"/>
  <c r="M529" i="2" s="1"/>
  <c r="L529" i="2" a="1"/>
  <c r="L529" i="2" s="1"/>
  <c r="K529" i="2" a="1"/>
  <c r="K529" i="2" s="1"/>
  <c r="S528" i="2" a="1"/>
  <c r="S528" i="2" s="1"/>
  <c r="R528" i="2" a="1"/>
  <c r="R528" i="2" s="1"/>
  <c r="Q528" i="2" a="1"/>
  <c r="Q528" i="2" s="1"/>
  <c r="P528" i="2" a="1"/>
  <c r="P528" i="2" s="1"/>
  <c r="O528" i="2" a="1"/>
  <c r="O528" i="2" s="1"/>
  <c r="N528" i="2" a="1"/>
  <c r="N528" i="2" s="1"/>
  <c r="M528" i="2" a="1"/>
  <c r="M528" i="2" s="1"/>
  <c r="L528" i="2" a="1"/>
  <c r="L528" i="2" s="1"/>
  <c r="K528" i="2" a="1"/>
  <c r="K528" i="2" s="1"/>
  <c r="S527" i="2" a="1"/>
  <c r="S527" i="2" s="1"/>
  <c r="R527" i="2" a="1"/>
  <c r="R527" i="2" s="1"/>
  <c r="Q527" i="2" a="1"/>
  <c r="Q527" i="2" s="1"/>
  <c r="P527" i="2" a="1"/>
  <c r="P527" i="2" s="1"/>
  <c r="O527" i="2" a="1"/>
  <c r="O527" i="2" s="1"/>
  <c r="N527" i="2" a="1"/>
  <c r="N527" i="2" s="1"/>
  <c r="M527" i="2" a="1"/>
  <c r="M527" i="2" s="1"/>
  <c r="L527" i="2" a="1"/>
  <c r="L527" i="2" s="1"/>
  <c r="K527" i="2" a="1"/>
  <c r="K527" i="2" s="1"/>
  <c r="S526" i="2" a="1"/>
  <c r="S526" i="2" s="1"/>
  <c r="R526" i="2" a="1"/>
  <c r="R526" i="2" s="1"/>
  <c r="Q526" i="2" a="1"/>
  <c r="Q526" i="2" s="1"/>
  <c r="P526" i="2" a="1"/>
  <c r="P526" i="2" s="1"/>
  <c r="O526" i="2" a="1"/>
  <c r="O526" i="2" s="1"/>
  <c r="N526" i="2" a="1"/>
  <c r="N526" i="2" s="1"/>
  <c r="M526" i="2" a="1"/>
  <c r="M526" i="2" s="1"/>
  <c r="L526" i="2" a="1"/>
  <c r="L526" i="2" s="1"/>
  <c r="K526" i="2" a="1"/>
  <c r="K526" i="2" s="1"/>
  <c r="S525" i="2" a="1"/>
  <c r="S525" i="2" s="1"/>
  <c r="R525" i="2" a="1"/>
  <c r="R525" i="2" s="1"/>
  <c r="Q525" i="2" a="1"/>
  <c r="Q525" i="2" s="1"/>
  <c r="P525" i="2" a="1"/>
  <c r="P525" i="2" s="1"/>
  <c r="O525" i="2" a="1"/>
  <c r="O525" i="2" s="1"/>
  <c r="N525" i="2" a="1"/>
  <c r="N525" i="2" s="1"/>
  <c r="M525" i="2" a="1"/>
  <c r="M525" i="2" s="1"/>
  <c r="L525" i="2" a="1"/>
  <c r="L525" i="2" s="1"/>
  <c r="K525" i="2" a="1"/>
  <c r="K525" i="2" s="1"/>
  <c r="S524" i="2" a="1"/>
  <c r="S524" i="2" s="1"/>
  <c r="R524" i="2" a="1"/>
  <c r="R524" i="2" s="1"/>
  <c r="Q524" i="2" a="1"/>
  <c r="Q524" i="2" s="1"/>
  <c r="P524" i="2" a="1"/>
  <c r="P524" i="2" s="1"/>
  <c r="O524" i="2" a="1"/>
  <c r="O524" i="2" s="1"/>
  <c r="N524" i="2" a="1"/>
  <c r="N524" i="2" s="1"/>
  <c r="M524" i="2" a="1"/>
  <c r="M524" i="2" s="1"/>
  <c r="L524" i="2" a="1"/>
  <c r="L524" i="2" s="1"/>
  <c r="K524" i="2" a="1"/>
  <c r="K524" i="2" s="1"/>
  <c r="S523" i="2" a="1"/>
  <c r="S523" i="2" s="1"/>
  <c r="R523" i="2" a="1"/>
  <c r="R523" i="2" s="1"/>
  <c r="Q523" i="2" a="1"/>
  <c r="Q523" i="2" s="1"/>
  <c r="P523" i="2" a="1"/>
  <c r="P523" i="2" s="1"/>
  <c r="O523" i="2" a="1"/>
  <c r="O523" i="2" s="1"/>
  <c r="N523" i="2" a="1"/>
  <c r="N523" i="2" s="1"/>
  <c r="M523" i="2" a="1"/>
  <c r="M523" i="2" s="1"/>
  <c r="L523" i="2" a="1"/>
  <c r="L523" i="2" s="1"/>
  <c r="K523" i="2" a="1"/>
  <c r="K523" i="2" s="1"/>
  <c r="S522" i="2" a="1"/>
  <c r="S522" i="2" s="1"/>
  <c r="R522" i="2" a="1"/>
  <c r="R522" i="2" s="1"/>
  <c r="Q522" i="2" a="1"/>
  <c r="Q522" i="2" s="1"/>
  <c r="P522" i="2" a="1"/>
  <c r="P522" i="2" s="1"/>
  <c r="O522" i="2" a="1"/>
  <c r="O522" i="2" s="1"/>
  <c r="N522" i="2" a="1"/>
  <c r="N522" i="2" s="1"/>
  <c r="M522" i="2" a="1"/>
  <c r="M522" i="2" s="1"/>
  <c r="L522" i="2" a="1"/>
  <c r="L522" i="2" s="1"/>
  <c r="K522" i="2" a="1"/>
  <c r="K522" i="2" s="1"/>
  <c r="S521" i="2" a="1"/>
  <c r="S521" i="2" s="1"/>
  <c r="R521" i="2" a="1"/>
  <c r="R521" i="2" s="1"/>
  <c r="Q521" i="2" a="1"/>
  <c r="Q521" i="2" s="1"/>
  <c r="P521" i="2" a="1"/>
  <c r="P521" i="2" s="1"/>
  <c r="O521" i="2" a="1"/>
  <c r="O521" i="2" s="1"/>
  <c r="N521" i="2" a="1"/>
  <c r="N521" i="2" s="1"/>
  <c r="M521" i="2" a="1"/>
  <c r="M521" i="2" s="1"/>
  <c r="L521" i="2" a="1"/>
  <c r="L521" i="2" s="1"/>
  <c r="K521" i="2" a="1"/>
  <c r="K521" i="2" s="1"/>
  <c r="S520" i="2" a="1"/>
  <c r="S520" i="2" s="1"/>
  <c r="R520" i="2" a="1"/>
  <c r="R520" i="2" s="1"/>
  <c r="Q520" i="2" a="1"/>
  <c r="Q520" i="2" s="1"/>
  <c r="P520" i="2" a="1"/>
  <c r="P520" i="2" s="1"/>
  <c r="O520" i="2" a="1"/>
  <c r="O520" i="2" s="1"/>
  <c r="N520" i="2" a="1"/>
  <c r="N520" i="2" s="1"/>
  <c r="M520" i="2" a="1"/>
  <c r="M520" i="2" s="1"/>
  <c r="L520" i="2" a="1"/>
  <c r="L520" i="2" s="1"/>
  <c r="K520" i="2" a="1"/>
  <c r="K520" i="2" s="1"/>
  <c r="S519" i="2" a="1"/>
  <c r="S519" i="2" s="1"/>
  <c r="R519" i="2" a="1"/>
  <c r="R519" i="2" s="1"/>
  <c r="Q519" i="2" a="1"/>
  <c r="Q519" i="2"/>
  <c r="P519" i="2" a="1"/>
  <c r="P519" i="2" s="1"/>
  <c r="O519" i="2" a="1"/>
  <c r="O519" i="2"/>
  <c r="N519" i="2" a="1"/>
  <c r="N519" i="2" s="1"/>
  <c r="M519" i="2" a="1"/>
  <c r="M519" i="2" s="1"/>
  <c r="L519" i="2" a="1"/>
  <c r="L519" i="2" s="1"/>
  <c r="K519" i="2" a="1"/>
  <c r="K519" i="2" s="1"/>
  <c r="S518" i="2" a="1"/>
  <c r="S518" i="2" s="1"/>
  <c r="R518" i="2" a="1"/>
  <c r="R518" i="2" s="1"/>
  <c r="Q518" i="2" a="1"/>
  <c r="Q518" i="2"/>
  <c r="P518" i="2" a="1"/>
  <c r="P518" i="2" s="1"/>
  <c r="O518" i="2" a="1"/>
  <c r="O518" i="2"/>
  <c r="N518" i="2" a="1"/>
  <c r="N518" i="2" s="1"/>
  <c r="M518" i="2" a="1"/>
  <c r="M518" i="2" s="1"/>
  <c r="L518" i="2" a="1"/>
  <c r="L518" i="2" s="1"/>
  <c r="K518" i="2" a="1"/>
  <c r="K518" i="2" s="1"/>
  <c r="S517" i="2" a="1"/>
  <c r="S517" i="2" s="1"/>
  <c r="R517" i="2" a="1"/>
  <c r="R517" i="2" s="1"/>
  <c r="Q517" i="2" a="1"/>
  <c r="Q517" i="2"/>
  <c r="P517" i="2" a="1"/>
  <c r="P517" i="2" s="1"/>
  <c r="O517" i="2" a="1"/>
  <c r="O517" i="2"/>
  <c r="N517" i="2" a="1"/>
  <c r="N517" i="2" s="1"/>
  <c r="M517" i="2" a="1"/>
  <c r="M517" i="2" s="1"/>
  <c r="L517" i="2" a="1"/>
  <c r="L517" i="2" s="1"/>
  <c r="K517" i="2" a="1"/>
  <c r="K517" i="2" s="1"/>
  <c r="S516" i="2" a="1"/>
  <c r="S516" i="2" s="1"/>
  <c r="R516" i="2" a="1"/>
  <c r="R516" i="2" s="1"/>
  <c r="Q516" i="2" a="1"/>
  <c r="Q516" i="2"/>
  <c r="P516" i="2" a="1"/>
  <c r="P516" i="2" s="1"/>
  <c r="O516" i="2" a="1"/>
  <c r="O516" i="2"/>
  <c r="N516" i="2" a="1"/>
  <c r="N516" i="2" s="1"/>
  <c r="M516" i="2" a="1"/>
  <c r="M516" i="2" s="1"/>
  <c r="L516" i="2" a="1"/>
  <c r="L516" i="2" s="1"/>
  <c r="K516" i="2" a="1"/>
  <c r="K516" i="2" s="1"/>
  <c r="S515" i="2" a="1"/>
  <c r="S515" i="2" s="1"/>
  <c r="R515" i="2" a="1"/>
  <c r="R515" i="2" s="1"/>
  <c r="Q515" i="2" a="1"/>
  <c r="Q515" i="2"/>
  <c r="P515" i="2" a="1"/>
  <c r="P515" i="2" s="1"/>
  <c r="O515" i="2" a="1"/>
  <c r="O515" i="2"/>
  <c r="N515" i="2" a="1"/>
  <c r="N515" i="2" s="1"/>
  <c r="M515" i="2" a="1"/>
  <c r="M515" i="2" s="1"/>
  <c r="L515" i="2" a="1"/>
  <c r="L515" i="2" s="1"/>
  <c r="K515" i="2" a="1"/>
  <c r="K515" i="2" s="1"/>
  <c r="S514" i="2" a="1"/>
  <c r="S514" i="2" s="1"/>
  <c r="R514" i="2" a="1"/>
  <c r="R514" i="2" s="1"/>
  <c r="Q514" i="2" a="1"/>
  <c r="Q514" i="2"/>
  <c r="P514" i="2" a="1"/>
  <c r="P514" i="2" s="1"/>
  <c r="O514" i="2" a="1"/>
  <c r="O514" i="2"/>
  <c r="N514" i="2" a="1"/>
  <c r="N514" i="2" s="1"/>
  <c r="M514" i="2" a="1"/>
  <c r="M514" i="2" s="1"/>
  <c r="L514" i="2" a="1"/>
  <c r="L514" i="2" s="1"/>
  <c r="K514" i="2" a="1"/>
  <c r="K514" i="2" s="1"/>
  <c r="S513" i="2" a="1"/>
  <c r="S513" i="2" s="1"/>
  <c r="R513" i="2" a="1"/>
  <c r="R513" i="2" s="1"/>
  <c r="Q513" i="2" a="1"/>
  <c r="Q513" i="2"/>
  <c r="P513" i="2" a="1"/>
  <c r="P513" i="2" s="1"/>
  <c r="O513" i="2" a="1"/>
  <c r="O513" i="2"/>
  <c r="N513" i="2" a="1"/>
  <c r="N513" i="2" s="1"/>
  <c r="M513" i="2" a="1"/>
  <c r="M513" i="2" s="1"/>
  <c r="L513" i="2" a="1"/>
  <c r="L513" i="2" s="1"/>
  <c r="K513" i="2" a="1"/>
  <c r="K513" i="2" s="1"/>
  <c r="S512" i="2" a="1"/>
  <c r="S512" i="2" s="1"/>
  <c r="R512" i="2" a="1"/>
  <c r="R512" i="2" s="1"/>
  <c r="Q512" i="2" a="1"/>
  <c r="Q512" i="2"/>
  <c r="P512" i="2" a="1"/>
  <c r="P512" i="2" s="1"/>
  <c r="O512" i="2" a="1"/>
  <c r="O512" i="2"/>
  <c r="N512" i="2" a="1"/>
  <c r="N512" i="2" s="1"/>
  <c r="M512" i="2" a="1"/>
  <c r="M512" i="2" s="1"/>
  <c r="L512" i="2" a="1"/>
  <c r="L512" i="2" s="1"/>
  <c r="K512" i="2" a="1"/>
  <c r="K512" i="2" s="1"/>
  <c r="S511" i="2" a="1"/>
  <c r="S511" i="2" s="1"/>
  <c r="R511" i="2" a="1"/>
  <c r="R511" i="2" s="1"/>
  <c r="Q511" i="2" a="1"/>
  <c r="Q511" i="2"/>
  <c r="P511" i="2" a="1"/>
  <c r="P511" i="2" s="1"/>
  <c r="O511" i="2" a="1"/>
  <c r="O511" i="2"/>
  <c r="N511" i="2" a="1"/>
  <c r="N511" i="2" s="1"/>
  <c r="M511" i="2" a="1"/>
  <c r="M511" i="2" s="1"/>
  <c r="L511" i="2" a="1"/>
  <c r="L511" i="2" s="1"/>
  <c r="K511" i="2" a="1"/>
  <c r="K511" i="2" s="1"/>
  <c r="S510" i="2" a="1"/>
  <c r="S510" i="2" s="1"/>
  <c r="R510" i="2" a="1"/>
  <c r="R510" i="2" s="1"/>
  <c r="Q510" i="2" a="1"/>
  <c r="Q510" i="2"/>
  <c r="P510" i="2" a="1"/>
  <c r="P510" i="2" s="1"/>
  <c r="O510" i="2" a="1"/>
  <c r="O510" i="2"/>
  <c r="N510" i="2" a="1"/>
  <c r="N510" i="2" s="1"/>
  <c r="M510" i="2" a="1"/>
  <c r="M510" i="2" s="1"/>
  <c r="L510" i="2" a="1"/>
  <c r="L510" i="2" s="1"/>
  <c r="K510" i="2" a="1"/>
  <c r="K510" i="2" s="1"/>
  <c r="S509" i="2" a="1"/>
  <c r="S509" i="2"/>
  <c r="R509" i="2" a="1"/>
  <c r="R509" i="2" s="1"/>
  <c r="Q509" i="2" a="1"/>
  <c r="Q509" i="2"/>
  <c r="P509" i="2" a="1"/>
  <c r="P509" i="2" s="1"/>
  <c r="O509" i="2" a="1"/>
  <c r="O509" i="2"/>
  <c r="N509" i="2" a="1"/>
  <c r="N509" i="2" s="1"/>
  <c r="M509" i="2" a="1"/>
  <c r="M509" i="2"/>
  <c r="L509" i="2" a="1"/>
  <c r="L509" i="2" s="1"/>
  <c r="K509" i="2" a="1"/>
  <c r="K509" i="2"/>
  <c r="S508" i="2" a="1"/>
  <c r="S508" i="2" s="1"/>
  <c r="R508" i="2" a="1"/>
  <c r="R508" i="2"/>
  <c r="Q508" i="2" a="1"/>
  <c r="Q508" i="2" s="1"/>
  <c r="P508" i="2" a="1"/>
  <c r="P508" i="2"/>
  <c r="O508" i="2" a="1"/>
  <c r="O508" i="2" s="1"/>
  <c r="N508" i="2" a="1"/>
  <c r="N508" i="2" s="1"/>
  <c r="M508" i="2" a="1"/>
  <c r="M508" i="2" s="1"/>
  <c r="L508" i="2" a="1"/>
  <c r="L508" i="2" s="1"/>
  <c r="K508" i="2" a="1"/>
  <c r="K508" i="2" s="1"/>
  <c r="S507" i="2" a="1"/>
  <c r="S507" i="2" s="1"/>
  <c r="R507" i="2" a="1"/>
  <c r="R507" i="2"/>
  <c r="Q507" i="2" a="1"/>
  <c r="Q507" i="2" s="1"/>
  <c r="P507" i="2" a="1"/>
  <c r="P507" i="2"/>
  <c r="O507" i="2" a="1"/>
  <c r="O507" i="2" s="1"/>
  <c r="N507" i="2" a="1"/>
  <c r="N507" i="2"/>
  <c r="M507" i="2" a="1"/>
  <c r="M507" i="2" s="1"/>
  <c r="L507" i="2" a="1"/>
  <c r="L507" i="2"/>
  <c r="K507" i="2" a="1"/>
  <c r="K507" i="2" s="1"/>
  <c r="S506" i="2" a="1"/>
  <c r="S506" i="2"/>
  <c r="R506" i="2" a="1"/>
  <c r="R506" i="2" s="1"/>
  <c r="Q506" i="2" a="1"/>
  <c r="Q506" i="2"/>
  <c r="P506" i="2" a="1"/>
  <c r="P506" i="2" s="1"/>
  <c r="O506" i="2" a="1"/>
  <c r="O506" i="2" s="1"/>
  <c r="N506" i="2" a="1"/>
  <c r="N506" i="2" s="1"/>
  <c r="M506" i="2" a="1"/>
  <c r="M506" i="2" s="1"/>
  <c r="L506" i="2" a="1"/>
  <c r="L506" i="2" s="1"/>
  <c r="K506" i="2" a="1"/>
  <c r="K506" i="2"/>
  <c r="S505" i="2" a="1"/>
  <c r="S505" i="2"/>
  <c r="R505" i="2" a="1"/>
  <c r="R505" i="2" s="1"/>
  <c r="Q505" i="2" a="1"/>
  <c r="Q505" i="2"/>
  <c r="P505" i="2" a="1"/>
  <c r="P505" i="2" s="1"/>
  <c r="O505" i="2" a="1"/>
  <c r="O505" i="2"/>
  <c r="N505" i="2" a="1"/>
  <c r="N505" i="2" s="1"/>
  <c r="M505" i="2" a="1"/>
  <c r="M505" i="2"/>
  <c r="L505" i="2" a="1"/>
  <c r="L505" i="2" s="1"/>
  <c r="K505" i="2" a="1"/>
  <c r="K505" i="2"/>
  <c r="S504" i="2" a="1"/>
  <c r="S504" i="2" s="1"/>
  <c r="R504" i="2" a="1"/>
  <c r="R504" i="2"/>
  <c r="Q504" i="2" a="1"/>
  <c r="Q504" i="2" s="1"/>
  <c r="P504" i="2" a="1"/>
  <c r="P504" i="2" s="1"/>
  <c r="O504" i="2" a="1"/>
  <c r="O504" i="2" s="1"/>
  <c r="N504" i="2" a="1"/>
  <c r="N504" i="2" s="1"/>
  <c r="M504" i="2" a="1"/>
  <c r="M504" i="2" s="1"/>
  <c r="L504" i="2" a="1"/>
  <c r="L504" i="2"/>
  <c r="K504" i="2" a="1"/>
  <c r="K504" i="2" s="1"/>
  <c r="S503" i="2" a="1"/>
  <c r="S503" i="2"/>
  <c r="R503" i="2" a="1"/>
  <c r="R503" i="2"/>
  <c r="Q503" i="2" a="1"/>
  <c r="Q503" i="2"/>
  <c r="P503" i="2" a="1"/>
  <c r="P503" i="2"/>
  <c r="O503" i="2" a="1"/>
  <c r="O503" i="2"/>
  <c r="N503" i="2" a="1"/>
  <c r="N503" i="2"/>
  <c r="M503" i="2" a="1"/>
  <c r="M503" i="2"/>
  <c r="L503" i="2" a="1"/>
  <c r="L503" i="2"/>
  <c r="K503" i="2" a="1"/>
  <c r="K503" i="2"/>
  <c r="S502" i="2" a="1"/>
  <c r="S502" i="2"/>
  <c r="R502" i="2" a="1"/>
  <c r="R502" i="2" s="1"/>
  <c r="Q502" i="2" a="1"/>
  <c r="Q502" i="2" s="1"/>
  <c r="P502" i="2" a="1"/>
  <c r="P502" i="2" s="1"/>
  <c r="O502" i="2" a="1"/>
  <c r="O502" i="2" s="1"/>
  <c r="N502" i="2" a="1"/>
  <c r="N502" i="2" s="1"/>
  <c r="M502" i="2" a="1"/>
  <c r="M502" i="2"/>
  <c r="L502" i="2" a="1"/>
  <c r="L502" i="2" s="1"/>
  <c r="K502" i="2" a="1"/>
  <c r="K502" i="2"/>
  <c r="S501" i="2" a="1"/>
  <c r="S501" i="2"/>
  <c r="R501" i="2" a="1"/>
  <c r="R501" i="2"/>
  <c r="Q501" i="2" a="1"/>
  <c r="Q501" i="2"/>
  <c r="P501" i="2" a="1"/>
  <c r="P501" i="2"/>
  <c r="O501" i="2" a="1"/>
  <c r="O501" i="2"/>
  <c r="N501" i="2" a="1"/>
  <c r="N501" i="2"/>
  <c r="M501" i="2" a="1"/>
  <c r="M501" i="2"/>
  <c r="L501" i="2" a="1"/>
  <c r="L501" i="2"/>
  <c r="K501" i="2" a="1"/>
  <c r="K501" i="2"/>
  <c r="S500" i="2" a="1"/>
  <c r="S500" i="2"/>
  <c r="R500" i="2" a="1"/>
  <c r="R500" i="2"/>
  <c r="Q500" i="2" a="1"/>
  <c r="Q500" i="2"/>
  <c r="P500" i="2" a="1"/>
  <c r="P500" i="2"/>
  <c r="O500" i="2" a="1"/>
  <c r="O500" i="2"/>
  <c r="N500" i="2" a="1"/>
  <c r="N500" i="2"/>
  <c r="M500" i="2" a="1"/>
  <c r="M500" i="2"/>
  <c r="L500" i="2" a="1"/>
  <c r="L500" i="2" s="1"/>
  <c r="K500" i="2" a="1"/>
  <c r="K500" i="2"/>
  <c r="S499" i="2" a="1"/>
  <c r="S499" i="2" s="1"/>
  <c r="R499" i="2" a="1"/>
  <c r="R499" i="2"/>
  <c r="Q499" i="2" a="1"/>
  <c r="Q499" i="2" s="1"/>
  <c r="P499" i="2" a="1"/>
  <c r="P499" i="2" s="1"/>
  <c r="O499" i="2" a="1"/>
  <c r="O499" i="2" s="1"/>
  <c r="N499" i="2" a="1"/>
  <c r="N499" i="2" s="1"/>
  <c r="M499" i="2" a="1"/>
  <c r="M499" i="2" s="1"/>
  <c r="L499" i="2" a="1"/>
  <c r="L499" i="2" s="1"/>
  <c r="K499" i="2" a="1"/>
  <c r="K499" i="2" s="1"/>
  <c r="S498" i="2" a="1"/>
  <c r="S498" i="2" s="1"/>
  <c r="R498" i="2" a="1"/>
  <c r="R498" i="2" s="1"/>
  <c r="Q498" i="2" a="1"/>
  <c r="Q498" i="2" s="1"/>
  <c r="P498" i="2" a="1"/>
  <c r="P498" i="2" s="1"/>
  <c r="O498" i="2" a="1"/>
  <c r="O498" i="2" s="1"/>
  <c r="N498" i="2" a="1"/>
  <c r="N498" i="2" s="1"/>
  <c r="M498" i="2" a="1"/>
  <c r="M498" i="2" s="1"/>
  <c r="L498" i="2" a="1"/>
  <c r="L498" i="2" s="1"/>
  <c r="K498" i="2" a="1"/>
  <c r="K498" i="2" s="1"/>
  <c r="S497" i="2" a="1"/>
  <c r="S497" i="2" s="1"/>
  <c r="R497" i="2" a="1"/>
  <c r="R497" i="2" s="1"/>
  <c r="Q497" i="2" a="1"/>
  <c r="Q497" i="2" s="1"/>
  <c r="P497" i="2" a="1"/>
  <c r="P497" i="2" s="1"/>
  <c r="O497" i="2" a="1"/>
  <c r="O497" i="2" s="1"/>
  <c r="N497" i="2" a="1"/>
  <c r="N497" i="2" s="1"/>
  <c r="M497" i="2" a="1"/>
  <c r="M497" i="2" s="1"/>
  <c r="L497" i="2" a="1"/>
  <c r="L497" i="2" s="1"/>
  <c r="K497" i="2" a="1"/>
  <c r="K497" i="2" s="1"/>
  <c r="S496" i="2" a="1"/>
  <c r="S496" i="2" s="1"/>
  <c r="R496" i="2" a="1"/>
  <c r="R496" i="2" s="1"/>
  <c r="Q496" i="2" a="1"/>
  <c r="Q496" i="2" s="1"/>
  <c r="P496" i="2" a="1"/>
  <c r="P496" i="2" s="1"/>
  <c r="O496" i="2" a="1"/>
  <c r="O496" i="2" s="1"/>
  <c r="N496" i="2" a="1"/>
  <c r="N496" i="2" s="1"/>
  <c r="M496" i="2" a="1"/>
  <c r="M496" i="2" s="1"/>
  <c r="L496" i="2" a="1"/>
  <c r="L496" i="2" s="1"/>
  <c r="K496" i="2" a="1"/>
  <c r="K496" i="2" s="1"/>
  <c r="S495" i="2" a="1"/>
  <c r="S495" i="2" s="1"/>
  <c r="R495" i="2" a="1"/>
  <c r="R495" i="2" s="1"/>
  <c r="Q495" i="2" a="1"/>
  <c r="Q495" i="2" s="1"/>
  <c r="P495" i="2" a="1"/>
  <c r="P495" i="2" s="1"/>
  <c r="O495" i="2" a="1"/>
  <c r="O495" i="2" s="1"/>
  <c r="N495" i="2" a="1"/>
  <c r="N495" i="2" s="1"/>
  <c r="M495" i="2" a="1"/>
  <c r="M495" i="2" s="1"/>
  <c r="L495" i="2" a="1"/>
  <c r="L495" i="2" s="1"/>
  <c r="K495" i="2" a="1"/>
  <c r="K495" i="2" s="1"/>
  <c r="S494" i="2" a="1"/>
  <c r="S494" i="2" s="1"/>
  <c r="R494" i="2" a="1"/>
  <c r="R494" i="2" s="1"/>
  <c r="Q494" i="2" a="1"/>
  <c r="Q494" i="2" s="1"/>
  <c r="P494" i="2" a="1"/>
  <c r="P494" i="2" s="1"/>
  <c r="O494" i="2" a="1"/>
  <c r="O494" i="2" s="1"/>
  <c r="N494" i="2" a="1"/>
  <c r="N494" i="2" s="1"/>
  <c r="M494" i="2" a="1"/>
  <c r="M494" i="2" s="1"/>
  <c r="L494" i="2" a="1"/>
  <c r="L494" i="2" s="1"/>
  <c r="K494" i="2" a="1"/>
  <c r="K494" i="2" s="1"/>
  <c r="S493" i="2" a="1"/>
  <c r="S493" i="2" s="1"/>
  <c r="R493" i="2" a="1"/>
  <c r="R493" i="2" s="1"/>
  <c r="Q493" i="2" a="1"/>
  <c r="Q493" i="2" s="1"/>
  <c r="P493" i="2" a="1"/>
  <c r="P493" i="2" s="1"/>
  <c r="O493" i="2" a="1"/>
  <c r="O493" i="2" s="1"/>
  <c r="N493" i="2" a="1"/>
  <c r="N493" i="2" s="1"/>
  <c r="M493" i="2" a="1"/>
  <c r="M493" i="2" s="1"/>
  <c r="L493" i="2" a="1"/>
  <c r="L493" i="2" s="1"/>
  <c r="K493" i="2" a="1"/>
  <c r="K493" i="2" s="1"/>
  <c r="S492" i="2" a="1"/>
  <c r="S492" i="2" s="1"/>
  <c r="R492" i="2" a="1"/>
  <c r="R492" i="2" s="1"/>
  <c r="Q492" i="2" a="1"/>
  <c r="Q492" i="2" s="1"/>
  <c r="P492" i="2" a="1"/>
  <c r="P492" i="2" s="1"/>
  <c r="O492" i="2" a="1"/>
  <c r="O492" i="2" s="1"/>
  <c r="N492" i="2" a="1"/>
  <c r="N492" i="2" s="1"/>
  <c r="M492" i="2" a="1"/>
  <c r="M492" i="2" s="1"/>
  <c r="L492" i="2" a="1"/>
  <c r="L492" i="2" s="1"/>
  <c r="K492" i="2" a="1"/>
  <c r="K492" i="2" s="1"/>
  <c r="S491" i="2" a="1"/>
  <c r="S491" i="2"/>
  <c r="R491" i="2" a="1"/>
  <c r="R491" i="2"/>
  <c r="Q491" i="2" a="1"/>
  <c r="Q491" i="2"/>
  <c r="P491" i="2" a="1"/>
  <c r="P491" i="2"/>
  <c r="O491" i="2" a="1"/>
  <c r="O491" i="2"/>
  <c r="N491" i="2" a="1"/>
  <c r="N491" i="2"/>
  <c r="M491" i="2" a="1"/>
  <c r="M491" i="2"/>
  <c r="L491" i="2" a="1"/>
  <c r="L491" i="2"/>
  <c r="K491" i="2" a="1"/>
  <c r="K491" i="2"/>
  <c r="S490" i="2" a="1"/>
  <c r="S490" i="2"/>
  <c r="R490" i="2" a="1"/>
  <c r="R490" i="2"/>
  <c r="Q490" i="2" a="1"/>
  <c r="Q490" i="2"/>
  <c r="P490" i="2" a="1"/>
  <c r="P490" i="2"/>
  <c r="O490" i="2" a="1"/>
  <c r="O490" i="2" s="1"/>
  <c r="N490" i="2" a="1"/>
  <c r="N490" i="2"/>
  <c r="M490" i="2" a="1"/>
  <c r="M490" i="2" s="1"/>
  <c r="L490" i="2" a="1"/>
  <c r="L490" i="2"/>
  <c r="K490" i="2" a="1"/>
  <c r="K490" i="2" s="1"/>
  <c r="S489" i="2" a="1"/>
  <c r="S489" i="2"/>
  <c r="R489" i="2" a="1"/>
  <c r="R489" i="2" s="1"/>
  <c r="Q489" i="2" a="1"/>
  <c r="Q489" i="2"/>
  <c r="P489" i="2" a="1"/>
  <c r="P489" i="2" s="1"/>
  <c r="O489" i="2" a="1"/>
  <c r="O489" i="2"/>
  <c r="N489" i="2" a="1"/>
  <c r="N489" i="2" s="1"/>
  <c r="M489" i="2" a="1"/>
  <c r="M489" i="2"/>
  <c r="L489" i="2" a="1"/>
  <c r="L489" i="2" s="1"/>
  <c r="K489" i="2" a="1"/>
  <c r="K489" i="2"/>
  <c r="S488" i="2" a="1"/>
  <c r="S488" i="2" s="1"/>
  <c r="R488" i="2" a="1"/>
  <c r="R488" i="2"/>
  <c r="Q488" i="2" a="1"/>
  <c r="Q488" i="2" s="1"/>
  <c r="P488" i="2" a="1"/>
  <c r="P488" i="2"/>
  <c r="O488" i="2" a="1"/>
  <c r="O488" i="2" s="1"/>
  <c r="N488" i="2" a="1"/>
  <c r="N488" i="2"/>
  <c r="M488" i="2" a="1"/>
  <c r="M488" i="2" s="1"/>
  <c r="L488" i="2" a="1"/>
  <c r="L488" i="2"/>
  <c r="K488" i="2" a="1"/>
  <c r="K488" i="2" s="1"/>
  <c r="S487" i="2" a="1"/>
  <c r="S487" i="2"/>
  <c r="R487" i="2" a="1"/>
  <c r="R487" i="2" s="1"/>
  <c r="Q487" i="2" a="1"/>
  <c r="Q487" i="2"/>
  <c r="P487" i="2" a="1"/>
  <c r="P487" i="2" s="1"/>
  <c r="O487" i="2" a="1"/>
  <c r="O487" i="2"/>
  <c r="N487" i="2" a="1"/>
  <c r="N487" i="2" s="1"/>
  <c r="M487" i="2" a="1"/>
  <c r="M487" i="2"/>
  <c r="L487" i="2" a="1"/>
  <c r="L487" i="2" s="1"/>
  <c r="K487" i="2" a="1"/>
  <c r="K487" i="2"/>
  <c r="S486" i="2" a="1"/>
  <c r="S486" i="2" s="1"/>
  <c r="R486" i="2" a="1"/>
  <c r="R486" i="2"/>
  <c r="Q486" i="2" a="1"/>
  <c r="Q486" i="2" s="1"/>
  <c r="P486" i="2" a="1"/>
  <c r="P486" i="2"/>
  <c r="O486" i="2" a="1"/>
  <c r="O486" i="2" s="1"/>
  <c r="N486" i="2" a="1"/>
  <c r="N486" i="2"/>
  <c r="M486" i="2" a="1"/>
  <c r="M486" i="2" s="1"/>
  <c r="L486" i="2" a="1"/>
  <c r="L486" i="2"/>
  <c r="K486" i="2" a="1"/>
  <c r="K486" i="2" s="1"/>
  <c r="S485" i="2" a="1"/>
  <c r="S485" i="2"/>
  <c r="R485" i="2" a="1"/>
  <c r="R485" i="2" s="1"/>
  <c r="Q485" i="2" a="1"/>
  <c r="Q485" i="2"/>
  <c r="P485" i="2" a="1"/>
  <c r="P485" i="2" s="1"/>
  <c r="O485" i="2" a="1"/>
  <c r="O485" i="2"/>
  <c r="N485" i="2" a="1"/>
  <c r="N485" i="2" s="1"/>
  <c r="M485" i="2" a="1"/>
  <c r="M485" i="2"/>
  <c r="L485" i="2" a="1"/>
  <c r="L485" i="2" s="1"/>
  <c r="K485" i="2" a="1"/>
  <c r="K485" i="2"/>
  <c r="S484" i="2" a="1"/>
  <c r="S484" i="2" s="1"/>
  <c r="R484" i="2" a="1"/>
  <c r="R484" i="2"/>
  <c r="Q484" i="2" a="1"/>
  <c r="Q484" i="2" s="1"/>
  <c r="P484" i="2" a="1"/>
  <c r="P484" i="2"/>
  <c r="O484" i="2" a="1"/>
  <c r="O484" i="2" s="1"/>
  <c r="N484" i="2" a="1"/>
  <c r="N484" i="2"/>
  <c r="M484" i="2" a="1"/>
  <c r="M484" i="2" s="1"/>
  <c r="L484" i="2" a="1"/>
  <c r="L484" i="2"/>
  <c r="K484" i="2" a="1"/>
  <c r="K484" i="2" s="1"/>
  <c r="S483" i="2" a="1"/>
  <c r="S483" i="2"/>
  <c r="R483" i="2" a="1"/>
  <c r="R483" i="2" s="1"/>
  <c r="Q483" i="2" a="1"/>
  <c r="Q483" i="2"/>
  <c r="P483" i="2" a="1"/>
  <c r="P483" i="2" s="1"/>
  <c r="O483" i="2" a="1"/>
  <c r="O483" i="2"/>
  <c r="N483" i="2" a="1"/>
  <c r="N483" i="2" s="1"/>
  <c r="M483" i="2" a="1"/>
  <c r="M483" i="2"/>
  <c r="L483" i="2" a="1"/>
  <c r="L483" i="2" s="1"/>
  <c r="K483" i="2" a="1"/>
  <c r="K483" i="2"/>
  <c r="S482" i="2" a="1"/>
  <c r="S482" i="2" s="1"/>
  <c r="R482" i="2" a="1"/>
  <c r="R482" i="2"/>
  <c r="Q482" i="2" a="1"/>
  <c r="Q482" i="2" s="1"/>
  <c r="P482" i="2" a="1"/>
  <c r="P482" i="2"/>
  <c r="O482" i="2" a="1"/>
  <c r="O482" i="2" s="1"/>
  <c r="N482" i="2" a="1"/>
  <c r="N482" i="2"/>
  <c r="M482" i="2" a="1"/>
  <c r="M482" i="2" s="1"/>
  <c r="L482" i="2" a="1"/>
  <c r="L482" i="2"/>
  <c r="K482" i="2" a="1"/>
  <c r="K482" i="2" s="1"/>
  <c r="S481" i="2" a="1"/>
  <c r="S481" i="2"/>
  <c r="R481" i="2" a="1"/>
  <c r="R481" i="2" s="1"/>
  <c r="Q481" i="2" a="1"/>
  <c r="Q481" i="2"/>
  <c r="P481" i="2" a="1"/>
  <c r="P481" i="2" s="1"/>
  <c r="O481" i="2" a="1"/>
  <c r="O481" i="2"/>
  <c r="N481" i="2" a="1"/>
  <c r="N481" i="2" s="1"/>
  <c r="M481" i="2" a="1"/>
  <c r="M481" i="2"/>
  <c r="L481" i="2" a="1"/>
  <c r="L481" i="2" s="1"/>
  <c r="K481" i="2" a="1"/>
  <c r="K481" i="2" s="1"/>
  <c r="S480" i="2" a="1"/>
  <c r="S480" i="2" s="1"/>
  <c r="R480" i="2" a="1"/>
  <c r="R480" i="2" s="1"/>
  <c r="Q480" i="2" a="1"/>
  <c r="Q480" i="2" s="1"/>
  <c r="P480" i="2" a="1"/>
  <c r="P480" i="2" s="1"/>
  <c r="O480" i="2" a="1"/>
  <c r="O480" i="2" s="1"/>
  <c r="N480" i="2" a="1"/>
  <c r="N480" i="2" s="1"/>
  <c r="M480" i="2" a="1"/>
  <c r="M480" i="2" s="1"/>
  <c r="L480" i="2" a="1"/>
  <c r="L480" i="2" s="1"/>
  <c r="K480" i="2" a="1"/>
  <c r="K480" i="2" s="1"/>
  <c r="S479" i="2" a="1"/>
  <c r="S479" i="2" s="1"/>
  <c r="R479" i="2" a="1"/>
  <c r="R479" i="2"/>
  <c r="Q479" i="2" a="1"/>
  <c r="Q479" i="2" s="1"/>
  <c r="P479" i="2" a="1"/>
  <c r="P479" i="2"/>
  <c r="O479" i="2" a="1"/>
  <c r="O479" i="2" s="1"/>
  <c r="N479" i="2" a="1"/>
  <c r="N479" i="2"/>
  <c r="M479" i="2" a="1"/>
  <c r="M479" i="2" s="1"/>
  <c r="L479" i="2" a="1"/>
  <c r="L479" i="2"/>
  <c r="K479" i="2" a="1"/>
  <c r="K479" i="2" s="1"/>
  <c r="S478" i="2" a="1"/>
  <c r="S478" i="2" s="1"/>
  <c r="R478" i="2" a="1"/>
  <c r="R478" i="2" s="1"/>
  <c r="Q478" i="2" a="1"/>
  <c r="Q478" i="2" s="1"/>
  <c r="P478" i="2" a="1"/>
  <c r="P478" i="2" s="1"/>
  <c r="O478" i="2" a="1"/>
  <c r="O478" i="2" s="1"/>
  <c r="N478" i="2" a="1"/>
  <c r="N478" i="2" s="1"/>
  <c r="M478" i="2" a="1"/>
  <c r="M478" i="2" s="1"/>
  <c r="L478" i="2" a="1"/>
  <c r="L478" i="2" s="1"/>
  <c r="K478" i="2" a="1"/>
  <c r="K478" i="2" s="1"/>
  <c r="S477" i="2" a="1"/>
  <c r="S477" i="2"/>
  <c r="R477" i="2" a="1"/>
  <c r="R477" i="2" s="1"/>
  <c r="Q477" i="2" a="1"/>
  <c r="Q477" i="2"/>
  <c r="P477" i="2" a="1"/>
  <c r="P477" i="2" s="1"/>
  <c r="O477" i="2" a="1"/>
  <c r="O477" i="2"/>
  <c r="N477" i="2" a="1"/>
  <c r="N477" i="2" s="1"/>
  <c r="M477" i="2" a="1"/>
  <c r="M477" i="2"/>
  <c r="L477" i="2" a="1"/>
  <c r="L477" i="2" s="1"/>
  <c r="K477" i="2" a="1"/>
  <c r="K477" i="2"/>
  <c r="S476" i="2" a="1"/>
  <c r="S476" i="2" s="1"/>
  <c r="R476" i="2" a="1"/>
  <c r="R476" i="2" s="1"/>
  <c r="Q476" i="2" a="1"/>
  <c r="Q476" i="2" s="1"/>
  <c r="P476" i="2" a="1"/>
  <c r="P476" i="2" s="1"/>
  <c r="O476" i="2" a="1"/>
  <c r="O476" i="2" s="1"/>
  <c r="N476" i="2" a="1"/>
  <c r="N476" i="2" s="1"/>
  <c r="M476" i="2" a="1"/>
  <c r="M476" i="2" s="1"/>
  <c r="L476" i="2" a="1"/>
  <c r="L476" i="2" s="1"/>
  <c r="K476" i="2" a="1"/>
  <c r="K476" i="2" s="1"/>
  <c r="S475" i="2" a="1"/>
  <c r="S475" i="2" s="1"/>
  <c r="R475" i="2" a="1"/>
  <c r="R475" i="2"/>
  <c r="Q475" i="2" a="1"/>
  <c r="Q475" i="2" s="1"/>
  <c r="P475" i="2" a="1"/>
  <c r="P475" i="2"/>
  <c r="O475" i="2" a="1"/>
  <c r="O475" i="2" s="1"/>
  <c r="N475" i="2" a="1"/>
  <c r="N475" i="2"/>
  <c r="M475" i="2" a="1"/>
  <c r="M475" i="2" s="1"/>
  <c r="L475" i="2" a="1"/>
  <c r="L475" i="2"/>
  <c r="K475" i="2" a="1"/>
  <c r="K475" i="2" s="1"/>
  <c r="S474" i="2" a="1"/>
  <c r="S474" i="2" s="1"/>
  <c r="R474" i="2" a="1"/>
  <c r="R474" i="2" s="1"/>
  <c r="Q474" i="2" a="1"/>
  <c r="Q474" i="2" s="1"/>
  <c r="P474" i="2" a="1"/>
  <c r="P474" i="2" s="1"/>
  <c r="O474" i="2" a="1"/>
  <c r="O474" i="2" s="1"/>
  <c r="N474" i="2" a="1"/>
  <c r="N474" i="2" s="1"/>
  <c r="M474" i="2" a="1"/>
  <c r="M474" i="2" s="1"/>
  <c r="L474" i="2" a="1"/>
  <c r="L474" i="2" s="1"/>
  <c r="K474" i="2" a="1"/>
  <c r="K474" i="2" s="1"/>
  <c r="S473" i="2" a="1"/>
  <c r="S473" i="2"/>
  <c r="R473" i="2" a="1"/>
  <c r="R473" i="2" s="1"/>
  <c r="Q473" i="2" a="1"/>
  <c r="Q473" i="2"/>
  <c r="P473" i="2" a="1"/>
  <c r="P473" i="2" s="1"/>
  <c r="O473" i="2" a="1"/>
  <c r="O473" i="2"/>
  <c r="N473" i="2" a="1"/>
  <c r="N473" i="2" s="1"/>
  <c r="M473" i="2" a="1"/>
  <c r="M473" i="2"/>
  <c r="L473" i="2" a="1"/>
  <c r="L473" i="2" s="1"/>
  <c r="K473" i="2" a="1"/>
  <c r="K473" i="2"/>
  <c r="S472" i="2" a="1"/>
  <c r="S472" i="2" s="1"/>
  <c r="R472" i="2" a="1"/>
  <c r="R472" i="2" s="1"/>
  <c r="Q472" i="2" a="1"/>
  <c r="Q472" i="2" s="1"/>
  <c r="P472" i="2" a="1"/>
  <c r="P472" i="2" s="1"/>
  <c r="O472" i="2" a="1"/>
  <c r="O472" i="2" s="1"/>
  <c r="N472" i="2" a="1"/>
  <c r="N472" i="2" s="1"/>
  <c r="M472" i="2" a="1"/>
  <c r="M472" i="2" s="1"/>
  <c r="L472" i="2" a="1"/>
  <c r="L472" i="2" s="1"/>
  <c r="K472" i="2" a="1"/>
  <c r="K472" i="2" s="1"/>
  <c r="S471" i="2" a="1"/>
  <c r="S471" i="2" s="1"/>
  <c r="R471" i="2" a="1"/>
  <c r="R471" i="2" s="1"/>
  <c r="Q471" i="2" a="1"/>
  <c r="Q471" i="2" s="1"/>
  <c r="P471" i="2" a="1"/>
  <c r="P471" i="2" s="1"/>
  <c r="O471" i="2" a="1"/>
  <c r="O471" i="2" s="1"/>
  <c r="N471" i="2" a="1"/>
  <c r="N471" i="2" s="1"/>
  <c r="M471" i="2" a="1"/>
  <c r="M471" i="2" s="1"/>
  <c r="L471" i="2" a="1"/>
  <c r="L471" i="2" s="1"/>
  <c r="K471" i="2" a="1"/>
  <c r="K471" i="2" s="1"/>
  <c r="I471" i="2"/>
  <c r="H482" i="2" s="1"/>
  <c r="S470" i="2" a="1"/>
  <c r="S470" i="2" s="1"/>
  <c r="R470" i="2" a="1"/>
  <c r="R470" i="2" s="1"/>
  <c r="Q470" i="2" a="1"/>
  <c r="Q470" i="2" s="1"/>
  <c r="P470" i="2" a="1"/>
  <c r="P470" i="2" s="1"/>
  <c r="O470" i="2" a="1"/>
  <c r="O470" i="2" s="1"/>
  <c r="N470" i="2" a="1"/>
  <c r="N470" i="2" s="1"/>
  <c r="M470" i="2" a="1"/>
  <c r="M470" i="2" s="1"/>
  <c r="L470" i="2" a="1"/>
  <c r="L470" i="2" s="1"/>
  <c r="K470" i="2" a="1"/>
  <c r="K470" i="2" s="1"/>
  <c r="S469" i="2" a="1"/>
  <c r="S469" i="2" s="1"/>
  <c r="R469" i="2" a="1"/>
  <c r="R469" i="2"/>
  <c r="Q469" i="2" a="1"/>
  <c r="Q469" i="2" s="1"/>
  <c r="P469" i="2" a="1"/>
  <c r="P469" i="2"/>
  <c r="O469" i="2" a="1"/>
  <c r="O469" i="2" s="1"/>
  <c r="N469" i="2" a="1"/>
  <c r="N469" i="2"/>
  <c r="M469" i="2" a="1"/>
  <c r="M469" i="2" s="1"/>
  <c r="L469" i="2" a="1"/>
  <c r="L469" i="2"/>
  <c r="K469" i="2" a="1"/>
  <c r="K469" i="2" s="1"/>
  <c r="S468" i="2" a="1"/>
  <c r="S468" i="2" s="1"/>
  <c r="R468" i="2" a="1"/>
  <c r="R468" i="2" s="1"/>
  <c r="Q468" i="2" a="1"/>
  <c r="Q468" i="2" s="1"/>
  <c r="P468" i="2" a="1"/>
  <c r="P468" i="2" s="1"/>
  <c r="O468" i="2" a="1"/>
  <c r="O468" i="2" s="1"/>
  <c r="N468" i="2" a="1"/>
  <c r="N468" i="2" s="1"/>
  <c r="M468" i="2" a="1"/>
  <c r="M468" i="2" s="1"/>
  <c r="L468" i="2" a="1"/>
  <c r="L468" i="2" s="1"/>
  <c r="K468" i="2" a="1"/>
  <c r="K468" i="2" s="1"/>
  <c r="S466" i="2" a="1"/>
  <c r="S466" i="2" s="1"/>
  <c r="R466" i="2" a="1"/>
  <c r="R466" i="2" s="1"/>
  <c r="Q466" i="2" a="1"/>
  <c r="Q466" i="2" s="1"/>
  <c r="P466" i="2" a="1"/>
  <c r="P466" i="2" s="1"/>
  <c r="O466" i="2" a="1"/>
  <c r="O466" i="2" s="1"/>
  <c r="N466" i="2" a="1"/>
  <c r="N466" i="2" s="1"/>
  <c r="M466" i="2" a="1"/>
  <c r="M466" i="2" s="1"/>
  <c r="L466" i="2" a="1"/>
  <c r="L466" i="2" s="1"/>
  <c r="K466" i="2" a="1"/>
  <c r="K466" i="2" s="1"/>
  <c r="S465" i="2" a="1"/>
  <c r="S465" i="2" s="1"/>
  <c r="R465" i="2" a="1"/>
  <c r="R465" i="2"/>
  <c r="Q465" i="2" a="1"/>
  <c r="Q465" i="2" s="1"/>
  <c r="P465" i="2" a="1"/>
  <c r="P465" i="2"/>
  <c r="O465" i="2" a="1"/>
  <c r="O465" i="2" s="1"/>
  <c r="N465" i="2" a="1"/>
  <c r="N465" i="2"/>
  <c r="M465" i="2" a="1"/>
  <c r="M465" i="2" s="1"/>
  <c r="L465" i="2" a="1"/>
  <c r="L465" i="2"/>
  <c r="K465" i="2" a="1"/>
  <c r="K465" i="2" s="1"/>
  <c r="S464" i="2" a="1"/>
  <c r="S464" i="2" s="1"/>
  <c r="R464" i="2" a="1"/>
  <c r="R464" i="2" s="1"/>
  <c r="Q464" i="2" a="1"/>
  <c r="Q464" i="2" s="1"/>
  <c r="P464" i="2" a="1"/>
  <c r="P464" i="2" s="1"/>
  <c r="O464" i="2" a="1"/>
  <c r="O464" i="2" s="1"/>
  <c r="N464" i="2" a="1"/>
  <c r="N464" i="2" s="1"/>
  <c r="M464" i="2" a="1"/>
  <c r="M464" i="2" s="1"/>
  <c r="L464" i="2" a="1"/>
  <c r="L464" i="2" s="1"/>
  <c r="K464" i="2" a="1"/>
  <c r="K464" i="2" s="1"/>
  <c r="S463" i="2" a="1"/>
  <c r="S463" i="2"/>
  <c r="R463" i="2" a="1"/>
  <c r="R463" i="2" s="1"/>
  <c r="Q463" i="2" a="1"/>
  <c r="Q463" i="2"/>
  <c r="P463" i="2" a="1"/>
  <c r="P463" i="2" s="1"/>
  <c r="O463" i="2" a="1"/>
  <c r="O463" i="2"/>
  <c r="N463" i="2" a="1"/>
  <c r="N463" i="2" s="1"/>
  <c r="M463" i="2" a="1"/>
  <c r="M463" i="2"/>
  <c r="L463" i="2" a="1"/>
  <c r="L463" i="2" s="1"/>
  <c r="K463" i="2" a="1"/>
  <c r="K463" i="2"/>
  <c r="S462" i="2" a="1"/>
  <c r="S462" i="2" s="1"/>
  <c r="R462" i="2" a="1"/>
  <c r="R462" i="2" s="1"/>
  <c r="Q462" i="2" a="1"/>
  <c r="Q462" i="2" s="1"/>
  <c r="P462" i="2" a="1"/>
  <c r="P462" i="2" s="1"/>
  <c r="O462" i="2" a="1"/>
  <c r="O462" i="2" s="1"/>
  <c r="N462" i="2" a="1"/>
  <c r="N462" i="2" s="1"/>
  <c r="M462" i="2" a="1"/>
  <c r="M462" i="2" s="1"/>
  <c r="L462" i="2" a="1"/>
  <c r="L462" i="2" s="1"/>
  <c r="K462" i="2" a="1"/>
  <c r="K462" i="2" s="1"/>
  <c r="S461" i="2" a="1"/>
  <c r="S461" i="2" s="1"/>
  <c r="R461" i="2" a="1"/>
  <c r="R461" i="2" s="1"/>
  <c r="Q461" i="2" a="1"/>
  <c r="Q461" i="2" s="1"/>
  <c r="P461" i="2" a="1"/>
  <c r="P461" i="2"/>
  <c r="O461" i="2" a="1"/>
  <c r="O461" i="2" s="1"/>
  <c r="N461" i="2" a="1"/>
  <c r="N461" i="2" s="1"/>
  <c r="M461" i="2" a="1"/>
  <c r="M461" i="2" s="1"/>
  <c r="L461" i="2" a="1"/>
  <c r="L461" i="2"/>
  <c r="K461" i="2" a="1"/>
  <c r="K461" i="2" s="1"/>
  <c r="S460" i="2" a="1"/>
  <c r="S460" i="2" s="1"/>
  <c r="R460" i="2" a="1"/>
  <c r="R460" i="2"/>
  <c r="Q460" i="2" a="1"/>
  <c r="Q460" i="2" s="1"/>
  <c r="P460" i="2" a="1"/>
  <c r="P460" i="2"/>
  <c r="O460" i="2" a="1"/>
  <c r="O460" i="2" s="1"/>
  <c r="N460" i="2" a="1"/>
  <c r="N460" i="2"/>
  <c r="M460" i="2" a="1"/>
  <c r="M460" i="2" s="1"/>
  <c r="L460" i="2" a="1"/>
  <c r="L460" i="2"/>
  <c r="K460" i="2" a="1"/>
  <c r="K460" i="2" s="1"/>
  <c r="S459" i="2" a="1"/>
  <c r="S459" i="2"/>
  <c r="R459" i="2" a="1"/>
  <c r="R459" i="2" s="1"/>
  <c r="Q459" i="2" a="1"/>
  <c r="Q459" i="2" s="1"/>
  <c r="P459" i="2" a="1"/>
  <c r="P459" i="2" s="1"/>
  <c r="O459" i="2" a="1"/>
  <c r="O459" i="2"/>
  <c r="N459" i="2" a="1"/>
  <c r="N459" i="2" s="1"/>
  <c r="M459" i="2" a="1"/>
  <c r="M459" i="2"/>
  <c r="L459" i="2" a="1"/>
  <c r="L459" i="2" s="1"/>
  <c r="K459" i="2" a="1"/>
  <c r="K459" i="2"/>
  <c r="S458" i="2" a="1"/>
  <c r="S458" i="2"/>
  <c r="R458" i="2" a="1"/>
  <c r="R458" i="2" s="1"/>
  <c r="Q458" i="2" a="1"/>
  <c r="Q458" i="2"/>
  <c r="P458" i="2" a="1"/>
  <c r="P458" i="2" s="1"/>
  <c r="O458" i="2" a="1"/>
  <c r="O458" i="2"/>
  <c r="N458" i="2" a="1"/>
  <c r="N458" i="2" s="1"/>
  <c r="M458" i="2" a="1"/>
  <c r="M458" i="2"/>
  <c r="L458" i="2" a="1"/>
  <c r="L458" i="2" s="1"/>
  <c r="K458" i="2" a="1"/>
  <c r="K458" i="2"/>
  <c r="S457" i="2" a="1"/>
  <c r="S457" i="2" s="1"/>
  <c r="R457" i="2" a="1"/>
  <c r="R457" i="2" s="1"/>
  <c r="Q457" i="2" a="1"/>
  <c r="Q457" i="2" s="1"/>
  <c r="P457" i="2" a="1"/>
  <c r="P457" i="2"/>
  <c r="O457" i="2" a="1"/>
  <c r="O457" i="2" s="1"/>
  <c r="N457" i="2" a="1"/>
  <c r="N457" i="2"/>
  <c r="M457" i="2" a="1"/>
  <c r="M457" i="2" s="1"/>
  <c r="L457" i="2" a="1"/>
  <c r="L457" i="2" s="1"/>
  <c r="K457" i="2" a="1"/>
  <c r="K457" i="2" s="1"/>
  <c r="S456" i="2" a="1"/>
  <c r="S456" i="2" s="1"/>
  <c r="R456" i="2" a="1"/>
  <c r="R456" i="2"/>
  <c r="Q456" i="2" a="1"/>
  <c r="Q456" i="2" s="1"/>
  <c r="P456" i="2" a="1"/>
  <c r="P456" i="2"/>
  <c r="O456" i="2" a="1"/>
  <c r="O456" i="2" s="1"/>
  <c r="N456" i="2" a="1"/>
  <c r="N456" i="2"/>
  <c r="M456" i="2" a="1"/>
  <c r="M456" i="2" s="1"/>
  <c r="L456" i="2" a="1"/>
  <c r="L456" i="2"/>
  <c r="K456" i="2" a="1"/>
  <c r="K456" i="2" s="1"/>
  <c r="S455" i="2" a="1"/>
  <c r="S455" i="2"/>
  <c r="R455" i="2" a="1"/>
  <c r="R455" i="2" s="1"/>
  <c r="Q455" i="2" a="1"/>
  <c r="Q455" i="2"/>
  <c r="P455" i="2" a="1"/>
  <c r="P455" i="2" s="1"/>
  <c r="O455" i="2" a="1"/>
  <c r="O455" i="2" s="1"/>
  <c r="N455" i="2" a="1"/>
  <c r="N455" i="2" s="1"/>
  <c r="M455" i="2" a="1"/>
  <c r="M455" i="2" s="1"/>
  <c r="L455" i="2" a="1"/>
  <c r="L455" i="2" s="1"/>
  <c r="K455" i="2" a="1"/>
  <c r="K455" i="2"/>
  <c r="S454" i="2" a="1"/>
  <c r="S454" i="2"/>
  <c r="R454" i="2" a="1"/>
  <c r="R454" i="2" s="1"/>
  <c r="Q454" i="2" a="1"/>
  <c r="Q454" i="2"/>
  <c r="P454" i="2" a="1"/>
  <c r="P454" i="2" s="1"/>
  <c r="O454" i="2" a="1"/>
  <c r="O454" i="2"/>
  <c r="N454" i="2" a="1"/>
  <c r="N454" i="2" s="1"/>
  <c r="M454" i="2" a="1"/>
  <c r="M454" i="2"/>
  <c r="L454" i="2" a="1"/>
  <c r="L454" i="2" s="1"/>
  <c r="K454" i="2" a="1"/>
  <c r="K454" i="2"/>
  <c r="S453" i="2" a="1"/>
  <c r="S453" i="2" s="1"/>
  <c r="R453" i="2" a="1"/>
  <c r="R453" i="2"/>
  <c r="Q453" i="2" a="1"/>
  <c r="Q453" i="2" s="1"/>
  <c r="P453" i="2" a="1"/>
  <c r="P453" i="2" s="1"/>
  <c r="O453" i="2" a="1"/>
  <c r="O453" i="2" s="1"/>
  <c r="N453" i="2" a="1"/>
  <c r="N453" i="2" s="1"/>
  <c r="M453" i="2" a="1"/>
  <c r="M453" i="2" s="1"/>
  <c r="L453" i="2" a="1"/>
  <c r="L453" i="2"/>
  <c r="K453" i="2" a="1"/>
  <c r="K453" i="2" s="1"/>
  <c r="S452" i="2" a="1"/>
  <c r="S452" i="2" s="1"/>
  <c r="R452" i="2" a="1"/>
  <c r="R452" i="2"/>
  <c r="Q452" i="2" a="1"/>
  <c r="Q452" i="2" s="1"/>
  <c r="P452" i="2" a="1"/>
  <c r="P452" i="2"/>
  <c r="O452" i="2" a="1"/>
  <c r="O452" i="2" s="1"/>
  <c r="N452" i="2" a="1"/>
  <c r="N452" i="2"/>
  <c r="M452" i="2" a="1"/>
  <c r="M452" i="2" s="1"/>
  <c r="L452" i="2" a="1"/>
  <c r="L452" i="2"/>
  <c r="K452" i="2" a="1"/>
  <c r="K452" i="2" s="1"/>
  <c r="S451" i="2" a="1"/>
  <c r="S451" i="2" s="1"/>
  <c r="R451" i="2" a="1"/>
  <c r="R451" i="2" s="1"/>
  <c r="Q451" i="2" a="1"/>
  <c r="Q451" i="2" s="1"/>
  <c r="P451" i="2" a="1"/>
  <c r="P451" i="2" s="1"/>
  <c r="O451" i="2" a="1"/>
  <c r="O451" i="2"/>
  <c r="N451" i="2" a="1"/>
  <c r="N451" i="2" s="1"/>
  <c r="M451" i="2" a="1"/>
  <c r="M451" i="2"/>
  <c r="L451" i="2" a="1"/>
  <c r="L451" i="2" s="1"/>
  <c r="K451" i="2" a="1"/>
  <c r="K451" i="2" s="1"/>
  <c r="S450" i="2" a="1"/>
  <c r="S450" i="2" s="1"/>
  <c r="R450" i="2" a="1"/>
  <c r="R450" i="2" s="1"/>
  <c r="Q450" i="2" a="1"/>
  <c r="Q450" i="2" s="1"/>
  <c r="P450" i="2" a="1"/>
  <c r="P450" i="2"/>
  <c r="O450" i="2" a="1"/>
  <c r="O450" i="2" s="1"/>
  <c r="N450" i="2" a="1"/>
  <c r="N450" i="2"/>
  <c r="M450" i="2" a="1"/>
  <c r="M450" i="2" s="1"/>
  <c r="L450" i="2" a="1"/>
  <c r="L450" i="2" s="1"/>
  <c r="K450" i="2" a="1"/>
  <c r="K450" i="2" s="1"/>
  <c r="S449" i="2" a="1"/>
  <c r="S449" i="2" s="1"/>
  <c r="R449" i="2" a="1"/>
  <c r="R449" i="2" s="1"/>
  <c r="Q449" i="2" a="1"/>
  <c r="Q449" i="2"/>
  <c r="P449" i="2" a="1"/>
  <c r="P449" i="2" s="1"/>
  <c r="O449" i="2" a="1"/>
  <c r="O449" i="2"/>
  <c r="N449" i="2" a="1"/>
  <c r="N449" i="2" s="1"/>
  <c r="M449" i="2" a="1"/>
  <c r="M449" i="2" s="1"/>
  <c r="L449" i="2" a="1"/>
  <c r="L449" i="2" s="1"/>
  <c r="K449" i="2" a="1"/>
  <c r="K449" i="2" s="1"/>
  <c r="S448" i="2" a="1"/>
  <c r="S448" i="2" s="1"/>
  <c r="R448" i="2" a="1"/>
  <c r="R448" i="2"/>
  <c r="Q448" i="2" a="1"/>
  <c r="Q448" i="2" s="1"/>
  <c r="P448" i="2" a="1"/>
  <c r="P448" i="2"/>
  <c r="O448" i="2" a="1"/>
  <c r="O448" i="2" s="1"/>
  <c r="N448" i="2" a="1"/>
  <c r="N448" i="2" s="1"/>
  <c r="M448" i="2" a="1"/>
  <c r="M448" i="2" s="1"/>
  <c r="L448" i="2" a="1"/>
  <c r="L448" i="2" s="1"/>
  <c r="K448" i="2" a="1"/>
  <c r="K448" i="2" s="1"/>
  <c r="S447" i="2" a="1"/>
  <c r="S447" i="2"/>
  <c r="R447" i="2" a="1"/>
  <c r="R447" i="2" s="1"/>
  <c r="Q447" i="2" a="1"/>
  <c r="Q447" i="2"/>
  <c r="P447" i="2" a="1"/>
  <c r="P447" i="2" s="1"/>
  <c r="O447" i="2" a="1"/>
  <c r="O447" i="2" s="1"/>
  <c r="N447" i="2" a="1"/>
  <c r="N447" i="2" s="1"/>
  <c r="M447" i="2" a="1"/>
  <c r="M447" i="2" s="1"/>
  <c r="L447" i="2" a="1"/>
  <c r="L447" i="2" s="1"/>
  <c r="K447" i="2" a="1"/>
  <c r="K447" i="2"/>
  <c r="S446" i="2" a="1"/>
  <c r="S446" i="2" s="1"/>
  <c r="R446" i="2" a="1"/>
  <c r="R446" i="2"/>
  <c r="Q446" i="2" a="1"/>
  <c r="Q446" i="2" s="1"/>
  <c r="P446" i="2" a="1"/>
  <c r="P446" i="2" s="1"/>
  <c r="O446" i="2" a="1"/>
  <c r="O446" i="2" s="1"/>
  <c r="N446" i="2" a="1"/>
  <c r="N446" i="2" s="1"/>
  <c r="M446" i="2" a="1"/>
  <c r="M446" i="2" s="1"/>
  <c r="L446" i="2" a="1"/>
  <c r="L446" i="2"/>
  <c r="K446" i="2" a="1"/>
  <c r="K446" i="2" s="1"/>
  <c r="S445" i="2" a="1"/>
  <c r="S445" i="2"/>
  <c r="R445" i="2" a="1"/>
  <c r="R445" i="2" s="1"/>
  <c r="Q445" i="2" a="1"/>
  <c r="Q445" i="2" s="1"/>
  <c r="P445" i="2" a="1"/>
  <c r="P445" i="2" s="1"/>
  <c r="O445" i="2" a="1"/>
  <c r="O445" i="2" s="1"/>
  <c r="N445" i="2" a="1"/>
  <c r="N445" i="2" s="1"/>
  <c r="M445" i="2" a="1"/>
  <c r="M445" i="2"/>
  <c r="L445" i="2" a="1"/>
  <c r="L445" i="2" s="1"/>
  <c r="K445" i="2" a="1"/>
  <c r="K445" i="2"/>
  <c r="S444" i="2" a="1"/>
  <c r="S444" i="2" s="1"/>
  <c r="R444" i="2" a="1"/>
  <c r="R444" i="2" s="1"/>
  <c r="Q444" i="2" a="1"/>
  <c r="Q444" i="2" s="1"/>
  <c r="P444" i="2" a="1"/>
  <c r="P444" i="2" s="1"/>
  <c r="O444" i="2" a="1"/>
  <c r="O444" i="2" s="1"/>
  <c r="N444" i="2" a="1"/>
  <c r="N444" i="2"/>
  <c r="M444" i="2" a="1"/>
  <c r="M444" i="2" s="1"/>
  <c r="L444" i="2" a="1"/>
  <c r="L444" i="2"/>
  <c r="K444" i="2" a="1"/>
  <c r="K444" i="2" s="1"/>
  <c r="S443" i="2" a="1"/>
  <c r="S443" i="2" s="1"/>
  <c r="R443" i="2" a="1"/>
  <c r="R443" i="2" s="1"/>
  <c r="Q443" i="2" a="1"/>
  <c r="Q443" i="2" s="1"/>
  <c r="P443" i="2" a="1"/>
  <c r="P443" i="2" s="1"/>
  <c r="O443" i="2" a="1"/>
  <c r="O443" i="2"/>
  <c r="N443" i="2" a="1"/>
  <c r="N443" i="2" s="1"/>
  <c r="M443" i="2" a="1"/>
  <c r="M443" i="2"/>
  <c r="L443" i="2" a="1"/>
  <c r="L443" i="2" s="1"/>
  <c r="K443" i="2" a="1"/>
  <c r="K443" i="2"/>
  <c r="S442" i="2" a="1"/>
  <c r="S442" i="2" s="1"/>
  <c r="R442" i="2" a="1"/>
  <c r="R442" i="2" s="1"/>
  <c r="Q442" i="2" a="1"/>
  <c r="Q442" i="2" s="1"/>
  <c r="P442" i="2" a="1"/>
  <c r="P442" i="2"/>
  <c r="O442" i="2" a="1"/>
  <c r="O442" i="2" s="1"/>
  <c r="N442" i="2" a="1"/>
  <c r="N442" i="2"/>
  <c r="M442" i="2" a="1"/>
  <c r="M442" i="2" s="1"/>
  <c r="L442" i="2" a="1"/>
  <c r="L442" i="2" s="1"/>
  <c r="K442" i="2" a="1"/>
  <c r="K442" i="2" s="1"/>
  <c r="S441" i="2" a="1"/>
  <c r="S441" i="2" s="1"/>
  <c r="R441" i="2" a="1"/>
  <c r="R441" i="2"/>
  <c r="Q441" i="2" a="1"/>
  <c r="Q441" i="2" s="1"/>
  <c r="P441" i="2" a="1"/>
  <c r="P441" i="2"/>
  <c r="O441" i="2" a="1"/>
  <c r="O441" i="2" s="1"/>
  <c r="N441" i="2" a="1"/>
  <c r="N441" i="2"/>
  <c r="M441" i="2" a="1"/>
  <c r="M441" i="2" s="1"/>
  <c r="L441" i="2" a="1"/>
  <c r="L441" i="2"/>
  <c r="K441" i="2" a="1"/>
  <c r="K441" i="2" s="1"/>
  <c r="S440" i="2" a="1"/>
  <c r="S440" i="2"/>
  <c r="R440" i="2" a="1"/>
  <c r="R440" i="2" s="1"/>
  <c r="Q440" i="2" a="1"/>
  <c r="Q440" i="2"/>
  <c r="P440" i="2" a="1"/>
  <c r="P440" i="2" s="1"/>
  <c r="O440" i="2" a="1"/>
  <c r="O440" i="2"/>
  <c r="N440" i="2" a="1"/>
  <c r="N440" i="2" s="1"/>
  <c r="M440" i="2" a="1"/>
  <c r="M440" i="2"/>
  <c r="L440" i="2" a="1"/>
  <c r="L440" i="2" s="1"/>
  <c r="K440" i="2" a="1"/>
  <c r="K440" i="2"/>
  <c r="S439" i="2" a="1"/>
  <c r="S439" i="2" s="1"/>
  <c r="R439" i="2" a="1"/>
  <c r="R439" i="2"/>
  <c r="Q439" i="2" a="1"/>
  <c r="Q439" i="2" s="1"/>
  <c r="P439" i="2" a="1"/>
  <c r="P439" i="2"/>
  <c r="O439" i="2" a="1"/>
  <c r="O439" i="2" s="1"/>
  <c r="N439" i="2" a="1"/>
  <c r="N439" i="2"/>
  <c r="M439" i="2" a="1"/>
  <c r="M439" i="2" s="1"/>
  <c r="L439" i="2" a="1"/>
  <c r="L439" i="2"/>
  <c r="K439" i="2" a="1"/>
  <c r="K439" i="2" s="1"/>
  <c r="S438" i="2" a="1"/>
  <c r="S438" i="2"/>
  <c r="R438" i="2" a="1"/>
  <c r="R438" i="2" s="1"/>
  <c r="Q438" i="2" a="1"/>
  <c r="Q438" i="2"/>
  <c r="P438" i="2" a="1"/>
  <c r="P438" i="2" s="1"/>
  <c r="O438" i="2" a="1"/>
  <c r="O438" i="2"/>
  <c r="N438" i="2" a="1"/>
  <c r="N438" i="2" s="1"/>
  <c r="M438" i="2" a="1"/>
  <c r="M438" i="2"/>
  <c r="L438" i="2" a="1"/>
  <c r="L438" i="2" s="1"/>
  <c r="K438" i="2" a="1"/>
  <c r="K438" i="2"/>
  <c r="S437" i="2" a="1"/>
  <c r="S437" i="2" s="1"/>
  <c r="R437" i="2" a="1"/>
  <c r="R437" i="2"/>
  <c r="Q437" i="2" a="1"/>
  <c r="Q437" i="2" s="1"/>
  <c r="P437" i="2" a="1"/>
  <c r="P437" i="2"/>
  <c r="O437" i="2" a="1"/>
  <c r="O437" i="2" s="1"/>
  <c r="N437" i="2" a="1"/>
  <c r="N437" i="2"/>
  <c r="M437" i="2" a="1"/>
  <c r="M437" i="2" s="1"/>
  <c r="L437" i="2" a="1"/>
  <c r="L437" i="2"/>
  <c r="K437" i="2" a="1"/>
  <c r="K437" i="2" s="1"/>
  <c r="S436" i="2" a="1"/>
  <c r="S436" i="2"/>
  <c r="R436" i="2" a="1"/>
  <c r="R436" i="2" s="1"/>
  <c r="Q436" i="2" a="1"/>
  <c r="Q436" i="2"/>
  <c r="P436" i="2" a="1"/>
  <c r="P436" i="2" s="1"/>
  <c r="O436" i="2" a="1"/>
  <c r="O436" i="2"/>
  <c r="N436" i="2" a="1"/>
  <c r="N436" i="2" s="1"/>
  <c r="M436" i="2" a="1"/>
  <c r="M436" i="2"/>
  <c r="L436" i="2" a="1"/>
  <c r="L436" i="2" s="1"/>
  <c r="K436" i="2" a="1"/>
  <c r="K436" i="2"/>
  <c r="S435" i="2" a="1"/>
  <c r="S435" i="2" s="1"/>
  <c r="R435" i="2" a="1"/>
  <c r="R435" i="2"/>
  <c r="Q435" i="2" a="1"/>
  <c r="Q435" i="2" s="1"/>
  <c r="P435" i="2" a="1"/>
  <c r="P435" i="2"/>
  <c r="O435" i="2" a="1"/>
  <c r="O435" i="2" s="1"/>
  <c r="N435" i="2" a="1"/>
  <c r="N435" i="2"/>
  <c r="M435" i="2" a="1"/>
  <c r="M435" i="2" s="1"/>
  <c r="L435" i="2" a="1"/>
  <c r="L435" i="2"/>
  <c r="K435" i="2" a="1"/>
  <c r="K435" i="2" s="1"/>
  <c r="S434" i="2" a="1"/>
  <c r="S434" i="2"/>
  <c r="R434" i="2" a="1"/>
  <c r="R434" i="2" s="1"/>
  <c r="Q434" i="2" a="1"/>
  <c r="Q434" i="2"/>
  <c r="P434" i="2" a="1"/>
  <c r="P434" i="2" s="1"/>
  <c r="O434" i="2" a="1"/>
  <c r="O434" i="2"/>
  <c r="N434" i="2" a="1"/>
  <c r="N434" i="2" s="1"/>
  <c r="M434" i="2" a="1"/>
  <c r="M434" i="2"/>
  <c r="L434" i="2" a="1"/>
  <c r="L434" i="2" s="1"/>
  <c r="K434" i="2" a="1"/>
  <c r="K434" i="2"/>
  <c r="S433" i="2" a="1"/>
  <c r="S433" i="2" s="1"/>
  <c r="R433" i="2" a="1"/>
  <c r="R433" i="2"/>
  <c r="Q433" i="2" a="1"/>
  <c r="Q433" i="2" s="1"/>
  <c r="P433" i="2" a="1"/>
  <c r="P433" i="2"/>
  <c r="O433" i="2" a="1"/>
  <c r="O433" i="2" s="1"/>
  <c r="N433" i="2" a="1"/>
  <c r="N433" i="2"/>
  <c r="M433" i="2" a="1"/>
  <c r="M433" i="2" s="1"/>
  <c r="L433" i="2" a="1"/>
  <c r="L433" i="2"/>
  <c r="K433" i="2" a="1"/>
  <c r="K433" i="2" s="1"/>
  <c r="S432" i="2" a="1"/>
  <c r="S432" i="2"/>
  <c r="R432" i="2" a="1"/>
  <c r="R432" i="2" s="1"/>
  <c r="Q432" i="2" a="1"/>
  <c r="Q432" i="2"/>
  <c r="P432" i="2" a="1"/>
  <c r="P432" i="2" s="1"/>
  <c r="O432" i="2" a="1"/>
  <c r="O432" i="2"/>
  <c r="N432" i="2" a="1"/>
  <c r="N432" i="2" s="1"/>
  <c r="M432" i="2" a="1"/>
  <c r="M432" i="2"/>
  <c r="L432" i="2" a="1"/>
  <c r="L432" i="2" s="1"/>
  <c r="K432" i="2" a="1"/>
  <c r="K432" i="2"/>
  <c r="S431" i="2" a="1"/>
  <c r="S431" i="2" s="1"/>
  <c r="R431" i="2" a="1"/>
  <c r="R431" i="2"/>
  <c r="Q431" i="2" a="1"/>
  <c r="Q431" i="2" s="1"/>
  <c r="P431" i="2" a="1"/>
  <c r="P431" i="2"/>
  <c r="O431" i="2" a="1"/>
  <c r="O431" i="2" s="1"/>
  <c r="N431" i="2" a="1"/>
  <c r="N431" i="2" s="1"/>
  <c r="M431" i="2" a="1"/>
  <c r="M431" i="2" s="1"/>
  <c r="L431" i="2" a="1"/>
  <c r="L431" i="2"/>
  <c r="K431" i="2" a="1"/>
  <c r="K431" i="2" s="1"/>
  <c r="S430" i="2" a="1"/>
  <c r="S430" i="2"/>
  <c r="R430" i="2" a="1"/>
  <c r="R430" i="2" s="1"/>
  <c r="Q430" i="2" a="1"/>
  <c r="Q430" i="2"/>
  <c r="P430" i="2" a="1"/>
  <c r="P430" i="2" s="1"/>
  <c r="O430" i="2" a="1"/>
  <c r="O430" i="2" s="1"/>
  <c r="N430" i="2" a="1"/>
  <c r="N430" i="2" s="1"/>
  <c r="M430" i="2" a="1"/>
  <c r="M430" i="2"/>
  <c r="L430" i="2" a="1"/>
  <c r="L430" i="2" s="1"/>
  <c r="K430" i="2" a="1"/>
  <c r="K430" i="2"/>
  <c r="S429" i="2" a="1"/>
  <c r="S429" i="2"/>
  <c r="R429" i="2" a="1"/>
  <c r="R429" i="2"/>
  <c r="Q429" i="2" a="1"/>
  <c r="Q429" i="2"/>
  <c r="P429" i="2" a="1"/>
  <c r="P429" i="2"/>
  <c r="O429" i="2" a="1"/>
  <c r="O429" i="2"/>
  <c r="N429" i="2" a="1"/>
  <c r="N429" i="2"/>
  <c r="M429" i="2" a="1"/>
  <c r="M429" i="2"/>
  <c r="L429" i="2" a="1"/>
  <c r="L429" i="2"/>
  <c r="K429" i="2" a="1"/>
  <c r="K429" i="2"/>
  <c r="S428" i="2" a="1"/>
  <c r="S428" i="2" s="1"/>
  <c r="R428" i="2" a="1"/>
  <c r="R428" i="2"/>
  <c r="Q428" i="2" a="1"/>
  <c r="Q428" i="2" s="1"/>
  <c r="P428" i="2" a="1"/>
  <c r="P428" i="2" s="1"/>
  <c r="O428" i="2" a="1"/>
  <c r="O428" i="2" s="1"/>
  <c r="N428" i="2" a="1"/>
  <c r="N428" i="2"/>
  <c r="M428" i="2" a="1"/>
  <c r="M428" i="2" s="1"/>
  <c r="L428" i="2" a="1"/>
  <c r="L428" i="2"/>
  <c r="K428" i="2" a="1"/>
  <c r="K428" i="2" s="1"/>
  <c r="S427" i="2" a="1"/>
  <c r="S427" i="2"/>
  <c r="R427" i="2" a="1"/>
  <c r="R427" i="2"/>
  <c r="Q427" i="2" a="1"/>
  <c r="Q427" i="2"/>
  <c r="P427" i="2" a="1"/>
  <c r="P427" i="2"/>
  <c r="O427" i="2" a="1"/>
  <c r="O427" i="2"/>
  <c r="N427" i="2" a="1"/>
  <c r="N427" i="2"/>
  <c r="M427" i="2" a="1"/>
  <c r="M427" i="2"/>
  <c r="L427" i="2" a="1"/>
  <c r="L427" i="2"/>
  <c r="K427" i="2" a="1"/>
  <c r="K427" i="2"/>
  <c r="S426" i="2" a="1"/>
  <c r="S426" i="2"/>
  <c r="R426" i="2" a="1"/>
  <c r="R426" i="2"/>
  <c r="Q426" i="2" a="1"/>
  <c r="Q426" i="2"/>
  <c r="P426" i="2" a="1"/>
  <c r="P426" i="2"/>
  <c r="O426" i="2" a="1"/>
  <c r="O426" i="2"/>
  <c r="N426" i="2" a="1"/>
  <c r="N426" i="2"/>
  <c r="M426" i="2" a="1"/>
  <c r="M426" i="2"/>
  <c r="L426" i="2" a="1"/>
  <c r="L426" i="2"/>
  <c r="K426" i="2" a="1"/>
  <c r="K426" i="2"/>
  <c r="S425" i="2" a="1"/>
  <c r="S425" i="2" s="1"/>
  <c r="R425" i="2" a="1"/>
  <c r="R425" i="2"/>
  <c r="Q425" i="2" a="1"/>
  <c r="Q425" i="2" s="1"/>
  <c r="P425" i="2" a="1"/>
  <c r="P425" i="2"/>
  <c r="O425" i="2" a="1"/>
  <c r="O425" i="2" s="1"/>
  <c r="N425" i="2" a="1"/>
  <c r="N425" i="2"/>
  <c r="M425" i="2" a="1"/>
  <c r="M425" i="2" s="1"/>
  <c r="L425" i="2" a="1"/>
  <c r="L425" i="2"/>
  <c r="K425" i="2" a="1"/>
  <c r="K425" i="2" s="1"/>
  <c r="S424" i="2" a="1"/>
  <c r="S424" i="2"/>
  <c r="R424" i="2" a="1"/>
  <c r="R424" i="2"/>
  <c r="Q424" i="2" a="1"/>
  <c r="Q424" i="2"/>
  <c r="P424" i="2" a="1"/>
  <c r="P424" i="2"/>
  <c r="O424" i="2" a="1"/>
  <c r="O424" i="2"/>
  <c r="N424" i="2" a="1"/>
  <c r="N424" i="2"/>
  <c r="M424" i="2" a="1"/>
  <c r="M424" i="2"/>
  <c r="L424" i="2" a="1"/>
  <c r="L424" i="2"/>
  <c r="K424" i="2" a="1"/>
  <c r="K424" i="2"/>
  <c r="S423" i="2" a="1"/>
  <c r="S423" i="2"/>
  <c r="R423" i="2" a="1"/>
  <c r="R423" i="2" s="1"/>
  <c r="Q423" i="2" a="1"/>
  <c r="Q423" i="2"/>
  <c r="P423" i="2" a="1"/>
  <c r="P423" i="2" s="1"/>
  <c r="O423" i="2" a="1"/>
  <c r="O423" i="2"/>
  <c r="N423" i="2" a="1"/>
  <c r="N423" i="2" s="1"/>
  <c r="M423" i="2" a="1"/>
  <c r="M423" i="2"/>
  <c r="L423" i="2" a="1"/>
  <c r="L423" i="2" s="1"/>
  <c r="K423" i="2" a="1"/>
  <c r="K423" i="2"/>
  <c r="S422" i="2" a="1"/>
  <c r="S422" i="2"/>
  <c r="R422" i="2" a="1"/>
  <c r="R422" i="2"/>
  <c r="Q422" i="2" a="1"/>
  <c r="Q422" i="2"/>
  <c r="P422" i="2" a="1"/>
  <c r="P422" i="2"/>
  <c r="O422" i="2" a="1"/>
  <c r="O422" i="2"/>
  <c r="N422" i="2" a="1"/>
  <c r="N422" i="2"/>
  <c r="M422" i="2" a="1"/>
  <c r="M422" i="2"/>
  <c r="L422" i="2" a="1"/>
  <c r="L422" i="2"/>
  <c r="K422" i="2" a="1"/>
  <c r="K422" i="2"/>
  <c r="S421" i="2" a="1"/>
  <c r="S421" i="2" s="1"/>
  <c r="R421" i="2" a="1"/>
  <c r="R421" i="2"/>
  <c r="Q421" i="2" a="1"/>
  <c r="Q421" i="2" s="1"/>
  <c r="P421" i="2" a="1"/>
  <c r="P421" i="2"/>
  <c r="O421" i="2" a="1"/>
  <c r="O421" i="2" s="1"/>
  <c r="N421" i="2" a="1"/>
  <c r="N421" i="2"/>
  <c r="M421" i="2" a="1"/>
  <c r="M421" i="2" s="1"/>
  <c r="L421" i="2" a="1"/>
  <c r="L421" i="2"/>
  <c r="K421" i="2" a="1"/>
  <c r="K421" i="2" s="1"/>
  <c r="S420" i="2" a="1"/>
  <c r="S420" i="2" s="1"/>
  <c r="R420" i="2" a="1"/>
  <c r="R420" i="2"/>
  <c r="Q420" i="2" a="1"/>
  <c r="Q420" i="2" s="1"/>
  <c r="P420" i="2" a="1"/>
  <c r="P420" i="2"/>
  <c r="O420" i="2" a="1"/>
  <c r="O420" i="2" s="1"/>
  <c r="N420" i="2" a="1"/>
  <c r="N420" i="2"/>
  <c r="M420" i="2" a="1"/>
  <c r="M420" i="2" s="1"/>
  <c r="L420" i="2" a="1"/>
  <c r="L420" i="2"/>
  <c r="K420" i="2" a="1"/>
  <c r="K420" i="2" s="1"/>
  <c r="S419" i="2" a="1"/>
  <c r="S419" i="2" s="1"/>
  <c r="R419" i="2" a="1"/>
  <c r="R419" i="2"/>
  <c r="Q419" i="2" a="1"/>
  <c r="Q419" i="2" s="1"/>
  <c r="P419" i="2" a="1"/>
  <c r="P419" i="2"/>
  <c r="O419" i="2" a="1"/>
  <c r="O419" i="2" s="1"/>
  <c r="N419" i="2" a="1"/>
  <c r="N419" i="2"/>
  <c r="M419" i="2" a="1"/>
  <c r="M419" i="2" s="1"/>
  <c r="L419" i="2" a="1"/>
  <c r="L419" i="2"/>
  <c r="K419" i="2" a="1"/>
  <c r="K419" i="2" s="1"/>
  <c r="S418" i="2" a="1"/>
  <c r="S418" i="2" s="1"/>
  <c r="R418" i="2" a="1"/>
  <c r="R418" i="2"/>
  <c r="Q418" i="2" a="1"/>
  <c r="Q418" i="2" s="1"/>
  <c r="P418" i="2" a="1"/>
  <c r="P418" i="2"/>
  <c r="O418" i="2" a="1"/>
  <c r="O418" i="2" s="1"/>
  <c r="N418" i="2" a="1"/>
  <c r="N418" i="2"/>
  <c r="M418" i="2" a="1"/>
  <c r="M418" i="2" s="1"/>
  <c r="L418" i="2" a="1"/>
  <c r="L418" i="2"/>
  <c r="K418" i="2" a="1"/>
  <c r="K418" i="2" s="1"/>
  <c r="S417" i="2" a="1"/>
  <c r="S417" i="2" s="1"/>
  <c r="R417" i="2" a="1"/>
  <c r="R417" i="2"/>
  <c r="Q417" i="2" a="1"/>
  <c r="Q417" i="2" s="1"/>
  <c r="P417" i="2" a="1"/>
  <c r="P417" i="2"/>
  <c r="O417" i="2" a="1"/>
  <c r="O417" i="2" s="1"/>
  <c r="N417" i="2" a="1"/>
  <c r="N417" i="2"/>
  <c r="M417" i="2" a="1"/>
  <c r="M417" i="2" s="1"/>
  <c r="L417" i="2" a="1"/>
  <c r="L417" i="2"/>
  <c r="K417" i="2" a="1"/>
  <c r="K417" i="2" s="1"/>
  <c r="S416" i="2" a="1"/>
  <c r="S416" i="2" s="1"/>
  <c r="R416" i="2" a="1"/>
  <c r="R416" i="2"/>
  <c r="Q416" i="2" a="1"/>
  <c r="Q416" i="2" s="1"/>
  <c r="P416" i="2" a="1"/>
  <c r="P416" i="2"/>
  <c r="O416" i="2" a="1"/>
  <c r="O416" i="2" s="1"/>
  <c r="N416" i="2" a="1"/>
  <c r="N416" i="2" s="1"/>
  <c r="M416" i="2" a="1"/>
  <c r="M416" i="2" s="1"/>
  <c r="L416" i="2" a="1"/>
  <c r="L416" i="2" s="1"/>
  <c r="K416" i="2" a="1"/>
  <c r="K416" i="2" s="1"/>
  <c r="S415" i="2" a="1"/>
  <c r="S415" i="2" s="1"/>
  <c r="R415" i="2" a="1"/>
  <c r="R415" i="2" s="1"/>
  <c r="Q415" i="2" a="1"/>
  <c r="Q415" i="2" s="1"/>
  <c r="P415" i="2" a="1"/>
  <c r="P415" i="2" s="1"/>
  <c r="O415" i="2" a="1"/>
  <c r="O415" i="2" s="1"/>
  <c r="N415" i="2" a="1"/>
  <c r="N415" i="2" s="1"/>
  <c r="M415" i="2" a="1"/>
  <c r="M415" i="2" s="1"/>
  <c r="L415" i="2" a="1"/>
  <c r="L415" i="2" s="1"/>
  <c r="K415" i="2" a="1"/>
  <c r="K415" i="2" s="1"/>
  <c r="S414" i="2" a="1"/>
  <c r="S414" i="2" s="1"/>
  <c r="R414" i="2" a="1"/>
  <c r="R414" i="2" s="1"/>
  <c r="Q414" i="2" a="1"/>
  <c r="Q414" i="2" s="1"/>
  <c r="P414" i="2" a="1"/>
  <c r="P414" i="2" s="1"/>
  <c r="O414" i="2" a="1"/>
  <c r="O414" i="2" s="1"/>
  <c r="N414" i="2" a="1"/>
  <c r="N414" i="2" s="1"/>
  <c r="M414" i="2" a="1"/>
  <c r="M414" i="2" s="1"/>
  <c r="L414" i="2" a="1"/>
  <c r="L414" i="2" s="1"/>
  <c r="K414" i="2" a="1"/>
  <c r="K414" i="2" s="1"/>
  <c r="S413" i="2" a="1"/>
  <c r="S413" i="2" s="1"/>
  <c r="R413" i="2" a="1"/>
  <c r="R413" i="2" s="1"/>
  <c r="Q413" i="2" a="1"/>
  <c r="Q413" i="2" s="1"/>
  <c r="P413" i="2" a="1"/>
  <c r="P413" i="2" s="1"/>
  <c r="O413" i="2" a="1"/>
  <c r="O413" i="2" s="1"/>
  <c r="N413" i="2" a="1"/>
  <c r="N413" i="2" s="1"/>
  <c r="M413" i="2" a="1"/>
  <c r="M413" i="2" s="1"/>
  <c r="L413" i="2" a="1"/>
  <c r="L413" i="2" s="1"/>
  <c r="K413" i="2" a="1"/>
  <c r="K413" i="2" s="1"/>
  <c r="S412" i="2" a="1"/>
  <c r="S412" i="2" s="1"/>
  <c r="R412" i="2" a="1"/>
  <c r="R412" i="2" s="1"/>
  <c r="Q412" i="2" a="1"/>
  <c r="Q412" i="2" s="1"/>
  <c r="P412" i="2" a="1"/>
  <c r="P412" i="2" s="1"/>
  <c r="O412" i="2" a="1"/>
  <c r="O412" i="2" s="1"/>
  <c r="N412" i="2" a="1"/>
  <c r="N412" i="2" s="1"/>
  <c r="M412" i="2" a="1"/>
  <c r="M412" i="2" s="1"/>
  <c r="L412" i="2" a="1"/>
  <c r="L412" i="2" s="1"/>
  <c r="K412" i="2" a="1"/>
  <c r="K412" i="2" s="1"/>
  <c r="S411" i="2" a="1"/>
  <c r="S411" i="2" s="1"/>
  <c r="R411" i="2" a="1"/>
  <c r="R411" i="2" s="1"/>
  <c r="Q411" i="2" a="1"/>
  <c r="Q411" i="2" s="1"/>
  <c r="P411" i="2" a="1"/>
  <c r="P411" i="2" s="1"/>
  <c r="O411" i="2" a="1"/>
  <c r="O411" i="2" s="1"/>
  <c r="N411" i="2" a="1"/>
  <c r="N411" i="2" s="1"/>
  <c r="M411" i="2" a="1"/>
  <c r="M411" i="2" s="1"/>
  <c r="L411" i="2" a="1"/>
  <c r="L411" i="2" s="1"/>
  <c r="K411" i="2" a="1"/>
  <c r="K411" i="2" s="1"/>
  <c r="S410" i="2" a="1"/>
  <c r="S410" i="2" s="1"/>
  <c r="R410" i="2" a="1"/>
  <c r="R410" i="2" s="1"/>
  <c r="Q410" i="2" a="1"/>
  <c r="Q410" i="2" s="1"/>
  <c r="P410" i="2" a="1"/>
  <c r="P410" i="2" s="1"/>
  <c r="O410" i="2" a="1"/>
  <c r="O410" i="2" s="1"/>
  <c r="N410" i="2" a="1"/>
  <c r="N410" i="2" s="1"/>
  <c r="M410" i="2" a="1"/>
  <c r="M410" i="2" s="1"/>
  <c r="L410" i="2" a="1"/>
  <c r="L410" i="2" s="1"/>
  <c r="K410" i="2" a="1"/>
  <c r="K410" i="2" s="1"/>
  <c r="S409" i="2" a="1"/>
  <c r="S409" i="2"/>
  <c r="R409" i="2" a="1"/>
  <c r="R409" i="2"/>
  <c r="Q409" i="2" a="1"/>
  <c r="Q409" i="2"/>
  <c r="P409" i="2" a="1"/>
  <c r="P409" i="2"/>
  <c r="O409" i="2" a="1"/>
  <c r="O409" i="2"/>
  <c r="N409" i="2" a="1"/>
  <c r="N409" i="2"/>
  <c r="M409" i="2" a="1"/>
  <c r="M409" i="2"/>
  <c r="L409" i="2" a="1"/>
  <c r="L409" i="2"/>
  <c r="K409" i="2" a="1"/>
  <c r="K409" i="2"/>
  <c r="S408" i="2" a="1"/>
  <c r="S408" i="2" s="1"/>
  <c r="R408" i="2" a="1"/>
  <c r="R408" i="2" s="1"/>
  <c r="Q408" i="2" a="1"/>
  <c r="Q408" i="2" s="1"/>
  <c r="P408" i="2" a="1"/>
  <c r="P408" i="2" s="1"/>
  <c r="O408" i="2" a="1"/>
  <c r="O408" i="2" s="1"/>
  <c r="N408" i="2" a="1"/>
  <c r="N408" i="2" s="1"/>
  <c r="M408" i="2" a="1"/>
  <c r="M408" i="2" s="1"/>
  <c r="L408" i="2" a="1"/>
  <c r="L408" i="2" s="1"/>
  <c r="K408" i="2" a="1"/>
  <c r="K408" i="2" s="1"/>
  <c r="S407" i="2" a="1"/>
  <c r="S407" i="2"/>
  <c r="R407" i="2" a="1"/>
  <c r="R407" i="2"/>
  <c r="Q407" i="2" a="1"/>
  <c r="Q407" i="2"/>
  <c r="P407" i="2" a="1"/>
  <c r="P407" i="2"/>
  <c r="O407" i="2" a="1"/>
  <c r="O407" i="2"/>
  <c r="N407" i="2" a="1"/>
  <c r="N407" i="2"/>
  <c r="M407" i="2" a="1"/>
  <c r="M407" i="2"/>
  <c r="L407" i="2" a="1"/>
  <c r="L407" i="2"/>
  <c r="K407" i="2" a="1"/>
  <c r="K407" i="2"/>
  <c r="S406" i="2" a="1"/>
  <c r="S406" i="2" s="1"/>
  <c r="R406" i="2" a="1"/>
  <c r="R406" i="2" s="1"/>
  <c r="Q406" i="2" a="1"/>
  <c r="Q406" i="2" s="1"/>
  <c r="P406" i="2" a="1"/>
  <c r="P406" i="2" s="1"/>
  <c r="O406" i="2" a="1"/>
  <c r="O406" i="2" s="1"/>
  <c r="N406" i="2" a="1"/>
  <c r="N406" i="2" s="1"/>
  <c r="M406" i="2" a="1"/>
  <c r="M406" i="2" s="1"/>
  <c r="L406" i="2" a="1"/>
  <c r="L406" i="2" s="1"/>
  <c r="K406" i="2" a="1"/>
  <c r="K406" i="2" s="1"/>
  <c r="S405" i="2" a="1"/>
  <c r="S405" i="2"/>
  <c r="R405" i="2" a="1"/>
  <c r="R405" i="2"/>
  <c r="Q405" i="2" a="1"/>
  <c r="Q405" i="2"/>
  <c r="P405" i="2" a="1"/>
  <c r="P405" i="2"/>
  <c r="O405" i="2" a="1"/>
  <c r="O405" i="2"/>
  <c r="N405" i="2" a="1"/>
  <c r="N405" i="2"/>
  <c r="M405" i="2" a="1"/>
  <c r="M405" i="2"/>
  <c r="L405" i="2" a="1"/>
  <c r="L405" i="2"/>
  <c r="K405" i="2" a="1"/>
  <c r="K405" i="2"/>
  <c r="S404" i="2" a="1"/>
  <c r="S404" i="2" s="1"/>
  <c r="R404" i="2" a="1"/>
  <c r="R404" i="2" s="1"/>
  <c r="Q404" i="2" a="1"/>
  <c r="Q404" i="2" s="1"/>
  <c r="P404" i="2" a="1"/>
  <c r="P404" i="2" s="1"/>
  <c r="O404" i="2" a="1"/>
  <c r="O404" i="2" s="1"/>
  <c r="N404" i="2" a="1"/>
  <c r="N404" i="2" s="1"/>
  <c r="M404" i="2" a="1"/>
  <c r="M404" i="2" s="1"/>
  <c r="L404" i="2" a="1"/>
  <c r="L404" i="2" s="1"/>
  <c r="K404" i="2" a="1"/>
  <c r="K404" i="2" s="1"/>
  <c r="S403" i="2" a="1"/>
  <c r="S403" i="2"/>
  <c r="R403" i="2" a="1"/>
  <c r="R403" i="2"/>
  <c r="Q403" i="2" a="1"/>
  <c r="Q403" i="2"/>
  <c r="P403" i="2" a="1"/>
  <c r="P403" i="2"/>
  <c r="O403" i="2" a="1"/>
  <c r="O403" i="2"/>
  <c r="N403" i="2" a="1"/>
  <c r="N403" i="2"/>
  <c r="M403" i="2" a="1"/>
  <c r="M403" i="2"/>
  <c r="L403" i="2" a="1"/>
  <c r="L403" i="2"/>
  <c r="K403" i="2" a="1"/>
  <c r="K403" i="2"/>
  <c r="S402" i="2" a="1"/>
  <c r="S402" i="2" s="1"/>
  <c r="R402" i="2" a="1"/>
  <c r="R402" i="2" s="1"/>
  <c r="Q402" i="2" a="1"/>
  <c r="Q402" i="2" s="1"/>
  <c r="P402" i="2" a="1"/>
  <c r="P402" i="2" s="1"/>
  <c r="O402" i="2" a="1"/>
  <c r="O402" i="2" s="1"/>
  <c r="N402" i="2" a="1"/>
  <c r="N402" i="2" s="1"/>
  <c r="M402" i="2" a="1"/>
  <c r="M402" i="2" s="1"/>
  <c r="L402" i="2" a="1"/>
  <c r="L402" i="2" s="1"/>
  <c r="K402" i="2" a="1"/>
  <c r="K402" i="2" s="1"/>
  <c r="S401" i="2" a="1"/>
  <c r="S401" i="2"/>
  <c r="R401" i="2" a="1"/>
  <c r="R401" i="2"/>
  <c r="Q401" i="2" a="1"/>
  <c r="Q401" i="2"/>
  <c r="P401" i="2" a="1"/>
  <c r="P401" i="2"/>
  <c r="O401" i="2" a="1"/>
  <c r="O401" i="2"/>
  <c r="N401" i="2" a="1"/>
  <c r="N401" i="2"/>
  <c r="M401" i="2" a="1"/>
  <c r="M401" i="2"/>
  <c r="L401" i="2" a="1"/>
  <c r="L401" i="2"/>
  <c r="K401" i="2" a="1"/>
  <c r="K401" i="2"/>
  <c r="S400" i="2" a="1"/>
  <c r="S400" i="2"/>
  <c r="R400" i="2" a="1"/>
  <c r="R400" i="2"/>
  <c r="Q400" i="2" a="1"/>
  <c r="Q400" i="2"/>
  <c r="P400" i="2" a="1"/>
  <c r="P400" i="2"/>
  <c r="O400" i="2" a="1"/>
  <c r="O400" i="2"/>
  <c r="N400" i="2" a="1"/>
  <c r="N400" i="2"/>
  <c r="M400" i="2" a="1"/>
  <c r="M400" i="2"/>
  <c r="L400" i="2" a="1"/>
  <c r="L400" i="2"/>
  <c r="K400" i="2" a="1"/>
  <c r="K400" i="2"/>
  <c r="S399" i="2" a="1"/>
  <c r="S399" i="2"/>
  <c r="R399" i="2" a="1"/>
  <c r="R399" i="2"/>
  <c r="Q399" i="2" a="1"/>
  <c r="Q399" i="2"/>
  <c r="P399" i="2" a="1"/>
  <c r="P399" i="2"/>
  <c r="O399" i="2" a="1"/>
  <c r="O399" i="2"/>
  <c r="N399" i="2" a="1"/>
  <c r="N399" i="2"/>
  <c r="M399" i="2" a="1"/>
  <c r="M399" i="2"/>
  <c r="L399" i="2" a="1"/>
  <c r="L399" i="2"/>
  <c r="K399" i="2" a="1"/>
  <c r="K399" i="2"/>
  <c r="S398" i="2" a="1"/>
  <c r="S398" i="2"/>
  <c r="R398" i="2" a="1"/>
  <c r="R398" i="2"/>
  <c r="Q398" i="2" a="1"/>
  <c r="Q398" i="2"/>
  <c r="P398" i="2" a="1"/>
  <c r="P398" i="2"/>
  <c r="O398" i="2" a="1"/>
  <c r="O398" i="2"/>
  <c r="N398" i="2" a="1"/>
  <c r="N398" i="2"/>
  <c r="M398" i="2" a="1"/>
  <c r="M398" i="2"/>
  <c r="L398" i="2" a="1"/>
  <c r="L398" i="2"/>
  <c r="K398" i="2" a="1"/>
  <c r="K398" i="2"/>
  <c r="S397" i="2" a="1"/>
  <c r="S397" i="2" s="1"/>
  <c r="R397" i="2" a="1"/>
  <c r="R397" i="2"/>
  <c r="Q397" i="2" a="1"/>
  <c r="Q397" i="2" s="1"/>
  <c r="P397" i="2" a="1"/>
  <c r="P397" i="2"/>
  <c r="O397" i="2" a="1"/>
  <c r="O397" i="2" s="1"/>
  <c r="N397" i="2" a="1"/>
  <c r="N397" i="2"/>
  <c r="M397" i="2" a="1"/>
  <c r="M397" i="2" s="1"/>
  <c r="L397" i="2" a="1"/>
  <c r="L397" i="2"/>
  <c r="K397" i="2" a="1"/>
  <c r="K397" i="2" s="1"/>
  <c r="S396" i="2" a="1"/>
  <c r="S396" i="2"/>
  <c r="R396" i="2" a="1"/>
  <c r="R396" i="2" s="1"/>
  <c r="Q396" i="2" a="1"/>
  <c r="Q396" i="2"/>
  <c r="P396" i="2" a="1"/>
  <c r="P396" i="2" s="1"/>
  <c r="O396" i="2" a="1"/>
  <c r="O396" i="2"/>
  <c r="N396" i="2" a="1"/>
  <c r="N396" i="2" s="1"/>
  <c r="M396" i="2" a="1"/>
  <c r="M396" i="2"/>
  <c r="L396" i="2" a="1"/>
  <c r="L396" i="2" s="1"/>
  <c r="K396" i="2" a="1"/>
  <c r="K396" i="2"/>
  <c r="S395" i="2" a="1"/>
  <c r="S395" i="2" s="1"/>
  <c r="R395" i="2" a="1"/>
  <c r="R395" i="2"/>
  <c r="Q395" i="2" a="1"/>
  <c r="Q395" i="2" s="1"/>
  <c r="P395" i="2" a="1"/>
  <c r="P395" i="2"/>
  <c r="O395" i="2" a="1"/>
  <c r="O395" i="2" s="1"/>
  <c r="N395" i="2" a="1"/>
  <c r="N395" i="2"/>
  <c r="M395" i="2" a="1"/>
  <c r="M395" i="2" s="1"/>
  <c r="L395" i="2" a="1"/>
  <c r="L395" i="2"/>
  <c r="K395" i="2" a="1"/>
  <c r="K395" i="2" s="1"/>
  <c r="S394" i="2" a="1"/>
  <c r="S394" i="2"/>
  <c r="R394" i="2" a="1"/>
  <c r="R394" i="2" s="1"/>
  <c r="Q394" i="2" a="1"/>
  <c r="Q394" i="2"/>
  <c r="P394" i="2" a="1"/>
  <c r="P394" i="2" s="1"/>
  <c r="O394" i="2" a="1"/>
  <c r="O394" i="2"/>
  <c r="N394" i="2" a="1"/>
  <c r="N394" i="2" s="1"/>
  <c r="M394" i="2" a="1"/>
  <c r="M394" i="2"/>
  <c r="L394" i="2" a="1"/>
  <c r="L394" i="2" s="1"/>
  <c r="K394" i="2" a="1"/>
  <c r="K394" i="2"/>
  <c r="S393" i="2" a="1"/>
  <c r="S393" i="2" s="1"/>
  <c r="R393" i="2" a="1"/>
  <c r="R393" i="2"/>
  <c r="Q393" i="2" a="1"/>
  <c r="Q393" i="2" s="1"/>
  <c r="P393" i="2" a="1"/>
  <c r="P393" i="2"/>
  <c r="O393" i="2" a="1"/>
  <c r="O393" i="2" s="1"/>
  <c r="N393" i="2" a="1"/>
  <c r="N393" i="2"/>
  <c r="M393" i="2" a="1"/>
  <c r="M393" i="2" s="1"/>
  <c r="L393" i="2" a="1"/>
  <c r="L393" i="2"/>
  <c r="K393" i="2" a="1"/>
  <c r="K393" i="2" s="1"/>
  <c r="S392" i="2" a="1"/>
  <c r="S392" i="2"/>
  <c r="R392" i="2" a="1"/>
  <c r="R392" i="2" s="1"/>
  <c r="Q392" i="2" a="1"/>
  <c r="Q392" i="2"/>
  <c r="P392" i="2" a="1"/>
  <c r="P392" i="2" s="1"/>
  <c r="O392" i="2" a="1"/>
  <c r="O392" i="2"/>
  <c r="N392" i="2" a="1"/>
  <c r="N392" i="2" s="1"/>
  <c r="M392" i="2" a="1"/>
  <c r="M392" i="2"/>
  <c r="L392" i="2" a="1"/>
  <c r="L392" i="2" s="1"/>
  <c r="K392" i="2" a="1"/>
  <c r="K392" i="2"/>
  <c r="S391" i="2" a="1"/>
  <c r="S391" i="2" s="1"/>
  <c r="R391" i="2" a="1"/>
  <c r="R391" i="2"/>
  <c r="Q391" i="2" a="1"/>
  <c r="Q391" i="2" s="1"/>
  <c r="P391" i="2" a="1"/>
  <c r="P391" i="2"/>
  <c r="O391" i="2" a="1"/>
  <c r="O391" i="2" s="1"/>
  <c r="N391" i="2" a="1"/>
  <c r="N391" i="2"/>
  <c r="M391" i="2" a="1"/>
  <c r="M391" i="2" s="1"/>
  <c r="L391" i="2" a="1"/>
  <c r="L391" i="2"/>
  <c r="K391" i="2" a="1"/>
  <c r="K391" i="2" s="1"/>
  <c r="S390" i="2" a="1"/>
  <c r="S390" i="2"/>
  <c r="R390" i="2" a="1"/>
  <c r="R390" i="2" s="1"/>
  <c r="Q390" i="2" a="1"/>
  <c r="Q390" i="2"/>
  <c r="P390" i="2" a="1"/>
  <c r="P390" i="2" s="1"/>
  <c r="O390" i="2" a="1"/>
  <c r="O390" i="2"/>
  <c r="N390" i="2" a="1"/>
  <c r="N390" i="2" s="1"/>
  <c r="M390" i="2" a="1"/>
  <c r="M390" i="2"/>
  <c r="L390" i="2" a="1"/>
  <c r="L390" i="2" s="1"/>
  <c r="K390" i="2" a="1"/>
  <c r="K390" i="2"/>
  <c r="S389" i="2" a="1"/>
  <c r="S389" i="2" s="1"/>
  <c r="R389" i="2" a="1"/>
  <c r="R389" i="2"/>
  <c r="Q389" i="2" a="1"/>
  <c r="Q389" i="2" s="1"/>
  <c r="P389" i="2" a="1"/>
  <c r="P389" i="2"/>
  <c r="O389" i="2" a="1"/>
  <c r="O389" i="2" s="1"/>
  <c r="N389" i="2" a="1"/>
  <c r="N389" i="2"/>
  <c r="M389" i="2" a="1"/>
  <c r="M389" i="2" s="1"/>
  <c r="L389" i="2" a="1"/>
  <c r="L389" i="2"/>
  <c r="K389" i="2" a="1"/>
  <c r="K389" i="2" s="1"/>
  <c r="S388" i="2" a="1"/>
  <c r="S388" i="2"/>
  <c r="R388" i="2" a="1"/>
  <c r="R388" i="2" s="1"/>
  <c r="Q388" i="2" a="1"/>
  <c r="Q388" i="2"/>
  <c r="P388" i="2" a="1"/>
  <c r="P388" i="2" s="1"/>
  <c r="O388" i="2" a="1"/>
  <c r="O388" i="2"/>
  <c r="N388" i="2" a="1"/>
  <c r="N388" i="2" s="1"/>
  <c r="M388" i="2" a="1"/>
  <c r="M388" i="2"/>
  <c r="L388" i="2" a="1"/>
  <c r="L388" i="2" s="1"/>
  <c r="K388" i="2" a="1"/>
  <c r="K388" i="2"/>
  <c r="S387" i="2" a="1"/>
  <c r="S387" i="2" s="1"/>
  <c r="R387" i="2" a="1"/>
  <c r="R387" i="2" s="1"/>
  <c r="Q387" i="2" a="1"/>
  <c r="Q387" i="2" s="1"/>
  <c r="P387" i="2" a="1"/>
  <c r="P387" i="2" s="1"/>
  <c r="O387" i="2" a="1"/>
  <c r="O387" i="2" s="1"/>
  <c r="N387" i="2" a="1"/>
  <c r="N387" i="2" s="1"/>
  <c r="M387" i="2" a="1"/>
  <c r="M387" i="2" s="1"/>
  <c r="L387" i="2" a="1"/>
  <c r="L387" i="2" s="1"/>
  <c r="K387" i="2" a="1"/>
  <c r="K387" i="2" s="1"/>
  <c r="S386" i="2" a="1"/>
  <c r="S386" i="2" s="1"/>
  <c r="R386" i="2" a="1"/>
  <c r="R386" i="2" s="1"/>
  <c r="Q386" i="2" a="1"/>
  <c r="Q386" i="2" s="1"/>
  <c r="P386" i="2" a="1"/>
  <c r="P386" i="2" s="1"/>
  <c r="O386" i="2" a="1"/>
  <c r="O386" i="2" s="1"/>
  <c r="N386" i="2" a="1"/>
  <c r="N386" i="2" s="1"/>
  <c r="M386" i="2" a="1"/>
  <c r="M386" i="2" s="1"/>
  <c r="L386" i="2" a="1"/>
  <c r="L386" i="2" s="1"/>
  <c r="K386" i="2" a="1"/>
  <c r="K386" i="2" s="1"/>
  <c r="S385" i="2" a="1"/>
  <c r="S385" i="2" s="1"/>
  <c r="R385" i="2" a="1"/>
  <c r="R385" i="2" s="1"/>
  <c r="Q385" i="2" a="1"/>
  <c r="Q385" i="2" s="1"/>
  <c r="P385" i="2" a="1"/>
  <c r="P385" i="2" s="1"/>
  <c r="O385" i="2" a="1"/>
  <c r="O385" i="2" s="1"/>
  <c r="N385" i="2" a="1"/>
  <c r="N385" i="2" s="1"/>
  <c r="M385" i="2" a="1"/>
  <c r="M385" i="2" s="1"/>
  <c r="L385" i="2" a="1"/>
  <c r="L385" i="2" s="1"/>
  <c r="K385" i="2" a="1"/>
  <c r="K385" i="2" s="1"/>
  <c r="S384" i="2" a="1"/>
  <c r="S384" i="2" s="1"/>
  <c r="R384" i="2" a="1"/>
  <c r="R384" i="2" s="1"/>
  <c r="Q384" i="2" a="1"/>
  <c r="Q384" i="2" s="1"/>
  <c r="P384" i="2" a="1"/>
  <c r="P384" i="2" s="1"/>
  <c r="O384" i="2" a="1"/>
  <c r="O384" i="2" s="1"/>
  <c r="N384" i="2" a="1"/>
  <c r="N384" i="2" s="1"/>
  <c r="M384" i="2" a="1"/>
  <c r="M384" i="2" s="1"/>
  <c r="L384" i="2" a="1"/>
  <c r="L384" i="2" s="1"/>
  <c r="K384" i="2" a="1"/>
  <c r="K384" i="2" s="1"/>
  <c r="S383" i="2" a="1"/>
  <c r="S383" i="2" s="1"/>
  <c r="R383" i="2" a="1"/>
  <c r="R383" i="2" s="1"/>
  <c r="Q383" i="2" a="1"/>
  <c r="Q383" i="2" s="1"/>
  <c r="P383" i="2" a="1"/>
  <c r="P383" i="2" s="1"/>
  <c r="O383" i="2" a="1"/>
  <c r="O383" i="2" s="1"/>
  <c r="N383" i="2" a="1"/>
  <c r="N383" i="2" s="1"/>
  <c r="M383" i="2" a="1"/>
  <c r="M383" i="2" s="1"/>
  <c r="L383" i="2" a="1"/>
  <c r="L383" i="2" s="1"/>
  <c r="K383" i="2" a="1"/>
  <c r="K383" i="2" s="1"/>
  <c r="S382" i="2" a="1"/>
  <c r="S382" i="2" s="1"/>
  <c r="R382" i="2" a="1"/>
  <c r="R382" i="2" s="1"/>
  <c r="Q382" i="2" a="1"/>
  <c r="Q382" i="2" s="1"/>
  <c r="P382" i="2" a="1"/>
  <c r="P382" i="2" s="1"/>
  <c r="O382" i="2" a="1"/>
  <c r="O382" i="2" s="1"/>
  <c r="N382" i="2" a="1"/>
  <c r="N382" i="2" s="1"/>
  <c r="M382" i="2" a="1"/>
  <c r="M382" i="2" s="1"/>
  <c r="L382" i="2" a="1"/>
  <c r="L382" i="2" s="1"/>
  <c r="K382" i="2" a="1"/>
  <c r="K382" i="2" s="1"/>
  <c r="S381" i="2" a="1"/>
  <c r="S381" i="2"/>
  <c r="R381" i="2" a="1"/>
  <c r="R381" i="2"/>
  <c r="Q381" i="2" a="1"/>
  <c r="Q381" i="2"/>
  <c r="P381" i="2" a="1"/>
  <c r="P381" i="2"/>
  <c r="O381" i="2" a="1"/>
  <c r="O381" i="2"/>
  <c r="N381" i="2" a="1"/>
  <c r="N381" i="2"/>
  <c r="M381" i="2" a="1"/>
  <c r="M381" i="2"/>
  <c r="L381" i="2" a="1"/>
  <c r="L381" i="2"/>
  <c r="K381" i="2" a="1"/>
  <c r="K381" i="2"/>
  <c r="S380" i="2" a="1"/>
  <c r="S380" i="2"/>
  <c r="R380" i="2" a="1"/>
  <c r="R380" i="2"/>
  <c r="Q380" i="2" a="1"/>
  <c r="Q380" i="2"/>
  <c r="P380" i="2" a="1"/>
  <c r="P380" i="2"/>
  <c r="O380" i="2" a="1"/>
  <c r="O380" i="2"/>
  <c r="N380" i="2" a="1"/>
  <c r="N380" i="2"/>
  <c r="M380" i="2" a="1"/>
  <c r="M380" i="2"/>
  <c r="L380" i="2" a="1"/>
  <c r="L380" i="2"/>
  <c r="K380" i="2" a="1"/>
  <c r="K380" i="2"/>
  <c r="S379" i="2" a="1"/>
  <c r="S379" i="2" s="1"/>
  <c r="R379" i="2" a="1"/>
  <c r="R379" i="2" s="1"/>
  <c r="Q379" i="2" a="1"/>
  <c r="Q379" i="2" s="1"/>
  <c r="P379" i="2" a="1"/>
  <c r="P379" i="2" s="1"/>
  <c r="O379" i="2" a="1"/>
  <c r="O379" i="2" s="1"/>
  <c r="N379" i="2" a="1"/>
  <c r="N379" i="2" s="1"/>
  <c r="M379" i="2" a="1"/>
  <c r="M379" i="2" s="1"/>
  <c r="L379" i="2" a="1"/>
  <c r="L379" i="2" s="1"/>
  <c r="K379" i="2" a="1"/>
  <c r="K379" i="2" s="1"/>
  <c r="S378" i="2" a="1"/>
  <c r="S378" i="2"/>
  <c r="R378" i="2" a="1"/>
  <c r="R378" i="2"/>
  <c r="Q378" i="2" a="1"/>
  <c r="Q378" i="2"/>
  <c r="P378" i="2" a="1"/>
  <c r="P378" i="2"/>
  <c r="O378" i="2" a="1"/>
  <c r="O378" i="2"/>
  <c r="N378" i="2" a="1"/>
  <c r="N378" i="2"/>
  <c r="M378" i="2" a="1"/>
  <c r="M378" i="2"/>
  <c r="L378" i="2" a="1"/>
  <c r="L378" i="2"/>
  <c r="K378" i="2" a="1"/>
  <c r="K378" i="2"/>
  <c r="S377" i="2" a="1"/>
  <c r="S377" i="2" s="1"/>
  <c r="R377" i="2" a="1"/>
  <c r="R377" i="2" s="1"/>
  <c r="Q377" i="2" a="1"/>
  <c r="Q377" i="2" s="1"/>
  <c r="P377" i="2" a="1"/>
  <c r="P377" i="2" s="1"/>
  <c r="O377" i="2" a="1"/>
  <c r="O377" i="2" s="1"/>
  <c r="N377" i="2" a="1"/>
  <c r="N377" i="2" s="1"/>
  <c r="M377" i="2" a="1"/>
  <c r="M377" i="2" s="1"/>
  <c r="L377" i="2" a="1"/>
  <c r="L377" i="2" s="1"/>
  <c r="K377" i="2" a="1"/>
  <c r="K377" i="2" s="1"/>
  <c r="S376" i="2" a="1"/>
  <c r="S376" i="2"/>
  <c r="R376" i="2" a="1"/>
  <c r="R376" i="2"/>
  <c r="Q376" i="2" a="1"/>
  <c r="Q376" i="2"/>
  <c r="P376" i="2" a="1"/>
  <c r="P376" i="2"/>
  <c r="O376" i="2" a="1"/>
  <c r="O376" i="2"/>
  <c r="N376" i="2" a="1"/>
  <c r="N376" i="2"/>
  <c r="M376" i="2" a="1"/>
  <c r="M376" i="2"/>
  <c r="L376" i="2" a="1"/>
  <c r="L376" i="2"/>
  <c r="K376" i="2" a="1"/>
  <c r="K376" i="2"/>
  <c r="S375" i="2" a="1"/>
  <c r="S375" i="2" s="1"/>
  <c r="R375" i="2" a="1"/>
  <c r="R375" i="2" s="1"/>
  <c r="Q375" i="2" a="1"/>
  <c r="Q375" i="2" s="1"/>
  <c r="P375" i="2" a="1"/>
  <c r="P375" i="2" s="1"/>
  <c r="O375" i="2" a="1"/>
  <c r="O375" i="2" s="1"/>
  <c r="N375" i="2" a="1"/>
  <c r="N375" i="2" s="1"/>
  <c r="M375" i="2" a="1"/>
  <c r="M375" i="2" s="1"/>
  <c r="L375" i="2" a="1"/>
  <c r="L375" i="2" s="1"/>
  <c r="K375" i="2" a="1"/>
  <c r="K375" i="2" s="1"/>
  <c r="S374" i="2" a="1"/>
  <c r="S374" i="2"/>
  <c r="R374" i="2" a="1"/>
  <c r="R374" i="2"/>
  <c r="Q374" i="2" a="1"/>
  <c r="Q374" i="2"/>
  <c r="P374" i="2" a="1"/>
  <c r="P374" i="2"/>
  <c r="O374" i="2" a="1"/>
  <c r="O374" i="2"/>
  <c r="N374" i="2" a="1"/>
  <c r="N374" i="2"/>
  <c r="M374" i="2" a="1"/>
  <c r="M374" i="2"/>
  <c r="L374" i="2" a="1"/>
  <c r="L374" i="2"/>
  <c r="K374" i="2" a="1"/>
  <c r="K374" i="2"/>
  <c r="S373" i="2" a="1"/>
  <c r="S373" i="2" s="1"/>
  <c r="R373" i="2" a="1"/>
  <c r="R373" i="2" s="1"/>
  <c r="Q373" i="2" a="1"/>
  <c r="Q373" i="2" s="1"/>
  <c r="P373" i="2" a="1"/>
  <c r="P373" i="2" s="1"/>
  <c r="O373" i="2" a="1"/>
  <c r="O373" i="2" s="1"/>
  <c r="N373" i="2" a="1"/>
  <c r="N373" i="2" s="1"/>
  <c r="M373" i="2" a="1"/>
  <c r="M373" i="2" s="1"/>
  <c r="L373" i="2" a="1"/>
  <c r="L373" i="2" s="1"/>
  <c r="K373" i="2" a="1"/>
  <c r="K373" i="2" s="1"/>
  <c r="S372" i="2" a="1"/>
  <c r="S372" i="2"/>
  <c r="R372" i="2" a="1"/>
  <c r="R372" i="2"/>
  <c r="Q372" i="2" a="1"/>
  <c r="Q372" i="2"/>
  <c r="P372" i="2" a="1"/>
  <c r="P372" i="2"/>
  <c r="O372" i="2" a="1"/>
  <c r="O372" i="2"/>
  <c r="N372" i="2" a="1"/>
  <c r="N372" i="2"/>
  <c r="M372" i="2" a="1"/>
  <c r="M372" i="2"/>
  <c r="L372" i="2" a="1"/>
  <c r="L372" i="2"/>
  <c r="K372" i="2" a="1"/>
  <c r="K372" i="2"/>
  <c r="S371" i="2" a="1"/>
  <c r="S371" i="2"/>
  <c r="R371" i="2" a="1"/>
  <c r="R371" i="2"/>
  <c r="Q371" i="2" a="1"/>
  <c r="Q371" i="2"/>
  <c r="P371" i="2" a="1"/>
  <c r="P371" i="2"/>
  <c r="O371" i="2" a="1"/>
  <c r="O371" i="2"/>
  <c r="N371" i="2" a="1"/>
  <c r="N371" i="2"/>
  <c r="M371" i="2" a="1"/>
  <c r="M371" i="2"/>
  <c r="L371" i="2" a="1"/>
  <c r="L371" i="2"/>
  <c r="K371" i="2" a="1"/>
  <c r="K371" i="2"/>
  <c r="S370" i="2" a="1"/>
  <c r="S370" i="2" s="1"/>
  <c r="R370" i="2" a="1"/>
  <c r="R370" i="2" s="1"/>
  <c r="Q370" i="2" a="1"/>
  <c r="Q370" i="2" s="1"/>
  <c r="P370" i="2" a="1"/>
  <c r="P370" i="2" s="1"/>
  <c r="O370" i="2" a="1"/>
  <c r="O370" i="2" s="1"/>
  <c r="N370" i="2" a="1"/>
  <c r="N370" i="2" s="1"/>
  <c r="M370" i="2" a="1"/>
  <c r="M370" i="2" s="1"/>
  <c r="L370" i="2" a="1"/>
  <c r="L370" i="2" s="1"/>
  <c r="K370" i="2" a="1"/>
  <c r="K370" i="2" s="1"/>
  <c r="S369" i="2" a="1"/>
  <c r="S369" i="2"/>
  <c r="R369" i="2" a="1"/>
  <c r="R369" i="2"/>
  <c r="Q369" i="2" a="1"/>
  <c r="Q369" i="2"/>
  <c r="P369" i="2" a="1"/>
  <c r="P369" i="2"/>
  <c r="O369" i="2" a="1"/>
  <c r="O369" i="2"/>
  <c r="N369" i="2" a="1"/>
  <c r="N369" i="2"/>
  <c r="M369" i="2" a="1"/>
  <c r="M369" i="2"/>
  <c r="L369" i="2" a="1"/>
  <c r="L369" i="2"/>
  <c r="K369" i="2" a="1"/>
  <c r="K369" i="2"/>
  <c r="S368" i="2" a="1"/>
  <c r="S368" i="2" s="1"/>
  <c r="R368" i="2" a="1"/>
  <c r="R368" i="2" s="1"/>
  <c r="Q368" i="2" a="1"/>
  <c r="Q368" i="2" s="1"/>
  <c r="P368" i="2" a="1"/>
  <c r="P368" i="2" s="1"/>
  <c r="O368" i="2" a="1"/>
  <c r="O368" i="2" s="1"/>
  <c r="N368" i="2" a="1"/>
  <c r="N368" i="2" s="1"/>
  <c r="M368" i="2" a="1"/>
  <c r="M368" i="2" s="1"/>
  <c r="L368" i="2" a="1"/>
  <c r="L368" i="2" s="1"/>
  <c r="K368" i="2" a="1"/>
  <c r="K368" i="2" s="1"/>
  <c r="S366" i="2" a="1"/>
  <c r="S366" i="2" s="1"/>
  <c r="R366" i="2" a="1"/>
  <c r="R366" i="2" s="1"/>
  <c r="Q366" i="2" a="1"/>
  <c r="Q366" i="2" s="1"/>
  <c r="P366" i="2" a="1"/>
  <c r="P366" i="2" s="1"/>
  <c r="O366" i="2" a="1"/>
  <c r="O366" i="2" s="1"/>
  <c r="N366" i="2" a="1"/>
  <c r="N366" i="2" s="1"/>
  <c r="M366" i="2" a="1"/>
  <c r="M366" i="2" s="1"/>
  <c r="L366" i="2" a="1"/>
  <c r="L366" i="2" s="1"/>
  <c r="K366" i="2" a="1"/>
  <c r="K366" i="2" s="1"/>
  <c r="S365" i="2" a="1"/>
  <c r="S365" i="2"/>
  <c r="R365" i="2" a="1"/>
  <c r="R365" i="2"/>
  <c r="Q365" i="2" a="1"/>
  <c r="Q365" i="2"/>
  <c r="P365" i="2" a="1"/>
  <c r="P365" i="2"/>
  <c r="O365" i="2" a="1"/>
  <c r="O365" i="2"/>
  <c r="N365" i="2" a="1"/>
  <c r="N365" i="2"/>
  <c r="M365" i="2" a="1"/>
  <c r="M365" i="2"/>
  <c r="L365" i="2" a="1"/>
  <c r="L365" i="2"/>
  <c r="K365" i="2" a="1"/>
  <c r="K365" i="2"/>
  <c r="S364" i="2" a="1"/>
  <c r="S364" i="2" s="1"/>
  <c r="R364" i="2" a="1"/>
  <c r="R364" i="2" s="1"/>
  <c r="Q364" i="2" a="1"/>
  <c r="Q364" i="2" s="1"/>
  <c r="P364" i="2" a="1"/>
  <c r="P364" i="2" s="1"/>
  <c r="O364" i="2" a="1"/>
  <c r="O364" i="2" s="1"/>
  <c r="N364" i="2" a="1"/>
  <c r="N364" i="2" s="1"/>
  <c r="M364" i="2" a="1"/>
  <c r="M364" i="2" s="1"/>
  <c r="L364" i="2" a="1"/>
  <c r="L364" i="2" s="1"/>
  <c r="K364" i="2" a="1"/>
  <c r="K364" i="2" s="1"/>
  <c r="S363" i="2" a="1"/>
  <c r="S363" i="2"/>
  <c r="R363" i="2" a="1"/>
  <c r="R363" i="2"/>
  <c r="Q363" i="2" a="1"/>
  <c r="Q363" i="2"/>
  <c r="P363" i="2" a="1"/>
  <c r="P363" i="2"/>
  <c r="O363" i="2" a="1"/>
  <c r="O363" i="2"/>
  <c r="N363" i="2" a="1"/>
  <c r="N363" i="2"/>
  <c r="M363" i="2" a="1"/>
  <c r="M363" i="2"/>
  <c r="L363" i="2" a="1"/>
  <c r="L363" i="2"/>
  <c r="K363" i="2" a="1"/>
  <c r="K363" i="2"/>
  <c r="S362" i="2" a="1"/>
  <c r="S362" i="2" s="1"/>
  <c r="R362" i="2" a="1"/>
  <c r="R362" i="2" s="1"/>
  <c r="Q362" i="2" a="1"/>
  <c r="Q362" i="2" s="1"/>
  <c r="P362" i="2" a="1"/>
  <c r="P362" i="2" s="1"/>
  <c r="O362" i="2" a="1"/>
  <c r="O362" i="2" s="1"/>
  <c r="N362" i="2" a="1"/>
  <c r="N362" i="2" s="1"/>
  <c r="M362" i="2" a="1"/>
  <c r="M362" i="2" s="1"/>
  <c r="L362" i="2" a="1"/>
  <c r="L362" i="2" s="1"/>
  <c r="K362" i="2" a="1"/>
  <c r="K362" i="2" s="1"/>
  <c r="S361" i="2" a="1"/>
  <c r="S361" i="2" s="1"/>
  <c r="R361" i="2" a="1"/>
  <c r="R361" i="2" s="1"/>
  <c r="Q361" i="2" a="1"/>
  <c r="Q361" i="2" s="1"/>
  <c r="P361" i="2" a="1"/>
  <c r="P361" i="2" s="1"/>
  <c r="O361" i="2" a="1"/>
  <c r="O361" i="2" s="1"/>
  <c r="N361" i="2" a="1"/>
  <c r="N361" i="2" s="1"/>
  <c r="M361" i="2" a="1"/>
  <c r="M361" i="2" s="1"/>
  <c r="L361" i="2" a="1"/>
  <c r="L361" i="2" s="1"/>
  <c r="K361" i="2" a="1"/>
  <c r="K361" i="2" s="1"/>
  <c r="S360" i="2" a="1"/>
  <c r="S360" i="2"/>
  <c r="R360" i="2" a="1"/>
  <c r="R360" i="2"/>
  <c r="Q360" i="2" a="1"/>
  <c r="Q360" i="2"/>
  <c r="P360" i="2" a="1"/>
  <c r="P360" i="2"/>
  <c r="O360" i="2" a="1"/>
  <c r="O360" i="2"/>
  <c r="N360" i="2" a="1"/>
  <c r="N360" i="2"/>
  <c r="M360" i="2" a="1"/>
  <c r="M360" i="2"/>
  <c r="L360" i="2" a="1"/>
  <c r="L360" i="2"/>
  <c r="K360" i="2" a="1"/>
  <c r="K360" i="2"/>
  <c r="S359" i="2" a="1"/>
  <c r="S359" i="2" s="1"/>
  <c r="R359" i="2" a="1"/>
  <c r="R359" i="2" s="1"/>
  <c r="Q359" i="2" a="1"/>
  <c r="Q359" i="2" s="1"/>
  <c r="P359" i="2" a="1"/>
  <c r="P359" i="2" s="1"/>
  <c r="O359" i="2" a="1"/>
  <c r="O359" i="2" s="1"/>
  <c r="N359" i="2" a="1"/>
  <c r="N359" i="2" s="1"/>
  <c r="M359" i="2" a="1"/>
  <c r="M359" i="2" s="1"/>
  <c r="L359" i="2" a="1"/>
  <c r="L359" i="2" s="1"/>
  <c r="K359" i="2" a="1"/>
  <c r="K359" i="2" s="1"/>
  <c r="S358" i="2" a="1"/>
  <c r="S358" i="2"/>
  <c r="R358" i="2" a="1"/>
  <c r="R358" i="2"/>
  <c r="Q358" i="2" a="1"/>
  <c r="Q358" i="2"/>
  <c r="P358" i="2" a="1"/>
  <c r="P358" i="2"/>
  <c r="O358" i="2" a="1"/>
  <c r="O358" i="2"/>
  <c r="N358" i="2" a="1"/>
  <c r="N358" i="2"/>
  <c r="M358" i="2" a="1"/>
  <c r="M358" i="2"/>
  <c r="L358" i="2" a="1"/>
  <c r="L358" i="2"/>
  <c r="K358" i="2" a="1"/>
  <c r="K358" i="2"/>
  <c r="S357" i="2" a="1"/>
  <c r="S357" i="2" s="1"/>
  <c r="R357" i="2" a="1"/>
  <c r="R357" i="2" s="1"/>
  <c r="Q357" i="2" a="1"/>
  <c r="Q357" i="2" s="1"/>
  <c r="P357" i="2" a="1"/>
  <c r="P357" i="2" s="1"/>
  <c r="O357" i="2" a="1"/>
  <c r="O357" i="2" s="1"/>
  <c r="N357" i="2" a="1"/>
  <c r="N357" i="2" s="1"/>
  <c r="M357" i="2" a="1"/>
  <c r="M357" i="2" s="1"/>
  <c r="L357" i="2" a="1"/>
  <c r="L357" i="2" s="1"/>
  <c r="K357" i="2" a="1"/>
  <c r="K357" i="2" s="1"/>
  <c r="S356" i="2" a="1"/>
  <c r="S356" i="2"/>
  <c r="R356" i="2" a="1"/>
  <c r="R356" i="2"/>
  <c r="Q356" i="2" a="1"/>
  <c r="Q356" i="2"/>
  <c r="P356" i="2" a="1"/>
  <c r="P356" i="2"/>
  <c r="O356" i="2" a="1"/>
  <c r="O356" i="2"/>
  <c r="N356" i="2" a="1"/>
  <c r="N356" i="2"/>
  <c r="M356" i="2" a="1"/>
  <c r="M356" i="2"/>
  <c r="L356" i="2" a="1"/>
  <c r="L356" i="2"/>
  <c r="K356" i="2" a="1"/>
  <c r="K356" i="2"/>
  <c r="S355" i="2" a="1"/>
  <c r="S355" i="2" s="1"/>
  <c r="R355" i="2" a="1"/>
  <c r="R355" i="2" s="1"/>
  <c r="Q355" i="2" a="1"/>
  <c r="Q355" i="2" s="1"/>
  <c r="P355" i="2" a="1"/>
  <c r="P355" i="2" s="1"/>
  <c r="O355" i="2" a="1"/>
  <c r="O355" i="2" s="1"/>
  <c r="N355" i="2" a="1"/>
  <c r="N355" i="2" s="1"/>
  <c r="M355" i="2" a="1"/>
  <c r="M355" i="2" s="1"/>
  <c r="L355" i="2" a="1"/>
  <c r="L355" i="2" s="1"/>
  <c r="K355" i="2" a="1"/>
  <c r="K355" i="2" s="1"/>
  <c r="S354" i="2" a="1"/>
  <c r="S354" i="2"/>
  <c r="R354" i="2" a="1"/>
  <c r="R354" i="2"/>
  <c r="Q354" i="2" a="1"/>
  <c r="Q354" i="2"/>
  <c r="P354" i="2" a="1"/>
  <c r="P354" i="2"/>
  <c r="O354" i="2" a="1"/>
  <c r="O354" i="2"/>
  <c r="N354" i="2" a="1"/>
  <c r="N354" i="2"/>
  <c r="M354" i="2" a="1"/>
  <c r="M354" i="2"/>
  <c r="L354" i="2" a="1"/>
  <c r="L354" i="2"/>
  <c r="K354" i="2" a="1"/>
  <c r="K354" i="2"/>
  <c r="S353" i="2" a="1"/>
  <c r="S353" i="2" s="1"/>
  <c r="R353" i="2" a="1"/>
  <c r="R353" i="2" s="1"/>
  <c r="Q353" i="2" a="1"/>
  <c r="Q353" i="2" s="1"/>
  <c r="P353" i="2" a="1"/>
  <c r="P353" i="2" s="1"/>
  <c r="O353" i="2" a="1"/>
  <c r="O353" i="2" s="1"/>
  <c r="N353" i="2" a="1"/>
  <c r="N353" i="2" s="1"/>
  <c r="M353" i="2" a="1"/>
  <c r="M353" i="2" s="1"/>
  <c r="L353" i="2" a="1"/>
  <c r="L353" i="2" s="1"/>
  <c r="K353" i="2" a="1"/>
  <c r="K353" i="2" s="1"/>
  <c r="S352" i="2" a="1"/>
  <c r="S352" i="2"/>
  <c r="R352" i="2" a="1"/>
  <c r="R352" i="2"/>
  <c r="Q352" i="2" a="1"/>
  <c r="Q352" i="2"/>
  <c r="P352" i="2" a="1"/>
  <c r="P352" i="2"/>
  <c r="O352" i="2" a="1"/>
  <c r="O352" i="2"/>
  <c r="N352" i="2" a="1"/>
  <c r="N352" i="2"/>
  <c r="M352" i="2" a="1"/>
  <c r="M352" i="2"/>
  <c r="L352" i="2" a="1"/>
  <c r="L352" i="2"/>
  <c r="K352" i="2" a="1"/>
  <c r="K352" i="2"/>
  <c r="S351" i="2" a="1"/>
  <c r="S351" i="2" s="1"/>
  <c r="R351" i="2" a="1"/>
  <c r="R351" i="2" s="1"/>
  <c r="Q351" i="2" a="1"/>
  <c r="Q351" i="2" s="1"/>
  <c r="P351" i="2" a="1"/>
  <c r="P351" i="2" s="1"/>
  <c r="O351" i="2" a="1"/>
  <c r="O351" i="2" s="1"/>
  <c r="N351" i="2" a="1"/>
  <c r="N351" i="2" s="1"/>
  <c r="M351" i="2" a="1"/>
  <c r="M351" i="2" s="1"/>
  <c r="L351" i="2" a="1"/>
  <c r="L351" i="2" s="1"/>
  <c r="K351" i="2" a="1"/>
  <c r="K351" i="2" s="1"/>
  <c r="I351" i="2"/>
  <c r="H352" i="2" s="1"/>
  <c r="S350" i="2" a="1"/>
  <c r="S350" i="2"/>
  <c r="R350" i="2" a="1"/>
  <c r="R350" i="2"/>
  <c r="Q350" i="2" a="1"/>
  <c r="Q350" i="2"/>
  <c r="P350" i="2" a="1"/>
  <c r="P350" i="2"/>
  <c r="O350" i="2" a="1"/>
  <c r="O350" i="2"/>
  <c r="N350" i="2" a="1"/>
  <c r="N350" i="2"/>
  <c r="M350" i="2" a="1"/>
  <c r="M350" i="2"/>
  <c r="L350" i="2" a="1"/>
  <c r="L350" i="2"/>
  <c r="K350" i="2" a="1"/>
  <c r="K350" i="2"/>
  <c r="S349" i="2" a="1"/>
  <c r="S349" i="2"/>
  <c r="R349" i="2" a="1"/>
  <c r="R349" i="2"/>
  <c r="Q349" i="2" a="1"/>
  <c r="Q349" i="2"/>
  <c r="P349" i="2" a="1"/>
  <c r="P349" i="2"/>
  <c r="O349" i="2" a="1"/>
  <c r="O349" i="2"/>
  <c r="N349" i="2" a="1"/>
  <c r="N349" i="2"/>
  <c r="M349" i="2" a="1"/>
  <c r="M349" i="2"/>
  <c r="L349" i="2" a="1"/>
  <c r="L349" i="2"/>
  <c r="K349" i="2" a="1"/>
  <c r="K349" i="2"/>
  <c r="S348" i="2" a="1"/>
  <c r="S348" i="2"/>
  <c r="R348" i="2" a="1"/>
  <c r="R348" i="2"/>
  <c r="Q348" i="2" a="1"/>
  <c r="Q348" i="2"/>
  <c r="P348" i="2" a="1"/>
  <c r="P348" i="2"/>
  <c r="O348" i="2" a="1"/>
  <c r="O348" i="2"/>
  <c r="N348" i="2" a="1"/>
  <c r="N348" i="2"/>
  <c r="M348" i="2" a="1"/>
  <c r="M348" i="2"/>
  <c r="L348" i="2" a="1"/>
  <c r="L348" i="2"/>
  <c r="K348" i="2" a="1"/>
  <c r="K348" i="2"/>
  <c r="S347" i="2" a="1"/>
  <c r="S347" i="2"/>
  <c r="R347" i="2" a="1"/>
  <c r="R347" i="2"/>
  <c r="Q347" i="2" a="1"/>
  <c r="Q347" i="2"/>
  <c r="P347" i="2" a="1"/>
  <c r="P347" i="2"/>
  <c r="O347" i="2" a="1"/>
  <c r="O347" i="2"/>
  <c r="N347" i="2" a="1"/>
  <c r="N347" i="2"/>
  <c r="M347" i="2" a="1"/>
  <c r="M347" i="2"/>
  <c r="L347" i="2" a="1"/>
  <c r="L347" i="2"/>
  <c r="K347" i="2" a="1"/>
  <c r="K347" i="2"/>
  <c r="S346" i="2" a="1"/>
  <c r="S346" i="2"/>
  <c r="R346" i="2" a="1"/>
  <c r="R346" i="2"/>
  <c r="Q346" i="2" a="1"/>
  <c r="Q346" i="2"/>
  <c r="P346" i="2" a="1"/>
  <c r="P346" i="2"/>
  <c r="O346" i="2" a="1"/>
  <c r="O346" i="2" s="1"/>
  <c r="N346" i="2" a="1"/>
  <c r="N346" i="2"/>
  <c r="M346" i="2" a="1"/>
  <c r="M346" i="2" s="1"/>
  <c r="L346" i="2" a="1"/>
  <c r="L346" i="2"/>
  <c r="K346" i="2" a="1"/>
  <c r="K346" i="2" s="1"/>
  <c r="S345" i="2" a="1"/>
  <c r="S345" i="2"/>
  <c r="R345" i="2" a="1"/>
  <c r="R345" i="2" s="1"/>
  <c r="Q345" i="2" a="1"/>
  <c r="Q345" i="2"/>
  <c r="P345" i="2" a="1"/>
  <c r="P345" i="2" s="1"/>
  <c r="O345" i="2" a="1"/>
  <c r="O345" i="2"/>
  <c r="N345" i="2" a="1"/>
  <c r="N345" i="2" s="1"/>
  <c r="M345" i="2" a="1"/>
  <c r="M345" i="2"/>
  <c r="L345" i="2" a="1"/>
  <c r="L345" i="2" s="1"/>
  <c r="K345" i="2" a="1"/>
  <c r="K345" i="2"/>
  <c r="S344" i="2" a="1"/>
  <c r="S344" i="2" s="1"/>
  <c r="R344" i="2" a="1"/>
  <c r="R344" i="2"/>
  <c r="Q344" i="2" a="1"/>
  <c r="Q344" i="2" s="1"/>
  <c r="P344" i="2" a="1"/>
  <c r="P344" i="2"/>
  <c r="O344" i="2" a="1"/>
  <c r="O344" i="2" s="1"/>
  <c r="N344" i="2" a="1"/>
  <c r="N344" i="2"/>
  <c r="M344" i="2" a="1"/>
  <c r="M344" i="2" s="1"/>
  <c r="L344" i="2" a="1"/>
  <c r="L344" i="2"/>
  <c r="K344" i="2" a="1"/>
  <c r="K344" i="2" s="1"/>
  <c r="S343" i="2" a="1"/>
  <c r="S343" i="2"/>
  <c r="R343" i="2" a="1"/>
  <c r="R343" i="2" s="1"/>
  <c r="Q343" i="2" a="1"/>
  <c r="Q343" i="2"/>
  <c r="P343" i="2" a="1"/>
  <c r="P343" i="2" s="1"/>
  <c r="O343" i="2" a="1"/>
  <c r="O343" i="2"/>
  <c r="N343" i="2" a="1"/>
  <c r="N343" i="2" s="1"/>
  <c r="M343" i="2" a="1"/>
  <c r="M343" i="2"/>
  <c r="L343" i="2" a="1"/>
  <c r="L343" i="2" s="1"/>
  <c r="K343" i="2" a="1"/>
  <c r="K343" i="2"/>
  <c r="S342" i="2" a="1"/>
  <c r="S342" i="2" s="1"/>
  <c r="R342" i="2" a="1"/>
  <c r="R342" i="2"/>
  <c r="Q342" i="2" a="1"/>
  <c r="Q342" i="2" s="1"/>
  <c r="P342" i="2" a="1"/>
  <c r="P342" i="2"/>
  <c r="O342" i="2" a="1"/>
  <c r="O342" i="2" s="1"/>
  <c r="N342" i="2" a="1"/>
  <c r="N342" i="2"/>
  <c r="M342" i="2" a="1"/>
  <c r="M342" i="2" s="1"/>
  <c r="L342" i="2" a="1"/>
  <c r="L342" i="2"/>
  <c r="K342" i="2" a="1"/>
  <c r="K342" i="2" s="1"/>
  <c r="S341" i="2" a="1"/>
  <c r="S341" i="2"/>
  <c r="R341" i="2" a="1"/>
  <c r="R341" i="2" s="1"/>
  <c r="Q341" i="2" a="1"/>
  <c r="Q341" i="2"/>
  <c r="P341" i="2" a="1"/>
  <c r="P341" i="2" s="1"/>
  <c r="O341" i="2" a="1"/>
  <c r="O341" i="2"/>
  <c r="N341" i="2" a="1"/>
  <c r="N341" i="2" s="1"/>
  <c r="M341" i="2" a="1"/>
  <c r="M341" i="2"/>
  <c r="L341" i="2" a="1"/>
  <c r="L341" i="2" s="1"/>
  <c r="K341" i="2" a="1"/>
  <c r="K341" i="2"/>
  <c r="S340" i="2" a="1"/>
  <c r="S340" i="2" s="1"/>
  <c r="R340" i="2" a="1"/>
  <c r="R340" i="2"/>
  <c r="Q340" i="2" a="1"/>
  <c r="Q340" i="2" s="1"/>
  <c r="P340" i="2" a="1"/>
  <c r="P340" i="2"/>
  <c r="O340" i="2" a="1"/>
  <c r="O340" i="2" s="1"/>
  <c r="N340" i="2" a="1"/>
  <c r="N340" i="2"/>
  <c r="M340" i="2" a="1"/>
  <c r="M340" i="2" s="1"/>
  <c r="L340" i="2" a="1"/>
  <c r="L340" i="2"/>
  <c r="K340" i="2" a="1"/>
  <c r="K340" i="2" s="1"/>
  <c r="S339" i="2" a="1"/>
  <c r="S339" i="2"/>
  <c r="R339" i="2" a="1"/>
  <c r="R339" i="2" s="1"/>
  <c r="Q339" i="2" a="1"/>
  <c r="Q339" i="2"/>
  <c r="P339" i="2" a="1"/>
  <c r="P339" i="2" s="1"/>
  <c r="O339" i="2" a="1"/>
  <c r="O339" i="2"/>
  <c r="N339" i="2" a="1"/>
  <c r="N339" i="2" s="1"/>
  <c r="M339" i="2" a="1"/>
  <c r="M339" i="2"/>
  <c r="L339" i="2" a="1"/>
  <c r="L339" i="2" s="1"/>
  <c r="K339" i="2" a="1"/>
  <c r="K339" i="2"/>
  <c r="S338" i="2" a="1"/>
  <c r="S338" i="2" s="1"/>
  <c r="R338" i="2" a="1"/>
  <c r="R338" i="2"/>
  <c r="Q338" i="2" a="1"/>
  <c r="Q338" i="2" s="1"/>
  <c r="P338" i="2" a="1"/>
  <c r="P338" i="2"/>
  <c r="O338" i="2" a="1"/>
  <c r="O338" i="2" s="1"/>
  <c r="N338" i="2" a="1"/>
  <c r="N338" i="2"/>
  <c r="M338" i="2" a="1"/>
  <c r="M338" i="2" s="1"/>
  <c r="L338" i="2" a="1"/>
  <c r="L338" i="2"/>
  <c r="K338" i="2" a="1"/>
  <c r="K338" i="2" s="1"/>
  <c r="S337" i="2" a="1"/>
  <c r="S337" i="2" s="1"/>
  <c r="R337" i="2" a="1"/>
  <c r="R337" i="2" s="1"/>
  <c r="Q337" i="2" a="1"/>
  <c r="Q337" i="2" s="1"/>
  <c r="P337" i="2" a="1"/>
  <c r="P337" i="2" s="1"/>
  <c r="O337" i="2" a="1"/>
  <c r="O337" i="2" s="1"/>
  <c r="N337" i="2" a="1"/>
  <c r="N337" i="2" s="1"/>
  <c r="M337" i="2" a="1"/>
  <c r="M337" i="2" s="1"/>
  <c r="L337" i="2" a="1"/>
  <c r="L337" i="2" s="1"/>
  <c r="K337" i="2" a="1"/>
  <c r="K337" i="2" s="1"/>
  <c r="S336" i="2" a="1"/>
  <c r="S336" i="2" s="1"/>
  <c r="R336" i="2" a="1"/>
  <c r="R336" i="2" s="1"/>
  <c r="Q336" i="2" a="1"/>
  <c r="Q336" i="2" s="1"/>
  <c r="P336" i="2" a="1"/>
  <c r="P336" i="2" s="1"/>
  <c r="O336" i="2" a="1"/>
  <c r="O336" i="2" s="1"/>
  <c r="N336" i="2" a="1"/>
  <c r="N336" i="2" s="1"/>
  <c r="M336" i="2" a="1"/>
  <c r="M336" i="2" s="1"/>
  <c r="L336" i="2" a="1"/>
  <c r="L336" i="2" s="1"/>
  <c r="K336" i="2" a="1"/>
  <c r="K336" i="2" s="1"/>
  <c r="S335" i="2" a="1"/>
  <c r="S335" i="2" s="1"/>
  <c r="R335" i="2" a="1"/>
  <c r="R335" i="2" s="1"/>
  <c r="Q335" i="2" a="1"/>
  <c r="Q335" i="2" s="1"/>
  <c r="P335" i="2" a="1"/>
  <c r="P335" i="2" s="1"/>
  <c r="O335" i="2" a="1"/>
  <c r="O335" i="2" s="1"/>
  <c r="N335" i="2" a="1"/>
  <c r="N335" i="2" s="1"/>
  <c r="M335" i="2" a="1"/>
  <c r="M335" i="2" s="1"/>
  <c r="L335" i="2" a="1"/>
  <c r="L335" i="2" s="1"/>
  <c r="K335" i="2" a="1"/>
  <c r="K335" i="2" s="1"/>
  <c r="S334" i="2" a="1"/>
  <c r="S334" i="2" s="1"/>
  <c r="R334" i="2" a="1"/>
  <c r="R334" i="2" s="1"/>
  <c r="Q334" i="2" a="1"/>
  <c r="Q334" i="2" s="1"/>
  <c r="P334" i="2" a="1"/>
  <c r="P334" i="2" s="1"/>
  <c r="O334" i="2" a="1"/>
  <c r="O334" i="2" s="1"/>
  <c r="N334" i="2" a="1"/>
  <c r="N334" i="2" s="1"/>
  <c r="M334" i="2" a="1"/>
  <c r="M334" i="2" s="1"/>
  <c r="L334" i="2" a="1"/>
  <c r="L334" i="2"/>
  <c r="K334" i="2" a="1"/>
  <c r="K334" i="2" s="1"/>
  <c r="S333" i="2" a="1"/>
  <c r="S333" i="2" s="1"/>
  <c r="R333" i="2" a="1"/>
  <c r="R333" i="2" s="1"/>
  <c r="Q333" i="2" a="1"/>
  <c r="Q333" i="2"/>
  <c r="P333" i="2" a="1"/>
  <c r="P333" i="2" s="1"/>
  <c r="O333" i="2" a="1"/>
  <c r="O333" i="2" s="1"/>
  <c r="N333" i="2" a="1"/>
  <c r="N333" i="2" s="1"/>
  <c r="M333" i="2" a="1"/>
  <c r="M333" i="2"/>
  <c r="L333" i="2" a="1"/>
  <c r="L333" i="2" s="1"/>
  <c r="K333" i="2" a="1"/>
  <c r="K333" i="2" s="1"/>
  <c r="S332" i="2" a="1"/>
  <c r="S332" i="2" s="1"/>
  <c r="R332" i="2" a="1"/>
  <c r="R332" i="2"/>
  <c r="Q332" i="2" a="1"/>
  <c r="Q332" i="2" s="1"/>
  <c r="P332" i="2" a="1"/>
  <c r="P332" i="2" s="1"/>
  <c r="O332" i="2" a="1"/>
  <c r="O332" i="2" s="1"/>
  <c r="N332" i="2" a="1"/>
  <c r="N332" i="2"/>
  <c r="M332" i="2" a="1"/>
  <c r="M332" i="2" s="1"/>
  <c r="L332" i="2" a="1"/>
  <c r="L332" i="2" s="1"/>
  <c r="K332" i="2" a="1"/>
  <c r="K332" i="2" s="1"/>
  <c r="S331" i="2" a="1"/>
  <c r="S331" i="2" s="1"/>
  <c r="R331" i="2" a="1"/>
  <c r="R331" i="2"/>
  <c r="Q331" i="2" a="1"/>
  <c r="Q331" i="2" s="1"/>
  <c r="P331" i="2" a="1"/>
  <c r="P331" i="2"/>
  <c r="O331" i="2" a="1"/>
  <c r="O331" i="2" s="1"/>
  <c r="N331" i="2" a="1"/>
  <c r="N331" i="2"/>
  <c r="M331" i="2" a="1"/>
  <c r="M331" i="2" s="1"/>
  <c r="L331" i="2" a="1"/>
  <c r="L331" i="2"/>
  <c r="K331" i="2" a="1"/>
  <c r="K331" i="2" s="1"/>
  <c r="S330" i="2" a="1"/>
  <c r="S330" i="2"/>
  <c r="R330" i="2" a="1"/>
  <c r="R330" i="2" s="1"/>
  <c r="Q330" i="2" a="1"/>
  <c r="Q330" i="2"/>
  <c r="P330" i="2" a="1"/>
  <c r="P330" i="2" s="1"/>
  <c r="O330" i="2" a="1"/>
  <c r="O330" i="2"/>
  <c r="N330" i="2" a="1"/>
  <c r="N330" i="2" s="1"/>
  <c r="M330" i="2" a="1"/>
  <c r="M330" i="2"/>
  <c r="L330" i="2" a="1"/>
  <c r="L330" i="2" s="1"/>
  <c r="K330" i="2" a="1"/>
  <c r="K330" i="2"/>
  <c r="S329" i="2" a="1"/>
  <c r="S329" i="2" s="1"/>
  <c r="R329" i="2" a="1"/>
  <c r="R329" i="2" s="1"/>
  <c r="Q329" i="2" a="1"/>
  <c r="Q329" i="2" s="1"/>
  <c r="P329" i="2" a="1"/>
  <c r="P329" i="2"/>
  <c r="O329" i="2" a="1"/>
  <c r="O329" i="2" s="1"/>
  <c r="N329" i="2" a="1"/>
  <c r="N329" i="2" s="1"/>
  <c r="M329" i="2" a="1"/>
  <c r="M329" i="2" s="1"/>
  <c r="L329" i="2" a="1"/>
  <c r="L329" i="2"/>
  <c r="K329" i="2" a="1"/>
  <c r="K329" i="2" s="1"/>
  <c r="S328" i="2" a="1"/>
  <c r="S328" i="2"/>
  <c r="R328" i="2" a="1"/>
  <c r="R328" i="2"/>
  <c r="Q328" i="2" a="1"/>
  <c r="Q328" i="2"/>
  <c r="P328" i="2" a="1"/>
  <c r="P328" i="2"/>
  <c r="O328" i="2" a="1"/>
  <c r="O328" i="2"/>
  <c r="N328" i="2" a="1"/>
  <c r="N328" i="2"/>
  <c r="M328" i="2" a="1"/>
  <c r="M328" i="2"/>
  <c r="L328" i="2" a="1"/>
  <c r="L328" i="2"/>
  <c r="K328" i="2" a="1"/>
  <c r="K328" i="2"/>
  <c r="S327" i="2" a="1"/>
  <c r="S327" i="2"/>
  <c r="R327" i="2" a="1"/>
  <c r="R327" i="2" s="1"/>
  <c r="Q327" i="2" a="1"/>
  <c r="Q327" i="2"/>
  <c r="P327" i="2" a="1"/>
  <c r="P327" i="2" s="1"/>
  <c r="O327" i="2" a="1"/>
  <c r="O327" i="2" s="1"/>
  <c r="N327" i="2" a="1"/>
  <c r="N327" i="2" s="1"/>
  <c r="M327" i="2" a="1"/>
  <c r="M327" i="2"/>
  <c r="L327" i="2" a="1"/>
  <c r="L327" i="2" s="1"/>
  <c r="K327" i="2" a="1"/>
  <c r="K327" i="2"/>
  <c r="S326" i="2" a="1"/>
  <c r="S326" i="2"/>
  <c r="R326" i="2" a="1"/>
  <c r="R326" i="2"/>
  <c r="Q326" i="2" a="1"/>
  <c r="Q326" i="2"/>
  <c r="P326" i="2" a="1"/>
  <c r="P326" i="2"/>
  <c r="O326" i="2" a="1"/>
  <c r="O326" i="2"/>
  <c r="N326" i="2" a="1"/>
  <c r="N326" i="2"/>
  <c r="M326" i="2" a="1"/>
  <c r="M326" i="2"/>
  <c r="L326" i="2" a="1"/>
  <c r="L326" i="2"/>
  <c r="K326" i="2" a="1"/>
  <c r="K326" i="2"/>
  <c r="S325" i="2" a="1"/>
  <c r="S325" i="2"/>
  <c r="R325" i="2" a="1"/>
  <c r="R325" i="2"/>
  <c r="Q325" i="2" a="1"/>
  <c r="Q325" i="2"/>
  <c r="P325" i="2" a="1"/>
  <c r="P325" i="2" s="1"/>
  <c r="O325" i="2" a="1"/>
  <c r="O325" i="2"/>
  <c r="N325" i="2" a="1"/>
  <c r="N325" i="2" s="1"/>
  <c r="M325" i="2" a="1"/>
  <c r="M325" i="2"/>
  <c r="L325" i="2" a="1"/>
  <c r="L325" i="2" s="1"/>
  <c r="K325" i="2" a="1"/>
  <c r="K325" i="2"/>
  <c r="S324" i="2" a="1"/>
  <c r="S324" i="2"/>
  <c r="R324" i="2" a="1"/>
  <c r="R324" i="2" s="1"/>
  <c r="Q324" i="2" a="1"/>
  <c r="Q324" i="2"/>
  <c r="P324" i="2" a="1"/>
  <c r="P324" i="2" s="1"/>
  <c r="O324" i="2" a="1"/>
  <c r="O324" i="2"/>
  <c r="N324" i="2" a="1"/>
  <c r="N324" i="2" s="1"/>
  <c r="M324" i="2" a="1"/>
  <c r="M324" i="2"/>
  <c r="L324" i="2" a="1"/>
  <c r="L324" i="2" s="1"/>
  <c r="K324" i="2" a="1"/>
  <c r="K324" i="2"/>
  <c r="S323" i="2" a="1"/>
  <c r="S323" i="2"/>
  <c r="R323" i="2" a="1"/>
  <c r="R323" i="2" s="1"/>
  <c r="Q323" i="2" a="1"/>
  <c r="Q323" i="2"/>
  <c r="P323" i="2" a="1"/>
  <c r="P323" i="2" s="1"/>
  <c r="O323" i="2" a="1"/>
  <c r="O323" i="2"/>
  <c r="N323" i="2" a="1"/>
  <c r="N323" i="2" s="1"/>
  <c r="M323" i="2" a="1"/>
  <c r="M323" i="2"/>
  <c r="L323" i="2" a="1"/>
  <c r="L323" i="2" s="1"/>
  <c r="K323" i="2" a="1"/>
  <c r="K323" i="2"/>
  <c r="S322" i="2" a="1"/>
  <c r="S322" i="2"/>
  <c r="R322" i="2" a="1"/>
  <c r="R322" i="2" s="1"/>
  <c r="Q322" i="2" a="1"/>
  <c r="Q322" i="2"/>
  <c r="P322" i="2" a="1"/>
  <c r="P322" i="2" s="1"/>
  <c r="O322" i="2" a="1"/>
  <c r="O322" i="2"/>
  <c r="N322" i="2" a="1"/>
  <c r="N322" i="2" s="1"/>
  <c r="M322" i="2" a="1"/>
  <c r="M322" i="2"/>
  <c r="L322" i="2" a="1"/>
  <c r="L322" i="2" s="1"/>
  <c r="K322" i="2" a="1"/>
  <c r="K322" i="2" s="1"/>
  <c r="S321" i="2" a="1"/>
  <c r="S321" i="2" s="1"/>
  <c r="R321" i="2" a="1"/>
  <c r="R321" i="2" s="1"/>
  <c r="Q321" i="2" a="1"/>
  <c r="Q321" i="2" s="1"/>
  <c r="P321" i="2" a="1"/>
  <c r="P321" i="2" s="1"/>
  <c r="O321" i="2" a="1"/>
  <c r="O321" i="2" s="1"/>
  <c r="N321" i="2" a="1"/>
  <c r="N321" i="2" s="1"/>
  <c r="M321" i="2" a="1"/>
  <c r="M321" i="2" s="1"/>
  <c r="L321" i="2" a="1"/>
  <c r="L321" i="2" s="1"/>
  <c r="K321" i="2" a="1"/>
  <c r="K321" i="2" s="1"/>
  <c r="S320" i="2" a="1"/>
  <c r="S320" i="2" s="1"/>
  <c r="R320" i="2" a="1"/>
  <c r="R320" i="2" s="1"/>
  <c r="Q320" i="2" a="1"/>
  <c r="Q320" i="2" s="1"/>
  <c r="P320" i="2" a="1"/>
  <c r="P320" i="2" s="1"/>
  <c r="O320" i="2" a="1"/>
  <c r="O320" i="2" s="1"/>
  <c r="N320" i="2" a="1"/>
  <c r="N320" i="2" s="1"/>
  <c r="M320" i="2" a="1"/>
  <c r="M320" i="2" s="1"/>
  <c r="L320" i="2" a="1"/>
  <c r="L320" i="2" s="1"/>
  <c r="K320" i="2" a="1"/>
  <c r="K320" i="2" s="1"/>
  <c r="S319" i="2" a="1"/>
  <c r="S319" i="2" s="1"/>
  <c r="R319" i="2" a="1"/>
  <c r="R319" i="2" s="1"/>
  <c r="Q319" i="2" a="1"/>
  <c r="Q319" i="2" s="1"/>
  <c r="P319" i="2" a="1"/>
  <c r="P319" i="2" s="1"/>
  <c r="O319" i="2" a="1"/>
  <c r="O319" i="2" s="1"/>
  <c r="N319" i="2" a="1"/>
  <c r="N319" i="2" s="1"/>
  <c r="M319" i="2" a="1"/>
  <c r="M319" i="2" s="1"/>
  <c r="L319" i="2" a="1"/>
  <c r="L319" i="2" s="1"/>
  <c r="K319" i="2" a="1"/>
  <c r="K319" i="2" s="1"/>
  <c r="S318" i="2" a="1"/>
  <c r="S318" i="2" s="1"/>
  <c r="R318" i="2" a="1"/>
  <c r="R318" i="2" s="1"/>
  <c r="Q318" i="2" a="1"/>
  <c r="Q318" i="2" s="1"/>
  <c r="P318" i="2" a="1"/>
  <c r="P318" i="2" s="1"/>
  <c r="O318" i="2" a="1"/>
  <c r="O318" i="2" s="1"/>
  <c r="N318" i="2" a="1"/>
  <c r="N318" i="2" s="1"/>
  <c r="M318" i="2" a="1"/>
  <c r="M318" i="2" s="1"/>
  <c r="L318" i="2" a="1"/>
  <c r="L318" i="2" s="1"/>
  <c r="K318" i="2" a="1"/>
  <c r="K318" i="2" s="1"/>
  <c r="S317" i="2" a="1"/>
  <c r="S317" i="2" s="1"/>
  <c r="R317" i="2" a="1"/>
  <c r="R317" i="2" s="1"/>
  <c r="Q317" i="2" a="1"/>
  <c r="Q317" i="2" s="1"/>
  <c r="P317" i="2" a="1"/>
  <c r="P317" i="2" s="1"/>
  <c r="O317" i="2" a="1"/>
  <c r="O317" i="2" s="1"/>
  <c r="N317" i="2" a="1"/>
  <c r="N317" i="2" s="1"/>
  <c r="M317" i="2" a="1"/>
  <c r="M317" i="2" s="1"/>
  <c r="L317" i="2" a="1"/>
  <c r="L317" i="2" s="1"/>
  <c r="K317" i="2" a="1"/>
  <c r="K317" i="2" s="1"/>
  <c r="S316" i="2" a="1"/>
  <c r="S316" i="2" s="1"/>
  <c r="R316" i="2" a="1"/>
  <c r="R316" i="2" s="1"/>
  <c r="Q316" i="2" a="1"/>
  <c r="Q316" i="2" s="1"/>
  <c r="P316" i="2" a="1"/>
  <c r="P316" i="2" s="1"/>
  <c r="O316" i="2" a="1"/>
  <c r="O316" i="2" s="1"/>
  <c r="N316" i="2" a="1"/>
  <c r="N316" i="2" s="1"/>
  <c r="M316" i="2" a="1"/>
  <c r="M316" i="2" s="1"/>
  <c r="L316" i="2" a="1"/>
  <c r="L316" i="2" s="1"/>
  <c r="K316" i="2" a="1"/>
  <c r="K316" i="2" s="1"/>
  <c r="S315" i="2" a="1"/>
  <c r="S315" i="2" s="1"/>
  <c r="R315" i="2" a="1"/>
  <c r="R315" i="2" s="1"/>
  <c r="Q315" i="2" a="1"/>
  <c r="Q315" i="2" s="1"/>
  <c r="P315" i="2" a="1"/>
  <c r="P315" i="2" s="1"/>
  <c r="O315" i="2" a="1"/>
  <c r="O315" i="2" s="1"/>
  <c r="N315" i="2" a="1"/>
  <c r="N315" i="2" s="1"/>
  <c r="M315" i="2" a="1"/>
  <c r="M315" i="2" s="1"/>
  <c r="L315" i="2" a="1"/>
  <c r="L315" i="2" s="1"/>
  <c r="K315" i="2" a="1"/>
  <c r="K315" i="2" s="1"/>
  <c r="S314" i="2" a="1"/>
  <c r="S314" i="2" s="1"/>
  <c r="R314" i="2" a="1"/>
  <c r="R314" i="2" s="1"/>
  <c r="Q314" i="2" a="1"/>
  <c r="Q314" i="2" s="1"/>
  <c r="P314" i="2" a="1"/>
  <c r="P314" i="2" s="1"/>
  <c r="O314" i="2" a="1"/>
  <c r="O314" i="2" s="1"/>
  <c r="N314" i="2" a="1"/>
  <c r="N314" i="2" s="1"/>
  <c r="M314" i="2" a="1"/>
  <c r="M314" i="2" s="1"/>
  <c r="L314" i="2" a="1"/>
  <c r="L314" i="2" s="1"/>
  <c r="K314" i="2" a="1"/>
  <c r="K314" i="2" s="1"/>
  <c r="S313" i="2" a="1"/>
  <c r="S313" i="2" s="1"/>
  <c r="R313" i="2" a="1"/>
  <c r="R313" i="2" s="1"/>
  <c r="Q313" i="2" a="1"/>
  <c r="Q313" i="2" s="1"/>
  <c r="P313" i="2" a="1"/>
  <c r="P313" i="2" s="1"/>
  <c r="O313" i="2" a="1"/>
  <c r="O313" i="2" s="1"/>
  <c r="N313" i="2" a="1"/>
  <c r="N313" i="2" s="1"/>
  <c r="M313" i="2" a="1"/>
  <c r="M313" i="2" s="1"/>
  <c r="L313" i="2" a="1"/>
  <c r="L313" i="2" s="1"/>
  <c r="K313" i="2" a="1"/>
  <c r="K313" i="2" s="1"/>
  <c r="S312" i="2" a="1"/>
  <c r="S312" i="2" s="1"/>
  <c r="R312" i="2" a="1"/>
  <c r="R312" i="2" s="1"/>
  <c r="Q312" i="2" a="1"/>
  <c r="Q312" i="2" s="1"/>
  <c r="P312" i="2" a="1"/>
  <c r="P312" i="2" s="1"/>
  <c r="O312" i="2" a="1"/>
  <c r="O312" i="2" s="1"/>
  <c r="N312" i="2" a="1"/>
  <c r="N312" i="2" s="1"/>
  <c r="M312" i="2" a="1"/>
  <c r="M312" i="2" s="1"/>
  <c r="L312" i="2" a="1"/>
  <c r="L312" i="2" s="1"/>
  <c r="K312" i="2" a="1"/>
  <c r="K312" i="2" s="1"/>
  <c r="S311" i="2" a="1"/>
  <c r="S311" i="2" s="1"/>
  <c r="R311" i="2" a="1"/>
  <c r="R311" i="2" s="1"/>
  <c r="Q311" i="2" a="1"/>
  <c r="Q311" i="2" s="1"/>
  <c r="P311" i="2" a="1"/>
  <c r="P311" i="2" s="1"/>
  <c r="O311" i="2" a="1"/>
  <c r="O311" i="2" s="1"/>
  <c r="N311" i="2" a="1"/>
  <c r="N311" i="2" s="1"/>
  <c r="M311" i="2" a="1"/>
  <c r="M311" i="2" s="1"/>
  <c r="L311" i="2" a="1"/>
  <c r="L311" i="2" s="1"/>
  <c r="K311" i="2" a="1"/>
  <c r="K311" i="2" s="1"/>
  <c r="S310" i="2" a="1"/>
  <c r="S310" i="2" s="1"/>
  <c r="R310" i="2" a="1"/>
  <c r="R310" i="2" s="1"/>
  <c r="Q310" i="2" a="1"/>
  <c r="Q310" i="2" s="1"/>
  <c r="P310" i="2" a="1"/>
  <c r="P310" i="2" s="1"/>
  <c r="O310" i="2" a="1"/>
  <c r="O310" i="2" s="1"/>
  <c r="N310" i="2" a="1"/>
  <c r="N310" i="2" s="1"/>
  <c r="M310" i="2" a="1"/>
  <c r="M310" i="2" s="1"/>
  <c r="L310" i="2" a="1"/>
  <c r="L310" i="2" s="1"/>
  <c r="K310" i="2" a="1"/>
  <c r="K310" i="2" s="1"/>
  <c r="S309" i="2" a="1"/>
  <c r="S309" i="2"/>
  <c r="R309" i="2" a="1"/>
  <c r="R309" i="2"/>
  <c r="Q309" i="2" a="1"/>
  <c r="Q309" i="2"/>
  <c r="P309" i="2" a="1"/>
  <c r="P309" i="2"/>
  <c r="O309" i="2" a="1"/>
  <c r="O309" i="2"/>
  <c r="N309" i="2" a="1"/>
  <c r="N309" i="2"/>
  <c r="M309" i="2" a="1"/>
  <c r="M309" i="2"/>
  <c r="L309" i="2" a="1"/>
  <c r="L309" i="2"/>
  <c r="K309" i="2" a="1"/>
  <c r="K309" i="2"/>
  <c r="S308" i="2" a="1"/>
  <c r="S308" i="2" s="1"/>
  <c r="R308" i="2" a="1"/>
  <c r="R308" i="2" s="1"/>
  <c r="Q308" i="2" a="1"/>
  <c r="Q308" i="2" s="1"/>
  <c r="P308" i="2" a="1"/>
  <c r="P308" i="2" s="1"/>
  <c r="O308" i="2" a="1"/>
  <c r="O308" i="2" s="1"/>
  <c r="N308" i="2" a="1"/>
  <c r="N308" i="2" s="1"/>
  <c r="M308" i="2" a="1"/>
  <c r="M308" i="2" s="1"/>
  <c r="L308" i="2" a="1"/>
  <c r="L308" i="2" s="1"/>
  <c r="K308" i="2" a="1"/>
  <c r="K308" i="2" s="1"/>
  <c r="S307" i="2" a="1"/>
  <c r="S307" i="2"/>
  <c r="R307" i="2" a="1"/>
  <c r="R307" i="2"/>
  <c r="Q307" i="2" a="1"/>
  <c r="Q307" i="2"/>
  <c r="P307" i="2" a="1"/>
  <c r="P307" i="2"/>
  <c r="O307" i="2" a="1"/>
  <c r="O307" i="2"/>
  <c r="N307" i="2" a="1"/>
  <c r="N307" i="2"/>
  <c r="M307" i="2" a="1"/>
  <c r="M307" i="2"/>
  <c r="L307" i="2" a="1"/>
  <c r="L307" i="2"/>
  <c r="K307" i="2" a="1"/>
  <c r="K307" i="2"/>
  <c r="S306" i="2" a="1"/>
  <c r="S306" i="2" s="1"/>
  <c r="R306" i="2" a="1"/>
  <c r="R306" i="2" s="1"/>
  <c r="Q306" i="2" a="1"/>
  <c r="Q306" i="2" s="1"/>
  <c r="P306" i="2" a="1"/>
  <c r="P306" i="2" s="1"/>
  <c r="O306" i="2" a="1"/>
  <c r="O306" i="2" s="1"/>
  <c r="N306" i="2" a="1"/>
  <c r="N306" i="2" s="1"/>
  <c r="M306" i="2" a="1"/>
  <c r="M306" i="2" s="1"/>
  <c r="L306" i="2" a="1"/>
  <c r="L306" i="2" s="1"/>
  <c r="K306" i="2" a="1"/>
  <c r="K306" i="2" s="1"/>
  <c r="S305" i="2" a="1"/>
  <c r="S305" i="2"/>
  <c r="R305" i="2" a="1"/>
  <c r="R305" i="2"/>
  <c r="Q305" i="2" a="1"/>
  <c r="Q305" i="2"/>
  <c r="P305" i="2" a="1"/>
  <c r="P305" i="2"/>
  <c r="O305" i="2" a="1"/>
  <c r="O305" i="2"/>
  <c r="N305" i="2" a="1"/>
  <c r="N305" i="2"/>
  <c r="M305" i="2" a="1"/>
  <c r="M305" i="2"/>
  <c r="L305" i="2" a="1"/>
  <c r="L305" i="2"/>
  <c r="K305" i="2" a="1"/>
  <c r="K305" i="2"/>
  <c r="S304" i="2" a="1"/>
  <c r="S304" i="2" s="1"/>
  <c r="R304" i="2" a="1"/>
  <c r="R304" i="2" s="1"/>
  <c r="Q304" i="2" a="1"/>
  <c r="Q304" i="2" s="1"/>
  <c r="P304" i="2" a="1"/>
  <c r="P304" i="2" s="1"/>
  <c r="O304" i="2" a="1"/>
  <c r="O304" i="2" s="1"/>
  <c r="N304" i="2" a="1"/>
  <c r="N304" i="2" s="1"/>
  <c r="M304" i="2" a="1"/>
  <c r="M304" i="2" s="1"/>
  <c r="L304" i="2" a="1"/>
  <c r="L304" i="2" s="1"/>
  <c r="K304" i="2" a="1"/>
  <c r="K304" i="2" s="1"/>
  <c r="S303" i="2" a="1"/>
  <c r="S303" i="2"/>
  <c r="R303" i="2" a="1"/>
  <c r="R303" i="2"/>
  <c r="Q303" i="2" a="1"/>
  <c r="Q303" i="2"/>
  <c r="P303" i="2" a="1"/>
  <c r="P303" i="2"/>
  <c r="O303" i="2" a="1"/>
  <c r="O303" i="2"/>
  <c r="N303" i="2" a="1"/>
  <c r="N303" i="2"/>
  <c r="M303" i="2" a="1"/>
  <c r="M303" i="2"/>
  <c r="L303" i="2" a="1"/>
  <c r="L303" i="2"/>
  <c r="K303" i="2" a="1"/>
  <c r="K303" i="2"/>
  <c r="S302" i="2" a="1"/>
  <c r="S302" i="2" s="1"/>
  <c r="R302" i="2" a="1"/>
  <c r="R302" i="2" s="1"/>
  <c r="Q302" i="2" a="1"/>
  <c r="Q302" i="2" s="1"/>
  <c r="P302" i="2" a="1"/>
  <c r="P302" i="2" s="1"/>
  <c r="O302" i="2" a="1"/>
  <c r="O302" i="2" s="1"/>
  <c r="N302" i="2" a="1"/>
  <c r="N302" i="2" s="1"/>
  <c r="M302" i="2" a="1"/>
  <c r="M302" i="2" s="1"/>
  <c r="L302" i="2" a="1"/>
  <c r="L302" i="2" s="1"/>
  <c r="K302" i="2" a="1"/>
  <c r="K302" i="2" s="1"/>
  <c r="S301" i="2" a="1"/>
  <c r="S301" i="2"/>
  <c r="R301" i="2" a="1"/>
  <c r="R301" i="2"/>
  <c r="Q301" i="2" a="1"/>
  <c r="Q301" i="2"/>
  <c r="P301" i="2" a="1"/>
  <c r="P301" i="2"/>
  <c r="O301" i="2" a="1"/>
  <c r="O301" i="2"/>
  <c r="N301" i="2" a="1"/>
  <c r="N301" i="2"/>
  <c r="M301" i="2" a="1"/>
  <c r="M301" i="2"/>
  <c r="L301" i="2" a="1"/>
  <c r="L301" i="2"/>
  <c r="K301" i="2" a="1"/>
  <c r="K301" i="2"/>
  <c r="S300" i="2" a="1"/>
  <c r="S300" i="2"/>
  <c r="R300" i="2" a="1"/>
  <c r="R300" i="2"/>
  <c r="Q300" i="2" a="1"/>
  <c r="Q300" i="2"/>
  <c r="P300" i="2" a="1"/>
  <c r="P300" i="2"/>
  <c r="O300" i="2" a="1"/>
  <c r="O300" i="2"/>
  <c r="N300" i="2" a="1"/>
  <c r="N300" i="2"/>
  <c r="M300" i="2" a="1"/>
  <c r="M300" i="2"/>
  <c r="L300" i="2" a="1"/>
  <c r="L300" i="2"/>
  <c r="K300" i="2" a="1"/>
  <c r="K300" i="2"/>
  <c r="S299" i="2" a="1"/>
  <c r="S299" i="2"/>
  <c r="R299" i="2" a="1"/>
  <c r="R299" i="2"/>
  <c r="Q299" i="2" a="1"/>
  <c r="Q299" i="2"/>
  <c r="P299" i="2" a="1"/>
  <c r="P299" i="2"/>
  <c r="O299" i="2" a="1"/>
  <c r="O299" i="2"/>
  <c r="N299" i="2" a="1"/>
  <c r="N299" i="2"/>
  <c r="M299" i="2" a="1"/>
  <c r="M299" i="2"/>
  <c r="L299" i="2" a="1"/>
  <c r="L299" i="2"/>
  <c r="K299" i="2" a="1"/>
  <c r="K299" i="2"/>
  <c r="S298" i="2" a="1"/>
  <c r="S298" i="2"/>
  <c r="R298" i="2" a="1"/>
  <c r="R298" i="2"/>
  <c r="Q298" i="2" a="1"/>
  <c r="Q298" i="2"/>
  <c r="P298" i="2" a="1"/>
  <c r="P298" i="2"/>
  <c r="O298" i="2" a="1"/>
  <c r="O298" i="2"/>
  <c r="N298" i="2" a="1"/>
  <c r="N298" i="2"/>
  <c r="M298" i="2" a="1"/>
  <c r="M298" i="2"/>
  <c r="L298" i="2" a="1"/>
  <c r="L298" i="2"/>
  <c r="K298" i="2" a="1"/>
  <c r="K298" i="2"/>
  <c r="S297" i="2" a="1"/>
  <c r="S297" i="2"/>
  <c r="R297" i="2" a="1"/>
  <c r="R297" i="2"/>
  <c r="Q297" i="2" a="1"/>
  <c r="Q297" i="2"/>
  <c r="P297" i="2" a="1"/>
  <c r="P297" i="2"/>
  <c r="O297" i="2" a="1"/>
  <c r="O297" i="2"/>
  <c r="N297" i="2" a="1"/>
  <c r="N297" i="2"/>
  <c r="M297" i="2" a="1"/>
  <c r="M297" i="2"/>
  <c r="L297" i="2" a="1"/>
  <c r="L297" i="2"/>
  <c r="K297" i="2" a="1"/>
  <c r="K297" i="2"/>
  <c r="S296" i="2" a="1"/>
  <c r="S296" i="2"/>
  <c r="R296" i="2" a="1"/>
  <c r="R296" i="2"/>
  <c r="Q296" i="2" a="1"/>
  <c r="Q296" i="2"/>
  <c r="P296" i="2" a="1"/>
  <c r="P296" i="2"/>
  <c r="O296" i="2" a="1"/>
  <c r="O296" i="2"/>
  <c r="N296" i="2" a="1"/>
  <c r="N296" i="2"/>
  <c r="M296" i="2" a="1"/>
  <c r="M296" i="2"/>
  <c r="L296" i="2" a="1"/>
  <c r="L296" i="2"/>
  <c r="K296" i="2" a="1"/>
  <c r="K296" i="2"/>
  <c r="S295" i="2" a="1"/>
  <c r="S295" i="2"/>
  <c r="R295" i="2" a="1"/>
  <c r="R295" i="2"/>
  <c r="Q295" i="2" a="1"/>
  <c r="Q295" i="2"/>
  <c r="P295" i="2" a="1"/>
  <c r="P295" i="2"/>
  <c r="O295" i="2" a="1"/>
  <c r="O295" i="2"/>
  <c r="N295" i="2" a="1"/>
  <c r="N295" i="2"/>
  <c r="M295" i="2" a="1"/>
  <c r="M295" i="2"/>
  <c r="L295" i="2" a="1"/>
  <c r="L295" i="2"/>
  <c r="K295" i="2" a="1"/>
  <c r="K295" i="2"/>
  <c r="S294" i="2" a="1"/>
  <c r="S294" i="2"/>
  <c r="R294" i="2" a="1"/>
  <c r="R294" i="2"/>
  <c r="Q294" i="2" a="1"/>
  <c r="Q294" i="2"/>
  <c r="P294" i="2" a="1"/>
  <c r="P294" i="2"/>
  <c r="O294" i="2" a="1"/>
  <c r="O294" i="2"/>
  <c r="N294" i="2" a="1"/>
  <c r="N294" i="2"/>
  <c r="M294" i="2" a="1"/>
  <c r="M294" i="2"/>
  <c r="L294" i="2" a="1"/>
  <c r="L294" i="2"/>
  <c r="K294" i="2" a="1"/>
  <c r="K294" i="2"/>
  <c r="S293" i="2" a="1"/>
  <c r="S293" i="2"/>
  <c r="R293" i="2" a="1"/>
  <c r="R293" i="2"/>
  <c r="Q293" i="2" a="1"/>
  <c r="Q293" i="2"/>
  <c r="P293" i="2" a="1"/>
  <c r="P293" i="2"/>
  <c r="O293" i="2" a="1"/>
  <c r="O293" i="2"/>
  <c r="N293" i="2" a="1"/>
  <c r="N293" i="2"/>
  <c r="M293" i="2" a="1"/>
  <c r="M293" i="2"/>
  <c r="L293" i="2" a="1"/>
  <c r="L293" i="2"/>
  <c r="K293" i="2" a="1"/>
  <c r="K293" i="2"/>
  <c r="S292" i="2" a="1"/>
  <c r="S292" i="2"/>
  <c r="R292" i="2" a="1"/>
  <c r="R292" i="2"/>
  <c r="Q292" i="2" a="1"/>
  <c r="Q292" i="2"/>
  <c r="P292" i="2" a="1"/>
  <c r="P292" i="2" s="1"/>
  <c r="O292" i="2" a="1"/>
  <c r="O292" i="2"/>
  <c r="N292" i="2" a="1"/>
  <c r="N292" i="2" s="1"/>
  <c r="M292" i="2" a="1"/>
  <c r="M292" i="2"/>
  <c r="L292" i="2" a="1"/>
  <c r="L292" i="2" s="1"/>
  <c r="K292" i="2" a="1"/>
  <c r="K292" i="2"/>
  <c r="S291" i="2" a="1"/>
  <c r="S291" i="2" s="1"/>
  <c r="R291" i="2" a="1"/>
  <c r="R291" i="2" s="1"/>
  <c r="Q291" i="2" a="1"/>
  <c r="Q291" i="2" s="1"/>
  <c r="P291" i="2" a="1"/>
  <c r="P291" i="2" s="1"/>
  <c r="O291" i="2" a="1"/>
  <c r="O291" i="2" s="1"/>
  <c r="N291" i="2" a="1"/>
  <c r="N291" i="2" s="1"/>
  <c r="M291" i="2" a="1"/>
  <c r="M291" i="2" s="1"/>
  <c r="L291" i="2" a="1"/>
  <c r="L291" i="2" s="1"/>
  <c r="K291" i="2" a="1"/>
  <c r="K291" i="2" s="1"/>
  <c r="S290" i="2" a="1"/>
  <c r="S290" i="2" s="1"/>
  <c r="R290" i="2" a="1"/>
  <c r="R290" i="2" s="1"/>
  <c r="Q290" i="2" a="1"/>
  <c r="Q290" i="2" s="1"/>
  <c r="P290" i="2" a="1"/>
  <c r="P290" i="2" s="1"/>
  <c r="O290" i="2" a="1"/>
  <c r="O290" i="2" s="1"/>
  <c r="N290" i="2" a="1"/>
  <c r="N290" i="2" s="1"/>
  <c r="M290" i="2" a="1"/>
  <c r="M290" i="2" s="1"/>
  <c r="L290" i="2" a="1"/>
  <c r="L290" i="2" s="1"/>
  <c r="K290" i="2" a="1"/>
  <c r="K290" i="2" s="1"/>
  <c r="S289" i="2" a="1"/>
  <c r="S289" i="2" s="1"/>
  <c r="R289" i="2" a="1"/>
  <c r="R289" i="2" s="1"/>
  <c r="Q289" i="2" a="1"/>
  <c r="Q289" i="2" s="1"/>
  <c r="P289" i="2" a="1"/>
  <c r="P289" i="2" s="1"/>
  <c r="O289" i="2" a="1"/>
  <c r="O289" i="2" s="1"/>
  <c r="N289" i="2" a="1"/>
  <c r="N289" i="2" s="1"/>
  <c r="M289" i="2" a="1"/>
  <c r="M289" i="2" s="1"/>
  <c r="L289" i="2" a="1"/>
  <c r="L289" i="2" s="1"/>
  <c r="K289" i="2" a="1"/>
  <c r="K289" i="2" s="1"/>
  <c r="S288" i="2" a="1"/>
  <c r="S288" i="2" s="1"/>
  <c r="R288" i="2" a="1"/>
  <c r="R288" i="2" s="1"/>
  <c r="Q288" i="2" a="1"/>
  <c r="Q288" i="2" s="1"/>
  <c r="P288" i="2" a="1"/>
  <c r="P288" i="2" s="1"/>
  <c r="O288" i="2" a="1"/>
  <c r="O288" i="2" s="1"/>
  <c r="N288" i="2" a="1"/>
  <c r="N288" i="2" s="1"/>
  <c r="M288" i="2" a="1"/>
  <c r="M288" i="2" s="1"/>
  <c r="L288" i="2" a="1"/>
  <c r="L288" i="2" s="1"/>
  <c r="K288" i="2" a="1"/>
  <c r="K288" i="2" s="1"/>
  <c r="S287" i="2" a="1"/>
  <c r="S287" i="2" s="1"/>
  <c r="R287" i="2" a="1"/>
  <c r="R287" i="2" s="1"/>
  <c r="Q287" i="2" a="1"/>
  <c r="Q287" i="2" s="1"/>
  <c r="P287" i="2" a="1"/>
  <c r="P287" i="2" s="1"/>
  <c r="O287" i="2" a="1"/>
  <c r="O287" i="2" s="1"/>
  <c r="N287" i="2" a="1"/>
  <c r="N287" i="2" s="1"/>
  <c r="M287" i="2" a="1"/>
  <c r="M287" i="2" s="1"/>
  <c r="L287" i="2" a="1"/>
  <c r="L287" i="2" s="1"/>
  <c r="K287" i="2" a="1"/>
  <c r="K287" i="2" s="1"/>
  <c r="S286" i="2" a="1"/>
  <c r="S286" i="2" s="1"/>
  <c r="R286" i="2" a="1"/>
  <c r="R286" i="2" s="1"/>
  <c r="Q286" i="2" a="1"/>
  <c r="Q286" i="2" s="1"/>
  <c r="P286" i="2" a="1"/>
  <c r="P286" i="2" s="1"/>
  <c r="O286" i="2" a="1"/>
  <c r="O286" i="2" s="1"/>
  <c r="N286" i="2" a="1"/>
  <c r="N286" i="2" s="1"/>
  <c r="M286" i="2" a="1"/>
  <c r="M286" i="2" s="1"/>
  <c r="L286" i="2" a="1"/>
  <c r="L286" i="2" s="1"/>
  <c r="K286" i="2" a="1"/>
  <c r="K286" i="2" s="1"/>
  <c r="S285" i="2" a="1"/>
  <c r="S285" i="2" s="1"/>
  <c r="R285" i="2" a="1"/>
  <c r="R285" i="2" s="1"/>
  <c r="Q285" i="2" a="1"/>
  <c r="Q285" i="2" s="1"/>
  <c r="P285" i="2" a="1"/>
  <c r="P285" i="2" s="1"/>
  <c r="O285" i="2" a="1"/>
  <c r="O285" i="2" s="1"/>
  <c r="N285" i="2" a="1"/>
  <c r="N285" i="2" s="1"/>
  <c r="M285" i="2" a="1"/>
  <c r="M285" i="2" s="1"/>
  <c r="L285" i="2" a="1"/>
  <c r="L285" i="2" s="1"/>
  <c r="K285" i="2" a="1"/>
  <c r="K285" i="2" s="1"/>
  <c r="S284" i="2" a="1"/>
  <c r="S284" i="2" s="1"/>
  <c r="R284" i="2" a="1"/>
  <c r="R284" i="2" s="1"/>
  <c r="Q284" i="2" a="1"/>
  <c r="Q284" i="2" s="1"/>
  <c r="P284" i="2" a="1"/>
  <c r="P284" i="2" s="1"/>
  <c r="O284" i="2" a="1"/>
  <c r="O284" i="2" s="1"/>
  <c r="N284" i="2" a="1"/>
  <c r="N284" i="2" s="1"/>
  <c r="M284" i="2" a="1"/>
  <c r="M284" i="2" s="1"/>
  <c r="L284" i="2" a="1"/>
  <c r="L284" i="2" s="1"/>
  <c r="K284" i="2" a="1"/>
  <c r="K284" i="2" s="1"/>
  <c r="S283" i="2" a="1"/>
  <c r="S283" i="2" s="1"/>
  <c r="R283" i="2" a="1"/>
  <c r="R283" i="2" s="1"/>
  <c r="Q283" i="2" a="1"/>
  <c r="Q283" i="2" s="1"/>
  <c r="P283" i="2" a="1"/>
  <c r="P283" i="2" s="1"/>
  <c r="O283" i="2" a="1"/>
  <c r="O283" i="2" s="1"/>
  <c r="N283" i="2" a="1"/>
  <c r="N283" i="2" s="1"/>
  <c r="M283" i="2" a="1"/>
  <c r="M283" i="2" s="1"/>
  <c r="L283" i="2" a="1"/>
  <c r="L283" i="2" s="1"/>
  <c r="K283" i="2" a="1"/>
  <c r="K283" i="2" s="1"/>
  <c r="S282" i="2" a="1"/>
  <c r="S282" i="2" s="1"/>
  <c r="R282" i="2" a="1"/>
  <c r="R282" i="2" s="1"/>
  <c r="Q282" i="2" a="1"/>
  <c r="Q282" i="2" s="1"/>
  <c r="P282" i="2" a="1"/>
  <c r="P282" i="2" s="1"/>
  <c r="O282" i="2" a="1"/>
  <c r="O282" i="2" s="1"/>
  <c r="N282" i="2" a="1"/>
  <c r="N282" i="2" s="1"/>
  <c r="M282" i="2" a="1"/>
  <c r="M282" i="2" s="1"/>
  <c r="L282" i="2" a="1"/>
  <c r="L282" i="2" s="1"/>
  <c r="K282" i="2" a="1"/>
  <c r="K282" i="2" s="1"/>
  <c r="S281" i="2" a="1"/>
  <c r="S281" i="2"/>
  <c r="R281" i="2" a="1"/>
  <c r="R281" i="2"/>
  <c r="Q281" i="2" a="1"/>
  <c r="Q281" i="2"/>
  <c r="P281" i="2" a="1"/>
  <c r="P281" i="2"/>
  <c r="O281" i="2" a="1"/>
  <c r="O281" i="2"/>
  <c r="N281" i="2" a="1"/>
  <c r="N281" i="2"/>
  <c r="M281" i="2" a="1"/>
  <c r="M281" i="2"/>
  <c r="L281" i="2" a="1"/>
  <c r="L281" i="2"/>
  <c r="K281" i="2" a="1"/>
  <c r="K281" i="2"/>
  <c r="S280" i="2" a="1"/>
  <c r="S280" i="2"/>
  <c r="R280" i="2" a="1"/>
  <c r="R280" i="2"/>
  <c r="Q280" i="2" a="1"/>
  <c r="Q280" i="2"/>
  <c r="P280" i="2" a="1"/>
  <c r="P280" i="2"/>
  <c r="O280" i="2" a="1"/>
  <c r="O280" i="2"/>
  <c r="N280" i="2" a="1"/>
  <c r="N280" i="2"/>
  <c r="M280" i="2" a="1"/>
  <c r="M280" i="2"/>
  <c r="L280" i="2" a="1"/>
  <c r="L280" i="2"/>
  <c r="K280" i="2" a="1"/>
  <c r="K280" i="2"/>
  <c r="S279" i="2" a="1"/>
  <c r="S279" i="2" s="1"/>
  <c r="R279" i="2" a="1"/>
  <c r="R279" i="2" s="1"/>
  <c r="Q279" i="2" a="1"/>
  <c r="Q279" i="2" s="1"/>
  <c r="P279" i="2" a="1"/>
  <c r="P279" i="2" s="1"/>
  <c r="O279" i="2" a="1"/>
  <c r="O279" i="2" s="1"/>
  <c r="N279" i="2" a="1"/>
  <c r="N279" i="2" s="1"/>
  <c r="M279" i="2" a="1"/>
  <c r="M279" i="2" s="1"/>
  <c r="L279" i="2" a="1"/>
  <c r="L279" i="2" s="1"/>
  <c r="K279" i="2" a="1"/>
  <c r="K279" i="2" s="1"/>
  <c r="S278" i="2" a="1"/>
  <c r="S278" i="2"/>
  <c r="R278" i="2" a="1"/>
  <c r="R278" i="2"/>
  <c r="Q278" i="2" a="1"/>
  <c r="Q278" i="2"/>
  <c r="P278" i="2" a="1"/>
  <c r="P278" i="2"/>
  <c r="O278" i="2" a="1"/>
  <c r="O278" i="2"/>
  <c r="N278" i="2" a="1"/>
  <c r="N278" i="2"/>
  <c r="M278" i="2" a="1"/>
  <c r="M278" i="2"/>
  <c r="L278" i="2" a="1"/>
  <c r="L278" i="2"/>
  <c r="K278" i="2" a="1"/>
  <c r="K278" i="2"/>
  <c r="S277" i="2" a="1"/>
  <c r="S277" i="2" s="1"/>
  <c r="R277" i="2" a="1"/>
  <c r="R277" i="2" s="1"/>
  <c r="Q277" i="2" a="1"/>
  <c r="Q277" i="2" s="1"/>
  <c r="P277" i="2" a="1"/>
  <c r="P277" i="2" s="1"/>
  <c r="O277" i="2" a="1"/>
  <c r="O277" i="2" s="1"/>
  <c r="N277" i="2" a="1"/>
  <c r="N277" i="2" s="1"/>
  <c r="M277" i="2" a="1"/>
  <c r="M277" i="2" s="1"/>
  <c r="L277" i="2" a="1"/>
  <c r="L277" i="2" s="1"/>
  <c r="K277" i="2" a="1"/>
  <c r="K277" i="2" s="1"/>
  <c r="S276" i="2" a="1"/>
  <c r="S276" i="2"/>
  <c r="R276" i="2" a="1"/>
  <c r="R276" i="2"/>
  <c r="Q276" i="2" a="1"/>
  <c r="Q276" i="2"/>
  <c r="P276" i="2" a="1"/>
  <c r="P276" i="2"/>
  <c r="O276" i="2" a="1"/>
  <c r="O276" i="2"/>
  <c r="N276" i="2" a="1"/>
  <c r="N276" i="2"/>
  <c r="M276" i="2" a="1"/>
  <c r="M276" i="2"/>
  <c r="L276" i="2" a="1"/>
  <c r="L276" i="2"/>
  <c r="K276" i="2" a="1"/>
  <c r="K276" i="2"/>
  <c r="S275" i="2" a="1"/>
  <c r="S275" i="2" s="1"/>
  <c r="R275" i="2" a="1"/>
  <c r="R275" i="2" s="1"/>
  <c r="Q275" i="2" a="1"/>
  <c r="Q275" i="2" s="1"/>
  <c r="P275" i="2" a="1"/>
  <c r="P275" i="2" s="1"/>
  <c r="O275" i="2" a="1"/>
  <c r="O275" i="2" s="1"/>
  <c r="N275" i="2" a="1"/>
  <c r="N275" i="2" s="1"/>
  <c r="M275" i="2" a="1"/>
  <c r="M275" i="2" s="1"/>
  <c r="L275" i="2" a="1"/>
  <c r="L275" i="2" s="1"/>
  <c r="K275" i="2" a="1"/>
  <c r="K275" i="2" s="1"/>
  <c r="S274" i="2" a="1"/>
  <c r="S274" i="2"/>
  <c r="R274" i="2" a="1"/>
  <c r="R274" i="2"/>
  <c r="Q274" i="2" a="1"/>
  <c r="Q274" i="2"/>
  <c r="P274" i="2" a="1"/>
  <c r="P274" i="2"/>
  <c r="O274" i="2" a="1"/>
  <c r="O274" i="2"/>
  <c r="N274" i="2" a="1"/>
  <c r="N274" i="2"/>
  <c r="M274" i="2" a="1"/>
  <c r="M274" i="2"/>
  <c r="L274" i="2" a="1"/>
  <c r="L274" i="2"/>
  <c r="K274" i="2" a="1"/>
  <c r="K274" i="2"/>
  <c r="S273" i="2" a="1"/>
  <c r="S273" i="2" s="1"/>
  <c r="R273" i="2" a="1"/>
  <c r="R273" i="2" s="1"/>
  <c r="Q273" i="2" a="1"/>
  <c r="Q273" i="2" s="1"/>
  <c r="P273" i="2" a="1"/>
  <c r="P273" i="2" s="1"/>
  <c r="O273" i="2" a="1"/>
  <c r="O273" i="2" s="1"/>
  <c r="N273" i="2" a="1"/>
  <c r="N273" i="2" s="1"/>
  <c r="M273" i="2" a="1"/>
  <c r="M273" i="2" s="1"/>
  <c r="L273" i="2" a="1"/>
  <c r="L273" i="2" s="1"/>
  <c r="K273" i="2" a="1"/>
  <c r="K273" i="2" s="1"/>
  <c r="S272" i="2" a="1"/>
  <c r="S272" i="2"/>
  <c r="R272" i="2" a="1"/>
  <c r="R272" i="2"/>
  <c r="Q272" i="2" a="1"/>
  <c r="Q272" i="2"/>
  <c r="P272" i="2" a="1"/>
  <c r="P272" i="2"/>
  <c r="O272" i="2" a="1"/>
  <c r="O272" i="2"/>
  <c r="N272" i="2" a="1"/>
  <c r="N272" i="2"/>
  <c r="M272" i="2" a="1"/>
  <c r="M272" i="2"/>
  <c r="L272" i="2" a="1"/>
  <c r="L272" i="2"/>
  <c r="K272" i="2" a="1"/>
  <c r="K272" i="2"/>
  <c r="S271" i="2" a="1"/>
  <c r="S271" i="2"/>
  <c r="R271" i="2" a="1"/>
  <c r="R271" i="2"/>
  <c r="Q271" i="2" a="1"/>
  <c r="Q271" i="2"/>
  <c r="P271" i="2" a="1"/>
  <c r="P271" i="2"/>
  <c r="O271" i="2" a="1"/>
  <c r="O271" i="2"/>
  <c r="N271" i="2" a="1"/>
  <c r="N271" i="2"/>
  <c r="M271" i="2" a="1"/>
  <c r="M271" i="2"/>
  <c r="L271" i="2" a="1"/>
  <c r="L271" i="2"/>
  <c r="K271" i="2" a="1"/>
  <c r="K271" i="2"/>
  <c r="S270" i="2" a="1"/>
  <c r="S270" i="2" s="1"/>
  <c r="R270" i="2" a="1"/>
  <c r="R270" i="2" s="1"/>
  <c r="Q270" i="2" a="1"/>
  <c r="Q270" i="2" s="1"/>
  <c r="P270" i="2" a="1"/>
  <c r="P270" i="2" s="1"/>
  <c r="O270" i="2" a="1"/>
  <c r="O270" i="2" s="1"/>
  <c r="N270" i="2" a="1"/>
  <c r="N270" i="2" s="1"/>
  <c r="M270" i="2" a="1"/>
  <c r="M270" i="2" s="1"/>
  <c r="L270" i="2" a="1"/>
  <c r="L270" i="2" s="1"/>
  <c r="K270" i="2" a="1"/>
  <c r="K270" i="2" s="1"/>
  <c r="S269" i="2" a="1"/>
  <c r="S269" i="2"/>
  <c r="R269" i="2" a="1"/>
  <c r="R269" i="2"/>
  <c r="Q269" i="2" a="1"/>
  <c r="Q269" i="2"/>
  <c r="P269" i="2" a="1"/>
  <c r="P269" i="2"/>
  <c r="O269" i="2" a="1"/>
  <c r="O269" i="2"/>
  <c r="N269" i="2" a="1"/>
  <c r="N269" i="2"/>
  <c r="M269" i="2" a="1"/>
  <c r="M269" i="2"/>
  <c r="L269" i="2" a="1"/>
  <c r="L269" i="2"/>
  <c r="K269" i="2" a="1"/>
  <c r="K269" i="2"/>
  <c r="S268" i="2" a="1"/>
  <c r="S268" i="2" s="1"/>
  <c r="R268" i="2" a="1"/>
  <c r="R268" i="2" s="1"/>
  <c r="Q268" i="2" a="1"/>
  <c r="Q268" i="2" s="1"/>
  <c r="P268" i="2" a="1"/>
  <c r="P268" i="2" s="1"/>
  <c r="O268" i="2" a="1"/>
  <c r="O268" i="2" s="1"/>
  <c r="N268" i="2" a="1"/>
  <c r="N268" i="2" s="1"/>
  <c r="M268" i="2" a="1"/>
  <c r="M268" i="2" s="1"/>
  <c r="L268" i="2" a="1"/>
  <c r="L268" i="2" s="1"/>
  <c r="K268" i="2" a="1"/>
  <c r="K268" i="2" s="1"/>
  <c r="S266" i="2" a="1"/>
  <c r="S266" i="2" s="1"/>
  <c r="R266" i="2" a="1"/>
  <c r="R266" i="2" s="1"/>
  <c r="Q266" i="2" a="1"/>
  <c r="Q266" i="2" s="1"/>
  <c r="P266" i="2" a="1"/>
  <c r="P266" i="2" s="1"/>
  <c r="O266" i="2" a="1"/>
  <c r="O266" i="2" s="1"/>
  <c r="N266" i="2" a="1"/>
  <c r="N266" i="2" s="1"/>
  <c r="M266" i="2" a="1"/>
  <c r="M266" i="2" s="1"/>
  <c r="L266" i="2" a="1"/>
  <c r="L266" i="2" s="1"/>
  <c r="K266" i="2" a="1"/>
  <c r="K266" i="2" s="1"/>
  <c r="S265" i="2" a="1"/>
  <c r="S265" i="2"/>
  <c r="R265" i="2" a="1"/>
  <c r="R265" i="2"/>
  <c r="Q265" i="2" a="1"/>
  <c r="Q265" i="2"/>
  <c r="P265" i="2" a="1"/>
  <c r="P265" i="2"/>
  <c r="O265" i="2" a="1"/>
  <c r="O265" i="2"/>
  <c r="N265" i="2" a="1"/>
  <c r="N265" i="2"/>
  <c r="M265" i="2" a="1"/>
  <c r="M265" i="2"/>
  <c r="L265" i="2" a="1"/>
  <c r="L265" i="2"/>
  <c r="K265" i="2" a="1"/>
  <c r="K265" i="2"/>
  <c r="S264" i="2" a="1"/>
  <c r="S264" i="2" s="1"/>
  <c r="R264" i="2" a="1"/>
  <c r="R264" i="2" s="1"/>
  <c r="Q264" i="2" a="1"/>
  <c r="Q264" i="2" s="1"/>
  <c r="P264" i="2" a="1"/>
  <c r="P264" i="2" s="1"/>
  <c r="O264" i="2" a="1"/>
  <c r="O264" i="2" s="1"/>
  <c r="N264" i="2" a="1"/>
  <c r="N264" i="2" s="1"/>
  <c r="M264" i="2" a="1"/>
  <c r="M264" i="2" s="1"/>
  <c r="L264" i="2" a="1"/>
  <c r="L264" i="2" s="1"/>
  <c r="K264" i="2" a="1"/>
  <c r="K264" i="2" s="1"/>
  <c r="S263" i="2" a="1"/>
  <c r="S263" i="2"/>
  <c r="R263" i="2" a="1"/>
  <c r="R263" i="2"/>
  <c r="Q263" i="2" a="1"/>
  <c r="Q263" i="2"/>
  <c r="P263" i="2" a="1"/>
  <c r="P263" i="2"/>
  <c r="O263" i="2" a="1"/>
  <c r="O263" i="2"/>
  <c r="N263" i="2" a="1"/>
  <c r="N263" i="2"/>
  <c r="M263" i="2" a="1"/>
  <c r="M263" i="2"/>
  <c r="L263" i="2" a="1"/>
  <c r="L263" i="2"/>
  <c r="K263" i="2" a="1"/>
  <c r="K263" i="2"/>
  <c r="S262" i="2" a="1"/>
  <c r="S262" i="2" s="1"/>
  <c r="R262" i="2" a="1"/>
  <c r="R262" i="2" s="1"/>
  <c r="Q262" i="2" a="1"/>
  <c r="Q262" i="2" s="1"/>
  <c r="P262" i="2" a="1"/>
  <c r="P262" i="2" s="1"/>
  <c r="O262" i="2" a="1"/>
  <c r="O262" i="2" s="1"/>
  <c r="N262" i="2" a="1"/>
  <c r="N262" i="2" s="1"/>
  <c r="M262" i="2" a="1"/>
  <c r="M262" i="2" s="1"/>
  <c r="L262" i="2" a="1"/>
  <c r="L262" i="2" s="1"/>
  <c r="K262" i="2" a="1"/>
  <c r="K262" i="2" s="1"/>
  <c r="S261" i="2" a="1"/>
  <c r="S261" i="2" s="1"/>
  <c r="R261" i="2" a="1"/>
  <c r="R261" i="2" s="1"/>
  <c r="Q261" i="2" a="1"/>
  <c r="Q261" i="2" s="1"/>
  <c r="P261" i="2" a="1"/>
  <c r="P261" i="2" s="1"/>
  <c r="O261" i="2" a="1"/>
  <c r="O261" i="2"/>
  <c r="N261" i="2" a="1"/>
  <c r="N261" i="2" s="1"/>
  <c r="M261" i="2" a="1"/>
  <c r="M261" i="2" s="1"/>
  <c r="L261" i="2" a="1"/>
  <c r="L261" i="2" s="1"/>
  <c r="K261" i="2" a="1"/>
  <c r="K261" i="2"/>
  <c r="S260" i="2" a="1"/>
  <c r="S260" i="2"/>
  <c r="R260" i="2" a="1"/>
  <c r="R260" i="2" s="1"/>
  <c r="Q260" i="2" a="1"/>
  <c r="Q260" i="2"/>
  <c r="P260" i="2" a="1"/>
  <c r="P260" i="2" s="1"/>
  <c r="O260" i="2" a="1"/>
  <c r="O260" i="2"/>
  <c r="N260" i="2" a="1"/>
  <c r="N260" i="2" s="1"/>
  <c r="M260" i="2" a="1"/>
  <c r="M260" i="2"/>
  <c r="L260" i="2" a="1"/>
  <c r="L260" i="2" s="1"/>
  <c r="K260" i="2" a="1"/>
  <c r="K260" i="2"/>
  <c r="S259" i="2" a="1"/>
  <c r="S259" i="2"/>
  <c r="R259" i="2" a="1"/>
  <c r="R259" i="2"/>
  <c r="Q259" i="2" a="1"/>
  <c r="Q259" i="2"/>
  <c r="P259" i="2" a="1"/>
  <c r="P259" i="2"/>
  <c r="O259" i="2" a="1"/>
  <c r="O259" i="2" s="1"/>
  <c r="N259" i="2" a="1"/>
  <c r="N259" i="2"/>
  <c r="M259" i="2" a="1"/>
  <c r="M259" i="2" s="1"/>
  <c r="L259" i="2" a="1"/>
  <c r="L259" i="2"/>
  <c r="K259" i="2" a="1"/>
  <c r="K259" i="2" s="1"/>
  <c r="S258" i="2" a="1"/>
  <c r="S258" i="2" s="1"/>
  <c r="R258" i="2" a="1"/>
  <c r="R258" i="2"/>
  <c r="Q258" i="2" a="1"/>
  <c r="Q258" i="2" s="1"/>
  <c r="P258" i="2" a="1"/>
  <c r="P258" i="2"/>
  <c r="O258" i="2" a="1"/>
  <c r="O258" i="2" s="1"/>
  <c r="N258" i="2" a="1"/>
  <c r="N258" i="2"/>
  <c r="M258" i="2" a="1"/>
  <c r="M258" i="2" s="1"/>
  <c r="L258" i="2" a="1"/>
  <c r="L258" i="2"/>
  <c r="K258" i="2" a="1"/>
  <c r="K258" i="2" s="1"/>
  <c r="S257" i="2" a="1"/>
  <c r="S257" i="2"/>
  <c r="R257" i="2" a="1"/>
  <c r="R257" i="2" s="1"/>
  <c r="Q257" i="2" a="1"/>
  <c r="Q257" i="2"/>
  <c r="P257" i="2" a="1"/>
  <c r="P257" i="2" s="1"/>
  <c r="O257" i="2" a="1"/>
  <c r="O257" i="2"/>
  <c r="N257" i="2" a="1"/>
  <c r="N257" i="2" s="1"/>
  <c r="M257" i="2" a="1"/>
  <c r="M257" i="2"/>
  <c r="L257" i="2" a="1"/>
  <c r="L257" i="2" s="1"/>
  <c r="K257" i="2" a="1"/>
  <c r="K257" i="2"/>
  <c r="S256" i="2" a="1"/>
  <c r="S256" i="2"/>
  <c r="R256" i="2" a="1"/>
  <c r="R256" i="2" s="1"/>
  <c r="Q256" i="2" a="1"/>
  <c r="Q256" i="2"/>
  <c r="P256" i="2" a="1"/>
  <c r="P256" i="2" s="1"/>
  <c r="O256" i="2" a="1"/>
  <c r="O256" i="2"/>
  <c r="N256" i="2" a="1"/>
  <c r="N256" i="2" s="1"/>
  <c r="M256" i="2" a="1"/>
  <c r="M256" i="2"/>
  <c r="L256" i="2" a="1"/>
  <c r="L256" i="2" s="1"/>
  <c r="K256" i="2" a="1"/>
  <c r="K256" i="2"/>
  <c r="S255" i="2" a="1"/>
  <c r="S255" i="2"/>
  <c r="R255" i="2" a="1"/>
  <c r="R255" i="2"/>
  <c r="Q255" i="2" a="1"/>
  <c r="Q255" i="2"/>
  <c r="P255" i="2" a="1"/>
  <c r="P255" i="2"/>
  <c r="O255" i="2" a="1"/>
  <c r="O255" i="2" s="1"/>
  <c r="N255" i="2" a="1"/>
  <c r="N255" i="2"/>
  <c r="M255" i="2" a="1"/>
  <c r="M255" i="2" s="1"/>
  <c r="L255" i="2" a="1"/>
  <c r="L255" i="2"/>
  <c r="K255" i="2" a="1"/>
  <c r="K255" i="2" s="1"/>
  <c r="S254" i="2" a="1"/>
  <c r="S254" i="2" s="1"/>
  <c r="R254" i="2" a="1"/>
  <c r="R254" i="2"/>
  <c r="Q254" i="2" a="1"/>
  <c r="Q254" i="2" s="1"/>
  <c r="P254" i="2" a="1"/>
  <c r="P254" i="2"/>
  <c r="O254" i="2" a="1"/>
  <c r="O254" i="2" s="1"/>
  <c r="N254" i="2" a="1"/>
  <c r="N254" i="2" s="1"/>
  <c r="M254" i="2" a="1"/>
  <c r="M254" i="2" s="1"/>
  <c r="L254" i="2" a="1"/>
  <c r="L254" i="2" s="1"/>
  <c r="K254" i="2" a="1"/>
  <c r="K254" i="2" s="1"/>
  <c r="S253" i="2" a="1"/>
  <c r="S253" i="2"/>
  <c r="R253" i="2" a="1"/>
  <c r="R253" i="2"/>
  <c r="Q253" i="2" a="1"/>
  <c r="Q253" i="2"/>
  <c r="P253" i="2" a="1"/>
  <c r="P253" i="2"/>
  <c r="O253" i="2" a="1"/>
  <c r="O253" i="2"/>
  <c r="N253" i="2" a="1"/>
  <c r="N253" i="2" s="1"/>
  <c r="M253" i="2" a="1"/>
  <c r="M253" i="2"/>
  <c r="L253" i="2" a="1"/>
  <c r="L253" i="2" s="1"/>
  <c r="K253" i="2" a="1"/>
  <c r="K253" i="2"/>
  <c r="S252" i="2" a="1"/>
  <c r="S252" i="2"/>
  <c r="R252" i="2" a="1"/>
  <c r="R252" i="2" s="1"/>
  <c r="Q252" i="2" a="1"/>
  <c r="Q252" i="2"/>
  <c r="P252" i="2" a="1"/>
  <c r="P252" i="2" s="1"/>
  <c r="O252" i="2" a="1"/>
  <c r="O252" i="2" s="1"/>
  <c r="N252" i="2" a="1"/>
  <c r="N252" i="2" s="1"/>
  <c r="M252" i="2" a="1"/>
  <c r="M252" i="2" s="1"/>
  <c r="L252" i="2" a="1"/>
  <c r="L252" i="2" s="1"/>
  <c r="K252" i="2" a="1"/>
  <c r="K252" i="2" s="1"/>
  <c r="S251" i="2" a="1"/>
  <c r="S251" i="2"/>
  <c r="R251" i="2" a="1"/>
  <c r="R251" i="2"/>
  <c r="Q251" i="2" a="1"/>
  <c r="Q251" i="2"/>
  <c r="P251" i="2" a="1"/>
  <c r="P251" i="2"/>
  <c r="O251" i="2" a="1"/>
  <c r="O251" i="2" s="1"/>
  <c r="N251" i="2" a="1"/>
  <c r="N251" i="2"/>
  <c r="M251" i="2" a="1"/>
  <c r="M251" i="2" s="1"/>
  <c r="L251" i="2" a="1"/>
  <c r="L251" i="2"/>
  <c r="K251" i="2" a="1"/>
  <c r="K251" i="2" s="1"/>
  <c r="S250" i="2" a="1"/>
  <c r="S250" i="2"/>
  <c r="R250" i="2" a="1"/>
  <c r="R250" i="2" s="1"/>
  <c r="Q250" i="2" a="1"/>
  <c r="Q250" i="2"/>
  <c r="P250" i="2" a="1"/>
  <c r="P250" i="2" s="1"/>
  <c r="O250" i="2" a="1"/>
  <c r="O250" i="2"/>
  <c r="N250" i="2" a="1"/>
  <c r="N250" i="2" s="1"/>
  <c r="M250" i="2" a="1"/>
  <c r="M250" i="2"/>
  <c r="L250" i="2" a="1"/>
  <c r="L250" i="2" s="1"/>
  <c r="K250" i="2" a="1"/>
  <c r="K250" i="2" s="1"/>
  <c r="S249" i="2" a="1"/>
  <c r="S249" i="2" s="1"/>
  <c r="R249" i="2" a="1"/>
  <c r="R249" i="2" s="1"/>
  <c r="Q249" i="2" a="1"/>
  <c r="Q249" i="2" s="1"/>
  <c r="P249" i="2" a="1"/>
  <c r="P249" i="2" s="1"/>
  <c r="O249" i="2" a="1"/>
  <c r="O249" i="2" s="1"/>
  <c r="N249" i="2" a="1"/>
  <c r="N249" i="2" s="1"/>
  <c r="M249" i="2" a="1"/>
  <c r="M249" i="2" s="1"/>
  <c r="L249" i="2" a="1"/>
  <c r="L249" i="2" s="1"/>
  <c r="K249" i="2" a="1"/>
  <c r="K249" i="2" s="1"/>
  <c r="S248" i="2" a="1"/>
  <c r="S248" i="2" s="1"/>
  <c r="R248" i="2" a="1"/>
  <c r="R248" i="2" s="1"/>
  <c r="Q248" i="2" a="1"/>
  <c r="Q248" i="2" s="1"/>
  <c r="P248" i="2" a="1"/>
  <c r="P248" i="2" s="1"/>
  <c r="O248" i="2" a="1"/>
  <c r="O248" i="2" s="1"/>
  <c r="N248" i="2" a="1"/>
  <c r="N248" i="2" s="1"/>
  <c r="M248" i="2" a="1"/>
  <c r="M248" i="2" s="1"/>
  <c r="L248" i="2" a="1"/>
  <c r="L248" i="2" s="1"/>
  <c r="K248" i="2" a="1"/>
  <c r="K248" i="2" s="1"/>
  <c r="S247" i="2" a="1"/>
  <c r="S247" i="2" s="1"/>
  <c r="R247" i="2" a="1"/>
  <c r="R247" i="2" s="1"/>
  <c r="Q247" i="2" a="1"/>
  <c r="Q247" i="2" s="1"/>
  <c r="P247" i="2" a="1"/>
  <c r="P247" i="2" s="1"/>
  <c r="O247" i="2" a="1"/>
  <c r="O247" i="2" s="1"/>
  <c r="N247" i="2" a="1"/>
  <c r="N247" i="2" s="1"/>
  <c r="M247" i="2" a="1"/>
  <c r="M247" i="2" s="1"/>
  <c r="L247" i="2" a="1"/>
  <c r="L247" i="2" s="1"/>
  <c r="K247" i="2" a="1"/>
  <c r="K247" i="2" s="1"/>
  <c r="S246" i="2" a="1"/>
  <c r="S246" i="2" s="1"/>
  <c r="R246" i="2" a="1"/>
  <c r="R246" i="2" s="1"/>
  <c r="Q246" i="2" a="1"/>
  <c r="Q246" i="2" s="1"/>
  <c r="P246" i="2" a="1"/>
  <c r="P246" i="2" s="1"/>
  <c r="O246" i="2" a="1"/>
  <c r="O246" i="2" s="1"/>
  <c r="N246" i="2" a="1"/>
  <c r="N246" i="2" s="1"/>
  <c r="M246" i="2" a="1"/>
  <c r="M246" i="2" s="1"/>
  <c r="L246" i="2" a="1"/>
  <c r="L246" i="2" s="1"/>
  <c r="K246" i="2" a="1"/>
  <c r="K246" i="2" s="1"/>
  <c r="S245" i="2" a="1"/>
  <c r="S245" i="2" s="1"/>
  <c r="R245" i="2" a="1"/>
  <c r="R245" i="2" s="1"/>
  <c r="Q245" i="2" a="1"/>
  <c r="Q245" i="2" s="1"/>
  <c r="P245" i="2" a="1"/>
  <c r="P245" i="2" s="1"/>
  <c r="O245" i="2" a="1"/>
  <c r="O245" i="2" s="1"/>
  <c r="N245" i="2" a="1"/>
  <c r="N245" i="2" s="1"/>
  <c r="M245" i="2" a="1"/>
  <c r="M245" i="2" s="1"/>
  <c r="L245" i="2" a="1"/>
  <c r="L245" i="2" s="1"/>
  <c r="K245" i="2" a="1"/>
  <c r="K245" i="2" s="1"/>
  <c r="S244" i="2" a="1"/>
  <c r="S244" i="2" s="1"/>
  <c r="R244" i="2" a="1"/>
  <c r="R244" i="2" s="1"/>
  <c r="Q244" i="2" a="1"/>
  <c r="Q244" i="2" s="1"/>
  <c r="P244" i="2" a="1"/>
  <c r="P244" i="2" s="1"/>
  <c r="O244" i="2" a="1"/>
  <c r="O244" i="2" s="1"/>
  <c r="N244" i="2" a="1"/>
  <c r="N244" i="2" s="1"/>
  <c r="M244" i="2" a="1"/>
  <c r="M244" i="2" s="1"/>
  <c r="L244" i="2" a="1"/>
  <c r="L244" i="2" s="1"/>
  <c r="K244" i="2" a="1"/>
  <c r="K244" i="2" s="1"/>
  <c r="S243" i="2" a="1"/>
  <c r="S243" i="2" s="1"/>
  <c r="R243" i="2" a="1"/>
  <c r="R243" i="2" s="1"/>
  <c r="Q243" i="2" a="1"/>
  <c r="Q243" i="2" s="1"/>
  <c r="P243" i="2" a="1"/>
  <c r="P243" i="2" s="1"/>
  <c r="O243" i="2" a="1"/>
  <c r="O243" i="2" s="1"/>
  <c r="N243" i="2" a="1"/>
  <c r="N243" i="2" s="1"/>
  <c r="M243" i="2" a="1"/>
  <c r="M243" i="2" s="1"/>
  <c r="L243" i="2" a="1"/>
  <c r="L243" i="2" s="1"/>
  <c r="K243" i="2" a="1"/>
  <c r="K243" i="2" s="1"/>
  <c r="S242" i="2" a="1"/>
  <c r="S242" i="2" s="1"/>
  <c r="R242" i="2" a="1"/>
  <c r="R242" i="2" s="1"/>
  <c r="Q242" i="2" a="1"/>
  <c r="Q242" i="2" s="1"/>
  <c r="P242" i="2" a="1"/>
  <c r="P242" i="2" s="1"/>
  <c r="O242" i="2" a="1"/>
  <c r="O242" i="2" s="1"/>
  <c r="N242" i="2" a="1"/>
  <c r="N242" i="2" s="1"/>
  <c r="M242" i="2" a="1"/>
  <c r="M242" i="2" s="1"/>
  <c r="L242" i="2" a="1"/>
  <c r="L242" i="2" s="1"/>
  <c r="K242" i="2" a="1"/>
  <c r="K242" i="2" s="1"/>
  <c r="S241" i="2" a="1"/>
  <c r="S241" i="2"/>
  <c r="R241" i="2" a="1"/>
  <c r="R241" i="2"/>
  <c r="Q241" i="2" a="1"/>
  <c r="Q241" i="2"/>
  <c r="P241" i="2" a="1"/>
  <c r="P241" i="2"/>
  <c r="O241" i="2" a="1"/>
  <c r="O241" i="2"/>
  <c r="N241" i="2" a="1"/>
  <c r="N241" i="2"/>
  <c r="M241" i="2" a="1"/>
  <c r="M241" i="2"/>
  <c r="L241" i="2" a="1"/>
  <c r="L241" i="2"/>
  <c r="K241" i="2" a="1"/>
  <c r="K241" i="2"/>
  <c r="S240" i="2" a="1"/>
  <c r="S240" i="2"/>
  <c r="R240" i="2" a="1"/>
  <c r="R240" i="2"/>
  <c r="Q240" i="2" a="1"/>
  <c r="Q240" i="2"/>
  <c r="P240" i="2" a="1"/>
  <c r="P240" i="2"/>
  <c r="O240" i="2" a="1"/>
  <c r="O240" i="2"/>
  <c r="N240" i="2" a="1"/>
  <c r="N240" i="2"/>
  <c r="M240" i="2" a="1"/>
  <c r="M240" i="2"/>
  <c r="L240" i="2" a="1"/>
  <c r="L240" i="2"/>
  <c r="K240" i="2" a="1"/>
  <c r="K240" i="2"/>
  <c r="S239" i="2" a="1"/>
  <c r="S239" i="2"/>
  <c r="R239" i="2" a="1"/>
  <c r="R239" i="2"/>
  <c r="Q239" i="2" a="1"/>
  <c r="Q239" i="2"/>
  <c r="P239" i="2" a="1"/>
  <c r="P239" i="2"/>
  <c r="O239" i="2" a="1"/>
  <c r="O239" i="2"/>
  <c r="N239" i="2" a="1"/>
  <c r="N239" i="2"/>
  <c r="M239" i="2" a="1"/>
  <c r="M239" i="2"/>
  <c r="L239" i="2" a="1"/>
  <c r="L239" i="2"/>
  <c r="K239" i="2" a="1"/>
  <c r="K239" i="2"/>
  <c r="S238" i="2" a="1"/>
  <c r="S238" i="2"/>
  <c r="R238" i="2" a="1"/>
  <c r="R238" i="2"/>
  <c r="Q238" i="2" a="1"/>
  <c r="Q238" i="2"/>
  <c r="P238" i="2" a="1"/>
  <c r="P238" i="2"/>
  <c r="O238" i="2" a="1"/>
  <c r="O238" i="2"/>
  <c r="N238" i="2" a="1"/>
  <c r="N238" i="2"/>
  <c r="M238" i="2" a="1"/>
  <c r="M238" i="2"/>
  <c r="L238" i="2" a="1"/>
  <c r="L238" i="2"/>
  <c r="K238" i="2" a="1"/>
  <c r="K238" i="2"/>
  <c r="S237" i="2" a="1"/>
  <c r="S237" i="2"/>
  <c r="R237" i="2" a="1"/>
  <c r="R237" i="2"/>
  <c r="Q237" i="2" a="1"/>
  <c r="Q237" i="2"/>
  <c r="P237" i="2" a="1"/>
  <c r="P237" i="2"/>
  <c r="O237" i="2" a="1"/>
  <c r="O237" i="2"/>
  <c r="N237" i="2" a="1"/>
  <c r="N237" i="2"/>
  <c r="M237" i="2" a="1"/>
  <c r="M237" i="2"/>
  <c r="L237" i="2" a="1"/>
  <c r="L237" i="2"/>
  <c r="K237" i="2" a="1"/>
  <c r="K237" i="2"/>
  <c r="S236" i="2" a="1"/>
  <c r="S236" i="2"/>
  <c r="R236" i="2" a="1"/>
  <c r="R236" i="2"/>
  <c r="Q236" i="2" a="1"/>
  <c r="Q236" i="2"/>
  <c r="P236" i="2" a="1"/>
  <c r="P236" i="2"/>
  <c r="O236" i="2" a="1"/>
  <c r="O236" i="2"/>
  <c r="N236" i="2" a="1"/>
  <c r="N236" i="2"/>
  <c r="M236" i="2" a="1"/>
  <c r="M236" i="2"/>
  <c r="L236" i="2" a="1"/>
  <c r="L236" i="2"/>
  <c r="K236" i="2" a="1"/>
  <c r="K236" i="2"/>
  <c r="S235" i="2" a="1"/>
  <c r="S235" i="2"/>
  <c r="R235" i="2" a="1"/>
  <c r="R235" i="2"/>
  <c r="Q235" i="2" a="1"/>
  <c r="Q235" i="2"/>
  <c r="P235" i="2" a="1"/>
  <c r="P235" i="2"/>
  <c r="O235" i="2" a="1"/>
  <c r="O235" i="2"/>
  <c r="N235" i="2" a="1"/>
  <c r="N235" i="2"/>
  <c r="M235" i="2" a="1"/>
  <c r="M235" i="2"/>
  <c r="L235" i="2" a="1"/>
  <c r="L235" i="2"/>
  <c r="K235" i="2" a="1"/>
  <c r="K235" i="2"/>
  <c r="S234" i="2" a="1"/>
  <c r="S234" i="2"/>
  <c r="R234" i="2" a="1"/>
  <c r="R234" i="2"/>
  <c r="Q234" i="2" a="1"/>
  <c r="Q234" i="2"/>
  <c r="P234" i="2" a="1"/>
  <c r="P234" i="2"/>
  <c r="O234" i="2" a="1"/>
  <c r="O234" i="2"/>
  <c r="N234" i="2" a="1"/>
  <c r="N234" i="2"/>
  <c r="M234" i="2" a="1"/>
  <c r="M234" i="2"/>
  <c r="L234" i="2" a="1"/>
  <c r="L234" i="2"/>
  <c r="K234" i="2" a="1"/>
  <c r="K234" i="2"/>
  <c r="S233" i="2" a="1"/>
  <c r="S233" i="2"/>
  <c r="R233" i="2" a="1"/>
  <c r="R233" i="2"/>
  <c r="Q233" i="2" a="1"/>
  <c r="Q233" i="2"/>
  <c r="P233" i="2" a="1"/>
  <c r="P233" i="2" s="1"/>
  <c r="O233" i="2" a="1"/>
  <c r="O233" i="2"/>
  <c r="N233" i="2" a="1"/>
  <c r="N233" i="2" s="1"/>
  <c r="M233" i="2" a="1"/>
  <c r="M233" i="2"/>
  <c r="L233" i="2" a="1"/>
  <c r="L233" i="2" s="1"/>
  <c r="K233" i="2" a="1"/>
  <c r="K233" i="2"/>
  <c r="S232" i="2" a="1"/>
  <c r="S232" i="2" s="1"/>
  <c r="R232" i="2" a="1"/>
  <c r="R232" i="2"/>
  <c r="Q232" i="2" a="1"/>
  <c r="Q232" i="2" s="1"/>
  <c r="P232" i="2" a="1"/>
  <c r="P232" i="2"/>
  <c r="O232" i="2" a="1"/>
  <c r="O232" i="2" s="1"/>
  <c r="N232" i="2" a="1"/>
  <c r="N232" i="2"/>
  <c r="M232" i="2" a="1"/>
  <c r="M232" i="2" s="1"/>
  <c r="L232" i="2" a="1"/>
  <c r="L232" i="2"/>
  <c r="K232" i="2" a="1"/>
  <c r="K232" i="2" s="1"/>
  <c r="S231" i="2" a="1"/>
  <c r="S231" i="2" s="1"/>
  <c r="R231" i="2" a="1"/>
  <c r="R231" i="2"/>
  <c r="Q231" i="2" a="1"/>
  <c r="Q231" i="2" s="1"/>
  <c r="P231" i="2" a="1"/>
  <c r="P231" i="2"/>
  <c r="O231" i="2" a="1"/>
  <c r="O231" i="2" s="1"/>
  <c r="N231" i="2" a="1"/>
  <c r="N231" i="2"/>
  <c r="M231" i="2" a="1"/>
  <c r="M231" i="2" s="1"/>
  <c r="L231" i="2" a="1"/>
  <c r="L231" i="2"/>
  <c r="K231" i="2" a="1"/>
  <c r="K231" i="2" s="1"/>
  <c r="I231" i="2"/>
  <c r="H242" i="2" s="1"/>
  <c r="S230" i="2" a="1"/>
  <c r="S230" i="2"/>
  <c r="R230" i="2" a="1"/>
  <c r="R230" i="2" s="1"/>
  <c r="Q230" i="2" a="1"/>
  <c r="Q230" i="2"/>
  <c r="P230" i="2" a="1"/>
  <c r="P230" i="2" s="1"/>
  <c r="O230" i="2" a="1"/>
  <c r="O230" i="2"/>
  <c r="N230" i="2" a="1"/>
  <c r="N230" i="2" s="1"/>
  <c r="M230" i="2" a="1"/>
  <c r="M230" i="2"/>
  <c r="L230" i="2" a="1"/>
  <c r="L230" i="2" s="1"/>
  <c r="K230" i="2" a="1"/>
  <c r="K230" i="2"/>
  <c r="S229" i="2" a="1"/>
  <c r="S229" i="2"/>
  <c r="R229" i="2" a="1"/>
  <c r="R229" i="2" s="1"/>
  <c r="Q229" i="2" a="1"/>
  <c r="Q229" i="2"/>
  <c r="P229" i="2" a="1"/>
  <c r="P229" i="2" s="1"/>
  <c r="O229" i="2" a="1"/>
  <c r="O229" i="2" s="1"/>
  <c r="N229" i="2" a="1"/>
  <c r="N229" i="2" s="1"/>
  <c r="M229" i="2" a="1"/>
  <c r="M229" i="2" s="1"/>
  <c r="L229" i="2" a="1"/>
  <c r="L229" i="2" s="1"/>
  <c r="K229" i="2" a="1"/>
  <c r="K229" i="2" s="1"/>
  <c r="S228" i="2" a="1"/>
  <c r="S228" i="2" s="1"/>
  <c r="R228" i="2" a="1"/>
  <c r="R228" i="2" s="1"/>
  <c r="Q228" i="2" a="1"/>
  <c r="Q228" i="2" s="1"/>
  <c r="P228" i="2" a="1"/>
  <c r="P228" i="2" s="1"/>
  <c r="O228" i="2" a="1"/>
  <c r="O228" i="2" s="1"/>
  <c r="N228" i="2" a="1"/>
  <c r="N228" i="2" s="1"/>
  <c r="M228" i="2" a="1"/>
  <c r="M228" i="2" s="1"/>
  <c r="L228" i="2" a="1"/>
  <c r="L228" i="2" s="1"/>
  <c r="K228" i="2" a="1"/>
  <c r="K228" i="2" s="1"/>
  <c r="S227" i="2" a="1"/>
  <c r="S227" i="2" s="1"/>
  <c r="R227" i="2" a="1"/>
  <c r="R227" i="2" s="1"/>
  <c r="Q227" i="2" a="1"/>
  <c r="Q227" i="2" s="1"/>
  <c r="P227" i="2" a="1"/>
  <c r="P227" i="2" s="1"/>
  <c r="O227" i="2" a="1"/>
  <c r="O227" i="2" s="1"/>
  <c r="N227" i="2" a="1"/>
  <c r="N227" i="2" s="1"/>
  <c r="M227" i="2" a="1"/>
  <c r="M227" i="2" s="1"/>
  <c r="L227" i="2" a="1"/>
  <c r="L227" i="2" s="1"/>
  <c r="K227" i="2" a="1"/>
  <c r="K227" i="2" s="1"/>
  <c r="S226" i="2" a="1"/>
  <c r="S226" i="2" s="1"/>
  <c r="R226" i="2" a="1"/>
  <c r="R226" i="2" s="1"/>
  <c r="Q226" i="2" a="1"/>
  <c r="Q226" i="2" s="1"/>
  <c r="P226" i="2" a="1"/>
  <c r="P226" i="2" s="1"/>
  <c r="O226" i="2" a="1"/>
  <c r="O226" i="2" s="1"/>
  <c r="N226" i="2" a="1"/>
  <c r="N226" i="2" s="1"/>
  <c r="M226" i="2" a="1"/>
  <c r="M226" i="2" s="1"/>
  <c r="L226" i="2" a="1"/>
  <c r="L226" i="2" s="1"/>
  <c r="K226" i="2" a="1"/>
  <c r="K226" i="2" s="1"/>
  <c r="S225" i="2" a="1"/>
  <c r="S225" i="2" s="1"/>
  <c r="R225" i="2" a="1"/>
  <c r="R225" i="2" s="1"/>
  <c r="Q225" i="2" a="1"/>
  <c r="Q225" i="2" s="1"/>
  <c r="P225" i="2" a="1"/>
  <c r="P225" i="2" s="1"/>
  <c r="O225" i="2" a="1"/>
  <c r="O225" i="2" s="1"/>
  <c r="N225" i="2" a="1"/>
  <c r="N225" i="2" s="1"/>
  <c r="M225" i="2" a="1"/>
  <c r="M225" i="2" s="1"/>
  <c r="L225" i="2" a="1"/>
  <c r="L225" i="2" s="1"/>
  <c r="K225" i="2" a="1"/>
  <c r="K225" i="2" s="1"/>
  <c r="S224" i="2" a="1"/>
  <c r="S224" i="2" s="1"/>
  <c r="R224" i="2" a="1"/>
  <c r="R224" i="2" s="1"/>
  <c r="Q224" i="2" a="1"/>
  <c r="Q224" i="2" s="1"/>
  <c r="P224" i="2" a="1"/>
  <c r="P224" i="2" s="1"/>
  <c r="O224" i="2" a="1"/>
  <c r="O224" i="2" s="1"/>
  <c r="N224" i="2" a="1"/>
  <c r="N224" i="2" s="1"/>
  <c r="M224" i="2" a="1"/>
  <c r="M224" i="2" s="1"/>
  <c r="L224" i="2" a="1"/>
  <c r="L224" i="2" s="1"/>
  <c r="K224" i="2" a="1"/>
  <c r="K224" i="2" s="1"/>
  <c r="S223" i="2" a="1"/>
  <c r="S223" i="2" s="1"/>
  <c r="R223" i="2" a="1"/>
  <c r="R223" i="2" s="1"/>
  <c r="Q223" i="2" a="1"/>
  <c r="Q223" i="2" s="1"/>
  <c r="P223" i="2" a="1"/>
  <c r="P223" i="2" s="1"/>
  <c r="O223" i="2" a="1"/>
  <c r="O223" i="2" s="1"/>
  <c r="N223" i="2" a="1"/>
  <c r="N223" i="2" s="1"/>
  <c r="M223" i="2" a="1"/>
  <c r="M223" i="2" s="1"/>
  <c r="L223" i="2" a="1"/>
  <c r="L223" i="2" s="1"/>
  <c r="K223" i="2" a="1"/>
  <c r="K223" i="2" s="1"/>
  <c r="S222" i="2" a="1"/>
  <c r="S222" i="2" s="1"/>
  <c r="R222" i="2" a="1"/>
  <c r="R222" i="2" s="1"/>
  <c r="Q222" i="2" a="1"/>
  <c r="Q222" i="2" s="1"/>
  <c r="P222" i="2" a="1"/>
  <c r="P222" i="2" s="1"/>
  <c r="O222" i="2" a="1"/>
  <c r="O222" i="2" s="1"/>
  <c r="N222" i="2" a="1"/>
  <c r="N222" i="2" s="1"/>
  <c r="M222" i="2" a="1"/>
  <c r="M222" i="2" s="1"/>
  <c r="L222" i="2" a="1"/>
  <c r="L222" i="2" s="1"/>
  <c r="K222" i="2" a="1"/>
  <c r="K222" i="2" s="1"/>
  <c r="S221" i="2" a="1"/>
  <c r="S221" i="2" s="1"/>
  <c r="R221" i="2" a="1"/>
  <c r="R221" i="2" s="1"/>
  <c r="Q221" i="2" a="1"/>
  <c r="Q221" i="2" s="1"/>
  <c r="P221" i="2" a="1"/>
  <c r="P221" i="2" s="1"/>
  <c r="O221" i="2" a="1"/>
  <c r="O221" i="2" s="1"/>
  <c r="N221" i="2" a="1"/>
  <c r="N221" i="2" s="1"/>
  <c r="M221" i="2" a="1"/>
  <c r="M221" i="2" s="1"/>
  <c r="L221" i="2" a="1"/>
  <c r="L221" i="2" s="1"/>
  <c r="K221" i="2" a="1"/>
  <c r="K221" i="2" s="1"/>
  <c r="S220" i="2" a="1"/>
  <c r="S220" i="2" s="1"/>
  <c r="R220" i="2" a="1"/>
  <c r="R220" i="2" s="1"/>
  <c r="Q220" i="2" a="1"/>
  <c r="Q220" i="2" s="1"/>
  <c r="P220" i="2" a="1"/>
  <c r="P220" i="2" s="1"/>
  <c r="O220" i="2" a="1"/>
  <c r="O220" i="2" s="1"/>
  <c r="N220" i="2" a="1"/>
  <c r="N220" i="2" s="1"/>
  <c r="M220" i="2" a="1"/>
  <c r="M220" i="2" s="1"/>
  <c r="L220" i="2" a="1"/>
  <c r="L220" i="2" s="1"/>
  <c r="K220" i="2" a="1"/>
  <c r="K220" i="2" s="1"/>
  <c r="S219" i="2" a="1"/>
  <c r="S219" i="2" s="1"/>
  <c r="R219" i="2" a="1"/>
  <c r="R219" i="2" s="1"/>
  <c r="Q219" i="2" a="1"/>
  <c r="Q219" i="2" s="1"/>
  <c r="P219" i="2" a="1"/>
  <c r="P219" i="2" s="1"/>
  <c r="O219" i="2" a="1"/>
  <c r="O219" i="2" s="1"/>
  <c r="N219" i="2" a="1"/>
  <c r="N219" i="2" s="1"/>
  <c r="M219" i="2" a="1"/>
  <c r="M219" i="2" s="1"/>
  <c r="L219" i="2" a="1"/>
  <c r="L219" i="2" s="1"/>
  <c r="K219" i="2" a="1"/>
  <c r="K219" i="2" s="1"/>
  <c r="S218" i="2" a="1"/>
  <c r="S218" i="2" s="1"/>
  <c r="R218" i="2" a="1"/>
  <c r="R218" i="2" s="1"/>
  <c r="Q218" i="2" a="1"/>
  <c r="Q218" i="2" s="1"/>
  <c r="P218" i="2" a="1"/>
  <c r="P218" i="2" s="1"/>
  <c r="O218" i="2" a="1"/>
  <c r="O218" i="2" s="1"/>
  <c r="N218" i="2" a="1"/>
  <c r="N218" i="2" s="1"/>
  <c r="M218" i="2" a="1"/>
  <c r="M218" i="2" s="1"/>
  <c r="L218" i="2" a="1"/>
  <c r="L218" i="2" s="1"/>
  <c r="K218" i="2" a="1"/>
  <c r="K218" i="2" s="1"/>
  <c r="S217" i="2" a="1"/>
  <c r="S217" i="2" s="1"/>
  <c r="R217" i="2" a="1"/>
  <c r="R217" i="2" s="1"/>
  <c r="Q217" i="2" a="1"/>
  <c r="Q217" i="2" s="1"/>
  <c r="P217" i="2" a="1"/>
  <c r="P217" i="2" s="1"/>
  <c r="O217" i="2" a="1"/>
  <c r="O217" i="2" s="1"/>
  <c r="N217" i="2" a="1"/>
  <c r="N217" i="2" s="1"/>
  <c r="M217" i="2" a="1"/>
  <c r="M217" i="2" s="1"/>
  <c r="L217" i="2" a="1"/>
  <c r="L217" i="2" s="1"/>
  <c r="K217" i="2" a="1"/>
  <c r="K217" i="2" s="1"/>
  <c r="S216" i="2" a="1"/>
  <c r="S216" i="2" s="1"/>
  <c r="R216" i="2" a="1"/>
  <c r="R216" i="2" s="1"/>
  <c r="Q216" i="2" a="1"/>
  <c r="Q216" i="2" s="1"/>
  <c r="P216" i="2" a="1"/>
  <c r="P216" i="2" s="1"/>
  <c r="O216" i="2" a="1"/>
  <c r="O216" i="2" s="1"/>
  <c r="N216" i="2" a="1"/>
  <c r="N216" i="2" s="1"/>
  <c r="M216" i="2" a="1"/>
  <c r="M216" i="2" s="1"/>
  <c r="L216" i="2" a="1"/>
  <c r="L216" i="2" s="1"/>
  <c r="K216" i="2" a="1"/>
  <c r="K216" i="2" s="1"/>
  <c r="S215" i="2" a="1"/>
  <c r="S215" i="2" s="1"/>
  <c r="R215" i="2" a="1"/>
  <c r="R215" i="2" s="1"/>
  <c r="Q215" i="2" a="1"/>
  <c r="Q215" i="2" s="1"/>
  <c r="P215" i="2" a="1"/>
  <c r="P215" i="2" s="1"/>
  <c r="O215" i="2" a="1"/>
  <c r="O215" i="2" s="1"/>
  <c r="N215" i="2" a="1"/>
  <c r="N215" i="2" s="1"/>
  <c r="M215" i="2" a="1"/>
  <c r="M215" i="2" s="1"/>
  <c r="L215" i="2" a="1"/>
  <c r="L215" i="2" s="1"/>
  <c r="K215" i="2" a="1"/>
  <c r="K215" i="2" s="1"/>
  <c r="S214" i="2" a="1"/>
  <c r="S214" i="2" s="1"/>
  <c r="R214" i="2" a="1"/>
  <c r="R214" i="2" s="1"/>
  <c r="Q214" i="2" a="1"/>
  <c r="Q214" i="2" s="1"/>
  <c r="P214" i="2" a="1"/>
  <c r="P214" i="2" s="1"/>
  <c r="O214" i="2" a="1"/>
  <c r="O214" i="2" s="1"/>
  <c r="N214" i="2" a="1"/>
  <c r="N214" i="2" s="1"/>
  <c r="M214" i="2" a="1"/>
  <c r="M214" i="2" s="1"/>
  <c r="L214" i="2" a="1"/>
  <c r="L214" i="2" s="1"/>
  <c r="K214" i="2" a="1"/>
  <c r="K214" i="2" s="1"/>
  <c r="S213" i="2" a="1"/>
  <c r="S213" i="2" s="1"/>
  <c r="R213" i="2" a="1"/>
  <c r="R213" i="2" s="1"/>
  <c r="Q213" i="2" a="1"/>
  <c r="Q213" i="2" s="1"/>
  <c r="P213" i="2" a="1"/>
  <c r="P213" i="2" s="1"/>
  <c r="O213" i="2" a="1"/>
  <c r="O213" i="2" s="1"/>
  <c r="N213" i="2" a="1"/>
  <c r="N213" i="2" s="1"/>
  <c r="M213" i="2" a="1"/>
  <c r="M213" i="2" s="1"/>
  <c r="L213" i="2" a="1"/>
  <c r="L213" i="2" s="1"/>
  <c r="K213" i="2" a="1"/>
  <c r="K213" i="2" s="1"/>
  <c r="S212" i="2" a="1"/>
  <c r="S212" i="2" s="1"/>
  <c r="R212" i="2" a="1"/>
  <c r="R212" i="2" s="1"/>
  <c r="Q212" i="2" a="1"/>
  <c r="Q212" i="2" s="1"/>
  <c r="P212" i="2" a="1"/>
  <c r="P212" i="2" s="1"/>
  <c r="O212" i="2" a="1"/>
  <c r="O212" i="2" s="1"/>
  <c r="N212" i="2" a="1"/>
  <c r="N212" i="2" s="1"/>
  <c r="M212" i="2" a="1"/>
  <c r="M212" i="2" s="1"/>
  <c r="L212" i="2" a="1"/>
  <c r="L212" i="2" s="1"/>
  <c r="K212" i="2" a="1"/>
  <c r="K212" i="2" s="1"/>
  <c r="S211" i="2" a="1"/>
  <c r="S211" i="2" s="1"/>
  <c r="R211" i="2" a="1"/>
  <c r="R211" i="2" s="1"/>
  <c r="Q211" i="2" a="1"/>
  <c r="Q211" i="2" s="1"/>
  <c r="P211" i="2" a="1"/>
  <c r="P211" i="2" s="1"/>
  <c r="O211" i="2" a="1"/>
  <c r="O211" i="2" s="1"/>
  <c r="N211" i="2" a="1"/>
  <c r="N211" i="2" s="1"/>
  <c r="M211" i="2" a="1"/>
  <c r="M211" i="2" s="1"/>
  <c r="L211" i="2" a="1"/>
  <c r="L211" i="2" s="1"/>
  <c r="K211" i="2" a="1"/>
  <c r="K211" i="2" s="1"/>
  <c r="S210" i="2" a="1"/>
  <c r="S210" i="2" s="1"/>
  <c r="R210" i="2" a="1"/>
  <c r="R210" i="2" s="1"/>
  <c r="Q210" i="2" a="1"/>
  <c r="Q210" i="2" s="1"/>
  <c r="P210" i="2" a="1"/>
  <c r="P210" i="2" s="1"/>
  <c r="O210" i="2" a="1"/>
  <c r="O210" i="2" s="1"/>
  <c r="N210" i="2" a="1"/>
  <c r="N210" i="2" s="1"/>
  <c r="M210" i="2" a="1"/>
  <c r="M210" i="2" s="1"/>
  <c r="L210" i="2" a="1"/>
  <c r="L210" i="2" s="1"/>
  <c r="K210" i="2" a="1"/>
  <c r="K210" i="2" s="1"/>
  <c r="S209" i="2" a="1"/>
  <c r="S209" i="2"/>
  <c r="R209" i="2" a="1"/>
  <c r="R209" i="2"/>
  <c r="Q209" i="2" a="1"/>
  <c r="Q209" i="2"/>
  <c r="P209" i="2" a="1"/>
  <c r="P209" i="2"/>
  <c r="O209" i="2" a="1"/>
  <c r="O209" i="2"/>
  <c r="N209" i="2" a="1"/>
  <c r="N209" i="2"/>
  <c r="M209" i="2" a="1"/>
  <c r="M209" i="2"/>
  <c r="L209" i="2" a="1"/>
  <c r="L209" i="2"/>
  <c r="K209" i="2" a="1"/>
  <c r="K209" i="2"/>
  <c r="S208" i="2" a="1"/>
  <c r="S208" i="2" s="1"/>
  <c r="R208" i="2" a="1"/>
  <c r="R208" i="2" s="1"/>
  <c r="Q208" i="2" a="1"/>
  <c r="Q208" i="2" s="1"/>
  <c r="P208" i="2" a="1"/>
  <c r="P208" i="2" s="1"/>
  <c r="O208" i="2" a="1"/>
  <c r="O208" i="2" s="1"/>
  <c r="N208" i="2" a="1"/>
  <c r="N208" i="2" s="1"/>
  <c r="M208" i="2" a="1"/>
  <c r="M208" i="2" s="1"/>
  <c r="L208" i="2" a="1"/>
  <c r="L208" i="2" s="1"/>
  <c r="K208" i="2" a="1"/>
  <c r="K208" i="2" s="1"/>
  <c r="S207" i="2" a="1"/>
  <c r="S207" i="2"/>
  <c r="R207" i="2" a="1"/>
  <c r="R207" i="2"/>
  <c r="Q207" i="2" a="1"/>
  <c r="Q207" i="2"/>
  <c r="P207" i="2" a="1"/>
  <c r="P207" i="2"/>
  <c r="O207" i="2" a="1"/>
  <c r="O207" i="2"/>
  <c r="N207" i="2" a="1"/>
  <c r="N207" i="2"/>
  <c r="M207" i="2" a="1"/>
  <c r="M207" i="2"/>
  <c r="L207" i="2" a="1"/>
  <c r="L207" i="2"/>
  <c r="K207" i="2" a="1"/>
  <c r="K207" i="2"/>
  <c r="I207" i="2"/>
  <c r="S206" i="2" a="1"/>
  <c r="S206" i="2"/>
  <c r="R206" i="2" a="1"/>
  <c r="R206" i="2"/>
  <c r="Q206" i="2" a="1"/>
  <c r="Q206" i="2"/>
  <c r="P206" i="2" a="1"/>
  <c r="P206" i="2"/>
  <c r="O206" i="2" a="1"/>
  <c r="O206" i="2"/>
  <c r="N206" i="2" a="1"/>
  <c r="N206" i="2"/>
  <c r="M206" i="2" a="1"/>
  <c r="M206" i="2"/>
  <c r="L206" i="2" a="1"/>
  <c r="L206" i="2"/>
  <c r="K206" i="2" a="1"/>
  <c r="K206" i="2"/>
  <c r="S205" i="2" a="1"/>
  <c r="S205" i="2"/>
  <c r="R205" i="2" a="1"/>
  <c r="R205" i="2"/>
  <c r="Q205" i="2" a="1"/>
  <c r="Q205" i="2"/>
  <c r="P205" i="2" a="1"/>
  <c r="P205" i="2"/>
  <c r="O205" i="2" a="1"/>
  <c r="O205" i="2"/>
  <c r="N205" i="2" a="1"/>
  <c r="N205" i="2"/>
  <c r="M205" i="2" a="1"/>
  <c r="M205" i="2"/>
  <c r="L205" i="2" a="1"/>
  <c r="L205" i="2"/>
  <c r="K205" i="2" a="1"/>
  <c r="K205" i="2"/>
  <c r="S204" i="2" a="1"/>
  <c r="S204" i="2"/>
  <c r="R204" i="2" a="1"/>
  <c r="R204" i="2"/>
  <c r="Q204" i="2" a="1"/>
  <c r="Q204" i="2"/>
  <c r="P204" i="2" a="1"/>
  <c r="P204" i="2"/>
  <c r="O204" i="2" a="1"/>
  <c r="O204" i="2"/>
  <c r="N204" i="2" a="1"/>
  <c r="N204" i="2"/>
  <c r="M204" i="2" a="1"/>
  <c r="M204" i="2"/>
  <c r="L204" i="2" a="1"/>
  <c r="L204" i="2"/>
  <c r="K204" i="2" a="1"/>
  <c r="K204" i="2"/>
  <c r="S203" i="2" a="1"/>
  <c r="S203" i="2"/>
  <c r="R203" i="2" a="1"/>
  <c r="R203" i="2"/>
  <c r="Q203" i="2" a="1"/>
  <c r="Q203" i="2"/>
  <c r="P203" i="2" a="1"/>
  <c r="P203" i="2"/>
  <c r="O203" i="2" a="1"/>
  <c r="O203" i="2"/>
  <c r="N203" i="2" a="1"/>
  <c r="N203" i="2"/>
  <c r="M203" i="2" a="1"/>
  <c r="M203" i="2"/>
  <c r="L203" i="2" a="1"/>
  <c r="L203" i="2"/>
  <c r="K203" i="2" a="1"/>
  <c r="K203" i="2"/>
  <c r="S202" i="2" a="1"/>
  <c r="S202" i="2"/>
  <c r="R202" i="2" a="1"/>
  <c r="R202" i="2"/>
  <c r="Q202" i="2" a="1"/>
  <c r="Q202" i="2"/>
  <c r="P202" i="2" a="1"/>
  <c r="P202" i="2"/>
  <c r="O202" i="2" a="1"/>
  <c r="O202" i="2"/>
  <c r="N202" i="2" a="1"/>
  <c r="N202" i="2"/>
  <c r="M202" i="2" a="1"/>
  <c r="M202" i="2"/>
  <c r="L202" i="2" a="1"/>
  <c r="L202" i="2"/>
  <c r="K202" i="2" a="1"/>
  <c r="K202" i="2"/>
  <c r="S201" i="2" a="1"/>
  <c r="S201" i="2" s="1"/>
  <c r="R201" i="2" a="1"/>
  <c r="R201" i="2" s="1"/>
  <c r="Q201" i="2" a="1"/>
  <c r="Q201" i="2" s="1"/>
  <c r="P201" i="2" a="1"/>
  <c r="P201" i="2" s="1"/>
  <c r="O201" i="2" a="1"/>
  <c r="O201" i="2" s="1"/>
  <c r="N201" i="2" a="1"/>
  <c r="N201" i="2" s="1"/>
  <c r="M201" i="2" a="1"/>
  <c r="M201" i="2" s="1"/>
  <c r="L201" i="2" a="1"/>
  <c r="L201" i="2" s="1"/>
  <c r="K201" i="2" a="1"/>
  <c r="K201" i="2" s="1"/>
  <c r="S200" i="2" a="1"/>
  <c r="S200" i="2"/>
  <c r="R200" i="2" a="1"/>
  <c r="R200" i="2"/>
  <c r="Q200" i="2" a="1"/>
  <c r="Q200" i="2"/>
  <c r="P200" i="2" a="1"/>
  <c r="P200" i="2"/>
  <c r="O200" i="2" a="1"/>
  <c r="O200" i="2"/>
  <c r="N200" i="2" a="1"/>
  <c r="N200" i="2"/>
  <c r="M200" i="2" a="1"/>
  <c r="M200" i="2"/>
  <c r="L200" i="2" a="1"/>
  <c r="L200" i="2"/>
  <c r="K200" i="2" a="1"/>
  <c r="K200" i="2"/>
  <c r="S199" i="2" a="1"/>
  <c r="S199" i="2" s="1"/>
  <c r="R199" i="2" a="1"/>
  <c r="R199" i="2" s="1"/>
  <c r="Q199" i="2" a="1"/>
  <c r="Q199" i="2" s="1"/>
  <c r="P199" i="2" a="1"/>
  <c r="P199" i="2" s="1"/>
  <c r="O199" i="2" a="1"/>
  <c r="O199" i="2" s="1"/>
  <c r="N199" i="2" a="1"/>
  <c r="N199" i="2" s="1"/>
  <c r="M199" i="2" a="1"/>
  <c r="M199" i="2" s="1"/>
  <c r="L199" i="2" a="1"/>
  <c r="L199" i="2" s="1"/>
  <c r="K199" i="2" a="1"/>
  <c r="K199" i="2" s="1"/>
  <c r="S198" i="2" a="1"/>
  <c r="S198" i="2"/>
  <c r="R198" i="2" a="1"/>
  <c r="R198" i="2"/>
  <c r="Q198" i="2" a="1"/>
  <c r="Q198" i="2"/>
  <c r="P198" i="2" a="1"/>
  <c r="P198" i="2"/>
  <c r="O198" i="2" a="1"/>
  <c r="O198" i="2"/>
  <c r="N198" i="2" a="1"/>
  <c r="N198" i="2"/>
  <c r="M198" i="2" a="1"/>
  <c r="M198" i="2"/>
  <c r="L198" i="2" a="1"/>
  <c r="L198" i="2"/>
  <c r="K198" i="2" a="1"/>
  <c r="K198" i="2"/>
  <c r="S197" i="2" a="1"/>
  <c r="S197" i="2" s="1"/>
  <c r="R197" i="2" a="1"/>
  <c r="R197" i="2" s="1"/>
  <c r="Q197" i="2" a="1"/>
  <c r="Q197" i="2" s="1"/>
  <c r="P197" i="2" a="1"/>
  <c r="P197" i="2" s="1"/>
  <c r="O197" i="2" a="1"/>
  <c r="O197" i="2" s="1"/>
  <c r="N197" i="2" a="1"/>
  <c r="N197" i="2" s="1"/>
  <c r="M197" i="2" a="1"/>
  <c r="M197" i="2" s="1"/>
  <c r="L197" i="2" a="1"/>
  <c r="L197" i="2" s="1"/>
  <c r="K197" i="2" a="1"/>
  <c r="K197" i="2" s="1"/>
  <c r="S196" i="2" a="1"/>
  <c r="S196" i="2"/>
  <c r="R196" i="2" a="1"/>
  <c r="R196" i="2"/>
  <c r="Q196" i="2" a="1"/>
  <c r="Q196" i="2"/>
  <c r="P196" i="2" a="1"/>
  <c r="P196" i="2"/>
  <c r="O196" i="2" a="1"/>
  <c r="O196" i="2"/>
  <c r="N196" i="2" a="1"/>
  <c r="N196" i="2"/>
  <c r="M196" i="2" a="1"/>
  <c r="M196" i="2"/>
  <c r="L196" i="2" a="1"/>
  <c r="L196" i="2"/>
  <c r="K196" i="2" a="1"/>
  <c r="K196" i="2"/>
  <c r="S195" i="2" a="1"/>
  <c r="S195" i="2" s="1"/>
  <c r="R195" i="2" a="1"/>
  <c r="R195" i="2" s="1"/>
  <c r="Q195" i="2" a="1"/>
  <c r="Q195" i="2" s="1"/>
  <c r="P195" i="2" a="1"/>
  <c r="P195" i="2" s="1"/>
  <c r="O195" i="2" a="1"/>
  <c r="O195" i="2" s="1"/>
  <c r="N195" i="2" a="1"/>
  <c r="N195" i="2" s="1"/>
  <c r="M195" i="2" a="1"/>
  <c r="M195" i="2" s="1"/>
  <c r="L195" i="2" a="1"/>
  <c r="L195" i="2" s="1"/>
  <c r="K195" i="2" a="1"/>
  <c r="K195" i="2" s="1"/>
  <c r="I195" i="2"/>
  <c r="H206" i="2" s="1"/>
  <c r="S194" i="2" a="1"/>
  <c r="S194" i="2" s="1"/>
  <c r="R194" i="2" a="1"/>
  <c r="R194" i="2" s="1"/>
  <c r="Q194" i="2" a="1"/>
  <c r="Q194" i="2" s="1"/>
  <c r="P194" i="2" a="1"/>
  <c r="P194" i="2" s="1"/>
  <c r="O194" i="2" a="1"/>
  <c r="O194" i="2" s="1"/>
  <c r="N194" i="2" a="1"/>
  <c r="N194" i="2" s="1"/>
  <c r="M194" i="2" a="1"/>
  <c r="M194" i="2" s="1"/>
  <c r="L194" i="2" a="1"/>
  <c r="L194" i="2" s="1"/>
  <c r="K194" i="2" a="1"/>
  <c r="K194" i="2" s="1"/>
  <c r="S193" i="2" a="1"/>
  <c r="S193" i="2"/>
  <c r="R193" i="2" a="1"/>
  <c r="R193" i="2"/>
  <c r="Q193" i="2" a="1"/>
  <c r="Q193" i="2"/>
  <c r="P193" i="2" a="1"/>
  <c r="P193" i="2"/>
  <c r="O193" i="2" a="1"/>
  <c r="O193" i="2"/>
  <c r="N193" i="2" a="1"/>
  <c r="N193" i="2"/>
  <c r="M193" i="2" a="1"/>
  <c r="M193" i="2"/>
  <c r="L193" i="2" a="1"/>
  <c r="L193" i="2"/>
  <c r="K193" i="2" a="1"/>
  <c r="K193" i="2"/>
  <c r="S192" i="2" a="1"/>
  <c r="S192" i="2" s="1"/>
  <c r="R192" i="2" a="1"/>
  <c r="R192" i="2" s="1"/>
  <c r="Q192" i="2" a="1"/>
  <c r="Q192" i="2" s="1"/>
  <c r="P192" i="2" a="1"/>
  <c r="P192" i="2" s="1"/>
  <c r="O192" i="2" a="1"/>
  <c r="O192" i="2" s="1"/>
  <c r="N192" i="2" a="1"/>
  <c r="N192" i="2" s="1"/>
  <c r="M192" i="2" a="1"/>
  <c r="M192" i="2" s="1"/>
  <c r="L192" i="2" a="1"/>
  <c r="L192" i="2" s="1"/>
  <c r="K192" i="2" a="1"/>
  <c r="K192" i="2" s="1"/>
  <c r="S191" i="2" a="1"/>
  <c r="S191" i="2"/>
  <c r="R191" i="2" a="1"/>
  <c r="R191" i="2"/>
  <c r="Q191" i="2" a="1"/>
  <c r="Q191" i="2"/>
  <c r="P191" i="2" a="1"/>
  <c r="P191" i="2"/>
  <c r="O191" i="2" a="1"/>
  <c r="O191" i="2"/>
  <c r="N191" i="2" a="1"/>
  <c r="N191" i="2"/>
  <c r="M191" i="2" a="1"/>
  <c r="M191" i="2"/>
  <c r="L191" i="2" a="1"/>
  <c r="L191" i="2"/>
  <c r="K191" i="2" a="1"/>
  <c r="K191" i="2"/>
  <c r="S190" i="2" a="1"/>
  <c r="S190" i="2" s="1"/>
  <c r="R190" i="2" a="1"/>
  <c r="R190" i="2" s="1"/>
  <c r="Q190" i="2" a="1"/>
  <c r="Q190" i="2" s="1"/>
  <c r="P190" i="2" a="1"/>
  <c r="P190" i="2" s="1"/>
  <c r="O190" i="2" a="1"/>
  <c r="O190" i="2" s="1"/>
  <c r="N190" i="2" a="1"/>
  <c r="N190" i="2" s="1"/>
  <c r="M190" i="2" a="1"/>
  <c r="M190" i="2" s="1"/>
  <c r="L190" i="2" a="1"/>
  <c r="L190" i="2" s="1"/>
  <c r="K190" i="2" a="1"/>
  <c r="K190" i="2" s="1"/>
  <c r="S189" i="2" a="1"/>
  <c r="S189" i="2"/>
  <c r="R189" i="2" a="1"/>
  <c r="R189" i="2"/>
  <c r="Q189" i="2" a="1"/>
  <c r="Q189" i="2"/>
  <c r="P189" i="2" a="1"/>
  <c r="P189" i="2"/>
  <c r="O189" i="2" a="1"/>
  <c r="O189" i="2"/>
  <c r="N189" i="2" a="1"/>
  <c r="N189" i="2"/>
  <c r="M189" i="2" a="1"/>
  <c r="M189" i="2"/>
  <c r="L189" i="2" a="1"/>
  <c r="L189" i="2"/>
  <c r="K189" i="2" a="1"/>
  <c r="K189" i="2"/>
  <c r="S188" i="2" a="1"/>
  <c r="S188" i="2" s="1"/>
  <c r="R188" i="2" a="1"/>
  <c r="R188" i="2" s="1"/>
  <c r="Q188" i="2" a="1"/>
  <c r="Q188" i="2" s="1"/>
  <c r="P188" i="2" a="1"/>
  <c r="P188" i="2" s="1"/>
  <c r="O188" i="2" a="1"/>
  <c r="O188" i="2" s="1"/>
  <c r="N188" i="2" a="1"/>
  <c r="N188" i="2" s="1"/>
  <c r="M188" i="2" a="1"/>
  <c r="M188" i="2" s="1"/>
  <c r="L188" i="2" a="1"/>
  <c r="L188" i="2" s="1"/>
  <c r="K188" i="2" a="1"/>
  <c r="K188" i="2" s="1"/>
  <c r="S187" i="2" a="1"/>
  <c r="S187" i="2"/>
  <c r="R187" i="2" a="1"/>
  <c r="R187" i="2"/>
  <c r="Q187" i="2" a="1"/>
  <c r="Q187" i="2"/>
  <c r="P187" i="2" a="1"/>
  <c r="P187" i="2"/>
  <c r="O187" i="2" a="1"/>
  <c r="O187" i="2"/>
  <c r="N187" i="2" a="1"/>
  <c r="N187" i="2"/>
  <c r="M187" i="2" a="1"/>
  <c r="M187" i="2"/>
  <c r="L187" i="2" a="1"/>
  <c r="L187" i="2"/>
  <c r="K187" i="2" a="1"/>
  <c r="K187" i="2"/>
  <c r="S186" i="2" a="1"/>
  <c r="S186" i="2" s="1"/>
  <c r="R186" i="2" a="1"/>
  <c r="R186" i="2" s="1"/>
  <c r="Q186" i="2" a="1"/>
  <c r="Q186" i="2" s="1"/>
  <c r="P186" i="2" a="1"/>
  <c r="P186" i="2" s="1"/>
  <c r="O186" i="2" a="1"/>
  <c r="O186" i="2" s="1"/>
  <c r="N186" i="2" a="1"/>
  <c r="N186" i="2" s="1"/>
  <c r="M186" i="2" a="1"/>
  <c r="M186" i="2" s="1"/>
  <c r="L186" i="2" a="1"/>
  <c r="L186" i="2" s="1"/>
  <c r="K186" i="2" a="1"/>
  <c r="K186" i="2" s="1"/>
  <c r="S185" i="2" a="1"/>
  <c r="S185" i="2"/>
  <c r="R185" i="2" a="1"/>
  <c r="R185" i="2"/>
  <c r="Q185" i="2" a="1"/>
  <c r="Q185" i="2"/>
  <c r="P185" i="2" a="1"/>
  <c r="P185" i="2"/>
  <c r="O185" i="2" a="1"/>
  <c r="O185" i="2"/>
  <c r="N185" i="2" a="1"/>
  <c r="N185" i="2"/>
  <c r="M185" i="2" a="1"/>
  <c r="M185" i="2"/>
  <c r="L185" i="2" a="1"/>
  <c r="L185" i="2"/>
  <c r="K185" i="2" a="1"/>
  <c r="K185" i="2"/>
  <c r="S184" i="2" a="1"/>
  <c r="S184" i="2" s="1"/>
  <c r="R184" i="2" a="1"/>
  <c r="R184" i="2" s="1"/>
  <c r="Q184" i="2" a="1"/>
  <c r="Q184" i="2" s="1"/>
  <c r="P184" i="2" a="1"/>
  <c r="P184" i="2" s="1"/>
  <c r="O184" i="2" a="1"/>
  <c r="O184" i="2" s="1"/>
  <c r="N184" i="2" a="1"/>
  <c r="N184" i="2" s="1"/>
  <c r="M184" i="2" a="1"/>
  <c r="M184" i="2" s="1"/>
  <c r="L184" i="2" a="1"/>
  <c r="L184" i="2" s="1"/>
  <c r="K184" i="2" a="1"/>
  <c r="K184" i="2" s="1"/>
  <c r="S183" i="2" a="1"/>
  <c r="S183" i="2"/>
  <c r="R183" i="2" a="1"/>
  <c r="R183" i="2"/>
  <c r="Q183" i="2" a="1"/>
  <c r="Q183" i="2"/>
  <c r="P183" i="2" a="1"/>
  <c r="P183" i="2"/>
  <c r="O183" i="2" a="1"/>
  <c r="O183" i="2"/>
  <c r="N183" i="2" a="1"/>
  <c r="N183" i="2"/>
  <c r="M183" i="2" a="1"/>
  <c r="M183" i="2"/>
  <c r="L183" i="2" a="1"/>
  <c r="L183" i="2"/>
  <c r="K183" i="2" a="1"/>
  <c r="K183" i="2"/>
  <c r="I183" i="2"/>
  <c r="H183" i="2"/>
  <c r="S182" i="2" a="1"/>
  <c r="S182" i="2"/>
  <c r="R182" i="2" a="1"/>
  <c r="R182" i="2"/>
  <c r="Q182" i="2" a="1"/>
  <c r="Q182" i="2"/>
  <c r="P182" i="2" a="1"/>
  <c r="P182" i="2"/>
  <c r="O182" i="2" a="1"/>
  <c r="O182" i="2"/>
  <c r="N182" i="2" a="1"/>
  <c r="N182" i="2"/>
  <c r="M182" i="2" a="1"/>
  <c r="M182" i="2"/>
  <c r="L182" i="2" a="1"/>
  <c r="L182" i="2"/>
  <c r="K182" i="2" a="1"/>
  <c r="K182" i="2"/>
  <c r="S181" i="2" a="1"/>
  <c r="S181" i="2" s="1"/>
  <c r="R181" i="2" a="1"/>
  <c r="R181" i="2" s="1"/>
  <c r="Q181" i="2" a="1"/>
  <c r="Q181" i="2" s="1"/>
  <c r="P181" i="2" a="1"/>
  <c r="P181" i="2" s="1"/>
  <c r="O181" i="2" a="1"/>
  <c r="O181" i="2" s="1"/>
  <c r="N181" i="2" a="1"/>
  <c r="N181" i="2" s="1"/>
  <c r="M181" i="2" a="1"/>
  <c r="M181" i="2" s="1"/>
  <c r="L181" i="2" a="1"/>
  <c r="L181" i="2" s="1"/>
  <c r="K181" i="2" a="1"/>
  <c r="K181" i="2" s="1"/>
  <c r="S180" i="2" a="1"/>
  <c r="S180" i="2"/>
  <c r="R180" i="2" a="1"/>
  <c r="R180" i="2"/>
  <c r="Q180" i="2" a="1"/>
  <c r="Q180" i="2"/>
  <c r="P180" i="2" a="1"/>
  <c r="P180" i="2"/>
  <c r="O180" i="2" a="1"/>
  <c r="O180" i="2"/>
  <c r="N180" i="2" a="1"/>
  <c r="N180" i="2"/>
  <c r="M180" i="2" a="1"/>
  <c r="M180" i="2"/>
  <c r="L180" i="2" a="1"/>
  <c r="L180" i="2"/>
  <c r="K180" i="2" a="1"/>
  <c r="K180" i="2"/>
  <c r="S179" i="2" a="1"/>
  <c r="S179" i="2"/>
  <c r="R179" i="2" a="1"/>
  <c r="R179" i="2"/>
  <c r="Q179" i="2" a="1"/>
  <c r="Q179" i="2"/>
  <c r="P179" i="2" a="1"/>
  <c r="P179" i="2"/>
  <c r="O179" i="2" a="1"/>
  <c r="O179" i="2"/>
  <c r="N179" i="2" a="1"/>
  <c r="N179" i="2"/>
  <c r="M179" i="2" a="1"/>
  <c r="M179" i="2"/>
  <c r="L179" i="2" a="1"/>
  <c r="L179" i="2"/>
  <c r="K179" i="2" a="1"/>
  <c r="K179" i="2"/>
  <c r="S178" i="2" a="1"/>
  <c r="S178" i="2"/>
  <c r="R178" i="2" a="1"/>
  <c r="R178" i="2"/>
  <c r="Q178" i="2" a="1"/>
  <c r="Q178" i="2"/>
  <c r="P178" i="2" a="1"/>
  <c r="P178" i="2"/>
  <c r="O178" i="2" a="1"/>
  <c r="O178" i="2"/>
  <c r="N178" i="2" a="1"/>
  <c r="N178" i="2"/>
  <c r="M178" i="2" a="1"/>
  <c r="M178" i="2"/>
  <c r="L178" i="2" a="1"/>
  <c r="L178" i="2"/>
  <c r="K178" i="2" a="1"/>
  <c r="K178" i="2"/>
  <c r="S177" i="2" a="1"/>
  <c r="S177" i="2"/>
  <c r="R177" i="2" a="1"/>
  <c r="R177" i="2"/>
  <c r="Q177" i="2" a="1"/>
  <c r="Q177" i="2"/>
  <c r="P177" i="2" a="1"/>
  <c r="P177" i="2"/>
  <c r="O177" i="2" a="1"/>
  <c r="O177" i="2"/>
  <c r="N177" i="2" a="1"/>
  <c r="N177" i="2"/>
  <c r="M177" i="2" a="1"/>
  <c r="M177" i="2"/>
  <c r="L177" i="2" a="1"/>
  <c r="L177" i="2"/>
  <c r="K177" i="2" a="1"/>
  <c r="K177" i="2"/>
  <c r="S176" i="2" a="1"/>
  <c r="S176" i="2"/>
  <c r="R176" i="2" a="1"/>
  <c r="R176" i="2"/>
  <c r="Q176" i="2" a="1"/>
  <c r="Q176" i="2"/>
  <c r="P176" i="2" a="1"/>
  <c r="P176" i="2"/>
  <c r="O176" i="2" a="1"/>
  <c r="O176" i="2"/>
  <c r="N176" i="2" a="1"/>
  <c r="N176" i="2"/>
  <c r="M176" i="2" a="1"/>
  <c r="M176" i="2"/>
  <c r="L176" i="2" a="1"/>
  <c r="L176" i="2"/>
  <c r="K176" i="2" a="1"/>
  <c r="K176" i="2"/>
  <c r="S175" i="2" a="1"/>
  <c r="S175" i="2"/>
  <c r="R175" i="2" a="1"/>
  <c r="R175" i="2"/>
  <c r="Q175" i="2" a="1"/>
  <c r="Q175" i="2"/>
  <c r="P175" i="2" a="1"/>
  <c r="P175" i="2"/>
  <c r="O175" i="2" a="1"/>
  <c r="O175" i="2"/>
  <c r="N175" i="2" a="1"/>
  <c r="N175" i="2"/>
  <c r="M175" i="2" a="1"/>
  <c r="M175" i="2"/>
  <c r="L175" i="2" a="1"/>
  <c r="L175" i="2"/>
  <c r="K175" i="2" a="1"/>
  <c r="K175" i="2"/>
  <c r="S174" i="2" a="1"/>
  <c r="S174" i="2"/>
  <c r="R174" i="2" a="1"/>
  <c r="R174" i="2"/>
  <c r="Q174" i="2" a="1"/>
  <c r="Q174" i="2"/>
  <c r="P174" i="2" a="1"/>
  <c r="P174" i="2"/>
  <c r="O174" i="2" a="1"/>
  <c r="O174" i="2"/>
  <c r="N174" i="2" a="1"/>
  <c r="N174" i="2"/>
  <c r="M174" i="2" a="1"/>
  <c r="M174" i="2"/>
  <c r="L174" i="2" a="1"/>
  <c r="L174" i="2"/>
  <c r="K174" i="2" a="1"/>
  <c r="K174" i="2"/>
  <c r="S173" i="2" a="1"/>
  <c r="S173" i="2"/>
  <c r="R173" i="2" a="1"/>
  <c r="R173" i="2"/>
  <c r="Q173" i="2" a="1"/>
  <c r="Q173" i="2"/>
  <c r="P173" i="2" a="1"/>
  <c r="P173" i="2"/>
  <c r="O173" i="2" a="1"/>
  <c r="O173" i="2"/>
  <c r="N173" i="2" a="1"/>
  <c r="N173" i="2"/>
  <c r="M173" i="2" a="1"/>
  <c r="M173" i="2"/>
  <c r="L173" i="2" a="1"/>
  <c r="L173" i="2"/>
  <c r="K173" i="2" a="1"/>
  <c r="K173" i="2"/>
  <c r="S172" i="2" a="1"/>
  <c r="S172" i="2"/>
  <c r="R172" i="2" a="1"/>
  <c r="R172" i="2"/>
  <c r="Q172" i="2" a="1"/>
  <c r="Q172" i="2"/>
  <c r="P172" i="2" a="1"/>
  <c r="P172" i="2"/>
  <c r="O172" i="2" a="1"/>
  <c r="O172" i="2"/>
  <c r="N172" i="2" a="1"/>
  <c r="N172" i="2"/>
  <c r="M172" i="2" a="1"/>
  <c r="M172" i="2"/>
  <c r="L172" i="2" a="1"/>
  <c r="L172" i="2"/>
  <c r="K172" i="2" a="1"/>
  <c r="K172" i="2"/>
  <c r="S171" i="2" a="1"/>
  <c r="S171" i="2"/>
  <c r="R171" i="2" a="1"/>
  <c r="R171" i="2"/>
  <c r="Q171" i="2" a="1"/>
  <c r="Q171" i="2"/>
  <c r="P171" i="2" a="1"/>
  <c r="P171" i="2"/>
  <c r="O171" i="2" a="1"/>
  <c r="O171" i="2"/>
  <c r="N171" i="2" a="1"/>
  <c r="N171" i="2"/>
  <c r="M171" i="2" a="1"/>
  <c r="M171" i="2"/>
  <c r="L171" i="2" a="1"/>
  <c r="L171" i="2"/>
  <c r="K171" i="2" a="1"/>
  <c r="K171" i="2"/>
  <c r="I171" i="2"/>
  <c r="H171" i="2"/>
  <c r="S170" i="2" a="1"/>
  <c r="S170" i="2"/>
  <c r="R170" i="2" a="1"/>
  <c r="R170" i="2" s="1"/>
  <c r="Q170" i="2" a="1"/>
  <c r="Q170" i="2"/>
  <c r="P170" i="2" a="1"/>
  <c r="P170" i="2" s="1"/>
  <c r="O170" i="2" a="1"/>
  <c r="O170" i="2"/>
  <c r="N170" i="2" a="1"/>
  <c r="N170" i="2" s="1"/>
  <c r="M170" i="2" a="1"/>
  <c r="M170" i="2"/>
  <c r="L170" i="2" a="1"/>
  <c r="L170" i="2" s="1"/>
  <c r="K170" i="2" a="1"/>
  <c r="K170" i="2"/>
  <c r="S169" i="2" a="1"/>
  <c r="S169" i="2" s="1"/>
  <c r="R169" i="2" a="1"/>
  <c r="R169" i="2" s="1"/>
  <c r="Q169" i="2" a="1"/>
  <c r="Q169" i="2" s="1"/>
  <c r="P169" i="2" a="1"/>
  <c r="P169" i="2" s="1"/>
  <c r="O169" i="2" a="1"/>
  <c r="O169" i="2" s="1"/>
  <c r="N169" i="2" a="1"/>
  <c r="N169" i="2" s="1"/>
  <c r="M169" i="2" a="1"/>
  <c r="M169" i="2" s="1"/>
  <c r="L169" i="2" a="1"/>
  <c r="L169" i="2" s="1"/>
  <c r="K169" i="2" a="1"/>
  <c r="K169" i="2" s="1"/>
  <c r="S168" i="2" a="1"/>
  <c r="S168" i="2" s="1"/>
  <c r="R168" i="2" a="1"/>
  <c r="R168" i="2" s="1"/>
  <c r="Q168" i="2" a="1"/>
  <c r="Q168" i="2" s="1"/>
  <c r="P168" i="2" a="1"/>
  <c r="P168" i="2" s="1"/>
  <c r="O168" i="2" a="1"/>
  <c r="O168" i="2" s="1"/>
  <c r="N168" i="2" a="1"/>
  <c r="N168" i="2" s="1"/>
  <c r="M168" i="2" a="1"/>
  <c r="M168" i="2" s="1"/>
  <c r="L168" i="2" a="1"/>
  <c r="L168" i="2" s="1"/>
  <c r="K168" i="2" a="1"/>
  <c r="K168" i="2" s="1"/>
  <c r="S166" i="2" a="1"/>
  <c r="S166" i="2" s="1"/>
  <c r="R166" i="2" a="1"/>
  <c r="R166" i="2" s="1"/>
  <c r="Q166" i="2" a="1"/>
  <c r="Q166" i="2" s="1"/>
  <c r="P166" i="2" a="1"/>
  <c r="P166" i="2" s="1"/>
  <c r="O166" i="2" a="1"/>
  <c r="O166" i="2" s="1"/>
  <c r="N166" i="2" a="1"/>
  <c r="N166" i="2" s="1"/>
  <c r="M166" i="2" a="1"/>
  <c r="M166" i="2" s="1"/>
  <c r="L166" i="2" a="1"/>
  <c r="L166" i="2" s="1"/>
  <c r="K166" i="2" a="1"/>
  <c r="K166" i="2" s="1"/>
  <c r="S165" i="2" a="1"/>
  <c r="S165" i="2" s="1"/>
  <c r="R165" i="2" a="1"/>
  <c r="R165" i="2" s="1"/>
  <c r="Q165" i="2" a="1"/>
  <c r="Q165" i="2" s="1"/>
  <c r="P165" i="2" a="1"/>
  <c r="P165" i="2" s="1"/>
  <c r="O165" i="2" a="1"/>
  <c r="O165" i="2" s="1"/>
  <c r="N165" i="2" a="1"/>
  <c r="N165" i="2" s="1"/>
  <c r="M165" i="2" a="1"/>
  <c r="M165" i="2" s="1"/>
  <c r="L165" i="2" a="1"/>
  <c r="L165" i="2" s="1"/>
  <c r="K165" i="2" a="1"/>
  <c r="K165" i="2" s="1"/>
  <c r="S164" i="2" a="1"/>
  <c r="S164" i="2" s="1"/>
  <c r="R164" i="2" a="1"/>
  <c r="R164" i="2" s="1"/>
  <c r="Q164" i="2" a="1"/>
  <c r="Q164" i="2" s="1"/>
  <c r="P164" i="2" a="1"/>
  <c r="P164" i="2" s="1"/>
  <c r="O164" i="2" a="1"/>
  <c r="O164" i="2" s="1"/>
  <c r="N164" i="2" a="1"/>
  <c r="N164" i="2" s="1"/>
  <c r="M164" i="2" a="1"/>
  <c r="M164" i="2" s="1"/>
  <c r="L164" i="2" a="1"/>
  <c r="L164" i="2" s="1"/>
  <c r="K164" i="2" a="1"/>
  <c r="K164" i="2" s="1"/>
  <c r="S163" i="2" a="1"/>
  <c r="S163" i="2" s="1"/>
  <c r="R163" i="2" a="1"/>
  <c r="R163" i="2" s="1"/>
  <c r="Q163" i="2" a="1"/>
  <c r="Q163" i="2" s="1"/>
  <c r="P163" i="2" a="1"/>
  <c r="P163" i="2" s="1"/>
  <c r="O163" i="2" a="1"/>
  <c r="O163" i="2" s="1"/>
  <c r="N163" i="2" a="1"/>
  <c r="N163" i="2" s="1"/>
  <c r="M163" i="2" a="1"/>
  <c r="M163" i="2" s="1"/>
  <c r="L163" i="2" a="1"/>
  <c r="L163" i="2" s="1"/>
  <c r="K163" i="2" a="1"/>
  <c r="K163" i="2" s="1"/>
  <c r="S162" i="2" a="1"/>
  <c r="S162" i="2" s="1"/>
  <c r="R162" i="2" a="1"/>
  <c r="R162" i="2" s="1"/>
  <c r="Q162" i="2" a="1"/>
  <c r="Q162" i="2" s="1"/>
  <c r="P162" i="2" a="1"/>
  <c r="P162" i="2" s="1"/>
  <c r="O162" i="2" a="1"/>
  <c r="O162" i="2" s="1"/>
  <c r="N162" i="2" a="1"/>
  <c r="N162" i="2" s="1"/>
  <c r="M162" i="2" a="1"/>
  <c r="M162" i="2" s="1"/>
  <c r="L162" i="2" a="1"/>
  <c r="L162" i="2" s="1"/>
  <c r="K162" i="2" a="1"/>
  <c r="K162" i="2" s="1"/>
  <c r="S161" i="2" a="1"/>
  <c r="S161" i="2" s="1"/>
  <c r="R161" i="2" a="1"/>
  <c r="R161" i="2" s="1"/>
  <c r="Q161" i="2" a="1"/>
  <c r="Q161" i="2" s="1"/>
  <c r="P161" i="2" a="1"/>
  <c r="P161" i="2" s="1"/>
  <c r="O161" i="2" a="1"/>
  <c r="O161" i="2" s="1"/>
  <c r="N161" i="2" a="1"/>
  <c r="N161" i="2" s="1"/>
  <c r="M161" i="2" a="1"/>
  <c r="M161" i="2" s="1"/>
  <c r="L161" i="2" a="1"/>
  <c r="L161" i="2" s="1"/>
  <c r="K161" i="2" a="1"/>
  <c r="K161" i="2" s="1"/>
  <c r="S160" i="2" a="1"/>
  <c r="S160" i="2" s="1"/>
  <c r="R160" i="2" a="1"/>
  <c r="R160" i="2" s="1"/>
  <c r="Q160" i="2" a="1"/>
  <c r="Q160" i="2" s="1"/>
  <c r="P160" i="2" a="1"/>
  <c r="P160" i="2" s="1"/>
  <c r="O160" i="2" a="1"/>
  <c r="O160" i="2" s="1"/>
  <c r="N160" i="2" a="1"/>
  <c r="N160" i="2" s="1"/>
  <c r="M160" i="2" a="1"/>
  <c r="M160" i="2" s="1"/>
  <c r="L160" i="2" a="1"/>
  <c r="L160" i="2" s="1"/>
  <c r="K160" i="2" a="1"/>
  <c r="K160" i="2" s="1"/>
  <c r="S159" i="2" a="1"/>
  <c r="S159" i="2" s="1"/>
  <c r="R159" i="2" a="1"/>
  <c r="R159" i="2" s="1"/>
  <c r="Q159" i="2" a="1"/>
  <c r="Q159" i="2" s="1"/>
  <c r="P159" i="2" a="1"/>
  <c r="P159" i="2" s="1"/>
  <c r="O159" i="2" a="1"/>
  <c r="O159" i="2" s="1"/>
  <c r="N159" i="2" a="1"/>
  <c r="N159" i="2" s="1"/>
  <c r="M159" i="2" a="1"/>
  <c r="M159" i="2" s="1"/>
  <c r="L159" i="2" a="1"/>
  <c r="L159" i="2" s="1"/>
  <c r="K159" i="2" a="1"/>
  <c r="K159" i="2" s="1"/>
  <c r="I159" i="2"/>
  <c r="S158" i="2" a="1"/>
  <c r="S158" i="2"/>
  <c r="R158" i="2" a="1"/>
  <c r="R158" i="2"/>
  <c r="Q158" i="2" a="1"/>
  <c r="Q158" i="2"/>
  <c r="P158" i="2" a="1"/>
  <c r="P158" i="2"/>
  <c r="O158" i="2" a="1"/>
  <c r="O158" i="2"/>
  <c r="N158" i="2" a="1"/>
  <c r="N158" i="2"/>
  <c r="M158" i="2" a="1"/>
  <c r="M158" i="2"/>
  <c r="L158" i="2" a="1"/>
  <c r="L158" i="2"/>
  <c r="K158" i="2" a="1"/>
  <c r="K158" i="2"/>
  <c r="S157" i="2" a="1"/>
  <c r="S157" i="2"/>
  <c r="R157" i="2" a="1"/>
  <c r="R157" i="2"/>
  <c r="Q157" i="2" a="1"/>
  <c r="Q157" i="2"/>
  <c r="P157" i="2" a="1"/>
  <c r="P157" i="2"/>
  <c r="O157" i="2" a="1"/>
  <c r="O157" i="2"/>
  <c r="N157" i="2" a="1"/>
  <c r="N157" i="2"/>
  <c r="M157" i="2" a="1"/>
  <c r="M157" i="2"/>
  <c r="L157" i="2" a="1"/>
  <c r="L157" i="2"/>
  <c r="K157" i="2" a="1"/>
  <c r="K157" i="2"/>
  <c r="S156" i="2" a="1"/>
  <c r="S156" i="2"/>
  <c r="R156" i="2" a="1"/>
  <c r="R156" i="2"/>
  <c r="Q156" i="2" a="1"/>
  <c r="Q156" i="2"/>
  <c r="P156" i="2" a="1"/>
  <c r="P156" i="2"/>
  <c r="O156" i="2" a="1"/>
  <c r="O156" i="2"/>
  <c r="N156" i="2" a="1"/>
  <c r="N156" i="2"/>
  <c r="M156" i="2" a="1"/>
  <c r="M156" i="2"/>
  <c r="L156" i="2" a="1"/>
  <c r="L156" i="2"/>
  <c r="K156" i="2" a="1"/>
  <c r="K156" i="2"/>
  <c r="S155" i="2" a="1"/>
  <c r="S155" i="2"/>
  <c r="R155" i="2" a="1"/>
  <c r="R155" i="2"/>
  <c r="Q155" i="2" a="1"/>
  <c r="Q155" i="2"/>
  <c r="P155" i="2" a="1"/>
  <c r="P155" i="2"/>
  <c r="O155" i="2" a="1"/>
  <c r="O155" i="2"/>
  <c r="N155" i="2" a="1"/>
  <c r="N155" i="2"/>
  <c r="M155" i="2" a="1"/>
  <c r="M155" i="2"/>
  <c r="L155" i="2" a="1"/>
  <c r="L155" i="2"/>
  <c r="K155" i="2" a="1"/>
  <c r="K155" i="2"/>
  <c r="S154" i="2" a="1"/>
  <c r="S154" i="2"/>
  <c r="R154" i="2" a="1"/>
  <c r="R154" i="2"/>
  <c r="Q154" i="2" a="1"/>
  <c r="Q154" i="2"/>
  <c r="P154" i="2" a="1"/>
  <c r="P154" i="2"/>
  <c r="O154" i="2" a="1"/>
  <c r="O154" i="2"/>
  <c r="N154" i="2" a="1"/>
  <c r="N154" i="2"/>
  <c r="M154" i="2" a="1"/>
  <c r="M154" i="2"/>
  <c r="L154" i="2" a="1"/>
  <c r="L154" i="2"/>
  <c r="K154" i="2" a="1"/>
  <c r="K154" i="2"/>
  <c r="S153" i="2" a="1"/>
  <c r="S153" i="2"/>
  <c r="R153" i="2" a="1"/>
  <c r="R153" i="2"/>
  <c r="Q153" i="2" a="1"/>
  <c r="Q153" i="2"/>
  <c r="P153" i="2" a="1"/>
  <c r="P153" i="2"/>
  <c r="O153" i="2" a="1"/>
  <c r="O153" i="2"/>
  <c r="N153" i="2" a="1"/>
  <c r="N153" i="2"/>
  <c r="M153" i="2" a="1"/>
  <c r="M153" i="2"/>
  <c r="L153" i="2" a="1"/>
  <c r="L153" i="2"/>
  <c r="K153" i="2" a="1"/>
  <c r="K153" i="2"/>
  <c r="S152" i="2" a="1"/>
  <c r="S152" i="2"/>
  <c r="R152" i="2" a="1"/>
  <c r="R152" i="2"/>
  <c r="Q152" i="2" a="1"/>
  <c r="Q152" i="2"/>
  <c r="P152" i="2" a="1"/>
  <c r="P152" i="2"/>
  <c r="O152" i="2" a="1"/>
  <c r="O152" i="2"/>
  <c r="N152" i="2" a="1"/>
  <c r="N152" i="2"/>
  <c r="M152" i="2" a="1"/>
  <c r="M152" i="2"/>
  <c r="L152" i="2" a="1"/>
  <c r="L152" i="2"/>
  <c r="K152" i="2" a="1"/>
  <c r="K152" i="2"/>
  <c r="S151" i="2" a="1"/>
  <c r="S151" i="2" s="1"/>
  <c r="R151" i="2" a="1"/>
  <c r="R151" i="2" s="1"/>
  <c r="Q151" i="2" a="1"/>
  <c r="Q151" i="2" s="1"/>
  <c r="P151" i="2" a="1"/>
  <c r="P151" i="2" s="1"/>
  <c r="O151" i="2" a="1"/>
  <c r="O151" i="2" s="1"/>
  <c r="N151" i="2" a="1"/>
  <c r="N151" i="2" s="1"/>
  <c r="M151" i="2" a="1"/>
  <c r="M151" i="2" s="1"/>
  <c r="L151" i="2" a="1"/>
  <c r="L151" i="2" s="1"/>
  <c r="K151" i="2" a="1"/>
  <c r="K151" i="2" s="1"/>
  <c r="S150" i="2" a="1"/>
  <c r="S150" i="2"/>
  <c r="R150" i="2" a="1"/>
  <c r="R150" i="2"/>
  <c r="Q150" i="2" a="1"/>
  <c r="Q150" i="2"/>
  <c r="P150" i="2" a="1"/>
  <c r="P150" i="2"/>
  <c r="O150" i="2" a="1"/>
  <c r="O150" i="2"/>
  <c r="N150" i="2" a="1"/>
  <c r="N150" i="2"/>
  <c r="M150" i="2" a="1"/>
  <c r="M150" i="2"/>
  <c r="L150" i="2" a="1"/>
  <c r="L150" i="2"/>
  <c r="K150" i="2" a="1"/>
  <c r="K150" i="2"/>
  <c r="S149" i="2" a="1"/>
  <c r="S149" i="2" s="1"/>
  <c r="R149" i="2" a="1"/>
  <c r="R149" i="2" s="1"/>
  <c r="Q149" i="2" a="1"/>
  <c r="Q149" i="2" s="1"/>
  <c r="P149" i="2" a="1"/>
  <c r="P149" i="2" s="1"/>
  <c r="O149" i="2" a="1"/>
  <c r="O149" i="2" s="1"/>
  <c r="N149" i="2" a="1"/>
  <c r="N149" i="2" s="1"/>
  <c r="M149" i="2" a="1"/>
  <c r="M149" i="2" s="1"/>
  <c r="L149" i="2" a="1"/>
  <c r="L149" i="2" s="1"/>
  <c r="K149" i="2" a="1"/>
  <c r="K149" i="2" s="1"/>
  <c r="S148" i="2" a="1"/>
  <c r="S148" i="2"/>
  <c r="R148" i="2" a="1"/>
  <c r="R148" i="2"/>
  <c r="Q148" i="2" a="1"/>
  <c r="Q148" i="2"/>
  <c r="P148" i="2" a="1"/>
  <c r="P148" i="2"/>
  <c r="O148" i="2" a="1"/>
  <c r="O148" i="2"/>
  <c r="N148" i="2" a="1"/>
  <c r="N148" i="2"/>
  <c r="M148" i="2" a="1"/>
  <c r="M148" i="2"/>
  <c r="L148" i="2" a="1"/>
  <c r="L148" i="2"/>
  <c r="K148" i="2" a="1"/>
  <c r="K148" i="2"/>
  <c r="S147" i="2" a="1"/>
  <c r="S147" i="2" s="1"/>
  <c r="R147" i="2" a="1"/>
  <c r="R147" i="2" s="1"/>
  <c r="Q147" i="2" a="1"/>
  <c r="Q147" i="2" s="1"/>
  <c r="P147" i="2" a="1"/>
  <c r="P147" i="2" s="1"/>
  <c r="O147" i="2" a="1"/>
  <c r="O147" i="2" s="1"/>
  <c r="N147" i="2" a="1"/>
  <c r="N147" i="2" s="1"/>
  <c r="M147" i="2" a="1"/>
  <c r="M147" i="2" s="1"/>
  <c r="L147" i="2" a="1"/>
  <c r="L147" i="2" s="1"/>
  <c r="K147" i="2" a="1"/>
  <c r="K147" i="2" s="1"/>
  <c r="I147" i="2"/>
  <c r="S146" i="2" a="1"/>
  <c r="S146" i="2" s="1"/>
  <c r="R146" i="2" a="1"/>
  <c r="R146" i="2" s="1"/>
  <c r="Q146" i="2" a="1"/>
  <c r="Q146" i="2" s="1"/>
  <c r="P146" i="2" a="1"/>
  <c r="P146" i="2" s="1"/>
  <c r="O146" i="2" a="1"/>
  <c r="O146" i="2" s="1"/>
  <c r="N146" i="2" a="1"/>
  <c r="N146" i="2" s="1"/>
  <c r="M146" i="2" a="1"/>
  <c r="M146" i="2" s="1"/>
  <c r="L146" i="2" a="1"/>
  <c r="L146" i="2" s="1"/>
  <c r="K146" i="2" a="1"/>
  <c r="K146" i="2" s="1"/>
  <c r="S145" i="2" a="1"/>
  <c r="S145" i="2"/>
  <c r="R145" i="2" a="1"/>
  <c r="R145" i="2"/>
  <c r="Q145" i="2" a="1"/>
  <c r="Q145" i="2"/>
  <c r="P145" i="2" a="1"/>
  <c r="P145" i="2"/>
  <c r="O145" i="2" a="1"/>
  <c r="O145" i="2"/>
  <c r="N145" i="2" a="1"/>
  <c r="N145" i="2"/>
  <c r="M145" i="2" a="1"/>
  <c r="M145" i="2"/>
  <c r="L145" i="2" a="1"/>
  <c r="L145" i="2"/>
  <c r="K145" i="2" a="1"/>
  <c r="K145" i="2"/>
  <c r="S144" i="2" a="1"/>
  <c r="S144" i="2" s="1"/>
  <c r="R144" i="2" a="1"/>
  <c r="R144" i="2" s="1"/>
  <c r="Q144" i="2" a="1"/>
  <c r="Q144" i="2" s="1"/>
  <c r="P144" i="2" a="1"/>
  <c r="P144" i="2" s="1"/>
  <c r="O144" i="2" a="1"/>
  <c r="O144" i="2" s="1"/>
  <c r="N144" i="2" a="1"/>
  <c r="N144" i="2" s="1"/>
  <c r="M144" i="2" a="1"/>
  <c r="M144" i="2" s="1"/>
  <c r="L144" i="2" a="1"/>
  <c r="L144" i="2" s="1"/>
  <c r="K144" i="2" a="1"/>
  <c r="K144" i="2" s="1"/>
  <c r="S143" i="2" a="1"/>
  <c r="S143" i="2"/>
  <c r="R143" i="2" a="1"/>
  <c r="R143" i="2"/>
  <c r="Q143" i="2" a="1"/>
  <c r="Q143" i="2"/>
  <c r="P143" i="2" a="1"/>
  <c r="P143" i="2"/>
  <c r="O143" i="2" a="1"/>
  <c r="O143" i="2"/>
  <c r="N143" i="2" a="1"/>
  <c r="N143" i="2"/>
  <c r="M143" i="2" a="1"/>
  <c r="M143" i="2"/>
  <c r="L143" i="2" a="1"/>
  <c r="L143" i="2"/>
  <c r="K143" i="2" a="1"/>
  <c r="K143" i="2"/>
  <c r="S142" i="2" a="1"/>
  <c r="S142" i="2" s="1"/>
  <c r="R142" i="2" a="1"/>
  <c r="R142" i="2" s="1"/>
  <c r="Q142" i="2" a="1"/>
  <c r="Q142" i="2" s="1"/>
  <c r="P142" i="2" a="1"/>
  <c r="P142" i="2" s="1"/>
  <c r="O142" i="2" a="1"/>
  <c r="O142" i="2" s="1"/>
  <c r="N142" i="2" a="1"/>
  <c r="N142" i="2" s="1"/>
  <c r="M142" i="2" a="1"/>
  <c r="M142" i="2" s="1"/>
  <c r="L142" i="2" a="1"/>
  <c r="L142" i="2" s="1"/>
  <c r="K142" i="2" a="1"/>
  <c r="K142" i="2" s="1"/>
  <c r="S141" i="2" a="1"/>
  <c r="S141" i="2"/>
  <c r="R141" i="2" a="1"/>
  <c r="R141" i="2"/>
  <c r="Q141" i="2" a="1"/>
  <c r="Q141" i="2"/>
  <c r="P141" i="2" a="1"/>
  <c r="P141" i="2"/>
  <c r="O141" i="2" a="1"/>
  <c r="O141" i="2"/>
  <c r="N141" i="2" a="1"/>
  <c r="N141" i="2"/>
  <c r="M141" i="2" a="1"/>
  <c r="M141" i="2"/>
  <c r="L141" i="2" a="1"/>
  <c r="L141" i="2"/>
  <c r="K141" i="2" a="1"/>
  <c r="K141" i="2"/>
  <c r="S140" i="2" a="1"/>
  <c r="S140" i="2" s="1"/>
  <c r="R140" i="2" a="1"/>
  <c r="R140" i="2" s="1"/>
  <c r="Q140" i="2" a="1"/>
  <c r="Q140" i="2" s="1"/>
  <c r="P140" i="2" a="1"/>
  <c r="P140" i="2" s="1"/>
  <c r="O140" i="2" a="1"/>
  <c r="O140" i="2" s="1"/>
  <c r="N140" i="2" a="1"/>
  <c r="N140" i="2" s="1"/>
  <c r="M140" i="2" a="1"/>
  <c r="M140" i="2" s="1"/>
  <c r="L140" i="2" a="1"/>
  <c r="L140" i="2" s="1"/>
  <c r="K140" i="2" a="1"/>
  <c r="K140" i="2" s="1"/>
  <c r="S139" i="2" a="1"/>
  <c r="S139" i="2"/>
  <c r="R139" i="2" a="1"/>
  <c r="R139" i="2"/>
  <c r="Q139" i="2" a="1"/>
  <c r="Q139" i="2"/>
  <c r="P139" i="2" a="1"/>
  <c r="P139" i="2"/>
  <c r="O139" i="2" a="1"/>
  <c r="O139" i="2"/>
  <c r="N139" i="2" a="1"/>
  <c r="N139" i="2"/>
  <c r="M139" i="2" a="1"/>
  <c r="M139" i="2"/>
  <c r="L139" i="2" a="1"/>
  <c r="L139" i="2"/>
  <c r="K139" i="2" a="1"/>
  <c r="K139" i="2"/>
  <c r="S138" i="2" a="1"/>
  <c r="S138" i="2" s="1"/>
  <c r="R138" i="2" a="1"/>
  <c r="R138" i="2" s="1"/>
  <c r="Q138" i="2" a="1"/>
  <c r="Q138" i="2" s="1"/>
  <c r="P138" i="2" a="1"/>
  <c r="P138" i="2" s="1"/>
  <c r="O138" i="2" a="1"/>
  <c r="O138" i="2" s="1"/>
  <c r="N138" i="2" a="1"/>
  <c r="N138" i="2" s="1"/>
  <c r="M138" i="2" a="1"/>
  <c r="M138" i="2" s="1"/>
  <c r="L138" i="2" a="1"/>
  <c r="L138" i="2" s="1"/>
  <c r="K138" i="2" a="1"/>
  <c r="K138" i="2" s="1"/>
  <c r="S137" i="2" a="1"/>
  <c r="S137" i="2"/>
  <c r="R137" i="2" a="1"/>
  <c r="R137" i="2"/>
  <c r="Q137" i="2" a="1"/>
  <c r="Q137" i="2"/>
  <c r="P137" i="2" a="1"/>
  <c r="P137" i="2"/>
  <c r="O137" i="2" a="1"/>
  <c r="O137" i="2"/>
  <c r="N137" i="2" a="1"/>
  <c r="N137" i="2"/>
  <c r="M137" i="2" a="1"/>
  <c r="M137" i="2"/>
  <c r="L137" i="2" a="1"/>
  <c r="L137" i="2"/>
  <c r="K137" i="2" a="1"/>
  <c r="K137" i="2"/>
  <c r="S136" i="2" a="1"/>
  <c r="S136" i="2" s="1"/>
  <c r="R136" i="2" a="1"/>
  <c r="R136" i="2" s="1"/>
  <c r="Q136" i="2" a="1"/>
  <c r="Q136" i="2" s="1"/>
  <c r="P136" i="2" a="1"/>
  <c r="P136" i="2" s="1"/>
  <c r="O136" i="2" a="1"/>
  <c r="O136" i="2" s="1"/>
  <c r="N136" i="2" a="1"/>
  <c r="N136" i="2" s="1"/>
  <c r="M136" i="2" a="1"/>
  <c r="M136" i="2" s="1"/>
  <c r="L136" i="2" a="1"/>
  <c r="L136" i="2" s="1"/>
  <c r="K136" i="2" a="1"/>
  <c r="K136" i="2" s="1"/>
  <c r="S135" i="2" a="1"/>
  <c r="S135" i="2"/>
  <c r="R135" i="2" a="1"/>
  <c r="R135" i="2"/>
  <c r="Q135" i="2" a="1"/>
  <c r="Q135" i="2"/>
  <c r="P135" i="2" a="1"/>
  <c r="P135" i="2"/>
  <c r="O135" i="2" a="1"/>
  <c r="O135" i="2"/>
  <c r="N135" i="2" a="1"/>
  <c r="N135" i="2"/>
  <c r="M135" i="2" a="1"/>
  <c r="M135" i="2"/>
  <c r="L135" i="2" a="1"/>
  <c r="L135" i="2"/>
  <c r="K135" i="2" a="1"/>
  <c r="K135" i="2"/>
  <c r="I135" i="2"/>
  <c r="H135" i="2"/>
  <c r="S134" i="2" a="1"/>
  <c r="S134" i="2"/>
  <c r="R134" i="2" a="1"/>
  <c r="R134" i="2"/>
  <c r="Q134" i="2" a="1"/>
  <c r="Q134" i="2"/>
  <c r="P134" i="2" a="1"/>
  <c r="P134" i="2"/>
  <c r="O134" i="2" a="1"/>
  <c r="O134" i="2"/>
  <c r="N134" i="2" a="1"/>
  <c r="N134" i="2"/>
  <c r="M134" i="2" a="1"/>
  <c r="M134" i="2"/>
  <c r="L134" i="2" a="1"/>
  <c r="L134" i="2"/>
  <c r="K134" i="2" a="1"/>
  <c r="K134" i="2"/>
  <c r="S133" i="2" a="1"/>
  <c r="S133" i="2" s="1"/>
  <c r="R133" i="2" a="1"/>
  <c r="R133" i="2" s="1"/>
  <c r="Q133" i="2" a="1"/>
  <c r="Q133" i="2" s="1"/>
  <c r="P133" i="2" a="1"/>
  <c r="P133" i="2" s="1"/>
  <c r="O133" i="2" a="1"/>
  <c r="O133" i="2" s="1"/>
  <c r="N133" i="2" a="1"/>
  <c r="N133" i="2" s="1"/>
  <c r="M133" i="2" a="1"/>
  <c r="M133" i="2" s="1"/>
  <c r="L133" i="2" a="1"/>
  <c r="L133" i="2" s="1"/>
  <c r="K133" i="2" a="1"/>
  <c r="K133" i="2" s="1"/>
  <c r="S132" i="2" a="1"/>
  <c r="S132" i="2"/>
  <c r="R132" i="2" a="1"/>
  <c r="R132" i="2"/>
  <c r="Q132" i="2" a="1"/>
  <c r="Q132" i="2"/>
  <c r="P132" i="2" a="1"/>
  <c r="P132" i="2"/>
  <c r="O132" i="2" a="1"/>
  <c r="O132" i="2"/>
  <c r="N132" i="2" a="1"/>
  <c r="N132" i="2"/>
  <c r="M132" i="2" a="1"/>
  <c r="M132" i="2"/>
  <c r="L132" i="2" a="1"/>
  <c r="L132" i="2"/>
  <c r="K132" i="2" a="1"/>
  <c r="K132" i="2"/>
  <c r="S131" i="2" a="1"/>
  <c r="S131" i="2" s="1"/>
  <c r="R131" i="2" a="1"/>
  <c r="R131" i="2" s="1"/>
  <c r="Q131" i="2" a="1"/>
  <c r="Q131" i="2" s="1"/>
  <c r="P131" i="2" a="1"/>
  <c r="P131" i="2" s="1"/>
  <c r="O131" i="2" a="1"/>
  <c r="O131" i="2" s="1"/>
  <c r="N131" i="2" a="1"/>
  <c r="N131" i="2" s="1"/>
  <c r="M131" i="2" a="1"/>
  <c r="M131" i="2" s="1"/>
  <c r="L131" i="2" a="1"/>
  <c r="L131" i="2" s="1"/>
  <c r="K131" i="2" a="1"/>
  <c r="K131" i="2" s="1"/>
  <c r="S130" i="2" a="1"/>
  <c r="S130" i="2"/>
  <c r="R130" i="2" a="1"/>
  <c r="R130" i="2"/>
  <c r="Q130" i="2" a="1"/>
  <c r="Q130" i="2"/>
  <c r="P130" i="2" a="1"/>
  <c r="P130" i="2"/>
  <c r="O130" i="2" a="1"/>
  <c r="O130" i="2"/>
  <c r="N130" i="2" a="1"/>
  <c r="N130" i="2"/>
  <c r="M130" i="2" a="1"/>
  <c r="M130" i="2"/>
  <c r="L130" i="2" a="1"/>
  <c r="L130" i="2"/>
  <c r="K130" i="2" a="1"/>
  <c r="K130" i="2"/>
  <c r="S129" i="2" a="1"/>
  <c r="S129" i="2"/>
  <c r="R129" i="2" a="1"/>
  <c r="R129" i="2"/>
  <c r="Q129" i="2" a="1"/>
  <c r="Q129" i="2"/>
  <c r="P129" i="2" a="1"/>
  <c r="P129" i="2"/>
  <c r="O129" i="2" a="1"/>
  <c r="O129" i="2"/>
  <c r="N129" i="2" a="1"/>
  <c r="N129" i="2"/>
  <c r="M129" i="2" a="1"/>
  <c r="M129" i="2"/>
  <c r="L129" i="2" a="1"/>
  <c r="L129" i="2"/>
  <c r="K129" i="2" a="1"/>
  <c r="K129" i="2"/>
  <c r="S128" i="2" a="1"/>
  <c r="S128" i="2"/>
  <c r="R128" i="2" a="1"/>
  <c r="R128" i="2"/>
  <c r="Q128" i="2" a="1"/>
  <c r="Q128" i="2"/>
  <c r="P128" i="2" a="1"/>
  <c r="P128" i="2"/>
  <c r="O128" i="2" a="1"/>
  <c r="O128" i="2"/>
  <c r="N128" i="2" a="1"/>
  <c r="N128" i="2"/>
  <c r="M128" i="2" a="1"/>
  <c r="M128" i="2"/>
  <c r="L128" i="2" a="1"/>
  <c r="L128" i="2"/>
  <c r="K128" i="2" a="1"/>
  <c r="K128" i="2"/>
  <c r="S127" i="2" a="1"/>
  <c r="S127" i="2"/>
  <c r="R127" i="2" a="1"/>
  <c r="R127" i="2"/>
  <c r="Q127" i="2" a="1"/>
  <c r="Q127" i="2"/>
  <c r="P127" i="2" a="1"/>
  <c r="P127" i="2"/>
  <c r="O127" i="2" a="1"/>
  <c r="O127" i="2"/>
  <c r="N127" i="2" a="1"/>
  <c r="N127" i="2"/>
  <c r="M127" i="2" a="1"/>
  <c r="M127" i="2"/>
  <c r="L127" i="2" a="1"/>
  <c r="L127" i="2"/>
  <c r="K127" i="2" a="1"/>
  <c r="K127" i="2"/>
  <c r="S126" i="2" a="1"/>
  <c r="S126" i="2"/>
  <c r="R126" i="2" a="1"/>
  <c r="R126" i="2"/>
  <c r="Q126" i="2" a="1"/>
  <c r="Q126" i="2"/>
  <c r="P126" i="2" a="1"/>
  <c r="P126" i="2"/>
  <c r="O126" i="2" a="1"/>
  <c r="O126" i="2"/>
  <c r="N126" i="2" a="1"/>
  <c r="N126" i="2"/>
  <c r="M126" i="2" a="1"/>
  <c r="M126" i="2"/>
  <c r="L126" i="2" a="1"/>
  <c r="L126" i="2"/>
  <c r="K126" i="2" a="1"/>
  <c r="K126" i="2"/>
  <c r="S125" i="2" a="1"/>
  <c r="S125" i="2"/>
  <c r="R125" i="2" a="1"/>
  <c r="R125" i="2"/>
  <c r="Q125" i="2" a="1"/>
  <c r="Q125" i="2"/>
  <c r="P125" i="2" a="1"/>
  <c r="P125" i="2"/>
  <c r="O125" i="2" a="1"/>
  <c r="O125" i="2"/>
  <c r="N125" i="2" a="1"/>
  <c r="N125" i="2"/>
  <c r="M125" i="2" a="1"/>
  <c r="M125" i="2"/>
  <c r="L125" i="2" a="1"/>
  <c r="L125" i="2"/>
  <c r="K125" i="2" a="1"/>
  <c r="K125" i="2"/>
  <c r="S124" i="2" a="1"/>
  <c r="S124" i="2"/>
  <c r="R124" i="2" a="1"/>
  <c r="R124" i="2"/>
  <c r="Q124" i="2" a="1"/>
  <c r="Q124" i="2"/>
  <c r="P124" i="2" a="1"/>
  <c r="P124" i="2"/>
  <c r="O124" i="2" a="1"/>
  <c r="O124" i="2"/>
  <c r="N124" i="2" a="1"/>
  <c r="N124" i="2"/>
  <c r="M124" i="2" a="1"/>
  <c r="M124" i="2"/>
  <c r="L124" i="2" a="1"/>
  <c r="L124" i="2"/>
  <c r="K124" i="2" a="1"/>
  <c r="K124" i="2"/>
  <c r="S123" i="2" a="1"/>
  <c r="S123" i="2"/>
  <c r="R123" i="2" a="1"/>
  <c r="R123" i="2"/>
  <c r="Q123" i="2" a="1"/>
  <c r="Q123" i="2"/>
  <c r="P123" i="2" a="1"/>
  <c r="P123" i="2"/>
  <c r="O123" i="2" a="1"/>
  <c r="O123" i="2"/>
  <c r="N123" i="2" a="1"/>
  <c r="N123" i="2"/>
  <c r="M123" i="2" a="1"/>
  <c r="M123" i="2"/>
  <c r="L123" i="2" a="1"/>
  <c r="L123" i="2"/>
  <c r="K123" i="2" a="1"/>
  <c r="K123" i="2"/>
  <c r="I123" i="2"/>
  <c r="H123" i="2"/>
  <c r="S122" i="2"/>
  <c r="R122" i="2"/>
  <c r="Q122" i="2"/>
  <c r="P122" i="2"/>
  <c r="O122" i="2"/>
  <c r="N122" i="2"/>
  <c r="M122" i="2"/>
  <c r="L122" i="2"/>
  <c r="K122" i="2"/>
  <c r="S121" i="2"/>
  <c r="R121" i="2"/>
  <c r="Q121" i="2"/>
  <c r="P121" i="2"/>
  <c r="O121" i="2"/>
  <c r="N121" i="2"/>
  <c r="M121" i="2"/>
  <c r="L121" i="2"/>
  <c r="K121" i="2"/>
  <c r="S120" i="2"/>
  <c r="R120" i="2"/>
  <c r="Q120" i="2"/>
  <c r="P120" i="2"/>
  <c r="O120" i="2"/>
  <c r="N120" i="2"/>
  <c r="M120" i="2"/>
  <c r="L120" i="2"/>
  <c r="K120" i="2"/>
  <c r="S119" i="2"/>
  <c r="R119" i="2"/>
  <c r="Q119" i="2"/>
  <c r="P119" i="2"/>
  <c r="O119" i="2"/>
  <c r="N119" i="2"/>
  <c r="M119" i="2"/>
  <c r="L119" i="2"/>
  <c r="K119" i="2"/>
  <c r="S118" i="2"/>
  <c r="R118" i="2"/>
  <c r="Q118" i="2"/>
  <c r="P118" i="2"/>
  <c r="O118" i="2"/>
  <c r="N118" i="2"/>
  <c r="M118" i="2"/>
  <c r="L118" i="2"/>
  <c r="K118" i="2"/>
  <c r="S117" i="2"/>
  <c r="R117" i="2"/>
  <c r="Q117" i="2"/>
  <c r="P117" i="2"/>
  <c r="O117" i="2"/>
  <c r="N117" i="2"/>
  <c r="M117" i="2"/>
  <c r="L117" i="2"/>
  <c r="K117" i="2"/>
  <c r="S116" i="2"/>
  <c r="R116" i="2"/>
  <c r="Q116" i="2"/>
  <c r="P116" i="2"/>
  <c r="O116" i="2"/>
  <c r="N116" i="2"/>
  <c r="M116" i="2"/>
  <c r="L116" i="2"/>
  <c r="K116" i="2"/>
  <c r="S115" i="2"/>
  <c r="R115" i="2"/>
  <c r="Q115" i="2"/>
  <c r="P115" i="2"/>
  <c r="O115" i="2"/>
  <c r="N115" i="2"/>
  <c r="M115" i="2"/>
  <c r="L115" i="2"/>
  <c r="K115" i="2"/>
  <c r="S114" i="2"/>
  <c r="R114" i="2"/>
  <c r="Q114" i="2"/>
  <c r="P114" i="2"/>
  <c r="O114" i="2"/>
  <c r="N114" i="2"/>
  <c r="M114" i="2"/>
  <c r="L114" i="2"/>
  <c r="K114" i="2"/>
  <c r="S113" i="2"/>
  <c r="R113" i="2"/>
  <c r="Q113" i="2"/>
  <c r="P113" i="2"/>
  <c r="O113" i="2"/>
  <c r="N113" i="2"/>
  <c r="M113" i="2"/>
  <c r="L113" i="2"/>
  <c r="K113" i="2"/>
  <c r="S112" i="2"/>
  <c r="R112" i="2"/>
  <c r="Q112" i="2"/>
  <c r="P112" i="2"/>
  <c r="O112" i="2"/>
  <c r="N112" i="2"/>
  <c r="M112" i="2"/>
  <c r="L112" i="2"/>
  <c r="K112" i="2"/>
  <c r="S111" i="2"/>
  <c r="R111" i="2"/>
  <c r="Q111" i="2"/>
  <c r="P111" i="2"/>
  <c r="O111" i="2"/>
  <c r="N111" i="2"/>
  <c r="M111" i="2"/>
  <c r="L111" i="2"/>
  <c r="I111" i="2"/>
  <c r="H111" i="2"/>
  <c r="S110" i="2" a="1"/>
  <c r="S110" i="2"/>
  <c r="R110" i="2" a="1"/>
  <c r="R110" i="2" s="1"/>
  <c r="Q110" i="2" a="1"/>
  <c r="Q110" i="2"/>
  <c r="P110" i="2" a="1"/>
  <c r="P110" i="2" s="1"/>
  <c r="O110" i="2" a="1"/>
  <c r="O110" i="2"/>
  <c r="N110" i="2" a="1"/>
  <c r="N110" i="2" s="1"/>
  <c r="M110" i="2" a="1"/>
  <c r="M110" i="2"/>
  <c r="L110" i="2" a="1"/>
  <c r="L110" i="2" s="1"/>
  <c r="K110" i="2" a="1"/>
  <c r="K110" i="2"/>
  <c r="S109" i="2" a="1"/>
  <c r="S109" i="2"/>
  <c r="R109" i="2" a="1"/>
  <c r="R109" i="2" s="1"/>
  <c r="Q109" i="2" a="1"/>
  <c r="Q109" i="2"/>
  <c r="P109" i="2" a="1"/>
  <c r="P109" i="2" s="1"/>
  <c r="O109" i="2" a="1"/>
  <c r="O109" i="2"/>
  <c r="N109" i="2" a="1"/>
  <c r="N109" i="2" s="1"/>
  <c r="M109" i="2" a="1"/>
  <c r="M109" i="2"/>
  <c r="L109" i="2" a="1"/>
  <c r="L109" i="2" s="1"/>
  <c r="K109" i="2" a="1"/>
  <c r="K109" i="2"/>
  <c r="S108" i="2" a="1"/>
  <c r="S108" i="2"/>
  <c r="R108" i="2" a="1"/>
  <c r="R108" i="2" s="1"/>
  <c r="Q108" i="2" a="1"/>
  <c r="Q108" i="2"/>
  <c r="P108" i="2" a="1"/>
  <c r="P108" i="2" s="1"/>
  <c r="O108" i="2" a="1"/>
  <c r="O108" i="2"/>
  <c r="N108" i="2" a="1"/>
  <c r="N108" i="2" s="1"/>
  <c r="M108" i="2" a="1"/>
  <c r="M108" i="2"/>
  <c r="L108" i="2" a="1"/>
  <c r="L108" i="2" s="1"/>
  <c r="K108" i="2" a="1"/>
  <c r="K108" i="2"/>
  <c r="S107" i="2" a="1"/>
  <c r="S107" i="2"/>
  <c r="R107" i="2" a="1"/>
  <c r="R107" i="2" s="1"/>
  <c r="Q107" i="2" a="1"/>
  <c r="Q107" i="2"/>
  <c r="P107" i="2" a="1"/>
  <c r="P107" i="2" s="1"/>
  <c r="O107" i="2" a="1"/>
  <c r="O107" i="2"/>
  <c r="N107" i="2" a="1"/>
  <c r="N107" i="2" s="1"/>
  <c r="M107" i="2" a="1"/>
  <c r="M107" i="2"/>
  <c r="L107" i="2" a="1"/>
  <c r="L107" i="2" s="1"/>
  <c r="K107" i="2" a="1"/>
  <c r="K107" i="2"/>
  <c r="S106" i="2" a="1"/>
  <c r="S106" i="2"/>
  <c r="R106" i="2" a="1"/>
  <c r="R106" i="2" s="1"/>
  <c r="Q106" i="2" a="1"/>
  <c r="Q106" i="2"/>
  <c r="P106" i="2" a="1"/>
  <c r="P106" i="2" s="1"/>
  <c r="O106" i="2" a="1"/>
  <c r="O106" i="2"/>
  <c r="N106" i="2" a="1"/>
  <c r="N106" i="2" s="1"/>
  <c r="M106" i="2" a="1"/>
  <c r="M106" i="2"/>
  <c r="L106" i="2" a="1"/>
  <c r="L106" i="2" s="1"/>
  <c r="K106" i="2" a="1"/>
  <c r="K106" i="2"/>
  <c r="S105" i="2" a="1"/>
  <c r="S105" i="2"/>
  <c r="R105" i="2" a="1"/>
  <c r="R105" i="2" s="1"/>
  <c r="Q105" i="2" a="1"/>
  <c r="Q105" i="2"/>
  <c r="P105" i="2" a="1"/>
  <c r="P105" i="2" s="1"/>
  <c r="O105" i="2" a="1"/>
  <c r="O105" i="2"/>
  <c r="N105" i="2" a="1"/>
  <c r="N105" i="2" s="1"/>
  <c r="M105" i="2" a="1"/>
  <c r="M105" i="2"/>
  <c r="L105" i="2" a="1"/>
  <c r="L105" i="2" s="1"/>
  <c r="K105" i="2" a="1"/>
  <c r="K105" i="2"/>
  <c r="S104" i="2" a="1"/>
  <c r="S104" i="2"/>
  <c r="R104" i="2" a="1"/>
  <c r="R104" i="2" s="1"/>
  <c r="Q104" i="2" a="1"/>
  <c r="Q104" i="2"/>
  <c r="P104" i="2" a="1"/>
  <c r="P104" i="2" s="1"/>
  <c r="O104" i="2" a="1"/>
  <c r="O104" i="2"/>
  <c r="N104" i="2" a="1"/>
  <c r="N104" i="2" s="1"/>
  <c r="M104" i="2" a="1"/>
  <c r="M104" i="2" s="1"/>
  <c r="L104" i="2" a="1"/>
  <c r="L104" i="2" s="1"/>
  <c r="K104" i="2" a="1"/>
  <c r="K104" i="2" s="1"/>
  <c r="S103" i="2" a="1"/>
  <c r="S103" i="2" s="1"/>
  <c r="R103" i="2" a="1"/>
  <c r="R103" i="2" s="1"/>
  <c r="Q103" i="2" a="1"/>
  <c r="Q103" i="2" s="1"/>
  <c r="P103" i="2" a="1"/>
  <c r="P103" i="2" s="1"/>
  <c r="O103" i="2" a="1"/>
  <c r="O103" i="2" s="1"/>
  <c r="N103" i="2" a="1"/>
  <c r="N103" i="2" s="1"/>
  <c r="M103" i="2" a="1"/>
  <c r="M103" i="2" s="1"/>
  <c r="L103" i="2" a="1"/>
  <c r="L103" i="2" s="1"/>
  <c r="K103" i="2" a="1"/>
  <c r="K103" i="2" s="1"/>
  <c r="S102" i="2" a="1"/>
  <c r="S102" i="2" s="1"/>
  <c r="R102" i="2" a="1"/>
  <c r="R102" i="2" s="1"/>
  <c r="Q102" i="2" a="1"/>
  <c r="Q102" i="2" s="1"/>
  <c r="P102" i="2" a="1"/>
  <c r="P102" i="2" s="1"/>
  <c r="O102" i="2" a="1"/>
  <c r="O102" i="2" s="1"/>
  <c r="N102" i="2" a="1"/>
  <c r="N102" i="2" s="1"/>
  <c r="M102" i="2" a="1"/>
  <c r="M102" i="2" s="1"/>
  <c r="L102" i="2" a="1"/>
  <c r="L102" i="2" s="1"/>
  <c r="K102" i="2" a="1"/>
  <c r="K102" i="2" s="1"/>
  <c r="S101" i="2" a="1"/>
  <c r="S101" i="2" s="1"/>
  <c r="R101" i="2" a="1"/>
  <c r="R101" i="2"/>
  <c r="Q101" i="2" a="1"/>
  <c r="Q101" i="2" s="1"/>
  <c r="P101" i="2" a="1"/>
  <c r="P101" i="2"/>
  <c r="O101" i="2" a="1"/>
  <c r="O101" i="2" s="1"/>
  <c r="N101" i="2" a="1"/>
  <c r="N101" i="2"/>
  <c r="M101" i="2" a="1"/>
  <c r="M101" i="2" s="1"/>
  <c r="L101" i="2" a="1"/>
  <c r="L101" i="2"/>
  <c r="K101" i="2" a="1"/>
  <c r="K101" i="2" s="1"/>
  <c r="S100" i="2" a="1"/>
  <c r="S100" i="2" s="1"/>
  <c r="R100" i="2" a="1"/>
  <c r="R100" i="2" s="1"/>
  <c r="Q100" i="2" a="1"/>
  <c r="Q100" i="2" s="1"/>
  <c r="P100" i="2" a="1"/>
  <c r="P100" i="2" s="1"/>
  <c r="O100" i="2" a="1"/>
  <c r="O100" i="2" s="1"/>
  <c r="N100" i="2" a="1"/>
  <c r="N100" i="2" s="1"/>
  <c r="M100" i="2" a="1"/>
  <c r="M100" i="2" s="1"/>
  <c r="L100" i="2" a="1"/>
  <c r="L100" i="2" s="1"/>
  <c r="K100" i="2" a="1"/>
  <c r="K100" i="2" s="1"/>
  <c r="S99" i="2" a="1"/>
  <c r="S99" i="2" s="1"/>
  <c r="R99" i="2" a="1"/>
  <c r="R99" i="2" s="1"/>
  <c r="Q99" i="2" a="1"/>
  <c r="Q99" i="2" s="1"/>
  <c r="P99" i="2" a="1"/>
  <c r="P99" i="2" s="1"/>
  <c r="O99" i="2" a="1"/>
  <c r="O99" i="2" s="1"/>
  <c r="N99" i="2" a="1"/>
  <c r="N99" i="2" s="1"/>
  <c r="M99" i="2" a="1"/>
  <c r="M99" i="2" s="1"/>
  <c r="L99" i="2" a="1"/>
  <c r="L99" i="2" s="1"/>
  <c r="K99" i="2" a="1"/>
  <c r="K99" i="2" s="1"/>
  <c r="I99" i="2"/>
  <c r="H110" i="2" s="1"/>
  <c r="S98" i="2" a="1"/>
  <c r="S98" i="2" s="1"/>
  <c r="R98" i="2" a="1"/>
  <c r="R98" i="2"/>
  <c r="Q98" i="2" a="1"/>
  <c r="Q98" i="2" s="1"/>
  <c r="P98" i="2" a="1"/>
  <c r="P98" i="2"/>
  <c r="O98" i="2" a="1"/>
  <c r="O98" i="2" s="1"/>
  <c r="N98" i="2" a="1"/>
  <c r="N98" i="2"/>
  <c r="M98" i="2" a="1"/>
  <c r="M98" i="2" s="1"/>
  <c r="L98" i="2" a="1"/>
  <c r="L98" i="2"/>
  <c r="K98" i="2" a="1"/>
  <c r="K98" i="2" s="1"/>
  <c r="S97" i="2" a="1"/>
  <c r="S97" i="2"/>
  <c r="R97" i="2" a="1"/>
  <c r="R97" i="2" s="1"/>
  <c r="Q97" i="2" a="1"/>
  <c r="Q97" i="2"/>
  <c r="P97" i="2" a="1"/>
  <c r="P97" i="2" s="1"/>
  <c r="O97" i="2" a="1"/>
  <c r="O97" i="2"/>
  <c r="N97" i="2" a="1"/>
  <c r="N97" i="2" s="1"/>
  <c r="M97" i="2" a="1"/>
  <c r="M97" i="2"/>
  <c r="L97" i="2" a="1"/>
  <c r="L97" i="2" s="1"/>
  <c r="K97" i="2" a="1"/>
  <c r="K97" i="2"/>
  <c r="S96" i="2" a="1"/>
  <c r="S96" i="2" s="1"/>
  <c r="R96" i="2" a="1"/>
  <c r="R96" i="2"/>
  <c r="Q96" i="2" a="1"/>
  <c r="Q96" i="2" s="1"/>
  <c r="P96" i="2" a="1"/>
  <c r="P96" i="2"/>
  <c r="O96" i="2" a="1"/>
  <c r="O96" i="2" s="1"/>
  <c r="N96" i="2" a="1"/>
  <c r="N96" i="2"/>
  <c r="M96" i="2" a="1"/>
  <c r="M96" i="2" s="1"/>
  <c r="L96" i="2" a="1"/>
  <c r="L96" i="2"/>
  <c r="K96" i="2" a="1"/>
  <c r="K96" i="2" s="1"/>
  <c r="S95" i="2" a="1"/>
  <c r="S95" i="2"/>
  <c r="R95" i="2" a="1"/>
  <c r="R95" i="2" s="1"/>
  <c r="Q95" i="2" a="1"/>
  <c r="Q95" i="2"/>
  <c r="P95" i="2" a="1"/>
  <c r="P95" i="2" s="1"/>
  <c r="O95" i="2" a="1"/>
  <c r="O95" i="2"/>
  <c r="N95" i="2" a="1"/>
  <c r="N95" i="2" s="1"/>
  <c r="M95" i="2" a="1"/>
  <c r="M95" i="2"/>
  <c r="L95" i="2" a="1"/>
  <c r="L95" i="2" s="1"/>
  <c r="K95" i="2" a="1"/>
  <c r="K95" i="2"/>
  <c r="S94" i="2" a="1"/>
  <c r="S94" i="2" s="1"/>
  <c r="R94" i="2" a="1"/>
  <c r="R94" i="2"/>
  <c r="Q94" i="2" a="1"/>
  <c r="Q94" i="2" s="1"/>
  <c r="P94" i="2" a="1"/>
  <c r="P94" i="2"/>
  <c r="O94" i="2" a="1"/>
  <c r="O94" i="2" s="1"/>
  <c r="N94" i="2" a="1"/>
  <c r="N94" i="2"/>
  <c r="M94" i="2" a="1"/>
  <c r="M94" i="2" s="1"/>
  <c r="L94" i="2" a="1"/>
  <c r="L94" i="2"/>
  <c r="K94" i="2" a="1"/>
  <c r="K94" i="2" s="1"/>
  <c r="S93" i="2" a="1"/>
  <c r="S93" i="2"/>
  <c r="R93" i="2" a="1"/>
  <c r="R93" i="2" s="1"/>
  <c r="Q93" i="2" a="1"/>
  <c r="Q93" i="2"/>
  <c r="P93" i="2" a="1"/>
  <c r="P93" i="2" s="1"/>
  <c r="O93" i="2" a="1"/>
  <c r="O93" i="2"/>
  <c r="N93" i="2" a="1"/>
  <c r="N93" i="2" s="1"/>
  <c r="M93" i="2" a="1"/>
  <c r="M93" i="2"/>
  <c r="L93" i="2" a="1"/>
  <c r="L93" i="2" s="1"/>
  <c r="K93" i="2" a="1"/>
  <c r="K93" i="2"/>
  <c r="S92" i="2" a="1"/>
  <c r="S92" i="2" s="1"/>
  <c r="R92" i="2" a="1"/>
  <c r="R92" i="2"/>
  <c r="Q92" i="2" a="1"/>
  <c r="Q92" i="2" s="1"/>
  <c r="P92" i="2" a="1"/>
  <c r="P92" i="2"/>
  <c r="O92" i="2" a="1"/>
  <c r="O92" i="2" s="1"/>
  <c r="N92" i="2" a="1"/>
  <c r="N92" i="2"/>
  <c r="M92" i="2" a="1"/>
  <c r="M92" i="2" s="1"/>
  <c r="L92" i="2" a="1"/>
  <c r="L92" i="2"/>
  <c r="K92" i="2" a="1"/>
  <c r="K92" i="2" s="1"/>
  <c r="S91" i="2" a="1"/>
  <c r="S91" i="2" s="1"/>
  <c r="R91" i="2" a="1"/>
  <c r="R91" i="2"/>
  <c r="Q91" i="2" a="1"/>
  <c r="Q91" i="2" s="1"/>
  <c r="P91" i="2" a="1"/>
  <c r="P91" i="2"/>
  <c r="O91" i="2" a="1"/>
  <c r="O91" i="2" s="1"/>
  <c r="N91" i="2" a="1"/>
  <c r="N91" i="2"/>
  <c r="M91" i="2" a="1"/>
  <c r="M91" i="2" s="1"/>
  <c r="L91" i="2" a="1"/>
  <c r="L91" i="2"/>
  <c r="K91" i="2" a="1"/>
  <c r="K91" i="2" s="1"/>
  <c r="S90" i="2" a="1"/>
  <c r="S90" i="2"/>
  <c r="R90" i="2" a="1"/>
  <c r="R90" i="2" s="1"/>
  <c r="Q90" i="2" a="1"/>
  <c r="Q90" i="2"/>
  <c r="P90" i="2" a="1"/>
  <c r="P90" i="2" s="1"/>
  <c r="O90" i="2" a="1"/>
  <c r="O90" i="2"/>
  <c r="N90" i="2" a="1"/>
  <c r="N90" i="2" s="1"/>
  <c r="M90" i="2" a="1"/>
  <c r="M90" i="2"/>
  <c r="L90" i="2" a="1"/>
  <c r="L90" i="2" s="1"/>
  <c r="K90" i="2" a="1"/>
  <c r="K90" i="2"/>
  <c r="S89" i="2" a="1"/>
  <c r="S89" i="2" s="1"/>
  <c r="R89" i="2" a="1"/>
  <c r="R89" i="2"/>
  <c r="Q89" i="2" a="1"/>
  <c r="Q89" i="2" s="1"/>
  <c r="P89" i="2" a="1"/>
  <c r="P89" i="2"/>
  <c r="O89" i="2" a="1"/>
  <c r="O89" i="2" s="1"/>
  <c r="N89" i="2" a="1"/>
  <c r="N89" i="2"/>
  <c r="M89" i="2" a="1"/>
  <c r="M89" i="2" s="1"/>
  <c r="L89" i="2" a="1"/>
  <c r="L89" i="2"/>
  <c r="K89" i="2" a="1"/>
  <c r="K89" i="2" s="1"/>
  <c r="S88" i="2" a="1"/>
  <c r="S88" i="2"/>
  <c r="R88" i="2" a="1"/>
  <c r="R88" i="2" s="1"/>
  <c r="Q88" i="2" a="1"/>
  <c r="Q88" i="2"/>
  <c r="P88" i="2" a="1"/>
  <c r="P88" i="2" s="1"/>
  <c r="O88" i="2" a="1"/>
  <c r="O88" i="2" s="1"/>
  <c r="N88" i="2" a="1"/>
  <c r="N88" i="2" s="1"/>
  <c r="M88" i="2" a="1"/>
  <c r="M88" i="2" s="1"/>
  <c r="L88" i="2" a="1"/>
  <c r="L88" i="2" s="1"/>
  <c r="K88" i="2" a="1"/>
  <c r="K88" i="2" s="1"/>
  <c r="S87" i="2" a="1"/>
  <c r="S87" i="2" s="1"/>
  <c r="R87" i="2" a="1"/>
  <c r="R87" i="2" s="1"/>
  <c r="Q87" i="2" a="1"/>
  <c r="Q87" i="2" s="1"/>
  <c r="P87" i="2" a="1"/>
  <c r="P87" i="2" s="1"/>
  <c r="O87" i="2" a="1"/>
  <c r="O87" i="2" s="1"/>
  <c r="N87" i="2" a="1"/>
  <c r="N87" i="2" s="1"/>
  <c r="M87" i="2" a="1"/>
  <c r="M87" i="2" s="1"/>
  <c r="L87" i="2" a="1"/>
  <c r="L87" i="2" s="1"/>
  <c r="K87" i="2" a="1"/>
  <c r="K87" i="2" s="1"/>
  <c r="S86" i="2" a="1"/>
  <c r="S86" i="2" s="1"/>
  <c r="R86" i="2" a="1"/>
  <c r="R86" i="2" s="1"/>
  <c r="Q86" i="2" a="1"/>
  <c r="Q86" i="2" s="1"/>
  <c r="P86" i="2" a="1"/>
  <c r="P86" i="2" s="1"/>
  <c r="O86" i="2" a="1"/>
  <c r="O86" i="2" s="1"/>
  <c r="N86" i="2" a="1"/>
  <c r="N86" i="2" s="1"/>
  <c r="M86" i="2" a="1"/>
  <c r="M86" i="2" s="1"/>
  <c r="L86" i="2" a="1"/>
  <c r="L86" i="2" s="1"/>
  <c r="K86" i="2" a="1"/>
  <c r="K86" i="2" s="1"/>
  <c r="S85" i="2" a="1"/>
  <c r="S85" i="2" s="1"/>
  <c r="R85" i="2" a="1"/>
  <c r="R85" i="2" s="1"/>
  <c r="Q85" i="2" a="1"/>
  <c r="Q85" i="2" s="1"/>
  <c r="P85" i="2" a="1"/>
  <c r="P85" i="2" s="1"/>
  <c r="O85" i="2" a="1"/>
  <c r="O85" i="2" s="1"/>
  <c r="N85" i="2" a="1"/>
  <c r="N85" i="2" s="1"/>
  <c r="M85" i="2" a="1"/>
  <c r="M85" i="2" s="1"/>
  <c r="L85" i="2" a="1"/>
  <c r="L85" i="2" s="1"/>
  <c r="K85" i="2" a="1"/>
  <c r="K85" i="2" s="1"/>
  <c r="S84" i="2" a="1"/>
  <c r="S84" i="2" s="1"/>
  <c r="R84" i="2" a="1"/>
  <c r="R84" i="2" s="1"/>
  <c r="Q84" i="2" a="1"/>
  <c r="Q84" i="2" s="1"/>
  <c r="P84" i="2" a="1"/>
  <c r="P84" i="2" s="1"/>
  <c r="O84" i="2" a="1"/>
  <c r="O84" i="2" s="1"/>
  <c r="N84" i="2" a="1"/>
  <c r="N84" i="2" s="1"/>
  <c r="M84" i="2" a="1"/>
  <c r="M84" i="2" s="1"/>
  <c r="L84" i="2" a="1"/>
  <c r="L84" i="2" s="1"/>
  <c r="K84" i="2" a="1"/>
  <c r="K84" i="2" s="1"/>
  <c r="S83" i="2" a="1"/>
  <c r="S83" i="2" s="1"/>
  <c r="R83" i="2" a="1"/>
  <c r="R83" i="2" s="1"/>
  <c r="Q83" i="2" a="1"/>
  <c r="Q83" i="2" s="1"/>
  <c r="P83" i="2" a="1"/>
  <c r="P83" i="2" s="1"/>
  <c r="O83" i="2" a="1"/>
  <c r="O83" i="2" s="1"/>
  <c r="N83" i="2" a="1"/>
  <c r="N83" i="2" s="1"/>
  <c r="M83" i="2" a="1"/>
  <c r="M83" i="2" s="1"/>
  <c r="L83" i="2" a="1"/>
  <c r="L83" i="2" s="1"/>
  <c r="K83" i="2" a="1"/>
  <c r="K83" i="2" s="1"/>
  <c r="S82" i="2" a="1"/>
  <c r="S82" i="2" s="1"/>
  <c r="R82" i="2" a="1"/>
  <c r="R82" i="2" s="1"/>
  <c r="Q82" i="2" a="1"/>
  <c r="Q82" i="2" s="1"/>
  <c r="P82" i="2" a="1"/>
  <c r="P82" i="2" s="1"/>
  <c r="O82" i="2" a="1"/>
  <c r="O82" i="2" s="1"/>
  <c r="N82" i="2" a="1"/>
  <c r="N82" i="2" s="1"/>
  <c r="M82" i="2" a="1"/>
  <c r="M82" i="2" s="1"/>
  <c r="L82" i="2" a="1"/>
  <c r="L82" i="2" s="1"/>
  <c r="K82" i="2" a="1"/>
  <c r="K82" i="2" s="1"/>
  <c r="S81" i="2" a="1"/>
  <c r="S81" i="2"/>
  <c r="R81" i="2" a="1"/>
  <c r="R81" i="2"/>
  <c r="Q81" i="2" a="1"/>
  <c r="Q81" i="2"/>
  <c r="P81" i="2" a="1"/>
  <c r="P81" i="2"/>
  <c r="O81" i="2" a="1"/>
  <c r="O81" i="2"/>
  <c r="N81" i="2" a="1"/>
  <c r="N81" i="2"/>
  <c r="M81" i="2" a="1"/>
  <c r="M81" i="2"/>
  <c r="L81" i="2" a="1"/>
  <c r="L81" i="2"/>
  <c r="K81" i="2" a="1"/>
  <c r="K81" i="2"/>
  <c r="S80" i="2" a="1"/>
  <c r="S80" i="2"/>
  <c r="R80" i="2" a="1"/>
  <c r="R80" i="2" s="1"/>
  <c r="Q80" i="2" a="1"/>
  <c r="Q80" i="2"/>
  <c r="P80" i="2" a="1"/>
  <c r="P80" i="2" s="1"/>
  <c r="O80" i="2" a="1"/>
  <c r="O80" i="2"/>
  <c r="N80" i="2" a="1"/>
  <c r="N80" i="2" s="1"/>
  <c r="M80" i="2" a="1"/>
  <c r="M80" i="2"/>
  <c r="L80" i="2" a="1"/>
  <c r="L80" i="2" s="1"/>
  <c r="K80" i="2" a="1"/>
  <c r="K80" i="2"/>
  <c r="S79" i="2" a="1"/>
  <c r="S79" i="2" s="1"/>
  <c r="R79" i="2" a="1"/>
  <c r="R79" i="2"/>
  <c r="Q79" i="2" a="1"/>
  <c r="Q79" i="2" s="1"/>
  <c r="P79" i="2" a="1"/>
  <c r="P79" i="2"/>
  <c r="O79" i="2" a="1"/>
  <c r="O79" i="2" s="1"/>
  <c r="N79" i="2" a="1"/>
  <c r="N79" i="2"/>
  <c r="M79" i="2" a="1"/>
  <c r="M79" i="2" s="1"/>
  <c r="L79" i="2" a="1"/>
  <c r="L79" i="2"/>
  <c r="K79" i="2" a="1"/>
  <c r="K79" i="2" s="1"/>
  <c r="S78" i="2" a="1"/>
  <c r="S78" i="2"/>
  <c r="R78" i="2" a="1"/>
  <c r="R78" i="2" s="1"/>
  <c r="Q78" i="2" a="1"/>
  <c r="Q78" i="2"/>
  <c r="P78" i="2" a="1"/>
  <c r="P78" i="2" s="1"/>
  <c r="O78" i="2" a="1"/>
  <c r="O78" i="2"/>
  <c r="N78" i="2" a="1"/>
  <c r="N78" i="2" s="1"/>
  <c r="M78" i="2" a="1"/>
  <c r="M78" i="2"/>
  <c r="L78" i="2" a="1"/>
  <c r="L78" i="2" s="1"/>
  <c r="K78" i="2" a="1"/>
  <c r="K78" i="2"/>
  <c r="S77" i="2" a="1"/>
  <c r="S77" i="2" s="1"/>
  <c r="R77" i="2" a="1"/>
  <c r="R77" i="2"/>
  <c r="Q77" i="2" a="1"/>
  <c r="Q77" i="2" s="1"/>
  <c r="P77" i="2" a="1"/>
  <c r="P77" i="2"/>
  <c r="O77" i="2" a="1"/>
  <c r="O77" i="2" s="1"/>
  <c r="N77" i="2" a="1"/>
  <c r="N77" i="2"/>
  <c r="M77" i="2" a="1"/>
  <c r="M77" i="2" s="1"/>
  <c r="L77" i="2" a="1"/>
  <c r="L77" i="2"/>
  <c r="K77" i="2" a="1"/>
  <c r="K77" i="2" s="1"/>
  <c r="S76" i="2" a="1"/>
  <c r="S76" i="2"/>
  <c r="R76" i="2" a="1"/>
  <c r="R76" i="2" s="1"/>
  <c r="Q76" i="2" a="1"/>
  <c r="Q76" i="2"/>
  <c r="P76" i="2" a="1"/>
  <c r="P76" i="2" s="1"/>
  <c r="O76" i="2" a="1"/>
  <c r="O76" i="2"/>
  <c r="N76" i="2" a="1"/>
  <c r="N76" i="2" s="1"/>
  <c r="M76" i="2" a="1"/>
  <c r="M76" i="2"/>
  <c r="L76" i="2" a="1"/>
  <c r="L76" i="2" s="1"/>
  <c r="K76" i="2" a="1"/>
  <c r="K76" i="2"/>
  <c r="S75" i="2" a="1"/>
  <c r="S75" i="2"/>
  <c r="R75" i="2" a="1"/>
  <c r="R75" i="2"/>
  <c r="Q75" i="2" a="1"/>
  <c r="Q75" i="2"/>
  <c r="P75" i="2" a="1"/>
  <c r="P75" i="2"/>
  <c r="O75" i="2" a="1"/>
  <c r="O75" i="2"/>
  <c r="N75" i="2" a="1"/>
  <c r="N75" i="2"/>
  <c r="M75" i="2" a="1"/>
  <c r="M75" i="2"/>
  <c r="L75" i="2" a="1"/>
  <c r="L75" i="2"/>
  <c r="K75" i="2" a="1"/>
  <c r="K75" i="2"/>
  <c r="S74" i="2" a="1"/>
  <c r="S74" i="2"/>
  <c r="R74" i="2" a="1"/>
  <c r="R74" i="2"/>
  <c r="Q74" i="2" a="1"/>
  <c r="Q74" i="2"/>
  <c r="P74" i="2" a="1"/>
  <c r="P74" i="2"/>
  <c r="O74" i="2" a="1"/>
  <c r="O74" i="2"/>
  <c r="N74" i="2" a="1"/>
  <c r="N74" i="2"/>
  <c r="M74" i="2" a="1"/>
  <c r="M74" i="2"/>
  <c r="L74" i="2" a="1"/>
  <c r="L74" i="2"/>
  <c r="K74" i="2" a="1"/>
  <c r="K74" i="2"/>
  <c r="S73" i="2" a="1"/>
  <c r="S73" i="2"/>
  <c r="R73" i="2" a="1"/>
  <c r="R73" i="2"/>
  <c r="Q73" i="2" a="1"/>
  <c r="Q73" i="2"/>
  <c r="P73" i="2" a="1"/>
  <c r="P73" i="2"/>
  <c r="O73" i="2" a="1"/>
  <c r="O73" i="2"/>
  <c r="N73" i="2" a="1"/>
  <c r="N73" i="2"/>
  <c r="M73" i="2" a="1"/>
  <c r="M73" i="2"/>
  <c r="L73" i="2" a="1"/>
  <c r="L73" i="2" s="1"/>
  <c r="K73" i="2" a="1"/>
  <c r="K73" i="2"/>
  <c r="S72" i="2" a="1"/>
  <c r="S72" i="2" s="1"/>
  <c r="R72" i="2" a="1"/>
  <c r="R72" i="2"/>
  <c r="Q72" i="2" a="1"/>
  <c r="Q72" i="2" s="1"/>
  <c r="P72" i="2" a="1"/>
  <c r="P72" i="2"/>
  <c r="O72" i="2" a="1"/>
  <c r="O72" i="2" s="1"/>
  <c r="N72" i="2" a="1"/>
  <c r="N72" i="2"/>
  <c r="M72" i="2" a="1"/>
  <c r="M72" i="2" s="1"/>
  <c r="L72" i="2" a="1"/>
  <c r="L72" i="2" s="1"/>
  <c r="K72" i="2" a="1"/>
  <c r="K72" i="2" s="1"/>
  <c r="S71" i="2" a="1"/>
  <c r="S71" i="2"/>
  <c r="R71" i="2" a="1"/>
  <c r="R71" i="2"/>
  <c r="Q71" i="2" a="1"/>
  <c r="Q71" i="2" s="1"/>
  <c r="P71" i="2" a="1"/>
  <c r="P71" i="2"/>
  <c r="O71" i="2" a="1"/>
  <c r="O71" i="2" s="1"/>
  <c r="N71" i="2" a="1"/>
  <c r="N71" i="2" s="1"/>
  <c r="M71" i="2" a="1"/>
  <c r="M71" i="2" s="1"/>
  <c r="L71" i="2" a="1"/>
  <c r="L71" i="2" s="1"/>
  <c r="K71" i="2" a="1"/>
  <c r="K71" i="2" s="1"/>
  <c r="S70" i="2" a="1"/>
  <c r="S70" i="2" s="1"/>
  <c r="R70" i="2" a="1"/>
  <c r="R70" i="2" s="1"/>
  <c r="Q70" i="2" a="1"/>
  <c r="Q70" i="2" s="1"/>
  <c r="P70" i="2" a="1"/>
  <c r="P70" i="2" s="1"/>
  <c r="O70" i="2" a="1"/>
  <c r="O70" i="2" s="1"/>
  <c r="N70" i="2" a="1"/>
  <c r="N70" i="2" s="1"/>
  <c r="M70" i="2" a="1"/>
  <c r="M70" i="2" s="1"/>
  <c r="L70" i="2" a="1"/>
  <c r="L70" i="2" s="1"/>
  <c r="K70" i="2" a="1"/>
  <c r="K70" i="2" s="1"/>
  <c r="S69" i="2" a="1"/>
  <c r="S69" i="2" s="1"/>
  <c r="R69" i="2" a="1"/>
  <c r="R69" i="2" s="1"/>
  <c r="Q69" i="2" a="1"/>
  <c r="Q69" i="2" s="1"/>
  <c r="P69" i="2" a="1"/>
  <c r="P69" i="2" s="1"/>
  <c r="O69" i="2" a="1"/>
  <c r="O69" i="2" s="1"/>
  <c r="N69" i="2" a="1"/>
  <c r="N69" i="2" s="1"/>
  <c r="M69" i="2" a="1"/>
  <c r="M69" i="2" s="1"/>
  <c r="L69" i="2" a="1"/>
  <c r="L69" i="2" s="1"/>
  <c r="K69" i="2" a="1"/>
  <c r="K69" i="2" s="1"/>
  <c r="S68" i="2" a="1"/>
  <c r="S68" i="2" s="1"/>
  <c r="R68" i="2" a="1"/>
  <c r="R68" i="2" s="1"/>
  <c r="Q68" i="2" a="1"/>
  <c r="Q68" i="2" s="1"/>
  <c r="P68" i="2" a="1"/>
  <c r="P68" i="2" s="1"/>
  <c r="O68" i="2" a="1"/>
  <c r="O68" i="2" s="1"/>
  <c r="N68" i="2" a="1"/>
  <c r="N68" i="2" s="1"/>
  <c r="M68" i="2" a="1"/>
  <c r="M68" i="2" s="1"/>
  <c r="L68" i="2" a="1"/>
  <c r="L68" i="2" s="1"/>
  <c r="K68" i="2" a="1"/>
  <c r="K68" i="2" s="1"/>
  <c r="S66" i="2" a="1"/>
  <c r="S66" i="2" s="1"/>
  <c r="R66" i="2" a="1"/>
  <c r="R66" i="2" s="1"/>
  <c r="Q66" i="2" a="1"/>
  <c r="Q66" i="2" s="1"/>
  <c r="P66" i="2" a="1"/>
  <c r="P66" i="2" s="1"/>
  <c r="O66" i="2" a="1"/>
  <c r="O66" i="2" s="1"/>
  <c r="N66" i="2" a="1"/>
  <c r="N66" i="2" s="1"/>
  <c r="M66" i="2" a="1"/>
  <c r="M66" i="2" s="1"/>
  <c r="L66" i="2" a="1"/>
  <c r="L66" i="2" s="1"/>
  <c r="K66" i="2" a="1"/>
  <c r="K66" i="2" s="1"/>
  <c r="S65" i="2" a="1"/>
  <c r="S65" i="2" s="1"/>
  <c r="R65" i="2" a="1"/>
  <c r="R65" i="2" s="1"/>
  <c r="Q65" i="2" a="1"/>
  <c r="Q65" i="2" s="1"/>
  <c r="P65" i="2" a="1"/>
  <c r="P65" i="2" s="1"/>
  <c r="O65" i="2" a="1"/>
  <c r="O65" i="2" s="1"/>
  <c r="N65" i="2" a="1"/>
  <c r="N65" i="2" s="1"/>
  <c r="M65" i="2" a="1"/>
  <c r="M65" i="2" s="1"/>
  <c r="L65" i="2" a="1"/>
  <c r="L65" i="2" s="1"/>
  <c r="K65" i="2" a="1"/>
  <c r="K65" i="2" s="1"/>
  <c r="S64" i="2" a="1"/>
  <c r="S64" i="2" s="1"/>
  <c r="R64" i="2" a="1"/>
  <c r="R64" i="2" s="1"/>
  <c r="Q64" i="2" a="1"/>
  <c r="Q64" i="2" s="1"/>
  <c r="P64" i="2" a="1"/>
  <c r="P64" i="2" s="1"/>
  <c r="O64" i="2" a="1"/>
  <c r="O64" i="2" s="1"/>
  <c r="N64" i="2" a="1"/>
  <c r="N64" i="2" s="1"/>
  <c r="M64" i="2" a="1"/>
  <c r="M64" i="2" s="1"/>
  <c r="L64" i="2" a="1"/>
  <c r="L64" i="2" s="1"/>
  <c r="K64" i="2" a="1"/>
  <c r="K64" i="2" s="1"/>
  <c r="S63" i="2" a="1"/>
  <c r="S63" i="2" s="1"/>
  <c r="R63" i="2" a="1"/>
  <c r="R63" i="2" s="1"/>
  <c r="Q63" i="2" a="1"/>
  <c r="Q63" i="2" s="1"/>
  <c r="P63" i="2" a="1"/>
  <c r="P63" i="2" s="1"/>
  <c r="O63" i="2" a="1"/>
  <c r="O63" i="2" s="1"/>
  <c r="N63" i="2" a="1"/>
  <c r="N63" i="2" s="1"/>
  <c r="M63" i="2" a="1"/>
  <c r="M63" i="2" s="1"/>
  <c r="L63" i="2" a="1"/>
  <c r="L63" i="2" s="1"/>
  <c r="K63" i="2" a="1"/>
  <c r="K63" i="2" s="1"/>
  <c r="S62" i="2" a="1"/>
  <c r="S62" i="2" s="1"/>
  <c r="R62" i="2" a="1"/>
  <c r="R62" i="2" s="1"/>
  <c r="Q62" i="2" a="1"/>
  <c r="Q62" i="2" s="1"/>
  <c r="P62" i="2" a="1"/>
  <c r="P62" i="2" s="1"/>
  <c r="O62" i="2" a="1"/>
  <c r="O62" i="2" s="1"/>
  <c r="N62" i="2" a="1"/>
  <c r="N62" i="2" s="1"/>
  <c r="M62" i="2" a="1"/>
  <c r="M62" i="2" s="1"/>
  <c r="L62" i="2" a="1"/>
  <c r="L62" i="2" s="1"/>
  <c r="K62" i="2" a="1"/>
  <c r="K62" i="2" s="1"/>
  <c r="S61" i="2" a="1"/>
  <c r="S61" i="2"/>
  <c r="R61" i="2" a="1"/>
  <c r="R61" i="2"/>
  <c r="Q61" i="2" a="1"/>
  <c r="Q61" i="2"/>
  <c r="P61" i="2" a="1"/>
  <c r="P61" i="2"/>
  <c r="O61" i="2" a="1"/>
  <c r="O61" i="2"/>
  <c r="N61" i="2" a="1"/>
  <c r="N61" i="2"/>
  <c r="M61" i="2" a="1"/>
  <c r="M61" i="2"/>
  <c r="L61" i="2" a="1"/>
  <c r="L61" i="2"/>
  <c r="K61" i="2" a="1"/>
  <c r="K61" i="2"/>
  <c r="S60" i="2" a="1"/>
  <c r="S60" i="2"/>
  <c r="R60" i="2" a="1"/>
  <c r="R60" i="2"/>
  <c r="Q60" i="2" a="1"/>
  <c r="Q60" i="2"/>
  <c r="P60" i="2" a="1"/>
  <c r="P60" i="2"/>
  <c r="O60" i="2" a="1"/>
  <c r="O60" i="2"/>
  <c r="N60" i="2" a="1"/>
  <c r="N60" i="2"/>
  <c r="M60" i="2" a="1"/>
  <c r="M60" i="2"/>
  <c r="L60" i="2" a="1"/>
  <c r="L60" i="2"/>
  <c r="K60" i="2" a="1"/>
  <c r="K60" i="2"/>
  <c r="S59" i="2" a="1"/>
  <c r="S59" i="2"/>
  <c r="R59" i="2" a="1"/>
  <c r="R59" i="2"/>
  <c r="Q59" i="2" a="1"/>
  <c r="Q59" i="2"/>
  <c r="P59" i="2" a="1"/>
  <c r="P59" i="2"/>
  <c r="O59" i="2" a="1"/>
  <c r="O59" i="2"/>
  <c r="N59" i="2" a="1"/>
  <c r="N59" i="2"/>
  <c r="M59" i="2" a="1"/>
  <c r="M59" i="2"/>
  <c r="L59" i="2" a="1"/>
  <c r="L59" i="2"/>
  <c r="K59" i="2" a="1"/>
  <c r="K59" i="2"/>
  <c r="S58" i="2" a="1"/>
  <c r="S58" i="2"/>
  <c r="R58" i="2" a="1"/>
  <c r="R58" i="2"/>
  <c r="Q58" i="2" a="1"/>
  <c r="Q58" i="2"/>
  <c r="P58" i="2" a="1"/>
  <c r="P58" i="2"/>
  <c r="O58" i="2" a="1"/>
  <c r="O58" i="2"/>
  <c r="N58" i="2" a="1"/>
  <c r="N58" i="2"/>
  <c r="M58" i="2" a="1"/>
  <c r="M58" i="2"/>
  <c r="L58" i="2" a="1"/>
  <c r="L58" i="2"/>
  <c r="K58" i="2" a="1"/>
  <c r="K58" i="2"/>
  <c r="S57" i="2" a="1"/>
  <c r="S57" i="2"/>
  <c r="R57" i="2" a="1"/>
  <c r="R57" i="2"/>
  <c r="Q57" i="2" a="1"/>
  <c r="Q57" i="2"/>
  <c r="P57" i="2" a="1"/>
  <c r="P57" i="2"/>
  <c r="O57" i="2" a="1"/>
  <c r="O57" i="2"/>
  <c r="N57" i="2" a="1"/>
  <c r="N57" i="2"/>
  <c r="M57" i="2" a="1"/>
  <c r="M57" i="2"/>
  <c r="L57" i="2" a="1"/>
  <c r="L57" i="2"/>
  <c r="K57" i="2" a="1"/>
  <c r="K57" i="2"/>
  <c r="S56" i="2" a="1"/>
  <c r="S56" i="2"/>
  <c r="R56" i="2" a="1"/>
  <c r="R56" i="2"/>
  <c r="Q56" i="2" a="1"/>
  <c r="Q56" i="2"/>
  <c r="P56" i="2" a="1"/>
  <c r="P56" i="2"/>
  <c r="O56" i="2" a="1"/>
  <c r="O56" i="2"/>
  <c r="N56" i="2" a="1"/>
  <c r="N56" i="2"/>
  <c r="M56" i="2" a="1"/>
  <c r="M56" i="2"/>
  <c r="L56" i="2" a="1"/>
  <c r="L56" i="2"/>
  <c r="K56" i="2" a="1"/>
  <c r="K56" i="2"/>
  <c r="S55" i="2" a="1"/>
  <c r="S55" i="2"/>
  <c r="R55" i="2" a="1"/>
  <c r="R55" i="2"/>
  <c r="Q55" i="2" a="1"/>
  <c r="Q55" i="2"/>
  <c r="P55" i="2" a="1"/>
  <c r="P55" i="2"/>
  <c r="O55" i="2" a="1"/>
  <c r="O55" i="2"/>
  <c r="N55" i="2" a="1"/>
  <c r="N55" i="2"/>
  <c r="M55" i="2" a="1"/>
  <c r="M55" i="2"/>
  <c r="L55" i="2" a="1"/>
  <c r="L55" i="2"/>
  <c r="K55" i="2" a="1"/>
  <c r="K55" i="2"/>
  <c r="S54" i="2" a="1"/>
  <c r="S54" i="2"/>
  <c r="R54" i="2" a="1"/>
  <c r="R54" i="2"/>
  <c r="Q54" i="2" a="1"/>
  <c r="Q54" i="2"/>
  <c r="P54" i="2" a="1"/>
  <c r="P54" i="2"/>
  <c r="O54" i="2" a="1"/>
  <c r="O54" i="2"/>
  <c r="N54" i="2" a="1"/>
  <c r="N54" i="2"/>
  <c r="M54" i="2" a="1"/>
  <c r="M54" i="2"/>
  <c r="L54" i="2" a="1"/>
  <c r="L54" i="2"/>
  <c r="K54" i="2" a="1"/>
  <c r="K54" i="2"/>
  <c r="S53" i="2" a="1"/>
  <c r="S53" i="2"/>
  <c r="R53" i="2" a="1"/>
  <c r="R53" i="2"/>
  <c r="Q53" i="2" a="1"/>
  <c r="Q53" i="2"/>
  <c r="P53" i="2" a="1"/>
  <c r="P53" i="2"/>
  <c r="O53" i="2" a="1"/>
  <c r="O53" i="2"/>
  <c r="N53" i="2" a="1"/>
  <c r="N53" i="2"/>
  <c r="M53" i="2" a="1"/>
  <c r="M53" i="2"/>
  <c r="L53" i="2" a="1"/>
  <c r="L53" i="2"/>
  <c r="K53" i="2" a="1"/>
  <c r="K53" i="2" s="1"/>
  <c r="S52" i="2" a="1"/>
  <c r="S52" i="2"/>
  <c r="R52" i="2" a="1"/>
  <c r="R52" i="2" s="1"/>
  <c r="Q52" i="2" a="1"/>
  <c r="Q52" i="2"/>
  <c r="P52" i="2" a="1"/>
  <c r="P52" i="2" s="1"/>
  <c r="O52" i="2" a="1"/>
  <c r="O52" i="2"/>
  <c r="N52" i="2" a="1"/>
  <c r="N52" i="2" s="1"/>
  <c r="M52" i="2" a="1"/>
  <c r="M52" i="2"/>
  <c r="L52" i="2" a="1"/>
  <c r="L52" i="2" s="1"/>
  <c r="K52" i="2" a="1"/>
  <c r="K52" i="2" s="1"/>
  <c r="S51" i="2" a="1"/>
  <c r="S51" i="2" s="1"/>
  <c r="R51" i="2" a="1"/>
  <c r="R51" i="2" s="1"/>
  <c r="Q51" i="2" a="1"/>
  <c r="Q51" i="2" s="1"/>
  <c r="P51" i="2" a="1"/>
  <c r="P51" i="2" s="1"/>
  <c r="O51" i="2" a="1"/>
  <c r="O51" i="2" s="1"/>
  <c r="N51" i="2" a="1"/>
  <c r="N51" i="2" s="1"/>
  <c r="M51" i="2" a="1"/>
  <c r="M51" i="2" s="1"/>
  <c r="L51" i="2" a="1"/>
  <c r="L51" i="2" s="1"/>
  <c r="K51" i="2" a="1"/>
  <c r="K51" i="2" s="1"/>
  <c r="S50" i="2" a="1"/>
  <c r="S50" i="2"/>
  <c r="R50" i="2" a="1"/>
  <c r="R50" i="2"/>
  <c r="Q50" i="2" a="1"/>
  <c r="Q50" i="2"/>
  <c r="P50" i="2" a="1"/>
  <c r="P50" i="2"/>
  <c r="O50" i="2" a="1"/>
  <c r="O50" i="2"/>
  <c r="N50" i="2" a="1"/>
  <c r="N50" i="2"/>
  <c r="M50" i="2" a="1"/>
  <c r="M50" i="2"/>
  <c r="L50" i="2" a="1"/>
  <c r="L50" i="2"/>
  <c r="K50" i="2" a="1"/>
  <c r="K50" i="2"/>
  <c r="S49" i="2" a="1"/>
  <c r="S49" i="2" s="1"/>
  <c r="R49" i="2" a="1"/>
  <c r="R49" i="2" s="1"/>
  <c r="Q49" i="2" a="1"/>
  <c r="Q49" i="2" s="1"/>
  <c r="P49" i="2" a="1"/>
  <c r="P49" i="2" s="1"/>
  <c r="O49" i="2" a="1"/>
  <c r="O49" i="2" s="1"/>
  <c r="N49" i="2" a="1"/>
  <c r="N49" i="2" s="1"/>
  <c r="M49" i="2" a="1"/>
  <c r="M49" i="2" s="1"/>
  <c r="L49" i="2" a="1"/>
  <c r="L49" i="2" s="1"/>
  <c r="K49" i="2" a="1"/>
  <c r="K49" i="2" s="1"/>
  <c r="S48" i="2" a="1"/>
  <c r="S48" i="2"/>
  <c r="R48" i="2" a="1"/>
  <c r="R48" i="2"/>
  <c r="Q48" i="2" a="1"/>
  <c r="Q48" i="2"/>
  <c r="P48" i="2" a="1"/>
  <c r="P48" i="2"/>
  <c r="O48" i="2" a="1"/>
  <c r="O48" i="2"/>
  <c r="N48" i="2" a="1"/>
  <c r="N48" i="2"/>
  <c r="M48" i="2" a="1"/>
  <c r="M48" i="2"/>
  <c r="L48" i="2" a="1"/>
  <c r="L48" i="2"/>
  <c r="K48" i="2" a="1"/>
  <c r="K48" i="2"/>
  <c r="S47" i="2" a="1"/>
  <c r="S47" i="2" s="1"/>
  <c r="R47" i="2" a="1"/>
  <c r="R47" i="2" s="1"/>
  <c r="Q47" i="2" a="1"/>
  <c r="Q47" i="2" s="1"/>
  <c r="P47" i="2" a="1"/>
  <c r="P47" i="2" s="1"/>
  <c r="O47" i="2" a="1"/>
  <c r="O47" i="2" s="1"/>
  <c r="N47" i="2" a="1"/>
  <c r="N47" i="2" s="1"/>
  <c r="M47" i="2" a="1"/>
  <c r="M47" i="2" s="1"/>
  <c r="L47" i="2" a="1"/>
  <c r="L47" i="2" s="1"/>
  <c r="K47" i="2" a="1"/>
  <c r="K47" i="2" s="1"/>
  <c r="S46" i="2" a="1"/>
  <c r="S46" i="2"/>
  <c r="R46" i="2" a="1"/>
  <c r="R46" i="2"/>
  <c r="Q46" i="2" a="1"/>
  <c r="Q46" i="2"/>
  <c r="P46" i="2" a="1"/>
  <c r="P46" i="2"/>
  <c r="O46" i="2" a="1"/>
  <c r="O46" i="2"/>
  <c r="N46" i="2" a="1"/>
  <c r="N46" i="2"/>
  <c r="M46" i="2" a="1"/>
  <c r="M46" i="2"/>
  <c r="L46" i="2" a="1"/>
  <c r="L46" i="2"/>
  <c r="K46" i="2" a="1"/>
  <c r="K46" i="2"/>
  <c r="S45" i="2" a="1"/>
  <c r="S45" i="2" s="1"/>
  <c r="R45" i="2" a="1"/>
  <c r="R45" i="2" s="1"/>
  <c r="Q45" i="2" a="1"/>
  <c r="Q45" i="2" s="1"/>
  <c r="P45" i="2" a="1"/>
  <c r="P45" i="2" s="1"/>
  <c r="O45" i="2" a="1"/>
  <c r="O45" i="2" s="1"/>
  <c r="N45" i="2" a="1"/>
  <c r="N45" i="2" s="1"/>
  <c r="M45" i="2" a="1"/>
  <c r="M45" i="2" s="1"/>
  <c r="L45" i="2" a="1"/>
  <c r="L45" i="2" s="1"/>
  <c r="K45" i="2" a="1"/>
  <c r="K45" i="2" s="1"/>
  <c r="S44" i="2" a="1"/>
  <c r="S44" i="2"/>
  <c r="R44" i="2" a="1"/>
  <c r="R44" i="2"/>
  <c r="Q44" i="2" a="1"/>
  <c r="Q44" i="2"/>
  <c r="P44" i="2" a="1"/>
  <c r="P44" i="2"/>
  <c r="O44" i="2" a="1"/>
  <c r="O44" i="2"/>
  <c r="N44" i="2" a="1"/>
  <c r="N44" i="2"/>
  <c r="M44" i="2" a="1"/>
  <c r="M44" i="2"/>
  <c r="L44" i="2" a="1"/>
  <c r="L44" i="2"/>
  <c r="K44" i="2" a="1"/>
  <c r="K44" i="2"/>
  <c r="S43" i="2" a="1"/>
  <c r="S43" i="2" s="1"/>
  <c r="R43" i="2" a="1"/>
  <c r="R43" i="2" s="1"/>
  <c r="Q43" i="2" a="1"/>
  <c r="Q43" i="2" s="1"/>
  <c r="P43" i="2" a="1"/>
  <c r="P43" i="2" s="1"/>
  <c r="O43" i="2" a="1"/>
  <c r="O43" i="2" s="1"/>
  <c r="N43" i="2" a="1"/>
  <c r="N43" i="2" s="1"/>
  <c r="M43" i="2" a="1"/>
  <c r="M43" i="2" s="1"/>
  <c r="L43" i="2" a="1"/>
  <c r="L43" i="2" s="1"/>
  <c r="K43" i="2" a="1"/>
  <c r="K43" i="2" s="1"/>
  <c r="S42" i="2" a="1"/>
  <c r="S42" i="2"/>
  <c r="R42" i="2" a="1"/>
  <c r="R42" i="2"/>
  <c r="Q42" i="2" a="1"/>
  <c r="Q42" i="2"/>
  <c r="P42" i="2" a="1"/>
  <c r="P42" i="2"/>
  <c r="O42" i="2" a="1"/>
  <c r="O42" i="2"/>
  <c r="N42" i="2" a="1"/>
  <c r="N42" i="2"/>
  <c r="M42" i="2" a="1"/>
  <c r="M42" i="2"/>
  <c r="L42" i="2" a="1"/>
  <c r="L42" i="2"/>
  <c r="K42" i="2" a="1"/>
  <c r="K42" i="2"/>
  <c r="S41" i="2" a="1"/>
  <c r="S41" i="2"/>
  <c r="R41" i="2" a="1"/>
  <c r="R41" i="2"/>
  <c r="Q41" i="2" a="1"/>
  <c r="Q41" i="2"/>
  <c r="P41" i="2" a="1"/>
  <c r="P41" i="2" s="1"/>
  <c r="O41" i="2" a="1"/>
  <c r="O41" i="2"/>
  <c r="N41" i="2" a="1"/>
  <c r="N41" i="2" s="1"/>
  <c r="M41" i="2" a="1"/>
  <c r="M41" i="2"/>
  <c r="L41" i="2" a="1"/>
  <c r="L41" i="2" s="1"/>
  <c r="K41" i="2" a="1"/>
  <c r="K41" i="2" s="1"/>
  <c r="S40" i="2" a="1"/>
  <c r="S40" i="2" s="1"/>
  <c r="R40" i="2" a="1"/>
  <c r="R40" i="2"/>
  <c r="Q40" i="2" a="1"/>
  <c r="Q40" i="2" s="1"/>
  <c r="P40" i="2" a="1"/>
  <c r="P40" i="2"/>
  <c r="O40" i="2" a="1"/>
  <c r="O40" i="2" s="1"/>
  <c r="N40" i="2" a="1"/>
  <c r="N40" i="2"/>
  <c r="M40" i="2" a="1"/>
  <c r="M40" i="2" s="1"/>
  <c r="L40" i="2" a="1"/>
  <c r="L40" i="2"/>
  <c r="K40" i="2" a="1"/>
  <c r="K40" i="2" s="1"/>
  <c r="S39" i="2" a="1"/>
  <c r="S39" i="2" s="1"/>
  <c r="R39" i="2" a="1"/>
  <c r="R39" i="2"/>
  <c r="Q39" i="2" a="1"/>
  <c r="Q39" i="2" s="1"/>
  <c r="P39" i="2" a="1"/>
  <c r="P39" i="2"/>
  <c r="O39" i="2" a="1"/>
  <c r="O39" i="2" s="1"/>
  <c r="N39" i="2" a="1"/>
  <c r="N39" i="2"/>
  <c r="M39" i="2" a="1"/>
  <c r="M39" i="2" s="1"/>
  <c r="L39" i="2" a="1"/>
  <c r="L39" i="2"/>
  <c r="K39" i="2" a="1"/>
  <c r="K39" i="2" s="1"/>
  <c r="S38" i="2" a="1"/>
  <c r="S38" i="2"/>
  <c r="R38" i="2" a="1"/>
  <c r="R38" i="2" s="1"/>
  <c r="Q38" i="2" a="1"/>
  <c r="Q38" i="2"/>
  <c r="P38" i="2" a="1"/>
  <c r="P38" i="2" s="1"/>
  <c r="O38" i="2" a="1"/>
  <c r="O38" i="2"/>
  <c r="N38" i="2" a="1"/>
  <c r="N38" i="2" s="1"/>
  <c r="M38" i="2" a="1"/>
  <c r="M38" i="2"/>
  <c r="L38" i="2" a="1"/>
  <c r="L38" i="2" s="1"/>
  <c r="K38" i="2" a="1"/>
  <c r="K38" i="2"/>
  <c r="S37" i="2" a="1"/>
  <c r="S37" i="2"/>
  <c r="R37" i="2" a="1"/>
  <c r="R37" i="2" s="1"/>
  <c r="Q37" i="2" a="1"/>
  <c r="Q37" i="2"/>
  <c r="P37" i="2" a="1"/>
  <c r="P37" i="2" s="1"/>
  <c r="O37" i="2" a="1"/>
  <c r="O37" i="2"/>
  <c r="N37" i="2" a="1"/>
  <c r="N37" i="2" s="1"/>
  <c r="M37" i="2" a="1"/>
  <c r="M37" i="2"/>
  <c r="L37" i="2" a="1"/>
  <c r="L37" i="2" s="1"/>
  <c r="K37" i="2" a="1"/>
  <c r="K37" i="2" s="1"/>
  <c r="S36" i="2" a="1"/>
  <c r="S36" i="2" s="1"/>
  <c r="R36" i="2" a="1"/>
  <c r="R36" i="2"/>
  <c r="Q36" i="2" a="1"/>
  <c r="Q36" i="2" s="1"/>
  <c r="P36" i="2" a="1"/>
  <c r="P36" i="2"/>
  <c r="O36" i="2" a="1"/>
  <c r="O36" i="2" s="1"/>
  <c r="N36" i="2" a="1"/>
  <c r="N36" i="2"/>
  <c r="M36" i="2" a="1"/>
  <c r="M36" i="2" s="1"/>
  <c r="L36" i="2" a="1"/>
  <c r="L36" i="2"/>
  <c r="K36" i="2" a="1"/>
  <c r="K36" i="2" s="1"/>
  <c r="S35" i="2" a="1"/>
  <c r="S35" i="2" s="1"/>
  <c r="R35" i="2" a="1"/>
  <c r="R35" i="2"/>
  <c r="Q35" i="2" a="1"/>
  <c r="Q35" i="2" s="1"/>
  <c r="P35" i="2" a="1"/>
  <c r="P35" i="2"/>
  <c r="O35" i="2" a="1"/>
  <c r="O35" i="2" s="1"/>
  <c r="N35" i="2" a="1"/>
  <c r="N35" i="2"/>
  <c r="M35" i="2" a="1"/>
  <c r="M35" i="2" s="1"/>
  <c r="L35" i="2" a="1"/>
  <c r="L35" i="2"/>
  <c r="K35" i="2" a="1"/>
  <c r="K35" i="2" s="1"/>
  <c r="S34" i="2" a="1"/>
  <c r="S34" i="2"/>
  <c r="R34" i="2" a="1"/>
  <c r="R34" i="2" s="1"/>
  <c r="Q34" i="2" a="1"/>
  <c r="Q34" i="2"/>
  <c r="P34" i="2" a="1"/>
  <c r="P34" i="2" s="1"/>
  <c r="O34" i="2" a="1"/>
  <c r="O34" i="2"/>
  <c r="N34" i="2" a="1"/>
  <c r="N34" i="2" s="1"/>
  <c r="M34" i="2" a="1"/>
  <c r="M34" i="2"/>
  <c r="L34" i="2" a="1"/>
  <c r="L34" i="2" s="1"/>
  <c r="K34" i="2" a="1"/>
  <c r="K34" i="2"/>
  <c r="S33" i="2" a="1"/>
  <c r="S33" i="2"/>
  <c r="R33" i="2" a="1"/>
  <c r="R33" i="2" s="1"/>
  <c r="Q33" i="2" a="1"/>
  <c r="Q33" i="2"/>
  <c r="P33" i="2" a="1"/>
  <c r="P33" i="2" s="1"/>
  <c r="O33" i="2" a="1"/>
  <c r="O33" i="2"/>
  <c r="N33" i="2" a="1"/>
  <c r="N33" i="2" s="1"/>
  <c r="M33" i="2" a="1"/>
  <c r="M33" i="2"/>
  <c r="L33" i="2" a="1"/>
  <c r="L33" i="2" s="1"/>
  <c r="K33" i="2" a="1"/>
  <c r="K33" i="2"/>
  <c r="S32" i="2" a="1"/>
  <c r="S32" i="2" s="1"/>
  <c r="R32" i="2" a="1"/>
  <c r="R32" i="2"/>
  <c r="Q32" i="2" a="1"/>
  <c r="Q32" i="2" s="1"/>
  <c r="P32" i="2" a="1"/>
  <c r="P32" i="2"/>
  <c r="O32" i="2" a="1"/>
  <c r="O32" i="2" s="1"/>
  <c r="N32" i="2" a="1"/>
  <c r="N32" i="2"/>
  <c r="M32" i="2" a="1"/>
  <c r="M32" i="2" s="1"/>
  <c r="L32" i="2" a="1"/>
  <c r="L32" i="2"/>
  <c r="K32" i="2" a="1"/>
  <c r="K32" i="2" s="1"/>
  <c r="S31" i="2" a="1"/>
  <c r="S31" i="2" s="1"/>
  <c r="R31" i="2" a="1"/>
  <c r="R31" i="2" s="1"/>
  <c r="Q31" i="2" a="1"/>
  <c r="Q31" i="2" s="1"/>
  <c r="P31" i="2" a="1"/>
  <c r="P31" i="2" s="1"/>
  <c r="O31" i="2" a="1"/>
  <c r="O31" i="2" s="1"/>
  <c r="N31" i="2" a="1"/>
  <c r="N31" i="2" s="1"/>
  <c r="M31" i="2" a="1"/>
  <c r="M31" i="2" s="1"/>
  <c r="L31" i="2" a="1"/>
  <c r="L31" i="2" s="1"/>
  <c r="K31" i="2" a="1"/>
  <c r="K31" i="2" s="1"/>
  <c r="S30" i="2" a="1"/>
  <c r="S30" i="2"/>
  <c r="R30" i="2" a="1"/>
  <c r="R30" i="2"/>
  <c r="Q30" i="2" a="1"/>
  <c r="Q30" i="2"/>
  <c r="P30" i="2" a="1"/>
  <c r="P30" i="2"/>
  <c r="O30" i="2" a="1"/>
  <c r="O30" i="2"/>
  <c r="N30" i="2" a="1"/>
  <c r="N30" i="2"/>
  <c r="M30" i="2" a="1"/>
  <c r="M30" i="2"/>
  <c r="L30" i="2" a="1"/>
  <c r="L30" i="2"/>
  <c r="K30" i="2" a="1"/>
  <c r="K30" i="2" s="1"/>
  <c r="S29" i="2" a="1"/>
  <c r="S29" i="2" s="1"/>
  <c r="R29" i="2" a="1"/>
  <c r="R29" i="2" s="1"/>
  <c r="Q29" i="2" a="1"/>
  <c r="Q29" i="2" s="1"/>
  <c r="P29" i="2" a="1"/>
  <c r="P29" i="2" s="1"/>
  <c r="O29" i="2" a="1"/>
  <c r="O29" i="2" s="1"/>
  <c r="N29" i="2" a="1"/>
  <c r="N29" i="2" s="1"/>
  <c r="M29" i="2" a="1"/>
  <c r="M29" i="2" s="1"/>
  <c r="L29" i="2" a="1"/>
  <c r="L29" i="2" s="1"/>
  <c r="K29" i="2" a="1"/>
  <c r="K29" i="2" s="1"/>
  <c r="S28" i="2" a="1"/>
  <c r="S28" i="2"/>
  <c r="R28" i="2" a="1"/>
  <c r="R28" i="2"/>
  <c r="Q28" i="2" a="1"/>
  <c r="Q28" i="2"/>
  <c r="P28" i="2" a="1"/>
  <c r="P28" i="2"/>
  <c r="O28" i="2" a="1"/>
  <c r="O28" i="2"/>
  <c r="N28" i="2" a="1"/>
  <c r="N28" i="2"/>
  <c r="M28" i="2" a="1"/>
  <c r="M28" i="2"/>
  <c r="L28" i="2" a="1"/>
  <c r="L28" i="2" s="1"/>
  <c r="K28" i="2" a="1"/>
  <c r="K28" i="2"/>
  <c r="S27" i="2" a="1"/>
  <c r="S27" i="2" s="1"/>
  <c r="R27" i="2" a="1"/>
  <c r="R27" i="2" s="1"/>
  <c r="Q27" i="2" a="1"/>
  <c r="Q27" i="2" s="1"/>
  <c r="P27" i="2" a="1"/>
  <c r="P27" i="2" s="1"/>
  <c r="O27" i="2" a="1"/>
  <c r="O27" i="2" s="1"/>
  <c r="N27" i="2" a="1"/>
  <c r="N27" i="2" s="1"/>
  <c r="M27" i="2" a="1"/>
  <c r="M27" i="2" s="1"/>
  <c r="L27" i="2" a="1"/>
  <c r="L27" i="2" s="1"/>
  <c r="K27" i="2" a="1"/>
  <c r="K27" i="2" s="1"/>
  <c r="S26" i="2" a="1"/>
  <c r="S26" i="2"/>
  <c r="R26" i="2" a="1"/>
  <c r="R26" i="2"/>
  <c r="Q26" i="2" a="1"/>
  <c r="Q26" i="2"/>
  <c r="P26" i="2" a="1"/>
  <c r="P26" i="2"/>
  <c r="O26" i="2" a="1"/>
  <c r="O26" i="2" s="1"/>
  <c r="N26" i="2" a="1"/>
  <c r="N26" i="2"/>
  <c r="M26" i="2" a="1"/>
  <c r="M26" i="2" s="1"/>
  <c r="L26" i="2" a="1"/>
  <c r="L26" i="2"/>
  <c r="K26" i="2" a="1"/>
  <c r="K26" i="2" s="1"/>
  <c r="S25" i="2" a="1"/>
  <c r="S25" i="2" s="1"/>
  <c r="R25" i="2" a="1"/>
  <c r="R25" i="2"/>
  <c r="Q25" i="2" a="1"/>
  <c r="Q25" i="2" s="1"/>
  <c r="P25" i="2" a="1"/>
  <c r="P25" i="2"/>
  <c r="O25" i="2" a="1"/>
  <c r="O25" i="2" s="1"/>
  <c r="N25" i="2" a="1"/>
  <c r="N25" i="2"/>
  <c r="M25" i="2" a="1"/>
  <c r="M25" i="2" s="1"/>
  <c r="L25" i="2" a="1"/>
  <c r="L25" i="2"/>
  <c r="K25" i="2" a="1"/>
  <c r="K25" i="2" s="1"/>
  <c r="S24" i="2" a="1"/>
  <c r="S24" i="2" s="1"/>
  <c r="R24" i="2" a="1"/>
  <c r="R24" i="2"/>
  <c r="Q24" i="2" a="1"/>
  <c r="Q24" i="2" s="1"/>
  <c r="P24" i="2" a="1"/>
  <c r="P24" i="2"/>
  <c r="O24" i="2" a="1"/>
  <c r="O24" i="2" s="1"/>
  <c r="N24" i="2" a="1"/>
  <c r="N24" i="2"/>
  <c r="M24" i="2" a="1"/>
  <c r="M24" i="2" s="1"/>
  <c r="L24" i="2" a="1"/>
  <c r="L24" i="2"/>
  <c r="K24" i="2" a="1"/>
  <c r="K24" i="2" s="1"/>
  <c r="S23" i="2" a="1"/>
  <c r="S23" i="2" s="1"/>
  <c r="R23" i="2" a="1"/>
  <c r="R23" i="2"/>
  <c r="Q23" i="2" a="1"/>
  <c r="Q23" i="2" s="1"/>
  <c r="P23" i="2" a="1"/>
  <c r="P23" i="2" s="1"/>
  <c r="O23" i="2" a="1"/>
  <c r="O23" i="2" s="1"/>
  <c r="N23" i="2" a="1"/>
  <c r="N23" i="2" s="1"/>
  <c r="M23" i="2" a="1"/>
  <c r="M23" i="2" s="1"/>
  <c r="L23" i="2" a="1"/>
  <c r="L23" i="2" s="1"/>
  <c r="S22" i="2" a="1"/>
  <c r="S22" i="2" s="1"/>
  <c r="R22" i="2" a="1"/>
  <c r="R22" i="2" s="1"/>
  <c r="Q22" i="2" a="1"/>
  <c r="Q22" i="2" s="1"/>
  <c r="P22" i="2" a="1"/>
  <c r="P22" i="2" s="1"/>
  <c r="O22" i="2" a="1"/>
  <c r="O22" i="2" s="1"/>
  <c r="N22" i="2" a="1"/>
  <c r="N22" i="2" s="1"/>
  <c r="M22" i="2" a="1"/>
  <c r="M22" i="2" s="1"/>
  <c r="L22" i="2" a="1"/>
  <c r="L22" i="2" s="1"/>
  <c r="K22" i="2" a="1"/>
  <c r="K22" i="2" s="1"/>
  <c r="S21" i="2" a="1"/>
  <c r="S21" i="2" s="1"/>
  <c r="R21" i="2" a="1"/>
  <c r="R21" i="2" s="1"/>
  <c r="Q21" i="2" a="1"/>
  <c r="Q21" i="2" s="1"/>
  <c r="P21" i="2" a="1"/>
  <c r="P21" i="2" s="1"/>
  <c r="O21" i="2" a="1"/>
  <c r="O21" i="2" s="1"/>
  <c r="N21" i="2" a="1"/>
  <c r="N21" i="2" s="1"/>
  <c r="M21" i="2" a="1"/>
  <c r="M21" i="2" s="1"/>
  <c r="L21" i="2" a="1"/>
  <c r="L21" i="2" s="1"/>
  <c r="K21" i="2" a="1"/>
  <c r="K21" i="2" s="1"/>
  <c r="S20" i="2" a="1"/>
  <c r="S20" i="2" s="1"/>
  <c r="R20" i="2" a="1"/>
  <c r="R20" i="2" s="1"/>
  <c r="Q20" i="2" a="1"/>
  <c r="Q20" i="2" s="1"/>
  <c r="P20" i="2" a="1"/>
  <c r="P20" i="2" s="1"/>
  <c r="O20" i="2" a="1"/>
  <c r="O20" i="2" s="1"/>
  <c r="N20" i="2" a="1"/>
  <c r="N20" i="2" s="1"/>
  <c r="M20" i="2" a="1"/>
  <c r="M20" i="2" s="1"/>
  <c r="L20" i="2" a="1"/>
  <c r="L20" i="2" s="1"/>
  <c r="K20" i="2" a="1"/>
  <c r="K20" i="2" s="1"/>
  <c r="S19" i="2" a="1"/>
  <c r="S19" i="2" s="1"/>
  <c r="R19" i="2" a="1"/>
  <c r="R19" i="2" s="1"/>
  <c r="Q19" i="2" a="1"/>
  <c r="Q19" i="2" s="1"/>
  <c r="P19" i="2" a="1"/>
  <c r="P19" i="2" s="1"/>
  <c r="O19" i="2" a="1"/>
  <c r="O19" i="2" s="1"/>
  <c r="N19" i="2" a="1"/>
  <c r="N19" i="2" s="1"/>
  <c r="M19" i="2" a="1"/>
  <c r="M19" i="2" s="1"/>
  <c r="L19" i="2" a="1"/>
  <c r="L19" i="2" s="1"/>
  <c r="K19" i="2" a="1"/>
  <c r="K19" i="2" s="1"/>
  <c r="S18" i="2" a="1"/>
  <c r="S18" i="2" s="1"/>
  <c r="R18" i="2" a="1"/>
  <c r="R18" i="2" s="1"/>
  <c r="Q18" i="2" a="1"/>
  <c r="Q18" i="2" s="1"/>
  <c r="P18" i="2" a="1"/>
  <c r="P18" i="2" s="1"/>
  <c r="O18" i="2" a="1"/>
  <c r="O18" i="2" s="1"/>
  <c r="N18" i="2" a="1"/>
  <c r="N18" i="2" s="1"/>
  <c r="M18" i="2" a="1"/>
  <c r="M18" i="2" s="1"/>
  <c r="L18" i="2" a="1"/>
  <c r="L18" i="2" s="1"/>
  <c r="K18" i="2" a="1"/>
  <c r="K18" i="2" s="1"/>
  <c r="S17" i="2" a="1"/>
  <c r="S17" i="2" s="1"/>
  <c r="R17" i="2" a="1"/>
  <c r="R17" i="2" s="1"/>
  <c r="Q17" i="2" a="1"/>
  <c r="Q17" i="2" s="1"/>
  <c r="P17" i="2" a="1"/>
  <c r="P17" i="2" s="1"/>
  <c r="O17" i="2" a="1"/>
  <c r="O17" i="2" s="1"/>
  <c r="N17" i="2" a="1"/>
  <c r="N17" i="2" s="1"/>
  <c r="M17" i="2" a="1"/>
  <c r="M17" i="2" s="1"/>
  <c r="L17" i="2" a="1"/>
  <c r="L17" i="2" s="1"/>
  <c r="K17" i="2" a="1"/>
  <c r="K17" i="2" s="1"/>
  <c r="S16" i="2" a="1"/>
  <c r="S16" i="2" s="1"/>
  <c r="R16" i="2" a="1"/>
  <c r="R16" i="2" s="1"/>
  <c r="Q16" i="2" a="1"/>
  <c r="Q16" i="2" s="1"/>
  <c r="P16" i="2" a="1"/>
  <c r="P16" i="2" s="1"/>
  <c r="O16" i="2" a="1"/>
  <c r="O16" i="2" s="1"/>
  <c r="N16" i="2" a="1"/>
  <c r="N16" i="2" s="1"/>
  <c r="M16" i="2" a="1"/>
  <c r="M16" i="2" s="1"/>
  <c r="L16" i="2" a="1"/>
  <c r="L16" i="2" s="1"/>
  <c r="K16" i="2" a="1"/>
  <c r="K16" i="2" s="1"/>
  <c r="S15" i="2" a="1"/>
  <c r="S15" i="2" s="1"/>
  <c r="R15" i="2" a="1"/>
  <c r="R15" i="2" s="1"/>
  <c r="Q15" i="2" a="1"/>
  <c r="Q15" i="2" s="1"/>
  <c r="P15" i="2" a="1"/>
  <c r="P15" i="2" s="1"/>
  <c r="O15" i="2" a="1"/>
  <c r="O15" i="2" s="1"/>
  <c r="N15" i="2" a="1"/>
  <c r="N15" i="2" s="1"/>
  <c r="L15" i="2" a="1"/>
  <c r="L15" i="2" s="1"/>
  <c r="K15" i="2" a="1"/>
  <c r="K15" i="2" s="1"/>
  <c r="S14" i="2" a="1"/>
  <c r="S14" i="2" s="1"/>
  <c r="R14" i="2" a="1"/>
  <c r="R14" i="2" s="1"/>
  <c r="Q14" i="2" a="1"/>
  <c r="Q14" i="2" s="1"/>
  <c r="P14" i="2" a="1"/>
  <c r="P14" i="2" s="1"/>
  <c r="O14" i="2" a="1"/>
  <c r="O14" i="2" s="1"/>
  <c r="N14" i="2" a="1"/>
  <c r="N14" i="2" s="1"/>
  <c r="M14" i="2" a="1"/>
  <c r="M14" i="2" s="1"/>
  <c r="L14" i="2" a="1"/>
  <c r="L14" i="2" s="1"/>
  <c r="K14" i="2" a="1"/>
  <c r="K14" i="2" s="1"/>
  <c r="S13" i="2" a="1"/>
  <c r="S13" i="2" s="1"/>
  <c r="R13" i="2" a="1"/>
  <c r="R13" i="2" s="1"/>
  <c r="Q13" i="2" a="1"/>
  <c r="Q13" i="2" s="1"/>
  <c r="P13" i="2" a="1"/>
  <c r="P13" i="2" s="1"/>
  <c r="O13" i="2" a="1"/>
  <c r="O13" i="2" s="1"/>
  <c r="N13" i="2" a="1"/>
  <c r="N13" i="2" s="1"/>
  <c r="M13" i="2" a="1"/>
  <c r="M13" i="2" s="1"/>
  <c r="L13" i="2" a="1"/>
  <c r="L13" i="2" s="1"/>
  <c r="K13" i="2" a="1"/>
  <c r="K13" i="2" s="1"/>
  <c r="S12" i="2" a="1"/>
  <c r="S12" i="2" s="1"/>
  <c r="R12" i="2" a="1"/>
  <c r="R12" i="2" s="1"/>
  <c r="Q12" i="2" a="1"/>
  <c r="Q12" i="2" s="1"/>
  <c r="P12" i="2" a="1"/>
  <c r="P12" i="2" s="1"/>
  <c r="O12" i="2" a="1"/>
  <c r="O12" i="2" s="1"/>
  <c r="N12" i="2" a="1"/>
  <c r="N12" i="2" s="1"/>
  <c r="M12" i="2" a="1"/>
  <c r="M12" i="2" s="1"/>
  <c r="L12" i="2" a="1"/>
  <c r="L12" i="2" s="1"/>
  <c r="K12" i="2" a="1"/>
  <c r="K12" i="2" s="1"/>
  <c r="S11" i="2" a="1"/>
  <c r="S11" i="2" s="1"/>
  <c r="R11" i="2" a="1"/>
  <c r="R11" i="2" s="1"/>
  <c r="Q11" i="2" a="1"/>
  <c r="Q11" i="2" s="1"/>
  <c r="P11" i="2" a="1"/>
  <c r="P11" i="2" s="1"/>
  <c r="O11" i="2" a="1"/>
  <c r="O11" i="2" s="1"/>
  <c r="N11" i="2" a="1"/>
  <c r="N11" i="2" s="1"/>
  <c r="M11" i="2" a="1"/>
  <c r="M11" i="2" s="1"/>
  <c r="L11" i="2" a="1"/>
  <c r="L11" i="2" s="1"/>
  <c r="K11" i="2" a="1"/>
  <c r="K11" i="2" s="1"/>
  <c r="S10" i="2" a="1"/>
  <c r="S10" i="2" s="1"/>
  <c r="R10" i="2" a="1"/>
  <c r="R10" i="2" s="1"/>
  <c r="Q10" i="2" a="1"/>
  <c r="Q10" i="2" s="1"/>
  <c r="P10" i="2" a="1"/>
  <c r="P10" i="2" s="1"/>
  <c r="O10" i="2" a="1"/>
  <c r="O10" i="2" s="1"/>
  <c r="N10" i="2" a="1"/>
  <c r="N10" i="2" s="1"/>
  <c r="M10" i="2" a="1"/>
  <c r="M10" i="2" s="1"/>
  <c r="L10" i="2" a="1"/>
  <c r="L10" i="2" s="1"/>
  <c r="K10" i="2" a="1"/>
  <c r="K10" i="2" s="1"/>
  <c r="S9" i="2" a="1"/>
  <c r="S9" i="2"/>
  <c r="R9" i="2" a="1"/>
  <c r="R9" i="2"/>
  <c r="Q9" i="2" a="1"/>
  <c r="Q9" i="2"/>
  <c r="P9" i="2" a="1"/>
  <c r="P9" i="2"/>
  <c r="O9" i="2" a="1"/>
  <c r="O9" i="2"/>
  <c r="N9" i="2" a="1"/>
  <c r="N9" i="2"/>
  <c r="M9" i="2" a="1"/>
  <c r="M9" i="2"/>
  <c r="L9" i="2" a="1"/>
  <c r="L9" i="2"/>
  <c r="K9" i="2" a="1"/>
  <c r="K9" i="2"/>
  <c r="S8" i="2" a="1"/>
  <c r="S8" i="2" s="1"/>
  <c r="R8" i="2" a="1"/>
  <c r="R8" i="2" s="1"/>
  <c r="Q8" i="2" a="1"/>
  <c r="Q8" i="2" s="1"/>
  <c r="P8" i="2" a="1"/>
  <c r="P8" i="2" s="1"/>
  <c r="O8" i="2" a="1"/>
  <c r="O8" i="2" s="1"/>
  <c r="N8" i="2" a="1"/>
  <c r="N8" i="2" s="1"/>
  <c r="M8" i="2" a="1"/>
  <c r="M8" i="2" s="1"/>
  <c r="L8" i="2" a="1"/>
  <c r="L8" i="2" s="1"/>
  <c r="K8" i="2" a="1"/>
  <c r="K8" i="2" s="1"/>
  <c r="S7" i="2" a="1"/>
  <c r="S7" i="2"/>
  <c r="R7" i="2" a="1"/>
  <c r="R7" i="2"/>
  <c r="Q7" i="2" a="1"/>
  <c r="Q7" i="2"/>
  <c r="P7" i="2" a="1"/>
  <c r="P7" i="2"/>
  <c r="O7" i="2" a="1"/>
  <c r="O7" i="2"/>
  <c r="N7" i="2" a="1"/>
  <c r="N7" i="2"/>
  <c r="M7" i="2" a="1"/>
  <c r="M7" i="2"/>
  <c r="L7" i="2" a="1"/>
  <c r="L7" i="2"/>
  <c r="K7" i="2" a="1"/>
  <c r="K7" i="2"/>
  <c r="S6" i="2" a="1"/>
  <c r="S6" i="2" s="1"/>
  <c r="R6" i="2" a="1"/>
  <c r="R6" i="2" s="1"/>
  <c r="Q6" i="2" a="1"/>
  <c r="Q6" i="2" s="1"/>
  <c r="P6" i="2" a="1"/>
  <c r="P6" i="2" s="1"/>
  <c r="O6" i="2" a="1"/>
  <c r="O6" i="2" s="1"/>
  <c r="N6" i="2" a="1"/>
  <c r="N6" i="2" s="1"/>
  <c r="M6" i="2" a="1"/>
  <c r="M6" i="2" s="1"/>
  <c r="L6" i="2" a="1"/>
  <c r="L6" i="2" s="1"/>
  <c r="K6" i="2" a="1"/>
  <c r="K6" i="2" s="1"/>
  <c r="S5" i="2" a="1"/>
  <c r="S5" i="2"/>
  <c r="R5" i="2" a="1"/>
  <c r="R5" i="2"/>
  <c r="Q5" i="2" a="1"/>
  <c r="Q5" i="2"/>
  <c r="P5" i="2" a="1"/>
  <c r="P5" i="2"/>
  <c r="O5" i="2" a="1"/>
  <c r="O5" i="2"/>
  <c r="N5" i="2" a="1"/>
  <c r="N5" i="2"/>
  <c r="M5" i="2" a="1"/>
  <c r="M5" i="2"/>
  <c r="L5" i="2" a="1"/>
  <c r="L5" i="2"/>
  <c r="K5" i="2" a="1"/>
  <c r="K5" i="2"/>
  <c r="S4" i="2" a="1"/>
  <c r="S4" i="2" s="1"/>
  <c r="R4" i="2" a="1"/>
  <c r="R4" i="2" s="1"/>
  <c r="Q4" i="2" a="1"/>
  <c r="Q4" i="2" s="1"/>
  <c r="P4" i="2" a="1"/>
  <c r="P4" i="2" s="1"/>
  <c r="O4" i="2" a="1"/>
  <c r="O4" i="2" s="1"/>
  <c r="N4" i="2" a="1"/>
  <c r="N4" i="2" s="1"/>
  <c r="M4" i="2" a="1"/>
  <c r="M4" i="2" s="1"/>
  <c r="L4" i="2" a="1"/>
  <c r="L4" i="2" s="1"/>
  <c r="K4" i="2" a="1"/>
  <c r="K4" i="2" s="1"/>
  <c r="S3" i="2" a="1"/>
  <c r="S3" i="2"/>
  <c r="R3" i="2" a="1"/>
  <c r="R3" i="2"/>
  <c r="Q3" i="2" a="1"/>
  <c r="Q3" i="2"/>
  <c r="P3" i="2" a="1"/>
  <c r="P3" i="2"/>
  <c r="O3" i="2" a="1"/>
  <c r="O3" i="2"/>
  <c r="N3" i="2" a="1"/>
  <c r="N3" i="2"/>
  <c r="M3" i="2" a="1"/>
  <c r="M3" i="2"/>
  <c r="L3" i="2" a="1"/>
  <c r="L3" i="2"/>
  <c r="A86" i="14"/>
  <c r="A44" i="14"/>
  <c r="R29" i="13" a="1"/>
  <c r="R29" i="13" s="1"/>
  <c r="T29" i="13" a="1"/>
  <c r="T29" i="13" s="1"/>
  <c r="V29" i="13" a="1"/>
  <c r="V29" i="13" s="1"/>
  <c r="V17" i="13" a="1"/>
  <c r="V17" i="13" s="1"/>
  <c r="T17" i="13" a="1"/>
  <c r="T17" i="13" s="1"/>
  <c r="R17" i="13" a="1"/>
  <c r="R17" i="13" s="1"/>
  <c r="M3" i="7"/>
  <c r="O3" i="7" s="1" a="1"/>
  <c r="O3" i="7" s="1"/>
  <c r="M8" i="7"/>
  <c r="M7" i="7"/>
  <c r="M6" i="7"/>
  <c r="M5" i="7"/>
  <c r="M4" i="7"/>
  <c r="I363" i="2"/>
  <c r="I375" i="2"/>
  <c r="H382" i="2" s="1"/>
  <c r="I579" i="2"/>
  <c r="H582" i="2" s="1"/>
  <c r="I567" i="2"/>
  <c r="I555" i="2"/>
  <c r="H562" i="2" s="1"/>
  <c r="I543" i="2"/>
  <c r="I531" i="2"/>
  <c r="I519" i="2"/>
  <c r="I507" i="2"/>
  <c r="I495" i="2"/>
  <c r="H502" i="2" s="1"/>
  <c r="I483" i="2"/>
  <c r="H492" i="2" s="1"/>
  <c r="I459" i="2"/>
  <c r="I447" i="2"/>
  <c r="H452" i="2" s="1"/>
  <c r="I435" i="2"/>
  <c r="H442" i="2" s="1"/>
  <c r="I411" i="2"/>
  <c r="I423" i="2"/>
  <c r="I399" i="2"/>
  <c r="H402" i="2" s="1"/>
  <c r="I387" i="2"/>
  <c r="H392" i="2" s="1"/>
  <c r="I339" i="2"/>
  <c r="H342" i="2" s="1"/>
  <c r="I327" i="2"/>
  <c r="H332" i="2" s="1"/>
  <c r="I315" i="2"/>
  <c r="I303" i="2"/>
  <c r="I291" i="2"/>
  <c r="I279" i="2"/>
  <c r="H282" i="2" s="1"/>
  <c r="I267" i="2"/>
  <c r="I255" i="2"/>
  <c r="H262" i="2" s="1"/>
  <c r="I243" i="2"/>
  <c r="H252" i="2" s="1"/>
  <c r="I219" i="2"/>
  <c r="I87" i="2"/>
  <c r="H92" i="2" s="1"/>
  <c r="I75" i="2"/>
  <c r="H82" i="2" s="1"/>
  <c r="I63" i="2"/>
  <c r="I51" i="2"/>
  <c r="I39" i="2"/>
  <c r="H42" i="2" s="1"/>
  <c r="I27" i="2"/>
  <c r="H32" i="2" s="1"/>
  <c r="I15" i="2"/>
  <c r="I3" i="2"/>
  <c r="Y100" i="14" l="1" a="1"/>
  <c r="Y100" i="14" s="1"/>
  <c r="Z100" i="14" a="1"/>
  <c r="Z100" i="14" s="1"/>
  <c r="AA100" i="14" a="1"/>
  <c r="AA100" i="14" s="1"/>
  <c r="C100" i="14"/>
  <c r="L22" i="1"/>
  <c r="L24" i="1"/>
  <c r="L21" i="1"/>
  <c r="N3" i="7" a="1"/>
  <c r="N3" i="7" s="1"/>
  <c r="L23" i="1"/>
  <c r="D3" i="13" a="1"/>
  <c r="D3" i="13" s="1"/>
  <c r="C16" i="14" s="1" a="1"/>
  <c r="F3" i="13" a="1"/>
  <c r="F3" i="13" s="1"/>
  <c r="C30" i="14" s="1" a="1"/>
  <c r="C30" i="14" s="1"/>
  <c r="E3" i="15" a="1"/>
  <c r="E3" i="15" s="1"/>
  <c r="D33" i="1"/>
  <c r="E33" i="1"/>
  <c r="F33" i="1"/>
  <c r="G33" i="1"/>
  <c r="H33" i="1"/>
  <c r="I33" i="1"/>
  <c r="J33" i="1"/>
  <c r="K33" i="1"/>
  <c r="M51" i="1"/>
  <c r="L51" i="1"/>
  <c r="M68" i="13" a="1"/>
  <c r="M68" i="13" s="1"/>
  <c r="M69" i="13" a="1"/>
  <c r="M69" i="13" s="1"/>
  <c r="M70" i="13" a="1"/>
  <c r="M70" i="13" s="1"/>
  <c r="M71" i="13" a="1"/>
  <c r="M71" i="13" s="1"/>
  <c r="M72" i="13" a="1"/>
  <c r="M72" i="13" s="1"/>
  <c r="M73" i="13" a="1"/>
  <c r="M73" i="13" s="1"/>
  <c r="M74" i="13" a="1"/>
  <c r="M74" i="13" s="1"/>
  <c r="M75" i="13" a="1"/>
  <c r="M75" i="13" s="1"/>
  <c r="M76" i="13" a="1"/>
  <c r="M76" i="13" s="1"/>
  <c r="M59" i="13" a="1"/>
  <c r="M59" i="13" s="1"/>
  <c r="M60" i="13" a="1"/>
  <c r="M60" i="13" s="1"/>
  <c r="M61" i="13" a="1"/>
  <c r="M61" i="13" s="1"/>
  <c r="M62" i="13" a="1"/>
  <c r="M62" i="13" s="1"/>
  <c r="M63" i="13" a="1"/>
  <c r="M63" i="13" s="1"/>
  <c r="M64" i="13" a="1"/>
  <c r="M64" i="13" s="1"/>
  <c r="M65" i="13" a="1"/>
  <c r="M65" i="13" s="1"/>
  <c r="M66" i="13" a="1"/>
  <c r="M66" i="13" s="1"/>
  <c r="M67" i="13" a="1"/>
  <c r="M67" i="13" s="1"/>
  <c r="M50" i="13" a="1"/>
  <c r="M50" i="13" s="1"/>
  <c r="M51" i="13" a="1"/>
  <c r="M51" i="13" s="1"/>
  <c r="M52" i="13" a="1"/>
  <c r="M52" i="13" s="1"/>
  <c r="M53" i="13" a="1"/>
  <c r="M53" i="13" s="1"/>
  <c r="M54" i="13" a="1"/>
  <c r="M54" i="13" s="1"/>
  <c r="M55" i="13" a="1"/>
  <c r="M55" i="13" s="1"/>
  <c r="M56" i="13" a="1"/>
  <c r="M56" i="13" s="1"/>
  <c r="M57" i="13" a="1"/>
  <c r="M57" i="13" s="1"/>
  <c r="M58" i="13" a="1"/>
  <c r="M58" i="13" s="1"/>
  <c r="M14" i="13" a="1"/>
  <c r="M14" i="13" s="1"/>
  <c r="M15" i="13" a="1"/>
  <c r="M15" i="13" s="1"/>
  <c r="M16" i="13" a="1"/>
  <c r="M16" i="13" s="1"/>
  <c r="M17" i="13" a="1"/>
  <c r="M17" i="13" s="1"/>
  <c r="M18" i="13" a="1"/>
  <c r="M18" i="13" s="1"/>
  <c r="M19" i="13" a="1"/>
  <c r="M19" i="13" s="1"/>
  <c r="M20" i="13" a="1"/>
  <c r="M20" i="13" s="1"/>
  <c r="M21" i="13" a="1"/>
  <c r="M21" i="13" s="1"/>
  <c r="M22" i="13" a="1"/>
  <c r="M22" i="13" s="1"/>
  <c r="M32" i="13" a="1"/>
  <c r="M32" i="13" s="1"/>
  <c r="M33" i="13" a="1"/>
  <c r="M33" i="13" s="1"/>
  <c r="M34" i="13" a="1"/>
  <c r="M34" i="13" s="1"/>
  <c r="M35" i="13" a="1"/>
  <c r="M35" i="13" s="1"/>
  <c r="M36" i="13" a="1"/>
  <c r="M36" i="13" s="1"/>
  <c r="M37" i="13" a="1"/>
  <c r="M37" i="13" s="1"/>
  <c r="M38" i="13" a="1"/>
  <c r="M38" i="13" s="1"/>
  <c r="M39" i="13" a="1"/>
  <c r="M39" i="13" s="1"/>
  <c r="M40" i="13" a="1"/>
  <c r="M40" i="13" s="1"/>
  <c r="H72" i="2"/>
  <c r="H67" i="2"/>
  <c r="H268" i="2"/>
  <c r="H269" i="2"/>
  <c r="H270" i="2"/>
  <c r="H271" i="2"/>
  <c r="H272" i="2"/>
  <c r="H273" i="2"/>
  <c r="H274" i="2"/>
  <c r="H275" i="2"/>
  <c r="H276" i="2"/>
  <c r="H277" i="2"/>
  <c r="H278" i="2"/>
  <c r="H267" i="2"/>
  <c r="H462" i="2"/>
  <c r="H467" i="2"/>
  <c r="H578" i="2"/>
  <c r="H568" i="2"/>
  <c r="H569" i="2"/>
  <c r="H570" i="2"/>
  <c r="H571" i="2"/>
  <c r="H572" i="2"/>
  <c r="H573" i="2"/>
  <c r="H574" i="2"/>
  <c r="H567" i="2"/>
  <c r="H372" i="2"/>
  <c r="H367" i="2"/>
  <c r="H170" i="2"/>
  <c r="H167" i="2"/>
  <c r="G3" i="16" a="1"/>
  <c r="G3" i="16" s="1"/>
  <c r="H3" i="16" a="1"/>
  <c r="H3" i="16" s="1"/>
  <c r="I3" i="16" a="1"/>
  <c r="I3" i="16" s="1"/>
  <c r="J3" i="16" a="1"/>
  <c r="J3" i="16" s="1"/>
  <c r="K3" i="16" a="1"/>
  <c r="K3" i="16" s="1"/>
  <c r="L3" i="16" a="1"/>
  <c r="L3" i="16" s="1"/>
  <c r="M3" i="16" a="1"/>
  <c r="M3" i="16" s="1"/>
  <c r="N3" i="16" a="1"/>
  <c r="N3" i="16" s="1"/>
  <c r="F3" i="16" a="1"/>
  <c r="F3" i="16" s="1"/>
  <c r="F27" i="16" a="1"/>
  <c r="F27" i="16" s="1"/>
  <c r="G27" i="16" a="1"/>
  <c r="G27" i="16" s="1"/>
  <c r="H27" i="16" a="1"/>
  <c r="H27" i="16" s="1"/>
  <c r="I27" i="16" a="1"/>
  <c r="I27" i="16" s="1"/>
  <c r="J27" i="16" a="1"/>
  <c r="J27" i="16" s="1"/>
  <c r="K27" i="16" a="1"/>
  <c r="K27" i="16" s="1"/>
  <c r="L27" i="16" a="1"/>
  <c r="L27" i="16" s="1"/>
  <c r="M27" i="16" a="1"/>
  <c r="M27" i="16" s="1"/>
  <c r="N27" i="16" a="1"/>
  <c r="N27" i="16" s="1"/>
  <c r="F26" i="16" a="1"/>
  <c r="F26" i="16" s="1"/>
  <c r="G26" i="16" a="1"/>
  <c r="G26" i="16" s="1"/>
  <c r="H26" i="16" a="1"/>
  <c r="H26" i="16" s="1"/>
  <c r="I26" i="16" a="1"/>
  <c r="I26" i="16" s="1"/>
  <c r="J26" i="16" a="1"/>
  <c r="J26" i="16" s="1"/>
  <c r="K26" i="16" a="1"/>
  <c r="K26" i="16" s="1"/>
  <c r="L26" i="16" a="1"/>
  <c r="L26" i="16" s="1"/>
  <c r="M26" i="16" a="1"/>
  <c r="M26" i="16" s="1"/>
  <c r="N26" i="16" a="1"/>
  <c r="N26" i="16" s="1"/>
  <c r="F25" i="16" a="1"/>
  <c r="F25" i="16" s="1"/>
  <c r="G25" i="16" a="1"/>
  <c r="G25" i="16" s="1"/>
  <c r="H25" i="16" a="1"/>
  <c r="H25" i="16" s="1"/>
  <c r="I25" i="16" a="1"/>
  <c r="I25" i="16" s="1"/>
  <c r="J25" i="16" a="1"/>
  <c r="J25" i="16" s="1"/>
  <c r="K25" i="16" a="1"/>
  <c r="K25" i="16" s="1"/>
  <c r="L25" i="16" a="1"/>
  <c r="L25" i="16" s="1"/>
  <c r="M25" i="16" a="1"/>
  <c r="M25" i="16" s="1"/>
  <c r="N25" i="16" a="1"/>
  <c r="N25" i="16" s="1"/>
  <c r="F24" i="16" a="1"/>
  <c r="F24" i="16" s="1"/>
  <c r="G24" i="16" a="1"/>
  <c r="G24" i="16" s="1"/>
  <c r="H24" i="16" a="1"/>
  <c r="H24" i="16" s="1"/>
  <c r="I24" i="16" a="1"/>
  <c r="I24" i="16" s="1"/>
  <c r="J24" i="16" a="1"/>
  <c r="J24" i="16" s="1"/>
  <c r="K24" i="16" a="1"/>
  <c r="K24" i="16" s="1"/>
  <c r="L24" i="16" a="1"/>
  <c r="L24" i="16" s="1"/>
  <c r="M24" i="16" a="1"/>
  <c r="M24" i="16" s="1"/>
  <c r="N24" i="16" a="1"/>
  <c r="N24" i="16" s="1"/>
  <c r="F23" i="16" a="1"/>
  <c r="F23" i="16" s="1"/>
  <c r="G23" i="16" a="1"/>
  <c r="G23" i="16" s="1"/>
  <c r="H23" i="16" a="1"/>
  <c r="H23" i="16" s="1"/>
  <c r="I23" i="16" a="1"/>
  <c r="I23" i="16" s="1"/>
  <c r="J23" i="16" a="1"/>
  <c r="J23" i="16" s="1"/>
  <c r="K23" i="16" a="1"/>
  <c r="K23" i="16" s="1"/>
  <c r="L23" i="16" a="1"/>
  <c r="L23" i="16" s="1"/>
  <c r="M23" i="16" a="1"/>
  <c r="M23" i="16" s="1"/>
  <c r="N23" i="16" a="1"/>
  <c r="N23" i="16" s="1"/>
  <c r="F22" i="16" a="1"/>
  <c r="F22" i="16" s="1"/>
  <c r="G22" i="16" a="1"/>
  <c r="G22" i="16" s="1"/>
  <c r="H22" i="16" a="1"/>
  <c r="H22" i="16" s="1"/>
  <c r="I22" i="16" a="1"/>
  <c r="I22" i="16" s="1"/>
  <c r="J22" i="16" a="1"/>
  <c r="J22" i="16" s="1"/>
  <c r="K22" i="16" a="1"/>
  <c r="K22" i="16" s="1"/>
  <c r="L22" i="16" a="1"/>
  <c r="L22" i="16" s="1"/>
  <c r="M22" i="16" a="1"/>
  <c r="M22" i="16" s="1"/>
  <c r="N22" i="16" a="1"/>
  <c r="N22" i="16" s="1"/>
  <c r="F21" i="16" a="1"/>
  <c r="F21" i="16" s="1"/>
  <c r="G21" i="16" a="1"/>
  <c r="G21" i="16" s="1"/>
  <c r="H21" i="16" a="1"/>
  <c r="H21" i="16" s="1"/>
  <c r="I21" i="16" a="1"/>
  <c r="I21" i="16" s="1"/>
  <c r="J21" i="16" a="1"/>
  <c r="J21" i="16" s="1"/>
  <c r="K21" i="16" a="1"/>
  <c r="K21" i="16" s="1"/>
  <c r="L21" i="16" a="1"/>
  <c r="L21" i="16" s="1"/>
  <c r="M21" i="16" a="1"/>
  <c r="M21" i="16" s="1"/>
  <c r="N21" i="16" a="1"/>
  <c r="N21" i="16" s="1"/>
  <c r="F20" i="16" a="1"/>
  <c r="F20" i="16" s="1"/>
  <c r="G20" i="16" a="1"/>
  <c r="G20" i="16" s="1"/>
  <c r="H20" i="16" a="1"/>
  <c r="H20" i="16" s="1"/>
  <c r="I20" i="16" a="1"/>
  <c r="I20" i="16" s="1"/>
  <c r="J20" i="16" a="1"/>
  <c r="J20" i="16" s="1"/>
  <c r="K20" i="16" a="1"/>
  <c r="K20" i="16" s="1"/>
  <c r="L20" i="16" a="1"/>
  <c r="L20" i="16" s="1"/>
  <c r="M20" i="16" a="1"/>
  <c r="M20" i="16" s="1"/>
  <c r="N20" i="16" a="1"/>
  <c r="N20" i="16" s="1"/>
  <c r="F19" i="16" a="1"/>
  <c r="F19" i="16" s="1"/>
  <c r="G19" i="16" a="1"/>
  <c r="G19" i="16" s="1"/>
  <c r="H19" i="16" a="1"/>
  <c r="H19" i="16" s="1"/>
  <c r="I19" i="16" a="1"/>
  <c r="I19" i="16" s="1"/>
  <c r="J19" i="16" a="1"/>
  <c r="J19" i="16" s="1"/>
  <c r="K19" i="16" a="1"/>
  <c r="K19" i="16" s="1"/>
  <c r="L19" i="16" a="1"/>
  <c r="L19" i="16" s="1"/>
  <c r="M19" i="16" a="1"/>
  <c r="M19" i="16" s="1"/>
  <c r="N19" i="16" a="1"/>
  <c r="N19" i="16" s="1"/>
  <c r="F18" i="16" a="1"/>
  <c r="F18" i="16" s="1"/>
  <c r="G18" i="16" a="1"/>
  <c r="G18" i="16" s="1"/>
  <c r="H18" i="16" a="1"/>
  <c r="H18" i="16" s="1"/>
  <c r="I18" i="16" a="1"/>
  <c r="I18" i="16" s="1"/>
  <c r="J18" i="16" a="1"/>
  <c r="J18" i="16" s="1"/>
  <c r="K18" i="16" a="1"/>
  <c r="K18" i="16" s="1"/>
  <c r="L18" i="16" a="1"/>
  <c r="L18" i="16" s="1"/>
  <c r="M18" i="16" a="1"/>
  <c r="M18" i="16" s="1"/>
  <c r="N18" i="16" a="1"/>
  <c r="N18" i="16" s="1"/>
  <c r="F17" i="16" a="1"/>
  <c r="F17" i="16" s="1"/>
  <c r="G17" i="16" a="1"/>
  <c r="G17" i="16" s="1"/>
  <c r="H17" i="16" a="1"/>
  <c r="H17" i="16" s="1"/>
  <c r="I17" i="16" a="1"/>
  <c r="I17" i="16" s="1"/>
  <c r="J17" i="16" a="1"/>
  <c r="J17" i="16" s="1"/>
  <c r="K17" i="16" a="1"/>
  <c r="K17" i="16" s="1"/>
  <c r="L17" i="16" a="1"/>
  <c r="L17" i="16" s="1"/>
  <c r="M17" i="16" a="1"/>
  <c r="M17" i="16" s="1"/>
  <c r="N17" i="16" a="1"/>
  <c r="N17" i="16" s="1"/>
  <c r="F16" i="16" a="1"/>
  <c r="F16" i="16" s="1"/>
  <c r="G16" i="16" a="1"/>
  <c r="G16" i="16" s="1"/>
  <c r="H16" i="16" a="1"/>
  <c r="H16" i="16" s="1"/>
  <c r="I16" i="16" a="1"/>
  <c r="I16" i="16" s="1"/>
  <c r="J16" i="16" a="1"/>
  <c r="J16" i="16" s="1"/>
  <c r="K16" i="16" a="1"/>
  <c r="K16" i="16" s="1"/>
  <c r="L16" i="16" a="1"/>
  <c r="L16" i="16" s="1"/>
  <c r="M16" i="16" a="1"/>
  <c r="M16" i="16" s="1"/>
  <c r="N16" i="16" a="1"/>
  <c r="N16" i="16" s="1"/>
  <c r="F15" i="16" a="1"/>
  <c r="F15" i="16" s="1"/>
  <c r="G15" i="16" a="1"/>
  <c r="G15" i="16" s="1"/>
  <c r="H15" i="16" a="1"/>
  <c r="H15" i="16" s="1"/>
  <c r="I15" i="16" a="1"/>
  <c r="I15" i="16" s="1"/>
  <c r="J15" i="16" a="1"/>
  <c r="J15" i="16" s="1"/>
  <c r="K15" i="16" a="1"/>
  <c r="K15" i="16" s="1"/>
  <c r="L15" i="16" a="1"/>
  <c r="L15" i="16" s="1"/>
  <c r="M15" i="16" a="1"/>
  <c r="M15" i="16" s="1"/>
  <c r="N15" i="16" a="1"/>
  <c r="N15" i="16" s="1"/>
  <c r="F14" i="16" a="1"/>
  <c r="F14" i="16" s="1"/>
  <c r="G14" i="16" a="1"/>
  <c r="G14" i="16" s="1"/>
  <c r="H14" i="16" a="1"/>
  <c r="H14" i="16" s="1"/>
  <c r="I14" i="16" a="1"/>
  <c r="I14" i="16" s="1"/>
  <c r="J14" i="16" a="1"/>
  <c r="J14" i="16" s="1"/>
  <c r="K14" i="16" a="1"/>
  <c r="K14" i="16" s="1"/>
  <c r="L14" i="16" a="1"/>
  <c r="L14" i="16" s="1"/>
  <c r="M14" i="16" a="1"/>
  <c r="M14" i="16" s="1"/>
  <c r="N14" i="16" a="1"/>
  <c r="N14" i="16" s="1"/>
  <c r="F13" i="16" a="1"/>
  <c r="F13" i="16" s="1"/>
  <c r="G13" i="16" a="1"/>
  <c r="G13" i="16" s="1"/>
  <c r="H13" i="16" a="1"/>
  <c r="H13" i="16" s="1"/>
  <c r="I13" i="16" a="1"/>
  <c r="I13" i="16" s="1"/>
  <c r="J13" i="16" a="1"/>
  <c r="J13" i="16" s="1"/>
  <c r="K13" i="16" a="1"/>
  <c r="K13" i="16" s="1"/>
  <c r="L13" i="16" a="1"/>
  <c r="L13" i="16" s="1"/>
  <c r="M13" i="16" a="1"/>
  <c r="M13" i="16" s="1"/>
  <c r="N13" i="16" a="1"/>
  <c r="N13" i="16" s="1"/>
  <c r="F12" i="16" a="1"/>
  <c r="F12" i="16" s="1"/>
  <c r="G12" i="16" a="1"/>
  <c r="G12" i="16" s="1"/>
  <c r="H12" i="16" a="1"/>
  <c r="H12" i="16" s="1"/>
  <c r="I12" i="16" a="1"/>
  <c r="I12" i="16" s="1"/>
  <c r="J12" i="16" a="1"/>
  <c r="J12" i="16" s="1"/>
  <c r="K12" i="16" a="1"/>
  <c r="K12" i="16" s="1"/>
  <c r="L12" i="16" a="1"/>
  <c r="L12" i="16" s="1"/>
  <c r="M12" i="16" a="1"/>
  <c r="M12" i="16" s="1"/>
  <c r="N12" i="16" a="1"/>
  <c r="N12" i="16" s="1"/>
  <c r="F11" i="16" a="1"/>
  <c r="F11" i="16" s="1"/>
  <c r="G11" i="16" a="1"/>
  <c r="G11" i="16" s="1"/>
  <c r="H11" i="16" a="1"/>
  <c r="H11" i="16" s="1"/>
  <c r="I11" i="16" a="1"/>
  <c r="I11" i="16" s="1"/>
  <c r="J11" i="16" a="1"/>
  <c r="J11" i="16" s="1"/>
  <c r="K11" i="16" a="1"/>
  <c r="K11" i="16" s="1"/>
  <c r="L11" i="16" a="1"/>
  <c r="L11" i="16" s="1"/>
  <c r="M11" i="16" a="1"/>
  <c r="M11" i="16" s="1"/>
  <c r="N11" i="16" a="1"/>
  <c r="N11" i="16" s="1"/>
  <c r="F9" i="16" a="1"/>
  <c r="F9" i="16" s="1"/>
  <c r="G9" i="16" a="1"/>
  <c r="G9" i="16" s="1"/>
  <c r="H9" i="16" a="1"/>
  <c r="H9" i="16" s="1"/>
  <c r="I9" i="16" a="1"/>
  <c r="I9" i="16" s="1"/>
  <c r="J9" i="16" a="1"/>
  <c r="J9" i="16" s="1"/>
  <c r="K9" i="16" a="1"/>
  <c r="K9" i="16" s="1"/>
  <c r="L9" i="16" a="1"/>
  <c r="L9" i="16" s="1"/>
  <c r="M9" i="16" a="1"/>
  <c r="M9" i="16" s="1"/>
  <c r="N9" i="16" a="1"/>
  <c r="N9" i="16" s="1"/>
  <c r="F8" i="16" a="1"/>
  <c r="F8" i="16" s="1"/>
  <c r="G8" i="16" a="1"/>
  <c r="G8" i="16" s="1"/>
  <c r="H8" i="16" a="1"/>
  <c r="H8" i="16" s="1"/>
  <c r="I8" i="16" a="1"/>
  <c r="I8" i="16" s="1"/>
  <c r="J8" i="16" a="1"/>
  <c r="J8" i="16" s="1"/>
  <c r="K8" i="16" a="1"/>
  <c r="K8" i="16" s="1"/>
  <c r="L8" i="16" a="1"/>
  <c r="L8" i="16" s="1"/>
  <c r="M8" i="16" a="1"/>
  <c r="M8" i="16" s="1"/>
  <c r="N8" i="16" a="1"/>
  <c r="N8" i="16" s="1"/>
  <c r="F7" i="16" a="1"/>
  <c r="F7" i="16" s="1"/>
  <c r="G7" i="16" a="1"/>
  <c r="G7" i="16" s="1"/>
  <c r="H7" i="16" a="1"/>
  <c r="H7" i="16" s="1"/>
  <c r="I7" i="16" a="1"/>
  <c r="I7" i="16" s="1"/>
  <c r="J7" i="16" a="1"/>
  <c r="J7" i="16" s="1"/>
  <c r="K7" i="16" a="1"/>
  <c r="K7" i="16" s="1"/>
  <c r="L7" i="16" a="1"/>
  <c r="L7" i="16" s="1"/>
  <c r="M7" i="16" a="1"/>
  <c r="M7" i="16" s="1"/>
  <c r="N7" i="16" a="1"/>
  <c r="N7" i="16" s="1"/>
  <c r="F6" i="16" a="1"/>
  <c r="F6" i="16" s="1"/>
  <c r="G6" i="16" a="1"/>
  <c r="G6" i="16" s="1"/>
  <c r="H6" i="16" a="1"/>
  <c r="H6" i="16" s="1"/>
  <c r="I6" i="16" a="1"/>
  <c r="I6" i="16" s="1"/>
  <c r="J6" i="16" a="1"/>
  <c r="J6" i="16" s="1"/>
  <c r="K6" i="16" a="1"/>
  <c r="K6" i="16" s="1"/>
  <c r="L6" i="16" a="1"/>
  <c r="L6" i="16" s="1"/>
  <c r="M6" i="16" a="1"/>
  <c r="M6" i="16" s="1"/>
  <c r="N6" i="16" a="1"/>
  <c r="N6" i="16" s="1"/>
  <c r="F5" i="16" a="1"/>
  <c r="F5" i="16" s="1"/>
  <c r="G5" i="16" a="1"/>
  <c r="G5" i="16" s="1"/>
  <c r="H5" i="16" a="1"/>
  <c r="H5" i="16" s="1"/>
  <c r="I5" i="16" a="1"/>
  <c r="I5" i="16" s="1"/>
  <c r="J5" i="16" a="1"/>
  <c r="J5" i="16" s="1"/>
  <c r="K5" i="16" a="1"/>
  <c r="K5" i="16" s="1"/>
  <c r="L5" i="16" a="1"/>
  <c r="L5" i="16" s="1"/>
  <c r="M5" i="16" a="1"/>
  <c r="M5" i="16" s="1"/>
  <c r="N5" i="16" a="1"/>
  <c r="N5" i="16" s="1"/>
  <c r="F4" i="16" a="1"/>
  <c r="F4" i="16" s="1"/>
  <c r="G4" i="16" a="1"/>
  <c r="G4" i="16" s="1"/>
  <c r="H4" i="16" a="1"/>
  <c r="H4" i="16" s="1"/>
  <c r="I4" i="16" a="1"/>
  <c r="I4" i="16" s="1"/>
  <c r="J4" i="16" a="1"/>
  <c r="J4" i="16" s="1"/>
  <c r="K4" i="16" a="1"/>
  <c r="K4" i="16" s="1"/>
  <c r="L4" i="16" a="1"/>
  <c r="L4" i="16" s="1"/>
  <c r="M4" i="16" a="1"/>
  <c r="M4" i="16" s="1"/>
  <c r="N4" i="16" a="1"/>
  <c r="N4" i="16" s="1"/>
  <c r="H150" i="2"/>
  <c r="H14" i="2"/>
  <c r="H13" i="2"/>
  <c r="H12" i="2"/>
  <c r="H11" i="2"/>
  <c r="H26" i="2"/>
  <c r="H22" i="2"/>
  <c r="H21" i="2"/>
  <c r="H20" i="2"/>
  <c r="H19" i="2"/>
  <c r="H18" i="2"/>
  <c r="H17" i="2"/>
  <c r="H16" i="2"/>
  <c r="H15" i="2"/>
  <c r="H62" i="2"/>
  <c r="H52" i="2"/>
  <c r="H230" i="2"/>
  <c r="H229" i="2"/>
  <c r="H228" i="2"/>
  <c r="H227" i="2"/>
  <c r="H226" i="2"/>
  <c r="H225" i="2"/>
  <c r="H224" i="2"/>
  <c r="H223" i="2"/>
  <c r="H222" i="2"/>
  <c r="H221" i="2"/>
  <c r="H220" i="2"/>
  <c r="H219" i="2"/>
  <c r="H302" i="2"/>
  <c r="H292" i="2"/>
  <c r="H314" i="2"/>
  <c r="H326" i="2"/>
  <c r="H325" i="2"/>
  <c r="H324" i="2"/>
  <c r="H323" i="2"/>
  <c r="H322" i="2"/>
  <c r="H321" i="2"/>
  <c r="H320" i="2"/>
  <c r="H319" i="2"/>
  <c r="H318" i="2"/>
  <c r="H317" i="2"/>
  <c r="H316" i="2"/>
  <c r="H315" i="2"/>
  <c r="H422" i="2"/>
  <c r="H421" i="2"/>
  <c r="H420" i="2"/>
  <c r="H419" i="2"/>
  <c r="H418" i="2"/>
  <c r="H417" i="2"/>
  <c r="H416" i="2"/>
  <c r="H415" i="2"/>
  <c r="H414" i="2"/>
  <c r="H413" i="2"/>
  <c r="H412" i="2"/>
  <c r="H411" i="2"/>
  <c r="H518" i="2"/>
  <c r="H514" i="2"/>
  <c r="H513" i="2"/>
  <c r="H512" i="2"/>
  <c r="H511" i="2"/>
  <c r="H530" i="2"/>
  <c r="H529" i="2"/>
  <c r="H528" i="2"/>
  <c r="H527" i="2"/>
  <c r="H526" i="2"/>
  <c r="H525" i="2"/>
  <c r="H524" i="2"/>
  <c r="H523" i="2"/>
  <c r="H522" i="2"/>
  <c r="H521" i="2"/>
  <c r="H520" i="2"/>
  <c r="H519" i="2"/>
  <c r="H542" i="2"/>
  <c r="H532" i="2"/>
  <c r="H122" i="2"/>
  <c r="H117" i="2"/>
  <c r="H116" i="2"/>
  <c r="H113" i="2"/>
  <c r="H112" i="2"/>
  <c r="H134" i="2"/>
  <c r="H146" i="2"/>
  <c r="H142" i="2"/>
  <c r="H141" i="2"/>
  <c r="H140" i="2"/>
  <c r="H138" i="2"/>
  <c r="H137" i="2"/>
  <c r="H136" i="2"/>
  <c r="H180" i="2"/>
  <c r="H181" i="2"/>
  <c r="H193" i="2"/>
  <c r="H194" i="2"/>
  <c r="H192" i="2"/>
  <c r="H190" i="2"/>
  <c r="H188" i="2"/>
  <c r="H186" i="2"/>
  <c r="H184" i="2"/>
  <c r="H218" i="2"/>
  <c r="H214" i="2"/>
  <c r="H213" i="2"/>
  <c r="H212" i="2"/>
  <c r="H211" i="2"/>
  <c r="H602" i="2"/>
  <c r="H592" i="2"/>
  <c r="Q5" i="13" a="1"/>
  <c r="Q5" i="13" s="1"/>
  <c r="H101" i="2"/>
  <c r="H115" i="2"/>
  <c r="H149" i="2"/>
  <c r="H197" i="2"/>
  <c r="H201" i="2"/>
  <c r="H114" i="2"/>
  <c r="H118" i="2"/>
  <c r="H124" i="2"/>
  <c r="H125" i="2"/>
  <c r="H126" i="2"/>
  <c r="H127" i="2"/>
  <c r="H128" i="2"/>
  <c r="H129" i="2"/>
  <c r="H130" i="2"/>
  <c r="H139" i="2"/>
  <c r="H147" i="2"/>
  <c r="H148" i="2"/>
  <c r="H152" i="2"/>
  <c r="H153" i="2"/>
  <c r="H154" i="2"/>
  <c r="H158" i="2"/>
  <c r="H159" i="2"/>
  <c r="H182" i="2"/>
  <c r="H187" i="2"/>
  <c r="H191" i="2"/>
  <c r="H195" i="2"/>
  <c r="H196" i="2"/>
  <c r="H200" i="2"/>
  <c r="H151" i="2"/>
  <c r="H160" i="2"/>
  <c r="H161" i="2"/>
  <c r="H162" i="2"/>
  <c r="H163" i="2"/>
  <c r="H164" i="2"/>
  <c r="H165" i="2"/>
  <c r="H166" i="2"/>
  <c r="H168" i="2"/>
  <c r="H169" i="2"/>
  <c r="H199" i="2"/>
  <c r="H232" i="2"/>
  <c r="H102" i="2"/>
  <c r="H103" i="2"/>
  <c r="H104" i="2"/>
  <c r="H105" i="2"/>
  <c r="H106" i="2"/>
  <c r="H107" i="2"/>
  <c r="H108" i="2"/>
  <c r="H109" i="2"/>
  <c r="H172" i="2"/>
  <c r="H173" i="2"/>
  <c r="H174" i="2"/>
  <c r="H175" i="2"/>
  <c r="H176" i="2"/>
  <c r="H177" i="2"/>
  <c r="H178" i="2"/>
  <c r="H179" i="2"/>
  <c r="H185" i="2"/>
  <c r="H189" i="2"/>
  <c r="H198" i="2"/>
  <c r="H202" i="2"/>
  <c r="H362" i="2"/>
  <c r="H472" i="2"/>
  <c r="G4" i="13" a="1"/>
  <c r="G4" i="13" s="1"/>
  <c r="E4" i="13" a="1"/>
  <c r="E4" i="13" s="1"/>
  <c r="C4" i="13" a="1"/>
  <c r="C4" i="13" s="1"/>
  <c r="C33" i="1"/>
  <c r="U45" i="11" a="1"/>
  <c r="U45" i="11" s="1"/>
  <c r="W45" i="11" a="1"/>
  <c r="W45" i="11" s="1"/>
  <c r="P4" i="7"/>
  <c r="N4" i="7" s="1" a="1"/>
  <c r="N4" i="7" s="1"/>
  <c r="P8" i="7"/>
  <c r="O8" i="7" s="1" a="1"/>
  <c r="O8" i="7" s="1"/>
  <c r="P7" i="7"/>
  <c r="N7" i="7" s="1" a="1"/>
  <c r="N7" i="7" s="1"/>
  <c r="P6" i="7"/>
  <c r="O6" i="7" s="1" a="1"/>
  <c r="O6" i="7" s="1"/>
  <c r="P5" i="7"/>
  <c r="N5" i="7" s="1" a="1"/>
  <c r="N5" i="7" s="1"/>
  <c r="H3" i="2"/>
  <c r="H5" i="2"/>
  <c r="H8" i="2"/>
  <c r="H4" i="2"/>
  <c r="H6" i="2"/>
  <c r="H7" i="2"/>
  <c r="H9" i="2"/>
  <c r="H10" i="2"/>
  <c r="H27" i="2"/>
  <c r="H28" i="2"/>
  <c r="H29" i="2"/>
  <c r="H30" i="2"/>
  <c r="H31" i="2"/>
  <c r="H33" i="2"/>
  <c r="H34" i="2"/>
  <c r="H38" i="2"/>
  <c r="H40" i="2"/>
  <c r="H41" i="2"/>
  <c r="H43" i="2"/>
  <c r="H44" i="2"/>
  <c r="H45" i="2"/>
  <c r="H46" i="2"/>
  <c r="H47" i="2"/>
  <c r="H48" i="2"/>
  <c r="H49" i="2"/>
  <c r="H50" i="2"/>
  <c r="H39" i="2"/>
  <c r="H53" i="2"/>
  <c r="H54" i="2"/>
  <c r="H55" i="2"/>
  <c r="H56" i="2"/>
  <c r="H57" i="2"/>
  <c r="H58" i="2"/>
  <c r="H51" i="2"/>
  <c r="H64" i="2"/>
  <c r="H65" i="2"/>
  <c r="H66" i="2"/>
  <c r="H68" i="2"/>
  <c r="H69" i="2"/>
  <c r="H70" i="2"/>
  <c r="H71" i="2"/>
  <c r="H73" i="2"/>
  <c r="H74" i="2"/>
  <c r="H63" i="2"/>
  <c r="H76" i="2"/>
  <c r="H77" i="2"/>
  <c r="H78" i="2"/>
  <c r="H79" i="2"/>
  <c r="H80" i="2"/>
  <c r="H81" i="2"/>
  <c r="H83" i="2"/>
  <c r="H84" i="2"/>
  <c r="H85" i="2"/>
  <c r="H86" i="2"/>
  <c r="H75" i="2"/>
  <c r="H88" i="2"/>
  <c r="H89" i="2"/>
  <c r="H90" i="2"/>
  <c r="H91" i="2"/>
  <c r="H93" i="2"/>
  <c r="H94" i="2"/>
  <c r="H98" i="2"/>
  <c r="H87" i="2"/>
  <c r="H100" i="2"/>
  <c r="H99" i="2"/>
  <c r="H208" i="2"/>
  <c r="H209" i="2"/>
  <c r="H210" i="2"/>
  <c r="H207" i="2"/>
  <c r="H233" i="2"/>
  <c r="H234" i="2"/>
  <c r="H235" i="2"/>
  <c r="H236" i="2"/>
  <c r="H237" i="2"/>
  <c r="H238" i="2"/>
  <c r="H239" i="2"/>
  <c r="H240" i="2"/>
  <c r="H241" i="2"/>
  <c r="H231" i="2"/>
  <c r="H244" i="2"/>
  <c r="H245" i="2"/>
  <c r="H246" i="2"/>
  <c r="H247" i="2"/>
  <c r="H248" i="2"/>
  <c r="H249" i="2"/>
  <c r="H250" i="2"/>
  <c r="H251" i="2"/>
  <c r="H253" i="2"/>
  <c r="H254" i="2"/>
  <c r="H243" i="2"/>
  <c r="H256" i="2"/>
  <c r="H257" i="2"/>
  <c r="H258" i="2"/>
  <c r="H259" i="2"/>
  <c r="H260" i="2"/>
  <c r="H261" i="2"/>
  <c r="H263" i="2"/>
  <c r="H264" i="2"/>
  <c r="H265" i="2"/>
  <c r="H266" i="2"/>
  <c r="H255" i="2"/>
  <c r="H280" i="2"/>
  <c r="H281" i="2"/>
  <c r="H283" i="2"/>
  <c r="H284" i="2"/>
  <c r="H285" i="2"/>
  <c r="H286" i="2"/>
  <c r="H290" i="2"/>
  <c r="H279" i="2"/>
  <c r="H293" i="2"/>
  <c r="H294" i="2"/>
  <c r="H295" i="2"/>
  <c r="H296" i="2"/>
  <c r="H297" i="2"/>
  <c r="H298" i="2"/>
  <c r="H299" i="2"/>
  <c r="H300" i="2"/>
  <c r="H301" i="2"/>
  <c r="H291" i="2"/>
  <c r="H304" i="2"/>
  <c r="H305" i="2"/>
  <c r="H306" i="2"/>
  <c r="H307" i="2"/>
  <c r="H308" i="2"/>
  <c r="H309" i="2"/>
  <c r="H310" i="2"/>
  <c r="H303" i="2"/>
  <c r="H328" i="2"/>
  <c r="H329" i="2"/>
  <c r="H330" i="2"/>
  <c r="H331" i="2"/>
  <c r="H333" i="2"/>
  <c r="H334" i="2"/>
  <c r="H338" i="2"/>
  <c r="H327" i="2"/>
  <c r="H340" i="2"/>
  <c r="H341" i="2"/>
  <c r="H343" i="2"/>
  <c r="H344" i="2"/>
  <c r="H345" i="2"/>
  <c r="H346" i="2"/>
  <c r="H347" i="2"/>
  <c r="H348" i="2"/>
  <c r="H349" i="2"/>
  <c r="H350" i="2"/>
  <c r="H339" i="2"/>
  <c r="H353" i="2"/>
  <c r="H354" i="2"/>
  <c r="H355" i="2"/>
  <c r="H356" i="2"/>
  <c r="H357" i="2"/>
  <c r="H358" i="2"/>
  <c r="H359" i="2"/>
  <c r="H360" i="2"/>
  <c r="H361" i="2"/>
  <c r="H351" i="2"/>
  <c r="H388" i="2"/>
  <c r="H389" i="2"/>
  <c r="H390" i="2"/>
  <c r="H391" i="2"/>
  <c r="H393" i="2"/>
  <c r="H394" i="2"/>
  <c r="H398" i="2"/>
  <c r="H387" i="2"/>
  <c r="H400" i="2"/>
  <c r="H401" i="2"/>
  <c r="H403" i="2"/>
  <c r="H404" i="2"/>
  <c r="H405" i="2"/>
  <c r="H406" i="2"/>
  <c r="H410" i="2"/>
  <c r="H399" i="2"/>
  <c r="H424" i="2"/>
  <c r="H425" i="2"/>
  <c r="H426" i="2"/>
  <c r="H427" i="2"/>
  <c r="H428" i="2"/>
  <c r="H429" i="2"/>
  <c r="H430" i="2"/>
  <c r="H434" i="2"/>
  <c r="H423" i="2"/>
  <c r="H436" i="2"/>
  <c r="H437" i="2"/>
  <c r="H438" i="2"/>
  <c r="H439" i="2"/>
  <c r="H440" i="2"/>
  <c r="H441" i="2"/>
  <c r="H443" i="2"/>
  <c r="H444" i="2"/>
  <c r="H445" i="2"/>
  <c r="H446" i="2"/>
  <c r="H435" i="2"/>
  <c r="H448" i="2"/>
  <c r="H449" i="2"/>
  <c r="H450" i="2"/>
  <c r="H451" i="2"/>
  <c r="H453" i="2"/>
  <c r="H454" i="2"/>
  <c r="H455" i="2"/>
  <c r="H456" i="2"/>
  <c r="H457" i="2"/>
  <c r="H458" i="2"/>
  <c r="H447" i="2"/>
  <c r="H460" i="2"/>
  <c r="H461" i="2"/>
  <c r="H463" i="2"/>
  <c r="H464" i="2"/>
  <c r="H465" i="2"/>
  <c r="H466" i="2"/>
  <c r="H468" i="2"/>
  <c r="H469" i="2"/>
  <c r="H470" i="2"/>
  <c r="H459" i="2"/>
  <c r="H473" i="2"/>
  <c r="H474" i="2"/>
  <c r="H475" i="2"/>
  <c r="H476" i="2"/>
  <c r="H477" i="2"/>
  <c r="H478" i="2"/>
  <c r="H471" i="2"/>
  <c r="H484" i="2"/>
  <c r="H485" i="2"/>
  <c r="H486" i="2"/>
  <c r="H487" i="2"/>
  <c r="H488" i="2"/>
  <c r="H489" i="2"/>
  <c r="H490" i="2"/>
  <c r="H491" i="2"/>
  <c r="H493" i="2"/>
  <c r="H494" i="2"/>
  <c r="H483" i="2"/>
  <c r="H496" i="2"/>
  <c r="H497" i="2"/>
  <c r="H498" i="2"/>
  <c r="H499" i="2"/>
  <c r="H500" i="2"/>
  <c r="H501" i="2"/>
  <c r="H503" i="2"/>
  <c r="H504" i="2"/>
  <c r="H505" i="2"/>
  <c r="H506" i="2"/>
  <c r="H495" i="2"/>
  <c r="H508" i="2"/>
  <c r="H509" i="2"/>
  <c r="H510" i="2"/>
  <c r="H507" i="2"/>
  <c r="H531" i="2"/>
  <c r="H533" i="2"/>
  <c r="H534" i="2"/>
  <c r="H535" i="2"/>
  <c r="H536" i="2"/>
  <c r="H537" i="2"/>
  <c r="H538" i="2"/>
  <c r="H544" i="2"/>
  <c r="H545" i="2"/>
  <c r="H546" i="2"/>
  <c r="H547" i="2"/>
  <c r="H548" i="2"/>
  <c r="H549" i="2"/>
  <c r="H550" i="2"/>
  <c r="H554" i="2"/>
  <c r="H543" i="2"/>
  <c r="H556" i="2"/>
  <c r="H557" i="2"/>
  <c r="H558" i="2"/>
  <c r="H559" i="2"/>
  <c r="H560" i="2"/>
  <c r="H561" i="2"/>
  <c r="H566" i="2"/>
  <c r="H555" i="2"/>
  <c r="H580" i="2"/>
  <c r="H581" i="2"/>
  <c r="H583" i="2"/>
  <c r="H584" i="2"/>
  <c r="H585" i="2"/>
  <c r="H586" i="2"/>
  <c r="H587" i="2"/>
  <c r="H588" i="2"/>
  <c r="H589" i="2"/>
  <c r="H590" i="2"/>
  <c r="H579" i="2"/>
  <c r="H376" i="2"/>
  <c r="H377" i="2"/>
  <c r="H378" i="2"/>
  <c r="H379" i="2"/>
  <c r="H380" i="2"/>
  <c r="H381" i="2"/>
  <c r="H383" i="2"/>
  <c r="H384" i="2"/>
  <c r="H385" i="2"/>
  <c r="H386" i="2"/>
  <c r="H375" i="2"/>
  <c r="H364" i="2"/>
  <c r="H365" i="2"/>
  <c r="H366" i="2"/>
  <c r="H368" i="2"/>
  <c r="H369" i="2"/>
  <c r="H370" i="2"/>
  <c r="H371" i="2"/>
  <c r="H373" i="2"/>
  <c r="H374" i="2"/>
  <c r="H363" i="2"/>
  <c r="H593" i="2"/>
  <c r="H594" i="2"/>
  <c r="H595" i="2"/>
  <c r="H596" i="2"/>
  <c r="H597" i="2"/>
  <c r="H598" i="2"/>
  <c r="H591" i="2"/>
  <c r="Y16" i="14" l="1" a="1"/>
  <c r="Y16" i="14" s="1"/>
  <c r="Z16" i="14" a="1"/>
  <c r="Z16" i="14" s="1"/>
  <c r="AA16" i="14" a="1"/>
  <c r="AA16" i="14" s="1"/>
  <c r="U131" i="14"/>
  <c r="F20" i="7" s="1"/>
  <c r="C16" i="14"/>
  <c r="E5" i="15" a="1"/>
  <c r="E5" i="15" s="1"/>
  <c r="O7" i="7" a="1"/>
  <c r="O7" i="7" s="1"/>
  <c r="O5" i="7" a="1"/>
  <c r="O5" i="7" s="1"/>
  <c r="N6" i="7" a="1"/>
  <c r="N6" i="7" s="1"/>
  <c r="E7" i="15" a="1"/>
  <c r="E7" i="15" s="1"/>
  <c r="O4" i="7" a="1"/>
  <c r="O4" i="7" s="1"/>
  <c r="N8" i="7" a="1"/>
  <c r="N8" i="7" s="1"/>
  <c r="Z3" i="13" a="1"/>
  <c r="Z3" i="13" s="1"/>
  <c r="Y3" i="13"/>
  <c r="B3" i="15"/>
  <c r="C18" i="13"/>
  <c r="E18" i="13" a="1"/>
  <c r="E18" i="13" s="1"/>
  <c r="F18" i="13" a="1"/>
  <c r="F18" i="13" s="1"/>
  <c r="Z5" i="13" a="1"/>
  <c r="Z5" i="13" s="1"/>
  <c r="F20" i="13" a="1"/>
  <c r="F20" i="13" s="1"/>
  <c r="C20" i="13"/>
  <c r="Z7" i="13" a="1"/>
  <c r="Z7" i="13" s="1"/>
  <c r="F22" i="13" a="1"/>
  <c r="F22" i="13" s="1"/>
  <c r="C22" i="13"/>
  <c r="B5" i="15"/>
  <c r="B7" i="15"/>
  <c r="E20" i="13" a="1"/>
  <c r="E20" i="13" s="1"/>
  <c r="E22" i="13" a="1"/>
  <c r="E22" i="13" s="1"/>
  <c r="Q18" i="7" a="1"/>
  <c r="Q18" i="7" s="1"/>
  <c r="Q17" i="7" a="1"/>
  <c r="Q17" i="7" s="1"/>
  <c r="R17" i="7" a="1"/>
  <c r="R17" i="7" s="1"/>
  <c r="Q19" i="7" a="1"/>
  <c r="Q19" i="7" s="1"/>
  <c r="R19" i="7" a="1"/>
  <c r="R19" i="7" s="1"/>
  <c r="Y7" i="13"/>
  <c r="U5" i="13" a="1"/>
  <c r="U5" i="13" s="1"/>
  <c r="N15" i="7" a="1"/>
  <c r="N15" i="7" s="1"/>
  <c r="C48" i="1" s="1"/>
  <c r="N14" i="7" a="1"/>
  <c r="N14" i="7" s="1"/>
  <c r="C47" i="1" s="1"/>
  <c r="Y5" i="13"/>
  <c r="S5" i="13" a="1"/>
  <c r="S5" i="13" s="1"/>
  <c r="D34" i="1" l="1"/>
  <c r="E34" i="1"/>
  <c r="F34" i="1"/>
  <c r="G34" i="1"/>
  <c r="H34" i="1"/>
  <c r="I34" i="1"/>
  <c r="J34" i="1"/>
  <c r="K34" i="1"/>
  <c r="L34" i="1"/>
  <c r="C34" i="1"/>
  <c r="D38" i="1"/>
  <c r="E38" i="1"/>
  <c r="F38" i="1"/>
  <c r="G38" i="1"/>
  <c r="H38" i="1"/>
  <c r="I38" i="1"/>
  <c r="J38" i="1"/>
  <c r="K38" i="1"/>
  <c r="L38" i="1"/>
  <c r="C38" i="1"/>
  <c r="D37" i="1"/>
  <c r="E37" i="1"/>
  <c r="F37" i="1"/>
  <c r="G37" i="1"/>
  <c r="H37" i="1"/>
  <c r="I37" i="1"/>
  <c r="J37" i="1"/>
  <c r="K37" i="1"/>
  <c r="L37" i="1"/>
  <c r="C37" i="1"/>
  <c r="D36" i="1"/>
  <c r="E36" i="1"/>
  <c r="F36" i="1"/>
  <c r="G36" i="1"/>
  <c r="H36" i="1"/>
  <c r="I36" i="1"/>
  <c r="J36" i="1"/>
  <c r="K36" i="1"/>
  <c r="L36" i="1"/>
  <c r="C36" i="1"/>
  <c r="D35" i="1"/>
  <c r="E35" i="1"/>
  <c r="F35" i="1"/>
  <c r="G35" i="1"/>
  <c r="H35" i="1"/>
  <c r="I35" i="1"/>
  <c r="J35" i="1"/>
  <c r="K35" i="1"/>
  <c r="L35" i="1"/>
  <c r="C35" i="1"/>
  <c r="K47" i="1"/>
  <c r="E47" i="1"/>
  <c r="F47" i="1"/>
  <c r="H47" i="1"/>
  <c r="I47" i="1"/>
  <c r="J47" i="1"/>
  <c r="D47" i="1"/>
  <c r="G47" i="1"/>
  <c r="K48" i="1"/>
  <c r="E48" i="1"/>
  <c r="F48" i="1"/>
  <c r="G48" i="1"/>
  <c r="H48" i="1"/>
  <c r="I48" i="1"/>
  <c r="J48" i="1"/>
  <c r="D48" i="1"/>
  <c r="E8" i="13" l="1" a="1"/>
  <c r="E8" i="13" s="1"/>
  <c r="C8" i="13" l="1" a="1"/>
  <c r="C8" i="13" s="1"/>
  <c r="I5" i="15" a="1"/>
  <c r="I5" i="15" s="1"/>
  <c r="G8" i="13" a="1"/>
  <c r="G8" i="13" s="1"/>
  <c r="I7" i="15" a="1"/>
  <c r="I7" i="15" s="1"/>
  <c r="Z17" i="13" l="1" a="1"/>
  <c r="Z17" i="13" s="1"/>
  <c r="M3" i="15" a="1"/>
  <c r="M3" i="15" s="1"/>
  <c r="Q17" i="13" a="1"/>
  <c r="Q17" i="13" s="1"/>
  <c r="I3" i="15" a="1"/>
  <c r="I3" i="15" s="1"/>
  <c r="Z14" i="13" a="1"/>
  <c r="Z14" i="13" s="1"/>
  <c r="F28" i="13" a="1"/>
  <c r="F28" i="13" s="1"/>
  <c r="C28" i="13"/>
  <c r="Z12" i="13" a="1"/>
  <c r="Z12" i="13" s="1"/>
  <c r="F26" i="13" a="1"/>
  <c r="F26" i="13" s="1"/>
  <c r="C26" i="13"/>
  <c r="Z10" i="13" a="1"/>
  <c r="Z10" i="13" s="1"/>
  <c r="F24" i="13" a="1"/>
  <c r="F24" i="13" s="1"/>
  <c r="C24" i="13"/>
  <c r="F30" i="13" a="1"/>
  <c r="F30" i="13" s="1"/>
  <c r="C30" i="13"/>
  <c r="J3" i="15"/>
  <c r="F7" i="15"/>
  <c r="F5" i="15"/>
  <c r="F3" i="15"/>
  <c r="E30" i="13" a="1"/>
  <c r="E30" i="13" s="1"/>
  <c r="E28" i="13" a="1"/>
  <c r="E28" i="13" s="1"/>
  <c r="E26" i="13" a="1"/>
  <c r="E26" i="13" s="1"/>
  <c r="E24" i="13" a="1"/>
  <c r="E24" i="13" s="1"/>
  <c r="Y17" i="13"/>
  <c r="Y14" i="13"/>
  <c r="Y12" i="13"/>
  <c r="Y10" i="13"/>
  <c r="Q29" i="13" a="1"/>
  <c r="Q29" i="13" s="1"/>
  <c r="U17" i="13" a="1"/>
  <c r="U17" i="13" s="1"/>
  <c r="S17" i="13" a="1"/>
  <c r="S17" i="13" s="1"/>
  <c r="G12" i="13" a="1"/>
  <c r="G12" i="13" s="1"/>
  <c r="E12" i="13" a="1"/>
  <c r="E12" i="13" s="1"/>
  <c r="C12" i="13" a="1"/>
  <c r="C12" i="13" s="1"/>
  <c r="Z19" i="13" l="1" a="1"/>
  <c r="Z19" i="13" s="1"/>
  <c r="M5" i="15" a="1"/>
  <c r="M5" i="15" s="1"/>
  <c r="Z21" i="13" a="1"/>
  <c r="Z21" i="13" s="1"/>
  <c r="M7" i="15" a="1"/>
  <c r="M7" i="15" s="1"/>
  <c r="F32" i="13" a="1"/>
  <c r="F32" i="13" s="1"/>
  <c r="C32" i="13"/>
  <c r="F34" i="13" a="1"/>
  <c r="F34" i="13" s="1"/>
  <c r="C34" i="13"/>
  <c r="J5" i="15"/>
  <c r="J7" i="15"/>
  <c r="E32" i="13" a="1"/>
  <c r="E32" i="13" s="1"/>
  <c r="E34" i="13" a="1"/>
  <c r="E34" i="13" s="1"/>
  <c r="Y19" i="13"/>
  <c r="Y21" i="13"/>
  <c r="S29" i="13" a="1"/>
  <c r="S29" i="13" s="1"/>
  <c r="U29" i="13" a="1"/>
  <c r="U29" i="13" s="1"/>
  <c r="P131" i="14" l="1"/>
  <c r="A20" i="7" s="1"/>
  <c r="S131" i="14"/>
  <c r="D20" i="7" s="1"/>
  <c r="W131" i="14"/>
  <c r="Q131" i="14"/>
  <c r="B20" i="7" s="1"/>
  <c r="T131" i="14"/>
  <c r="X131" i="14"/>
  <c r="R131" i="14"/>
  <c r="C20" i="7" s="1"/>
  <c r="V131" i="14"/>
  <c r="G20" i="7" s="1"/>
  <c r="R18" i="7" a="1"/>
  <c r="R18" i="7" s="1"/>
  <c r="R5" i="14" l="1" a="1"/>
  <c r="R5" i="14" s="1"/>
  <c r="R6" i="14" a="1"/>
  <c r="R6" i="14" s="1"/>
  <c r="Q5" i="14" a="1"/>
  <c r="Q5" i="14" s="1"/>
  <c r="Q6" i="14" a="1"/>
  <c r="Q6" i="14" s="1"/>
  <c r="S5" i="14" a="1"/>
  <c r="S5" i="14" s="1"/>
  <c r="S6" i="14" a="1"/>
  <c r="S6" i="14" s="1"/>
  <c r="R3" i="14" a="1"/>
  <c r="R3" i="14" s="1"/>
  <c r="R4" i="14" a="1"/>
  <c r="R4" i="14" s="1"/>
  <c r="Q3" i="14" a="1"/>
  <c r="Q3" i="14" s="1"/>
  <c r="Q4" i="14" a="1"/>
  <c r="Q4" i="14" s="1"/>
  <c r="S3" i="14" a="1"/>
  <c r="S3" i="14" s="1"/>
  <c r="S4" i="14" a="1"/>
  <c r="S4" i="14" s="1"/>
  <c r="P3" i="14" a="1"/>
  <c r="P3" i="14" s="1"/>
  <c r="P4" i="14" a="1"/>
  <c r="P4" i="14" s="1"/>
  <c r="P5" i="14" a="1"/>
  <c r="P5" i="14" s="1"/>
  <c r="P6" i="14" a="1"/>
  <c r="P6" i="14" s="1"/>
  <c r="R8" i="14"/>
  <c r="R13" i="14" s="1" a="1"/>
  <c r="R13" i="14" s="1"/>
  <c r="R2" i="14" a="1"/>
  <c r="R2" i="14" s="1"/>
  <c r="Q8" i="14"/>
  <c r="Q13" i="14" s="1" a="1"/>
  <c r="Q13" i="14" s="1"/>
  <c r="Q2" i="14" a="1"/>
  <c r="Q2" i="14" s="1"/>
  <c r="S8" i="14"/>
  <c r="S13" i="14" s="1" a="1"/>
  <c r="S13" i="14" s="1"/>
  <c r="S2" i="14" a="1"/>
  <c r="S2" i="14" s="1"/>
  <c r="P8" i="14"/>
  <c r="R15" i="14"/>
  <c r="R20" i="14" s="1" a="1"/>
  <c r="R20" i="14" s="1"/>
  <c r="Q15" i="14"/>
  <c r="Q20" i="14" s="1" a="1"/>
  <c r="Q20" i="14" s="1"/>
  <c r="S15" i="14"/>
  <c r="S20" i="14" s="1" a="1"/>
  <c r="S20" i="14" s="1"/>
  <c r="P15" i="14"/>
  <c r="P2" i="14" a="1"/>
  <c r="P2" i="14" s="1"/>
  <c r="AA42" i="14"/>
  <c r="Z42" i="14"/>
  <c r="Y42" i="14"/>
  <c r="Y105" i="14"/>
  <c r="Z105" i="14"/>
  <c r="AA105" i="14"/>
  <c r="Y84" i="14"/>
  <c r="Z84" i="14"/>
  <c r="AA84" i="14"/>
  <c r="AA112" i="14"/>
  <c r="Y112" i="14"/>
  <c r="Z112" i="14"/>
  <c r="Z35" i="14"/>
  <c r="AA35" i="14"/>
  <c r="Y35" i="14"/>
  <c r="AA119" i="14"/>
  <c r="Z119" i="14"/>
  <c r="Y119" i="14"/>
  <c r="Y77" i="14"/>
  <c r="Z77" i="14"/>
  <c r="AA77" i="14"/>
  <c r="Y56" i="14"/>
  <c r="Z56" i="14"/>
  <c r="AA56" i="14"/>
  <c r="Y63" i="14"/>
  <c r="Z63" i="14"/>
  <c r="AA63" i="14"/>
  <c r="S18" i="14" l="1" a="1"/>
  <c r="S18" i="14" s="1"/>
  <c r="S19" i="14" a="1"/>
  <c r="S19" i="14" s="1"/>
  <c r="Q18" i="14" a="1"/>
  <c r="Q18" i="14" s="1"/>
  <c r="Q19" i="14" a="1"/>
  <c r="Q19" i="14" s="1"/>
  <c r="R18" i="14" a="1"/>
  <c r="R18" i="14" s="1"/>
  <c r="R19" i="14" a="1"/>
  <c r="R19" i="14" s="1"/>
  <c r="S16" i="14" a="1"/>
  <c r="S16" i="14" s="1"/>
  <c r="S17" i="14" a="1"/>
  <c r="S17" i="14" s="1"/>
  <c r="Q16" i="14" a="1"/>
  <c r="Q16" i="14" s="1"/>
  <c r="Q17" i="14" a="1"/>
  <c r="Q17" i="14" s="1"/>
  <c r="R16" i="14" a="1"/>
  <c r="R16" i="14" s="1"/>
  <c r="R17" i="14" a="1"/>
  <c r="R17" i="14" s="1"/>
  <c r="P17" i="14" a="1"/>
  <c r="P17" i="14" s="1"/>
  <c r="P18" i="14" a="1"/>
  <c r="P18" i="14" s="1"/>
  <c r="P19" i="14" a="1"/>
  <c r="P19" i="14" s="1"/>
  <c r="P20" i="14" a="1"/>
  <c r="P20" i="14" s="1"/>
  <c r="S11" i="14" a="1"/>
  <c r="S11" i="14" s="1"/>
  <c r="S12" i="14" a="1"/>
  <c r="S12" i="14" s="1"/>
  <c r="Q11" i="14" a="1"/>
  <c r="Q11" i="14" s="1"/>
  <c r="Q12" i="14" a="1"/>
  <c r="Q12" i="14" s="1"/>
  <c r="R11" i="14" a="1"/>
  <c r="R11" i="14" s="1"/>
  <c r="R12" i="14" a="1"/>
  <c r="R12" i="14" s="1"/>
  <c r="S9" i="14" a="1"/>
  <c r="S9" i="14" s="1"/>
  <c r="S10" i="14" a="1"/>
  <c r="S10" i="14" s="1"/>
  <c r="Q9" i="14" a="1"/>
  <c r="Q9" i="14" s="1"/>
  <c r="Q10" i="14" a="1"/>
  <c r="Q10" i="14" s="1"/>
  <c r="R9" i="14" a="1"/>
  <c r="R9" i="14" s="1"/>
  <c r="R10" i="14" a="1"/>
  <c r="R10" i="14" s="1"/>
  <c r="P10" i="14" a="1"/>
  <c r="P10" i="14" s="1"/>
  <c r="P11" i="14" a="1"/>
  <c r="P11" i="14" s="1"/>
  <c r="P12" i="14" a="1"/>
  <c r="P12" i="14" s="1"/>
  <c r="P13" i="14" a="1"/>
  <c r="P13" i="14" s="1"/>
  <c r="S22" i="14"/>
  <c r="Q22" i="14"/>
  <c r="R22" i="14"/>
  <c r="P16" i="14" a="1"/>
  <c r="P16" i="14" s="1"/>
  <c r="P9" i="14" a="1"/>
  <c r="P9" i="14" s="1"/>
  <c r="Z126" i="14"/>
  <c r="Z98" i="14"/>
  <c r="Z91" i="14"/>
  <c r="Z130" i="14" s="1"/>
  <c r="Z49" i="14"/>
  <c r="Z7" i="14"/>
  <c r="AA126" i="14"/>
  <c r="AA98" i="14"/>
  <c r="AA91" i="14"/>
  <c r="AA130" i="14" s="1"/>
  <c r="AA49" i="14"/>
  <c r="AA7" i="14"/>
  <c r="Y126" i="14"/>
  <c r="Y98" i="14"/>
  <c r="Y91" i="14"/>
  <c r="Y130" i="14" s="1"/>
  <c r="Y49" i="14"/>
  <c r="Y7" i="14"/>
  <c r="Z129" i="14"/>
  <c r="AA129" i="14"/>
  <c r="Y129" i="14"/>
  <c r="Y70" i="14"/>
  <c r="Z70" i="14"/>
  <c r="AA70" i="14"/>
  <c r="AA28" i="14"/>
  <c r="Z14" i="14"/>
  <c r="AA14" i="14"/>
  <c r="Y14" i="14"/>
  <c r="Z28" i="14"/>
  <c r="Y28" i="14"/>
  <c r="R26" i="14" l="1" a="1"/>
  <c r="R26" i="14" s="1"/>
  <c r="R27" i="14" a="1"/>
  <c r="R27" i="14" s="1"/>
  <c r="Q26" i="14" a="1"/>
  <c r="Q26" i="14" s="1"/>
  <c r="Q27" i="14" a="1"/>
  <c r="Q27" i="14" s="1"/>
  <c r="S26" i="14" a="1"/>
  <c r="S26" i="14" s="1"/>
  <c r="S27" i="14" a="1"/>
  <c r="S27" i="14" s="1"/>
  <c r="R24" i="14" a="1"/>
  <c r="R24" i="14" s="1"/>
  <c r="R25" i="14" a="1"/>
  <c r="R25" i="14" s="1"/>
  <c r="Q24" i="14" a="1"/>
  <c r="Q24" i="14" s="1"/>
  <c r="Q25" i="14" a="1"/>
  <c r="Q25" i="14" s="1"/>
  <c r="S24" i="14" a="1"/>
  <c r="S24" i="14" s="1"/>
  <c r="S25" i="14" a="1"/>
  <c r="S25" i="14" s="1"/>
  <c r="R23" i="14" a="1"/>
  <c r="R23" i="14" s="1"/>
  <c r="Q23" i="14" a="1"/>
  <c r="Q23" i="14" s="1"/>
  <c r="S23" i="14" a="1"/>
  <c r="S23" i="14" s="1"/>
  <c r="P22" i="14"/>
  <c r="P21" i="14"/>
  <c r="P23" i="14" a="1"/>
  <c r="P23" i="14" s="1"/>
  <c r="R29" i="14"/>
  <c r="Q29" i="14"/>
  <c r="Q34" i="14" s="1" a="1"/>
  <c r="Q34" i="14" s="1"/>
  <c r="S29" i="14"/>
  <c r="S34" i="14" s="1" a="1"/>
  <c r="S34" i="14" s="1"/>
  <c r="P29" i="14"/>
  <c r="N13" i="7" a="1"/>
  <c r="N13" i="7" s="1"/>
  <c r="C46" i="1" s="1"/>
  <c r="R33" i="14" l="1" a="1"/>
  <c r="R33" i="14" s="1"/>
  <c r="R34" i="14" a="1"/>
  <c r="R34" i="14" s="1"/>
  <c r="S32" i="14" a="1"/>
  <c r="S32" i="14" s="1"/>
  <c r="S33" i="14" a="1"/>
  <c r="S33" i="14" s="1"/>
  <c r="Q32" i="14" a="1"/>
  <c r="Q32" i="14" s="1"/>
  <c r="Q33" i="14" a="1"/>
  <c r="Q33" i="14" s="1"/>
  <c r="R31" i="14" a="1"/>
  <c r="R31" i="14" s="1"/>
  <c r="R32" i="14" a="1"/>
  <c r="R32" i="14" s="1"/>
  <c r="S30" i="14" a="1"/>
  <c r="S30" i="14" s="1"/>
  <c r="S31" i="14" a="1"/>
  <c r="S31" i="14" s="1"/>
  <c r="Q30" i="14" a="1"/>
  <c r="Q30" i="14" s="1"/>
  <c r="Q31" i="14" a="1"/>
  <c r="Q31" i="14" s="1"/>
  <c r="R30" i="14" a="1"/>
  <c r="R30" i="14" s="1"/>
  <c r="P30" i="14" a="1"/>
  <c r="P30" i="14" s="1"/>
  <c r="P31" i="14" a="1"/>
  <c r="P31" i="14" s="1"/>
  <c r="P32" i="14" a="1"/>
  <c r="P32" i="14" s="1"/>
  <c r="P33" i="14" a="1"/>
  <c r="P33" i="14" s="1"/>
  <c r="P34" i="14" a="1"/>
  <c r="P34" i="14" s="1"/>
  <c r="P24" i="14" a="1"/>
  <c r="P24" i="14" s="1"/>
  <c r="P25" i="14" a="1"/>
  <c r="P25" i="14" s="1"/>
  <c r="P26" i="14" a="1"/>
  <c r="P26" i="14" s="1"/>
  <c r="P27" i="14" a="1"/>
  <c r="P27" i="14" s="1"/>
  <c r="S36" i="14"/>
  <c r="S41" i="14" s="1" a="1"/>
  <c r="S41" i="14" s="1"/>
  <c r="Q36" i="14"/>
  <c r="Q41" i="14" s="1" a="1"/>
  <c r="Q41" i="14" s="1"/>
  <c r="R36" i="14"/>
  <c r="R41" i="14" s="1" a="1"/>
  <c r="R41" i="14" s="1"/>
  <c r="P36" i="14"/>
  <c r="K46" i="1"/>
  <c r="I20" i="7" s="1"/>
  <c r="E46" i="1"/>
  <c r="F46" i="1"/>
  <c r="G46" i="1"/>
  <c r="E20" i="7" s="1"/>
  <c r="I46" i="1"/>
  <c r="J46" i="1"/>
  <c r="H20" i="7" s="1"/>
  <c r="D46" i="1"/>
  <c r="W6" i="14" l="1" a="1"/>
  <c r="W6" i="14" s="1"/>
  <c r="W4" i="14" a="1"/>
  <c r="W4" i="14" s="1"/>
  <c r="W5" i="14" a="1"/>
  <c r="W5" i="14" s="1"/>
  <c r="W2" i="14" a="1"/>
  <c r="W2" i="14" s="1"/>
  <c r="W3" i="14" a="1"/>
  <c r="W3" i="14" s="1"/>
  <c r="W8" i="14"/>
  <c r="T5" i="14" a="1"/>
  <c r="T5" i="14" s="1"/>
  <c r="T6" i="14" a="1"/>
  <c r="T6" i="14" s="1"/>
  <c r="T3" i="14" a="1"/>
  <c r="T3" i="14" s="1"/>
  <c r="T4" i="14" a="1"/>
  <c r="T4" i="14" s="1"/>
  <c r="T8" i="14"/>
  <c r="T2" i="14" a="1"/>
  <c r="T2" i="14" s="1"/>
  <c r="X5" i="14" a="1"/>
  <c r="X5" i="14" s="1"/>
  <c r="X6" i="14" a="1"/>
  <c r="X6" i="14" s="1"/>
  <c r="X3" i="14" a="1"/>
  <c r="X3" i="14" s="1"/>
  <c r="X4" i="14" a="1"/>
  <c r="X4" i="14" s="1"/>
  <c r="X8" i="14"/>
  <c r="X2" i="14" a="1"/>
  <c r="X2" i="14" s="1"/>
  <c r="V6" i="14" a="1"/>
  <c r="V6" i="14" s="1"/>
  <c r="V4" i="14" a="1"/>
  <c r="V4" i="14" s="1"/>
  <c r="V5" i="14" a="1"/>
  <c r="V5" i="14" s="1"/>
  <c r="V2" i="14" a="1"/>
  <c r="V2" i="14" s="1"/>
  <c r="V3" i="14" a="1"/>
  <c r="V3" i="14" s="1"/>
  <c r="V8" i="14"/>
  <c r="R39" i="14" a="1"/>
  <c r="R39" i="14" s="1"/>
  <c r="R40" i="14" a="1"/>
  <c r="R40" i="14" s="1"/>
  <c r="Q39" i="14" a="1"/>
  <c r="Q39" i="14" s="1"/>
  <c r="Q40" i="14" a="1"/>
  <c r="Q40" i="14" s="1"/>
  <c r="S39" i="14" a="1"/>
  <c r="S39" i="14" s="1"/>
  <c r="S40" i="14" a="1"/>
  <c r="S40" i="14" s="1"/>
  <c r="R37" i="14" a="1"/>
  <c r="R37" i="14" s="1"/>
  <c r="R38" i="14" a="1"/>
  <c r="R38" i="14" s="1"/>
  <c r="Q37" i="14" a="1"/>
  <c r="Q37" i="14" s="1"/>
  <c r="Q38" i="14" a="1"/>
  <c r="Q38" i="14" s="1"/>
  <c r="S37" i="14" a="1"/>
  <c r="S37" i="14" s="1"/>
  <c r="S38" i="14" a="1"/>
  <c r="S38" i="14" s="1"/>
  <c r="P38" i="14" a="1"/>
  <c r="P38" i="14" s="1"/>
  <c r="P39" i="14" a="1"/>
  <c r="P39" i="14" s="1"/>
  <c r="P40" i="14" a="1"/>
  <c r="P40" i="14" s="1"/>
  <c r="P41" i="14" a="1"/>
  <c r="P41" i="14" s="1"/>
  <c r="R43" i="14"/>
  <c r="Q43" i="14"/>
  <c r="S43" i="14"/>
  <c r="P43" i="14"/>
  <c r="P37" i="14" a="1"/>
  <c r="P37" i="14" s="1"/>
  <c r="P42" i="14" s="1"/>
  <c r="AA21" i="14"/>
  <c r="Z21" i="14"/>
  <c r="Z128" i="14" s="1"/>
  <c r="Y21" i="14"/>
  <c r="W13" i="14" l="1" a="1"/>
  <c r="W13" i="14" s="1"/>
  <c r="W11" i="14" a="1"/>
  <c r="W11" i="14" s="1"/>
  <c r="W12" i="14" a="1"/>
  <c r="W12" i="14" s="1"/>
  <c r="W9" i="14" a="1"/>
  <c r="W9" i="14" s="1"/>
  <c r="W10" i="14" a="1"/>
  <c r="W10" i="14" s="1"/>
  <c r="W15" i="14"/>
  <c r="T13" i="14" a="1"/>
  <c r="T13" i="14" s="1"/>
  <c r="T15" i="14"/>
  <c r="T11" i="14" a="1"/>
  <c r="T11" i="14" s="1"/>
  <c r="T12" i="14" a="1"/>
  <c r="T12" i="14" s="1"/>
  <c r="T9" i="14" a="1"/>
  <c r="T9" i="14" s="1"/>
  <c r="T10" i="14" a="1"/>
  <c r="T10" i="14" s="1"/>
  <c r="X13" i="14" a="1"/>
  <c r="X13" i="14" s="1"/>
  <c r="X15" i="14"/>
  <c r="X11" i="14" a="1"/>
  <c r="X11" i="14" s="1"/>
  <c r="X12" i="14" a="1"/>
  <c r="X12" i="14" s="1"/>
  <c r="X9" i="14" a="1"/>
  <c r="X9" i="14" s="1"/>
  <c r="X10" i="14" a="1"/>
  <c r="X10" i="14" s="1"/>
  <c r="V13" i="14" a="1"/>
  <c r="V13" i="14" s="1"/>
  <c r="V11" i="14" a="1"/>
  <c r="V11" i="14" s="1"/>
  <c r="V12" i="14" a="1"/>
  <c r="V12" i="14" s="1"/>
  <c r="V9" i="14" a="1"/>
  <c r="V9" i="14" s="1"/>
  <c r="V10" i="14" a="1"/>
  <c r="V10" i="14" s="1"/>
  <c r="V15" i="14"/>
  <c r="S47" i="14" a="1"/>
  <c r="S47" i="14" s="1"/>
  <c r="S48" i="14" a="1"/>
  <c r="S48" i="14" s="1"/>
  <c r="Q47" i="14" a="1"/>
  <c r="Q47" i="14" s="1"/>
  <c r="Q48" i="14" a="1"/>
  <c r="Q48" i="14" s="1"/>
  <c r="R47" i="14" a="1"/>
  <c r="R47" i="14" s="1"/>
  <c r="R48" i="14" a="1"/>
  <c r="R48" i="14" s="1"/>
  <c r="S45" i="14" a="1"/>
  <c r="S45" i="14" s="1"/>
  <c r="S46" i="14" a="1"/>
  <c r="S46" i="14" s="1"/>
  <c r="Q45" i="14" a="1"/>
  <c r="Q45" i="14" s="1"/>
  <c r="Q46" i="14" a="1"/>
  <c r="Q46" i="14" s="1"/>
  <c r="R45" i="14" a="1"/>
  <c r="R45" i="14" s="1"/>
  <c r="R46" i="14" a="1"/>
  <c r="R46" i="14" s="1"/>
  <c r="S44" i="14" a="1"/>
  <c r="S44" i="14" s="1"/>
  <c r="Q44" i="14" a="1"/>
  <c r="Q44" i="14" s="1"/>
  <c r="R44" i="14" a="1"/>
  <c r="R44" i="14" s="1"/>
  <c r="P45" i="14" a="1"/>
  <c r="P45" i="14" s="1"/>
  <c r="P46" i="14" a="1"/>
  <c r="P46" i="14" s="1"/>
  <c r="P47" i="14" a="1"/>
  <c r="P47" i="14" s="1"/>
  <c r="P48" i="14" a="1"/>
  <c r="P48" i="14" s="1"/>
  <c r="S50" i="14"/>
  <c r="Q50" i="14"/>
  <c r="R50" i="14"/>
  <c r="P50" i="14"/>
  <c r="P44" i="14" a="1"/>
  <c r="P44" i="14" s="1"/>
  <c r="AA128" i="14"/>
  <c r="AA132" i="14"/>
  <c r="Y132" i="14"/>
  <c r="Y128" i="14"/>
  <c r="Z132" i="14"/>
  <c r="W20" i="14" l="1" a="1"/>
  <c r="W20" i="14" s="1"/>
  <c r="W18" i="14" a="1"/>
  <c r="W18" i="14" s="1"/>
  <c r="W19" i="14" a="1"/>
  <c r="W19" i="14" s="1"/>
  <c r="W16" i="14" a="1"/>
  <c r="W16" i="14" s="1"/>
  <c r="W22" i="14" s="1"/>
  <c r="W17" i="14" a="1"/>
  <c r="W17" i="14" s="1"/>
  <c r="T20" i="14" a="1"/>
  <c r="T20" i="14" s="1"/>
  <c r="T18" i="14" a="1"/>
  <c r="T18" i="14" s="1"/>
  <c r="T19" i="14" a="1"/>
  <c r="T19" i="14" s="1"/>
  <c r="T16" i="14" a="1"/>
  <c r="T16" i="14" s="1"/>
  <c r="T22" i="14" s="1"/>
  <c r="T17" i="14" a="1"/>
  <c r="T17" i="14" s="1"/>
  <c r="X20" i="14" a="1"/>
  <c r="X20" i="14" s="1"/>
  <c r="X18" i="14" a="1"/>
  <c r="X18" i="14" s="1"/>
  <c r="X19" i="14" a="1"/>
  <c r="X19" i="14" s="1"/>
  <c r="X16" i="14" a="1"/>
  <c r="X16" i="14" s="1"/>
  <c r="X22" i="14" s="1"/>
  <c r="X17" i="14" a="1"/>
  <c r="X17" i="14" s="1"/>
  <c r="V20" i="14" a="1"/>
  <c r="V20" i="14" s="1"/>
  <c r="V18" i="14" a="1"/>
  <c r="V18" i="14" s="1"/>
  <c r="V19" i="14" a="1"/>
  <c r="V19" i="14" s="1"/>
  <c r="V16" i="14" a="1"/>
  <c r="V16" i="14" s="1"/>
  <c r="V22" i="14" s="1"/>
  <c r="V17" i="14" a="1"/>
  <c r="V17" i="14" s="1"/>
  <c r="R54" i="14" a="1"/>
  <c r="R54" i="14" s="1"/>
  <c r="R55" i="14" a="1"/>
  <c r="R55" i="14" s="1"/>
  <c r="Q54" i="14" a="1"/>
  <c r="Q54" i="14" s="1"/>
  <c r="Q55" i="14" a="1"/>
  <c r="Q55" i="14" s="1"/>
  <c r="S54" i="14" a="1"/>
  <c r="S54" i="14" s="1"/>
  <c r="S55" i="14" a="1"/>
  <c r="S55" i="14" s="1"/>
  <c r="R52" i="14" a="1"/>
  <c r="R52" i="14" s="1"/>
  <c r="R53" i="14" a="1"/>
  <c r="R53" i="14" s="1"/>
  <c r="Q52" i="14" a="1"/>
  <c r="Q52" i="14" s="1"/>
  <c r="Q53" i="14" a="1"/>
  <c r="Q53" i="14" s="1"/>
  <c r="S52" i="14" a="1"/>
  <c r="S52" i="14" s="1"/>
  <c r="S53" i="14" a="1"/>
  <c r="S53" i="14" s="1"/>
  <c r="R57" i="14"/>
  <c r="R51" i="14" a="1"/>
  <c r="R51" i="14" s="1"/>
  <c r="Q57" i="14"/>
  <c r="Q51" i="14" a="1"/>
  <c r="Q51" i="14" s="1"/>
  <c r="S57" i="14"/>
  <c r="S51" i="14" a="1"/>
  <c r="S51" i="14" s="1"/>
  <c r="P52" i="14" a="1"/>
  <c r="P52" i="14" s="1"/>
  <c r="P53" i="14" a="1"/>
  <c r="P53" i="14" s="1"/>
  <c r="P54" i="14" a="1"/>
  <c r="P54" i="14" s="1"/>
  <c r="P55" i="14" a="1"/>
  <c r="P55" i="14" s="1"/>
  <c r="P57" i="14"/>
  <c r="P51" i="14" a="1"/>
  <c r="P51" i="14" s="1"/>
  <c r="B12" i="7"/>
  <c r="W26" i="14" l="1" a="1"/>
  <c r="W26" i="14" s="1"/>
  <c r="W27" i="14" a="1"/>
  <c r="W27" i="14" s="1"/>
  <c r="W24" i="14" a="1"/>
  <c r="W24" i="14" s="1"/>
  <c r="W25" i="14" a="1"/>
  <c r="W25" i="14" s="1"/>
  <c r="W23" i="14" a="1"/>
  <c r="W23" i="14" s="1"/>
  <c r="W29" i="14"/>
  <c r="T26" i="14" a="1"/>
  <c r="T26" i="14" s="1"/>
  <c r="T27" i="14" a="1"/>
  <c r="T27" i="14" s="1"/>
  <c r="T24" i="14" a="1"/>
  <c r="T24" i="14" s="1"/>
  <c r="T25" i="14" a="1"/>
  <c r="T25" i="14" s="1"/>
  <c r="T23" i="14" a="1"/>
  <c r="T23" i="14" s="1"/>
  <c r="T29" i="14"/>
  <c r="X26" i="14" a="1"/>
  <c r="X26" i="14" s="1"/>
  <c r="X27" i="14" a="1"/>
  <c r="X27" i="14" s="1"/>
  <c r="X24" i="14" a="1"/>
  <c r="X24" i="14" s="1"/>
  <c r="X25" i="14" a="1"/>
  <c r="X25" i="14" s="1"/>
  <c r="X23" i="14" a="1"/>
  <c r="X23" i="14" s="1"/>
  <c r="X29" i="14"/>
  <c r="V26" i="14" a="1"/>
  <c r="V26" i="14" s="1"/>
  <c r="V27" i="14" a="1"/>
  <c r="V27" i="14" s="1"/>
  <c r="V24" i="14" a="1"/>
  <c r="V24" i="14" s="1"/>
  <c r="V25" i="14" a="1"/>
  <c r="V25" i="14" s="1"/>
  <c r="V23" i="14" a="1"/>
  <c r="V23" i="14" s="1"/>
  <c r="V29" i="14"/>
  <c r="S61" i="14" a="1"/>
  <c r="S61" i="14" s="1"/>
  <c r="S62" i="14" a="1"/>
  <c r="S62" i="14" s="1"/>
  <c r="Q61" i="14" a="1"/>
  <c r="Q61" i="14" s="1"/>
  <c r="Q62" i="14" a="1"/>
  <c r="Q62" i="14" s="1"/>
  <c r="R61" i="14" a="1"/>
  <c r="R61" i="14" s="1"/>
  <c r="R62" i="14" a="1"/>
  <c r="R62" i="14" s="1"/>
  <c r="S59" i="14" a="1"/>
  <c r="S59" i="14" s="1"/>
  <c r="S60" i="14" a="1"/>
  <c r="S60" i="14" s="1"/>
  <c r="Q59" i="14" a="1"/>
  <c r="Q59" i="14" s="1"/>
  <c r="Q60" i="14" a="1"/>
  <c r="Q60" i="14" s="1"/>
  <c r="R59" i="14" a="1"/>
  <c r="R59" i="14" s="1"/>
  <c r="R60" i="14" a="1"/>
  <c r="R60" i="14" s="1"/>
  <c r="S64" i="14"/>
  <c r="S58" i="14" a="1"/>
  <c r="S58" i="14" s="1"/>
  <c r="Q64" i="14"/>
  <c r="Q58" i="14" a="1"/>
  <c r="Q58" i="14" s="1"/>
  <c r="R64" i="14"/>
  <c r="R58" i="14" a="1"/>
  <c r="R58" i="14" s="1"/>
  <c r="P59" i="14" a="1"/>
  <c r="P59" i="14" s="1"/>
  <c r="P60" i="14" a="1"/>
  <c r="P60" i="14" s="1"/>
  <c r="P61" i="14" a="1"/>
  <c r="P61" i="14" s="1"/>
  <c r="P62" i="14" a="1"/>
  <c r="P62" i="14" s="1"/>
  <c r="P64" i="14"/>
  <c r="P58" i="14" a="1"/>
  <c r="P58" i="14" s="1"/>
  <c r="P56" i="14"/>
  <c r="A8" i="7"/>
  <c r="C12" i="7"/>
  <c r="F12" i="7"/>
  <c r="C4" i="7"/>
  <c r="A12" i="7"/>
  <c r="B4" i="7"/>
  <c r="I12" i="7"/>
  <c r="A4" i="7"/>
  <c r="E4" i="7" a="1"/>
  <c r="E4" i="7" s="1"/>
  <c r="G4" i="7" a="1"/>
  <c r="G4" i="7" s="1"/>
  <c r="A16" i="7"/>
  <c r="B16" i="7"/>
  <c r="B13" i="7"/>
  <c r="B8" i="7"/>
  <c r="F4" i="7" a="1"/>
  <c r="F4" i="7" s="1"/>
  <c r="D12" i="7"/>
  <c r="G12" i="7"/>
  <c r="H12" i="7"/>
  <c r="W34" i="14" l="1" a="1"/>
  <c r="W34" i="14" s="1"/>
  <c r="W32" i="14" a="1"/>
  <c r="W32" i="14" s="1"/>
  <c r="W33" i="14" a="1"/>
  <c r="W33" i="14" s="1"/>
  <c r="W30" i="14" a="1"/>
  <c r="W30" i="14" s="1"/>
  <c r="W31" i="14" a="1"/>
  <c r="W31" i="14" s="1"/>
  <c r="W36" i="14"/>
  <c r="T34" i="14" a="1"/>
  <c r="T34" i="14" s="1"/>
  <c r="T32" i="14" a="1"/>
  <c r="T32" i="14" s="1"/>
  <c r="T33" i="14" a="1"/>
  <c r="T33" i="14" s="1"/>
  <c r="T30" i="14" a="1"/>
  <c r="T30" i="14" s="1"/>
  <c r="T31" i="14" a="1"/>
  <c r="T31" i="14" s="1"/>
  <c r="T36" i="14"/>
  <c r="X34" i="14" a="1"/>
  <c r="X34" i="14" s="1"/>
  <c r="X32" i="14" a="1"/>
  <c r="X32" i="14" s="1"/>
  <c r="X33" i="14" a="1"/>
  <c r="X33" i="14" s="1"/>
  <c r="X30" i="14" a="1"/>
  <c r="X30" i="14" s="1"/>
  <c r="X31" i="14" a="1"/>
  <c r="X31" i="14" s="1"/>
  <c r="X36" i="14"/>
  <c r="V34" i="14" a="1"/>
  <c r="V34" i="14" s="1"/>
  <c r="V32" i="14" a="1"/>
  <c r="V32" i="14" s="1"/>
  <c r="V33" i="14" a="1"/>
  <c r="V33" i="14" s="1"/>
  <c r="V30" i="14" a="1"/>
  <c r="V30" i="14" s="1"/>
  <c r="V31" i="14" a="1"/>
  <c r="V31" i="14" s="1"/>
  <c r="V36" i="14"/>
  <c r="R71" i="14"/>
  <c r="R65" i="14" a="1"/>
  <c r="R65" i="14" s="1"/>
  <c r="R66" i="14" a="1"/>
  <c r="R66" i="14" s="1"/>
  <c r="R67" i="14" a="1"/>
  <c r="R67" i="14" s="1"/>
  <c r="R68" i="14" a="1"/>
  <c r="R68" i="14" s="1"/>
  <c r="R69" i="14" a="1"/>
  <c r="R69" i="14" s="1"/>
  <c r="Q71" i="14"/>
  <c r="Q65" i="14" a="1"/>
  <c r="Q65" i="14" s="1"/>
  <c r="Q66" i="14" a="1"/>
  <c r="Q66" i="14" s="1"/>
  <c r="Q67" i="14" a="1"/>
  <c r="Q67" i="14" s="1"/>
  <c r="Q68" i="14" a="1"/>
  <c r="Q68" i="14" s="1"/>
  <c r="Q69" i="14" a="1"/>
  <c r="Q69" i="14" s="1"/>
  <c r="S71" i="14"/>
  <c r="S65" i="14" a="1"/>
  <c r="S65" i="14" s="1"/>
  <c r="S66" i="14" a="1"/>
  <c r="S66" i="14" s="1"/>
  <c r="S67" i="14" a="1"/>
  <c r="S67" i="14" s="1"/>
  <c r="S68" i="14" a="1"/>
  <c r="S68" i="14" s="1"/>
  <c r="S69" i="14" a="1"/>
  <c r="S69" i="14" s="1"/>
  <c r="P66" i="14" a="1"/>
  <c r="P66" i="14" s="1"/>
  <c r="P67" i="14" a="1"/>
  <c r="P67" i="14" s="1"/>
  <c r="P68" i="14" a="1"/>
  <c r="P68" i="14" s="1"/>
  <c r="P69" i="14" a="1"/>
  <c r="P69" i="14" s="1"/>
  <c r="P71" i="14"/>
  <c r="P65" i="14" a="1"/>
  <c r="P65" i="14" s="1"/>
  <c r="P63" i="14"/>
  <c r="H4" i="7" a="1"/>
  <c r="H4" i="7" s="1"/>
  <c r="D4" i="7" a="1"/>
  <c r="D4" i="7" s="1"/>
  <c r="J12" i="7" a="1"/>
  <c r="J12" i="7" s="1"/>
  <c r="E12" i="7" a="1"/>
  <c r="E12" i="7" s="1"/>
  <c r="E200" i="11" a="1"/>
  <c r="E200" i="11" s="1"/>
  <c r="W41" i="14" l="1" a="1"/>
  <c r="W41" i="14" s="1"/>
  <c r="W39" i="14" a="1"/>
  <c r="W39" i="14" s="1"/>
  <c r="W40" i="14" a="1"/>
  <c r="W40" i="14" s="1"/>
  <c r="W37" i="14" a="1"/>
  <c r="W37" i="14" s="1"/>
  <c r="W38" i="14" a="1"/>
  <c r="W38" i="14" s="1"/>
  <c r="W43" i="14"/>
  <c r="T41" i="14" a="1"/>
  <c r="T41" i="14" s="1"/>
  <c r="T39" i="14" a="1"/>
  <c r="T39" i="14" s="1"/>
  <c r="T40" i="14" a="1"/>
  <c r="T40" i="14" s="1"/>
  <c r="T37" i="14" a="1"/>
  <c r="T37" i="14" s="1"/>
  <c r="T38" i="14" a="1"/>
  <c r="T38" i="14" s="1"/>
  <c r="T43" i="14"/>
  <c r="X41" i="14" a="1"/>
  <c r="X41" i="14" s="1"/>
  <c r="X39" i="14" a="1"/>
  <c r="X39" i="14" s="1"/>
  <c r="X40" i="14" a="1"/>
  <c r="X40" i="14" s="1"/>
  <c r="X37" i="14" a="1"/>
  <c r="X37" i="14" s="1"/>
  <c r="X38" i="14" a="1"/>
  <c r="X38" i="14" s="1"/>
  <c r="X43" i="14"/>
  <c r="V41" i="14" a="1"/>
  <c r="V41" i="14" s="1"/>
  <c r="V39" i="14" a="1"/>
  <c r="V39" i="14" s="1"/>
  <c r="V40" i="14" a="1"/>
  <c r="V40" i="14" s="1"/>
  <c r="V37" i="14" a="1"/>
  <c r="V37" i="14" s="1"/>
  <c r="V38" i="14" a="1"/>
  <c r="V38" i="14" s="1"/>
  <c r="V43" i="14"/>
  <c r="D51" i="1" a="1"/>
  <c r="D51" i="1" s="1"/>
  <c r="E51" i="1" a="1"/>
  <c r="E51" i="1" s="1"/>
  <c r="F51" i="1" a="1"/>
  <c r="F51" i="1" s="1"/>
  <c r="G51" i="1" a="1"/>
  <c r="G51" i="1" s="1"/>
  <c r="H51" i="1" a="1"/>
  <c r="H51" i="1" s="1"/>
  <c r="I51" i="1" a="1"/>
  <c r="I51" i="1" s="1"/>
  <c r="J51" i="1" a="1"/>
  <c r="J51" i="1" s="1"/>
  <c r="K51" i="1" a="1"/>
  <c r="K51" i="1" s="1"/>
  <c r="C51" i="1" a="1"/>
  <c r="C51" i="1" s="1"/>
  <c r="S78" i="14"/>
  <c r="S72" i="14" a="1"/>
  <c r="S72" i="14" s="1"/>
  <c r="S73" i="14" a="1"/>
  <c r="S73" i="14" s="1"/>
  <c r="S74" i="14" a="1"/>
  <c r="S74" i="14" s="1"/>
  <c r="S75" i="14" a="1"/>
  <c r="S75" i="14" s="1"/>
  <c r="S76" i="14" a="1"/>
  <c r="S76" i="14" s="1"/>
  <c r="Q78" i="14"/>
  <c r="Q72" i="14" a="1"/>
  <c r="Q72" i="14" s="1"/>
  <c r="Q73" i="14" a="1"/>
  <c r="Q73" i="14" s="1"/>
  <c r="Q74" i="14" a="1"/>
  <c r="Q74" i="14" s="1"/>
  <c r="Q75" i="14" a="1"/>
  <c r="Q75" i="14" s="1"/>
  <c r="Q76" i="14" a="1"/>
  <c r="Q76" i="14" s="1"/>
  <c r="R78" i="14"/>
  <c r="R72" i="14" a="1"/>
  <c r="R72" i="14" s="1"/>
  <c r="R73" i="14" a="1"/>
  <c r="R73" i="14" s="1"/>
  <c r="R74" i="14" a="1"/>
  <c r="R74" i="14" s="1"/>
  <c r="R75" i="14" a="1"/>
  <c r="R75" i="14" s="1"/>
  <c r="R76" i="14" a="1"/>
  <c r="R76" i="14" s="1"/>
  <c r="P73" i="14" a="1"/>
  <c r="P73" i="14" s="1"/>
  <c r="P74" i="14" a="1"/>
  <c r="P74" i="14" s="1"/>
  <c r="P75" i="14" a="1"/>
  <c r="P75" i="14" s="1"/>
  <c r="P76" i="14" a="1"/>
  <c r="P76" i="14" s="1"/>
  <c r="P78" i="14"/>
  <c r="P72" i="14" a="1"/>
  <c r="P72" i="14" s="1"/>
  <c r="C9" i="1" a="1"/>
  <c r="C9" i="1" s="1"/>
  <c r="P49" i="14"/>
  <c r="P70" i="14"/>
  <c r="C10" i="1" s="1" a="1"/>
  <c r="C10" i="1" s="1"/>
  <c r="C7" i="1" a="1"/>
  <c r="C7" i="1" s="1"/>
  <c r="P77" i="14"/>
  <c r="P28" i="14"/>
  <c r="C6" i="1" s="1" a="1"/>
  <c r="C6" i="1" s="1"/>
  <c r="P35" i="14"/>
  <c r="P7" i="14"/>
  <c r="P14" i="14"/>
  <c r="C5" i="1" s="1" a="1"/>
  <c r="C5" i="1" s="1"/>
  <c r="W47" i="14" l="1" a="1"/>
  <c r="W47" i="14" s="1"/>
  <c r="W48" i="14" a="1"/>
  <c r="W48" i="14" s="1"/>
  <c r="W45" i="14" a="1"/>
  <c r="W45" i="14" s="1"/>
  <c r="W46" i="14" a="1"/>
  <c r="W46" i="14" s="1"/>
  <c r="W44" i="14" a="1"/>
  <c r="W44" i="14" s="1"/>
  <c r="W50" i="14"/>
  <c r="T47" i="14" a="1"/>
  <c r="T47" i="14" s="1"/>
  <c r="T48" i="14" a="1"/>
  <c r="T48" i="14" s="1"/>
  <c r="T45" i="14" a="1"/>
  <c r="T45" i="14" s="1"/>
  <c r="T46" i="14" a="1"/>
  <c r="T46" i="14" s="1"/>
  <c r="T44" i="14" a="1"/>
  <c r="T44" i="14" s="1"/>
  <c r="T50" i="14"/>
  <c r="X47" i="14" a="1"/>
  <c r="X47" i="14" s="1"/>
  <c r="X48" i="14" a="1"/>
  <c r="X48" i="14" s="1"/>
  <c r="X45" i="14" a="1"/>
  <c r="X45" i="14" s="1"/>
  <c r="X46" i="14" a="1"/>
  <c r="X46" i="14" s="1"/>
  <c r="X44" i="14" a="1"/>
  <c r="X44" i="14" s="1"/>
  <c r="X50" i="14"/>
  <c r="V47" i="14" a="1"/>
  <c r="V47" i="14" s="1"/>
  <c r="V48" i="14" a="1"/>
  <c r="V48" i="14" s="1"/>
  <c r="V45" i="14" a="1"/>
  <c r="V45" i="14" s="1"/>
  <c r="V46" i="14" a="1"/>
  <c r="V46" i="14" s="1"/>
  <c r="V44" i="14" a="1"/>
  <c r="V44" i="14" s="1"/>
  <c r="V50" i="14"/>
  <c r="R85" i="14"/>
  <c r="R79" i="14" a="1"/>
  <c r="R79" i="14" s="1"/>
  <c r="R80" i="14" a="1"/>
  <c r="R80" i="14" s="1"/>
  <c r="R81" i="14" a="1"/>
  <c r="R81" i="14" s="1"/>
  <c r="R82" i="14" a="1"/>
  <c r="R82" i="14" s="1"/>
  <c r="R83" i="14" a="1"/>
  <c r="R83" i="14" s="1"/>
  <c r="Q85" i="14"/>
  <c r="Q79" i="14" a="1"/>
  <c r="Q79" i="14" s="1"/>
  <c r="Q80" i="14" a="1"/>
  <c r="Q80" i="14" s="1"/>
  <c r="Q81" i="14" a="1"/>
  <c r="Q81" i="14" s="1"/>
  <c r="Q82" i="14" a="1"/>
  <c r="Q82" i="14" s="1"/>
  <c r="Q83" i="14" a="1"/>
  <c r="Q83" i="14" s="1"/>
  <c r="S85" i="14"/>
  <c r="S79" i="14" a="1"/>
  <c r="S79" i="14" s="1"/>
  <c r="S80" i="14" a="1"/>
  <c r="S80" i="14" s="1"/>
  <c r="S81" i="14" a="1"/>
  <c r="S81" i="14" s="1"/>
  <c r="S82" i="14" a="1"/>
  <c r="S82" i="14" s="1"/>
  <c r="S83" i="14" a="1"/>
  <c r="S83" i="14" s="1"/>
  <c r="P80" i="14" a="1"/>
  <c r="P80" i="14" s="1"/>
  <c r="P81" i="14" a="1"/>
  <c r="P81" i="14" s="1"/>
  <c r="P82" i="14" a="1"/>
  <c r="P82" i="14" s="1"/>
  <c r="P83" i="14" a="1"/>
  <c r="P83" i="14" s="1"/>
  <c r="P85" i="14"/>
  <c r="P79" i="14" a="1"/>
  <c r="P79" i="14" s="1"/>
  <c r="P129" i="14"/>
  <c r="C8" i="1" s="1" a="1"/>
  <c r="C8" i="1" s="1"/>
  <c r="P128" i="14"/>
  <c r="C4" i="1" s="1" a="1"/>
  <c r="C4" i="1" s="1"/>
  <c r="Q77" i="14"/>
  <c r="W35" i="14"/>
  <c r="W54" i="14" l="1" a="1"/>
  <c r="W54" i="14" s="1"/>
  <c r="W55" i="14" a="1"/>
  <c r="W55" i="14" s="1"/>
  <c r="W52" i="14" a="1"/>
  <c r="W52" i="14" s="1"/>
  <c r="W53" i="14" a="1"/>
  <c r="W53" i="14" s="1"/>
  <c r="W57" i="14"/>
  <c r="W51" i="14" a="1"/>
  <c r="W51" i="14" s="1"/>
  <c r="T54" i="14" a="1"/>
  <c r="T54" i="14" s="1"/>
  <c r="T55" i="14" a="1"/>
  <c r="T55" i="14" s="1"/>
  <c r="T52" i="14" a="1"/>
  <c r="T52" i="14" s="1"/>
  <c r="T53" i="14" a="1"/>
  <c r="T53" i="14" s="1"/>
  <c r="T57" i="14"/>
  <c r="T51" i="14" a="1"/>
  <c r="T51" i="14" s="1"/>
  <c r="X54" i="14" a="1"/>
  <c r="X54" i="14" s="1"/>
  <c r="X55" i="14" a="1"/>
  <c r="X55" i="14" s="1"/>
  <c r="X52" i="14" a="1"/>
  <c r="X52" i="14" s="1"/>
  <c r="X53" i="14" a="1"/>
  <c r="X53" i="14" s="1"/>
  <c r="X57" i="14"/>
  <c r="X51" i="14" a="1"/>
  <c r="X51" i="14" s="1"/>
  <c r="V54" i="14" a="1"/>
  <c r="V54" i="14" s="1"/>
  <c r="V55" i="14" a="1"/>
  <c r="V55" i="14" s="1"/>
  <c r="V52" i="14" a="1"/>
  <c r="V52" i="14" s="1"/>
  <c r="V53" i="14" a="1"/>
  <c r="V53" i="14" s="1"/>
  <c r="V57" i="14"/>
  <c r="V51" i="14" a="1"/>
  <c r="V51" i="14" s="1"/>
  <c r="S92" i="14"/>
  <c r="S86" i="14" a="1"/>
  <c r="S86" i="14" s="1"/>
  <c r="S87" i="14" a="1"/>
  <c r="S87" i="14" s="1"/>
  <c r="S88" i="14" a="1"/>
  <c r="S88" i="14" s="1"/>
  <c r="S89" i="14" a="1"/>
  <c r="S89" i="14" s="1"/>
  <c r="S90" i="14" a="1"/>
  <c r="S90" i="14" s="1"/>
  <c r="Q92" i="14"/>
  <c r="Q86" i="14" a="1"/>
  <c r="Q86" i="14" s="1"/>
  <c r="Q87" i="14" a="1"/>
  <c r="Q87" i="14" s="1"/>
  <c r="Q88" i="14" a="1"/>
  <c r="Q88" i="14" s="1"/>
  <c r="Q89" i="14" a="1"/>
  <c r="Q89" i="14" s="1"/>
  <c r="Q90" i="14" a="1"/>
  <c r="Q90" i="14" s="1"/>
  <c r="R92" i="14"/>
  <c r="R86" i="14" a="1"/>
  <c r="R86" i="14" s="1"/>
  <c r="R87" i="14" a="1"/>
  <c r="R87" i="14" s="1"/>
  <c r="R88" i="14" a="1"/>
  <c r="R88" i="14" s="1"/>
  <c r="R89" i="14" a="1"/>
  <c r="R89" i="14" s="1"/>
  <c r="R90" i="14" a="1"/>
  <c r="R90" i="14" s="1"/>
  <c r="P87" i="14" a="1"/>
  <c r="P87" i="14" s="1"/>
  <c r="P88" i="14" a="1"/>
  <c r="P88" i="14" s="1"/>
  <c r="P89" i="14" a="1"/>
  <c r="P89" i="14" s="1"/>
  <c r="P90" i="14" a="1"/>
  <c r="P90" i="14" s="1"/>
  <c r="P92" i="14"/>
  <c r="P86" i="14" a="1"/>
  <c r="P86" i="14" s="1"/>
  <c r="P84" i="14"/>
  <c r="C11" i="1" s="1" a="1"/>
  <c r="C11" i="1" s="1"/>
  <c r="Q56" i="14"/>
  <c r="D9" i="1" s="1" a="1"/>
  <c r="D9" i="1" s="1"/>
  <c r="Q35" i="14"/>
  <c r="Q49" i="14"/>
  <c r="W21" i="14"/>
  <c r="X14" i="14"/>
  <c r="K5" i="1" s="1" a="1"/>
  <c r="K5" i="1" s="1"/>
  <c r="S84" i="14"/>
  <c r="F11" i="1" s="1" a="1"/>
  <c r="F11" i="1" s="1"/>
  <c r="S28" i="14"/>
  <c r="F6" i="1" s="1" a="1"/>
  <c r="F6" i="1" s="1"/>
  <c r="T35" i="14"/>
  <c r="S35" i="14"/>
  <c r="S91" i="14"/>
  <c r="S63" i="14"/>
  <c r="R21" i="14"/>
  <c r="X42" i="14"/>
  <c r="K7" i="1" s="1" a="1"/>
  <c r="K7" i="1" s="1"/>
  <c r="Q63" i="14"/>
  <c r="S21" i="14"/>
  <c r="X56" i="14"/>
  <c r="K9" i="1" s="1" a="1"/>
  <c r="K9" i="1" s="1"/>
  <c r="V21" i="14"/>
  <c r="R63" i="14"/>
  <c r="W49" i="14"/>
  <c r="X35" i="14"/>
  <c r="V28" i="14"/>
  <c r="I6" i="1" s="1" a="1"/>
  <c r="I6" i="1" s="1"/>
  <c r="Q21" i="14"/>
  <c r="R84" i="14"/>
  <c r="E11" i="1" s="1" a="1"/>
  <c r="E11" i="1" s="1"/>
  <c r="S42" i="14"/>
  <c r="F7" i="1" s="1" a="1"/>
  <c r="F7" i="1" s="1"/>
  <c r="T14" i="14"/>
  <c r="G5" i="1" s="1" a="1"/>
  <c r="G5" i="1" s="1"/>
  <c r="W42" i="14"/>
  <c r="J7" i="1" s="1" a="1"/>
  <c r="J7" i="1" s="1"/>
  <c r="S77" i="14"/>
  <c r="T56" i="14"/>
  <c r="G9" i="1" s="1" a="1"/>
  <c r="G9" i="1" s="1"/>
  <c r="S70" i="14"/>
  <c r="F10" i="1" s="1" a="1"/>
  <c r="F10" i="1" s="1"/>
  <c r="X49" i="14"/>
  <c r="R35" i="14"/>
  <c r="Q42" i="14"/>
  <c r="D7" i="1" s="1" a="1"/>
  <c r="D7" i="1" s="1"/>
  <c r="V49" i="14"/>
  <c r="Q14" i="14"/>
  <c r="D5" i="1" s="1" a="1"/>
  <c r="D5" i="1" s="1"/>
  <c r="Q28" i="14"/>
  <c r="D6" i="1" s="1" a="1"/>
  <c r="D6" i="1" s="1"/>
  <c r="T42" i="14"/>
  <c r="G7" i="1" s="1" a="1"/>
  <c r="G7" i="1" s="1"/>
  <c r="R91" i="14"/>
  <c r="S14" i="14"/>
  <c r="F5" i="1" s="1" a="1"/>
  <c r="F5" i="1" s="1"/>
  <c r="T7" i="14"/>
  <c r="R28" i="14"/>
  <c r="E6" i="1" s="1" a="1"/>
  <c r="E6" i="1" s="1"/>
  <c r="S49" i="14"/>
  <c r="Q7" i="14"/>
  <c r="R7" i="14"/>
  <c r="R70" i="14"/>
  <c r="E10" i="1" s="1" a="1"/>
  <c r="E10" i="1" s="1"/>
  <c r="S56" i="14"/>
  <c r="F9" i="1" s="1" a="1"/>
  <c r="F9" i="1" s="1"/>
  <c r="Q70" i="14"/>
  <c r="D10" i="1" s="1" a="1"/>
  <c r="D10" i="1" s="1"/>
  <c r="Q91" i="14"/>
  <c r="W14" i="14"/>
  <c r="J5" i="1" s="1" a="1"/>
  <c r="J5" i="1" s="1"/>
  <c r="W28" i="14"/>
  <c r="J6" i="1" s="1" a="1"/>
  <c r="J6" i="1" s="1"/>
  <c r="Q84" i="14"/>
  <c r="D11" i="1" s="1" a="1"/>
  <c r="D11" i="1" s="1"/>
  <c r="X28" i="14"/>
  <c r="K6" i="1" s="1" a="1"/>
  <c r="K6" i="1" s="1"/>
  <c r="V7" i="14"/>
  <c r="V56" i="14"/>
  <c r="I9" i="1" s="1" a="1"/>
  <c r="I9" i="1" s="1"/>
  <c r="T49" i="14"/>
  <c r="X7" i="14"/>
  <c r="R14" i="14"/>
  <c r="E5" i="1" s="1" a="1"/>
  <c r="E5" i="1" s="1"/>
  <c r="X21" i="14"/>
  <c r="S7" i="14"/>
  <c r="T21" i="14"/>
  <c r="V35" i="14"/>
  <c r="W7" i="14"/>
  <c r="W56" i="14"/>
  <c r="J9" i="1" s="1" a="1"/>
  <c r="J9" i="1" s="1"/>
  <c r="R49" i="14"/>
  <c r="V42" i="14"/>
  <c r="I7" i="1" s="1" a="1"/>
  <c r="I7" i="1" s="1"/>
  <c r="R77" i="14"/>
  <c r="R56" i="14"/>
  <c r="E9" i="1" s="1" a="1"/>
  <c r="E9" i="1" s="1"/>
  <c r="R42" i="14"/>
  <c r="E7" i="1" s="1" a="1"/>
  <c r="E7" i="1" s="1"/>
  <c r="T28" i="14"/>
  <c r="G6" i="1" s="1" a="1"/>
  <c r="G6" i="1" s="1"/>
  <c r="V14" i="14"/>
  <c r="I5" i="1" s="1" a="1"/>
  <c r="I5" i="1" s="1"/>
  <c r="W62" i="14" l="1" a="1"/>
  <c r="W62" i="14" s="1"/>
  <c r="W60" i="14" a="1"/>
  <c r="W60" i="14" s="1"/>
  <c r="W61" i="14" a="1"/>
  <c r="W61" i="14" s="1"/>
  <c r="W58" i="14" a="1"/>
  <c r="W58" i="14" s="1"/>
  <c r="W59" i="14" a="1"/>
  <c r="W59" i="14" s="1"/>
  <c r="W64" i="14"/>
  <c r="T61" i="14" a="1"/>
  <c r="T61" i="14" s="1"/>
  <c r="T62" i="14" a="1"/>
  <c r="T62" i="14" s="1"/>
  <c r="T59" i="14" a="1"/>
  <c r="T59" i="14" s="1"/>
  <c r="T60" i="14" a="1"/>
  <c r="T60" i="14" s="1"/>
  <c r="T64" i="14"/>
  <c r="T58" i="14" a="1"/>
  <c r="T58" i="14" s="1"/>
  <c r="T63" i="14" s="1"/>
  <c r="X59" i="14" a="1"/>
  <c r="X59" i="14" s="1"/>
  <c r="X61" i="14" a="1"/>
  <c r="X61" i="14" s="1"/>
  <c r="X62" i="14" a="1"/>
  <c r="X62" i="14" s="1"/>
  <c r="X60" i="14" a="1"/>
  <c r="X60" i="14" s="1"/>
  <c r="X64" i="14"/>
  <c r="X58" i="14" a="1"/>
  <c r="X58" i="14" s="1"/>
  <c r="X63" i="14" s="1"/>
  <c r="V61" i="14" a="1"/>
  <c r="V61" i="14" s="1"/>
  <c r="V62" i="14" a="1"/>
  <c r="V62" i="14" s="1"/>
  <c r="V59" i="14" a="1"/>
  <c r="V59" i="14" s="1"/>
  <c r="V60" i="14" a="1"/>
  <c r="V60" i="14" s="1"/>
  <c r="V64" i="14"/>
  <c r="V58" i="14" a="1"/>
  <c r="V58" i="14" s="1"/>
  <c r="V63" i="14" s="1"/>
  <c r="R99" i="14"/>
  <c r="R93" i="14" a="1"/>
  <c r="R93" i="14" s="1"/>
  <c r="R94" i="14" a="1"/>
  <c r="R94" i="14" s="1"/>
  <c r="R95" i="14" a="1"/>
  <c r="R95" i="14" s="1"/>
  <c r="R96" i="14" a="1"/>
  <c r="R96" i="14" s="1"/>
  <c r="R97" i="14" a="1"/>
  <c r="R97" i="14" s="1"/>
  <c r="Q99" i="14"/>
  <c r="Q93" i="14" a="1"/>
  <c r="Q93" i="14" s="1"/>
  <c r="Q94" i="14" a="1"/>
  <c r="Q94" i="14" s="1"/>
  <c r="Q95" i="14" a="1"/>
  <c r="Q95" i="14" s="1"/>
  <c r="Q96" i="14" a="1"/>
  <c r="Q96" i="14" s="1"/>
  <c r="Q97" i="14" a="1"/>
  <c r="Q97" i="14" s="1"/>
  <c r="S99" i="14"/>
  <c r="S93" i="14" a="1"/>
  <c r="S93" i="14" s="1"/>
  <c r="S94" i="14" a="1"/>
  <c r="S94" i="14" s="1"/>
  <c r="S95" i="14" a="1"/>
  <c r="S95" i="14" s="1"/>
  <c r="S96" i="14" a="1"/>
  <c r="S96" i="14" s="1"/>
  <c r="S97" i="14" a="1"/>
  <c r="S97" i="14" s="1"/>
  <c r="P94" i="14" a="1"/>
  <c r="P94" i="14" s="1"/>
  <c r="P95" i="14" a="1"/>
  <c r="P95" i="14" s="1"/>
  <c r="P96" i="14" a="1"/>
  <c r="P96" i="14" s="1"/>
  <c r="P97" i="14" a="1"/>
  <c r="P97" i="14" s="1"/>
  <c r="P99" i="14"/>
  <c r="P93" i="14" a="1"/>
  <c r="P93" i="14" s="1"/>
  <c r="P91" i="14"/>
  <c r="W128" i="14"/>
  <c r="J4" i="1" s="1" a="1"/>
  <c r="J4" i="1" s="1"/>
  <c r="Q129" i="14"/>
  <c r="D8" i="1" s="1" a="1"/>
  <c r="D8" i="1" s="1"/>
  <c r="S128" i="14"/>
  <c r="F4" i="1" s="1" a="1"/>
  <c r="F4" i="1" s="1"/>
  <c r="Q128" i="14"/>
  <c r="D4" i="1" s="1" a="1"/>
  <c r="D4" i="1" s="1"/>
  <c r="R129" i="14"/>
  <c r="E8" i="1" s="1" a="1"/>
  <c r="E8" i="1" s="1"/>
  <c r="V128" i="14"/>
  <c r="I4" i="1" s="1" a="1"/>
  <c r="I4" i="1" s="1"/>
  <c r="R128" i="14"/>
  <c r="E4" i="1" s="1" a="1"/>
  <c r="E4" i="1" s="1"/>
  <c r="X128" i="14"/>
  <c r="K4" i="1" s="1" a="1"/>
  <c r="K4" i="1" s="1"/>
  <c r="S129" i="14"/>
  <c r="F8" i="1" s="1" a="1"/>
  <c r="F8" i="1" s="1"/>
  <c r="T128" i="14"/>
  <c r="G4" i="1" s="1" a="1"/>
  <c r="G4" i="1" s="1"/>
  <c r="W71" i="14" l="1"/>
  <c r="W65" i="14" a="1"/>
  <c r="W65" i="14" s="1"/>
  <c r="W66" i="14" a="1"/>
  <c r="W66" i="14" s="1"/>
  <c r="W67" i="14" a="1"/>
  <c r="W67" i="14" s="1"/>
  <c r="W68" i="14" a="1"/>
  <c r="W68" i="14" s="1"/>
  <c r="W69" i="14" a="1"/>
  <c r="W69" i="14" s="1"/>
  <c r="W63" i="14"/>
  <c r="T71" i="14"/>
  <c r="T65" i="14" a="1"/>
  <c r="T65" i="14" s="1"/>
  <c r="T66" i="14" a="1"/>
  <c r="T66" i="14" s="1"/>
  <c r="T67" i="14" a="1"/>
  <c r="T67" i="14" s="1"/>
  <c r="T68" i="14" a="1"/>
  <c r="T68" i="14" s="1"/>
  <c r="T69" i="14" a="1"/>
  <c r="T69" i="14" s="1"/>
  <c r="X71" i="14"/>
  <c r="X65" i="14" a="1"/>
  <c r="X65" i="14" s="1"/>
  <c r="X66" i="14" a="1"/>
  <c r="X66" i="14" s="1"/>
  <c r="X67" i="14" a="1"/>
  <c r="X67" i="14" s="1"/>
  <c r="X68" i="14" a="1"/>
  <c r="X68" i="14" s="1"/>
  <c r="X69" i="14" a="1"/>
  <c r="X69" i="14" s="1"/>
  <c r="V71" i="14"/>
  <c r="V65" i="14" a="1"/>
  <c r="V65" i="14" s="1"/>
  <c r="V66" i="14" a="1"/>
  <c r="V66" i="14" s="1"/>
  <c r="V67" i="14" a="1"/>
  <c r="V67" i="14" s="1"/>
  <c r="V68" i="14" a="1"/>
  <c r="V68" i="14" s="1"/>
  <c r="V69" i="14" a="1"/>
  <c r="V69" i="14" s="1"/>
  <c r="S101" i="14" a="1"/>
  <c r="S101" i="14" s="1"/>
  <c r="S102" i="14" a="1"/>
  <c r="S102" i="14" s="1"/>
  <c r="S103" i="14" a="1"/>
  <c r="S103" i="14" s="1"/>
  <c r="S104" i="14" a="1"/>
  <c r="S104" i="14" s="1"/>
  <c r="S100" i="14" a="1"/>
  <c r="S100" i="14" s="1"/>
  <c r="Q101" i="14" a="1"/>
  <c r="Q101" i="14" s="1"/>
  <c r="Q102" i="14" a="1"/>
  <c r="Q102" i="14" s="1"/>
  <c r="Q103" i="14" a="1"/>
  <c r="Q103" i="14" s="1"/>
  <c r="Q104" i="14" a="1"/>
  <c r="Q104" i="14" s="1"/>
  <c r="Q100" i="14" a="1"/>
  <c r="Q100" i="14" s="1"/>
  <c r="R101" i="14" a="1"/>
  <c r="R101" i="14" s="1"/>
  <c r="R102" i="14" a="1"/>
  <c r="R102" i="14" s="1"/>
  <c r="R103" i="14" a="1"/>
  <c r="R103" i="14" s="1"/>
  <c r="R104" i="14" a="1"/>
  <c r="R104" i="14" s="1"/>
  <c r="R100" i="14" a="1"/>
  <c r="R100" i="14" s="1"/>
  <c r="P100" i="14" a="1"/>
  <c r="P100" i="14" s="1"/>
  <c r="P101" i="14" a="1"/>
  <c r="P101" i="14" s="1"/>
  <c r="P102" i="14" a="1"/>
  <c r="P102" i="14" s="1"/>
  <c r="P103" i="14" a="1"/>
  <c r="P103" i="14" s="1"/>
  <c r="P104" i="14" a="1"/>
  <c r="P104" i="14" s="1"/>
  <c r="S106" i="14"/>
  <c r="Q106" i="14"/>
  <c r="R106" i="14"/>
  <c r="P106" i="14"/>
  <c r="S98" i="14"/>
  <c r="F13" i="1" s="1" a="1"/>
  <c r="F13" i="1" s="1"/>
  <c r="Q98" i="14"/>
  <c r="D13" i="1" s="1" a="1"/>
  <c r="D13" i="1" s="1"/>
  <c r="R98" i="14"/>
  <c r="E13" i="1" s="1" a="1"/>
  <c r="E13" i="1" s="1"/>
  <c r="P98" i="14"/>
  <c r="C13" i="1" s="1" a="1"/>
  <c r="C13" i="1" s="1"/>
  <c r="W70" i="14" l="1"/>
  <c r="J10" i="1" s="1" a="1"/>
  <c r="J10" i="1" s="1"/>
  <c r="W72" i="14" a="1"/>
  <c r="W72" i="14" s="1"/>
  <c r="W73" i="14" a="1"/>
  <c r="W73" i="14" s="1"/>
  <c r="W74" i="14" a="1"/>
  <c r="W74" i="14" s="1"/>
  <c r="W75" i="14" a="1"/>
  <c r="W75" i="14" s="1"/>
  <c r="W76" i="14" a="1"/>
  <c r="W76" i="14" s="1"/>
  <c r="W78" i="14"/>
  <c r="T70" i="14"/>
  <c r="G10" i="1" s="1" a="1"/>
  <c r="G10" i="1" s="1"/>
  <c r="T78" i="14"/>
  <c r="T72" i="14" a="1"/>
  <c r="T72" i="14" s="1"/>
  <c r="T73" i="14" a="1"/>
  <c r="T73" i="14" s="1"/>
  <c r="T74" i="14" a="1"/>
  <c r="T74" i="14" s="1"/>
  <c r="T75" i="14" a="1"/>
  <c r="T75" i="14" s="1"/>
  <c r="T76" i="14" a="1"/>
  <c r="T76" i="14" s="1"/>
  <c r="X70" i="14"/>
  <c r="K10" i="1" s="1" a="1"/>
  <c r="K10" i="1" s="1"/>
  <c r="X78" i="14"/>
  <c r="X72" i="14" a="1"/>
  <c r="X72" i="14" s="1"/>
  <c r="X73" i="14" a="1"/>
  <c r="X73" i="14" s="1"/>
  <c r="X74" i="14" a="1"/>
  <c r="X74" i="14" s="1"/>
  <c r="X75" i="14" a="1"/>
  <c r="X75" i="14" s="1"/>
  <c r="X76" i="14" a="1"/>
  <c r="X76" i="14" s="1"/>
  <c r="V70" i="14"/>
  <c r="I10" i="1" s="1" a="1"/>
  <c r="I10" i="1" s="1"/>
  <c r="V78" i="14"/>
  <c r="V72" i="14" a="1"/>
  <c r="V72" i="14" s="1"/>
  <c r="V73" i="14" a="1"/>
  <c r="V73" i="14" s="1"/>
  <c r="V74" i="14" a="1"/>
  <c r="V74" i="14" s="1"/>
  <c r="V75" i="14" a="1"/>
  <c r="V75" i="14" s="1"/>
  <c r="V76" i="14" a="1"/>
  <c r="V76" i="14" s="1"/>
  <c r="R113" i="14"/>
  <c r="R107" i="14" a="1"/>
  <c r="R107" i="14" s="1"/>
  <c r="R108" i="14" a="1"/>
  <c r="R108" i="14" s="1"/>
  <c r="R109" i="14" a="1"/>
  <c r="R109" i="14" s="1"/>
  <c r="R110" i="14" a="1"/>
  <c r="R110" i="14" s="1"/>
  <c r="R111" i="14" a="1"/>
  <c r="R111" i="14" s="1"/>
  <c r="Q113" i="14"/>
  <c r="Q107" i="14" a="1"/>
  <c r="Q107" i="14" s="1"/>
  <c r="Q108" i="14" a="1"/>
  <c r="Q108" i="14" s="1"/>
  <c r="Q109" i="14" a="1"/>
  <c r="Q109" i="14" s="1"/>
  <c r="Q110" i="14" a="1"/>
  <c r="Q110" i="14" s="1"/>
  <c r="Q111" i="14" a="1"/>
  <c r="Q111" i="14" s="1"/>
  <c r="S113" i="14"/>
  <c r="S107" i="14" a="1"/>
  <c r="S107" i="14" s="1"/>
  <c r="S108" i="14" a="1"/>
  <c r="S108" i="14" s="1"/>
  <c r="S109" i="14" a="1"/>
  <c r="S109" i="14" s="1"/>
  <c r="S110" i="14" a="1"/>
  <c r="S110" i="14" s="1"/>
  <c r="S111" i="14" a="1"/>
  <c r="S111" i="14" s="1"/>
  <c r="P108" i="14" a="1"/>
  <c r="P108" i="14" s="1"/>
  <c r="P109" i="14" a="1"/>
  <c r="P109" i="14" s="1"/>
  <c r="P110" i="14" a="1"/>
  <c r="P110" i="14" s="1"/>
  <c r="P111" i="14" a="1"/>
  <c r="P111" i="14" s="1"/>
  <c r="P113" i="14"/>
  <c r="P107" i="14" a="1"/>
  <c r="P107" i="14" s="1"/>
  <c r="P112" i="14" s="1"/>
  <c r="C14" i="1" s="1" a="1"/>
  <c r="C14" i="1" s="1"/>
  <c r="R105" i="14"/>
  <c r="Q105" i="14"/>
  <c r="S105" i="14"/>
  <c r="P105" i="14"/>
  <c r="W85" i="14" l="1"/>
  <c r="W79" i="14" a="1"/>
  <c r="W79" i="14" s="1"/>
  <c r="W80" i="14" a="1"/>
  <c r="W80" i="14" s="1"/>
  <c r="W81" i="14" a="1"/>
  <c r="W81" i="14" s="1"/>
  <c r="W82" i="14" a="1"/>
  <c r="W82" i="14" s="1"/>
  <c r="W83" i="14" a="1"/>
  <c r="W83" i="14" s="1"/>
  <c r="W77" i="14"/>
  <c r="W129" i="14" s="1"/>
  <c r="J8" i="1" s="1" a="1"/>
  <c r="J8" i="1" s="1"/>
  <c r="T77" i="14"/>
  <c r="T129" i="14" s="1"/>
  <c r="G8" i="1" s="1" a="1"/>
  <c r="G8" i="1" s="1"/>
  <c r="T85" i="14"/>
  <c r="T79" i="14" a="1"/>
  <c r="T79" i="14" s="1"/>
  <c r="T80" i="14" a="1"/>
  <c r="T80" i="14" s="1"/>
  <c r="T81" i="14" a="1"/>
  <c r="T81" i="14" s="1"/>
  <c r="T82" i="14" a="1"/>
  <c r="T82" i="14" s="1"/>
  <c r="T83" i="14" a="1"/>
  <c r="T83" i="14" s="1"/>
  <c r="X77" i="14"/>
  <c r="X129" i="14" s="1"/>
  <c r="K8" i="1" s="1" a="1"/>
  <c r="K8" i="1" s="1"/>
  <c r="X85" i="14"/>
  <c r="X79" i="14" a="1"/>
  <c r="X79" i="14" s="1"/>
  <c r="X80" i="14" a="1"/>
  <c r="X80" i="14" s="1"/>
  <c r="X81" i="14" a="1"/>
  <c r="X81" i="14" s="1"/>
  <c r="X82" i="14" a="1"/>
  <c r="X82" i="14" s="1"/>
  <c r="X83" i="14" a="1"/>
  <c r="X83" i="14" s="1"/>
  <c r="V77" i="14"/>
  <c r="V129" i="14" s="1"/>
  <c r="I8" i="1" s="1" a="1"/>
  <c r="I8" i="1" s="1"/>
  <c r="V85" i="14"/>
  <c r="V79" i="14" a="1"/>
  <c r="V79" i="14" s="1"/>
  <c r="V80" i="14" a="1"/>
  <c r="V80" i="14" s="1"/>
  <c r="V81" i="14" a="1"/>
  <c r="V81" i="14" s="1"/>
  <c r="V82" i="14" a="1"/>
  <c r="V82" i="14" s="1"/>
  <c r="V83" i="14" a="1"/>
  <c r="V83" i="14" s="1"/>
  <c r="S120" i="14"/>
  <c r="S114" i="14" a="1"/>
  <c r="S114" i="14" s="1"/>
  <c r="S115" i="14" a="1"/>
  <c r="S115" i="14" s="1"/>
  <c r="S116" i="14" a="1"/>
  <c r="S116" i="14" s="1"/>
  <c r="S117" i="14" a="1"/>
  <c r="S117" i="14" s="1"/>
  <c r="S118" i="14" a="1"/>
  <c r="S118" i="14" s="1"/>
  <c r="Q120" i="14"/>
  <c r="Q114" i="14" a="1"/>
  <c r="Q114" i="14" s="1"/>
  <c r="Q115" i="14" a="1"/>
  <c r="Q115" i="14" s="1"/>
  <c r="Q116" i="14" a="1"/>
  <c r="Q116" i="14" s="1"/>
  <c r="Q117" i="14" a="1"/>
  <c r="Q117" i="14" s="1"/>
  <c r="Q118" i="14" a="1"/>
  <c r="Q118" i="14" s="1"/>
  <c r="R120" i="14"/>
  <c r="R114" i="14" a="1"/>
  <c r="R114" i="14" s="1"/>
  <c r="R115" i="14" a="1"/>
  <c r="R115" i="14" s="1"/>
  <c r="R116" i="14" a="1"/>
  <c r="R116" i="14" s="1"/>
  <c r="R117" i="14" a="1"/>
  <c r="R117" i="14" s="1"/>
  <c r="R118" i="14" a="1"/>
  <c r="R118" i="14" s="1"/>
  <c r="P115" i="14" a="1"/>
  <c r="P115" i="14" s="1"/>
  <c r="P116" i="14" a="1"/>
  <c r="P116" i="14" s="1"/>
  <c r="P117" i="14" a="1"/>
  <c r="P117" i="14" s="1"/>
  <c r="P118" i="14" a="1"/>
  <c r="P118" i="14" s="1"/>
  <c r="P120" i="14"/>
  <c r="P114" i="14" a="1"/>
  <c r="P114" i="14" s="1"/>
  <c r="P119" i="14" s="1"/>
  <c r="P130" i="14" s="1"/>
  <c r="C12" i="1" s="1" a="1"/>
  <c r="C12" i="1" s="1"/>
  <c r="S112" i="14"/>
  <c r="F14" i="1" s="1" a="1"/>
  <c r="F14" i="1" s="1"/>
  <c r="Q112" i="14"/>
  <c r="D14" i="1" s="1" a="1"/>
  <c r="D14" i="1" s="1"/>
  <c r="R112" i="14"/>
  <c r="E14" i="1" s="1" a="1"/>
  <c r="E14" i="1" s="1"/>
  <c r="W84" i="14" l="1"/>
  <c r="J11" i="1" s="1" a="1"/>
  <c r="J11" i="1" s="1"/>
  <c r="W86" i="14" a="1"/>
  <c r="W86" i="14" s="1"/>
  <c r="W87" i="14" a="1"/>
  <c r="W87" i="14" s="1"/>
  <c r="W88" i="14" a="1"/>
  <c r="W88" i="14" s="1"/>
  <c r="W89" i="14" a="1"/>
  <c r="W89" i="14" s="1"/>
  <c r="W90" i="14" a="1"/>
  <c r="W90" i="14" s="1"/>
  <c r="W92" i="14"/>
  <c r="T84" i="14"/>
  <c r="G11" i="1" s="1" a="1"/>
  <c r="G11" i="1" s="1"/>
  <c r="T92" i="14"/>
  <c r="T86" i="14" a="1"/>
  <c r="T86" i="14" s="1"/>
  <c r="T87" i="14" a="1"/>
  <c r="T87" i="14" s="1"/>
  <c r="T88" i="14" a="1"/>
  <c r="T88" i="14" s="1"/>
  <c r="T89" i="14" a="1"/>
  <c r="T89" i="14" s="1"/>
  <c r="T90" i="14" a="1"/>
  <c r="T90" i="14" s="1"/>
  <c r="X84" i="14"/>
  <c r="K11" i="1" s="1" a="1"/>
  <c r="K11" i="1" s="1"/>
  <c r="X92" i="14"/>
  <c r="X86" i="14" a="1"/>
  <c r="X86" i="14" s="1"/>
  <c r="X87" i="14" a="1"/>
  <c r="X87" i="14" s="1"/>
  <c r="X88" i="14" a="1"/>
  <c r="X88" i="14" s="1"/>
  <c r="X89" i="14" a="1"/>
  <c r="X89" i="14" s="1"/>
  <c r="X90" i="14" a="1"/>
  <c r="X90" i="14" s="1"/>
  <c r="V84" i="14"/>
  <c r="I11" i="1" s="1" a="1"/>
  <c r="I11" i="1" s="1"/>
  <c r="V92" i="14"/>
  <c r="V86" i="14" a="1"/>
  <c r="V86" i="14" s="1"/>
  <c r="V87" i="14" a="1"/>
  <c r="V87" i="14" s="1"/>
  <c r="V88" i="14" a="1"/>
  <c r="V88" i="14" s="1"/>
  <c r="V89" i="14" a="1"/>
  <c r="V89" i="14" s="1"/>
  <c r="V90" i="14" a="1"/>
  <c r="V90" i="14" s="1"/>
  <c r="R127" i="14"/>
  <c r="R121" i="14" a="1"/>
  <c r="R121" i="14" s="1"/>
  <c r="R122" i="14" a="1"/>
  <c r="R122" i="14" s="1"/>
  <c r="R123" i="14" a="1"/>
  <c r="R123" i="14" s="1"/>
  <c r="R124" i="14" a="1"/>
  <c r="R124" i="14" s="1"/>
  <c r="R125" i="14" a="1"/>
  <c r="R125" i="14" s="1"/>
  <c r="Q127" i="14"/>
  <c r="Q121" i="14" a="1"/>
  <c r="Q121" i="14" s="1"/>
  <c r="Q122" i="14" a="1"/>
  <c r="Q122" i="14" s="1"/>
  <c r="Q123" i="14" a="1"/>
  <c r="Q123" i="14" s="1"/>
  <c r="Q124" i="14" a="1"/>
  <c r="Q124" i="14" s="1"/>
  <c r="Q125" i="14" a="1"/>
  <c r="Q125" i="14" s="1"/>
  <c r="S127" i="14"/>
  <c r="S121" i="14" a="1"/>
  <c r="S121" i="14" s="1"/>
  <c r="S122" i="14" a="1"/>
  <c r="S122" i="14" s="1"/>
  <c r="S123" i="14" a="1"/>
  <c r="S123" i="14" s="1"/>
  <c r="S124" i="14" a="1"/>
  <c r="S124" i="14" s="1"/>
  <c r="S125" i="14" a="1"/>
  <c r="S125" i="14" s="1"/>
  <c r="P122" i="14" a="1"/>
  <c r="P122" i="14" s="1"/>
  <c r="P123" i="14" a="1"/>
  <c r="P123" i="14" s="1"/>
  <c r="P124" i="14" a="1"/>
  <c r="P124" i="14" s="1"/>
  <c r="P125" i="14" a="1"/>
  <c r="P125" i="14" s="1"/>
  <c r="P127" i="14"/>
  <c r="P121" i="14" a="1"/>
  <c r="P121" i="14" s="1"/>
  <c r="P126" i="14" s="1"/>
  <c r="C15" i="1" s="1" a="1"/>
  <c r="C15" i="1" s="1"/>
  <c r="R119" i="14"/>
  <c r="R130" i="14" s="1"/>
  <c r="E12" i="1" s="1" a="1"/>
  <c r="E12" i="1" s="1"/>
  <c r="Q119" i="14"/>
  <c r="Q130" i="14" s="1"/>
  <c r="D12" i="1" s="1" a="1"/>
  <c r="D12" i="1" s="1"/>
  <c r="S119" i="14"/>
  <c r="S130" i="14" s="1"/>
  <c r="F12" i="1" s="1" a="1"/>
  <c r="F12" i="1" s="1"/>
  <c r="B56" i="1" l="1"/>
  <c r="B12" i="15" s="1"/>
  <c r="W99" i="14"/>
  <c r="W93" i="14" a="1"/>
  <c r="W93" i="14" s="1"/>
  <c r="W94" i="14" a="1"/>
  <c r="W94" i="14" s="1"/>
  <c r="W95" i="14" a="1"/>
  <c r="W95" i="14" s="1"/>
  <c r="W96" i="14" a="1"/>
  <c r="W96" i="14" s="1"/>
  <c r="W97" i="14" a="1"/>
  <c r="W97" i="14" s="1"/>
  <c r="W91" i="14"/>
  <c r="T91" i="14"/>
  <c r="T99" i="14"/>
  <c r="T93" i="14" a="1"/>
  <c r="T93" i="14" s="1"/>
  <c r="T94" i="14" a="1"/>
  <c r="T94" i="14" s="1"/>
  <c r="T95" i="14" a="1"/>
  <c r="T95" i="14" s="1"/>
  <c r="T96" i="14" a="1"/>
  <c r="T96" i="14" s="1"/>
  <c r="T97" i="14" a="1"/>
  <c r="T97" i="14" s="1"/>
  <c r="X91" i="14"/>
  <c r="X99" i="14"/>
  <c r="X93" i="14" a="1"/>
  <c r="X93" i="14" s="1"/>
  <c r="X94" i="14" a="1"/>
  <c r="X94" i="14" s="1"/>
  <c r="X95" i="14" a="1"/>
  <c r="X95" i="14" s="1"/>
  <c r="X96" i="14" a="1"/>
  <c r="X96" i="14" s="1"/>
  <c r="X97" i="14" a="1"/>
  <c r="X97" i="14" s="1"/>
  <c r="V91" i="14"/>
  <c r="V99" i="14"/>
  <c r="V93" i="14" a="1"/>
  <c r="V93" i="14" s="1"/>
  <c r="V94" i="14" a="1"/>
  <c r="V94" i="14" s="1"/>
  <c r="V95" i="14" a="1"/>
  <c r="V95" i="14" s="1"/>
  <c r="V96" i="14" a="1"/>
  <c r="V96" i="14" s="1"/>
  <c r="V97" i="14" a="1"/>
  <c r="V97" i="14" s="1"/>
  <c r="S126" i="14"/>
  <c r="F15" i="1" s="1" a="1"/>
  <c r="F15" i="1" s="1"/>
  <c r="B59" i="1" s="1"/>
  <c r="Q126" i="14"/>
  <c r="D15" i="1" s="1" a="1"/>
  <c r="D15" i="1" s="1"/>
  <c r="B29" i="7" s="1"/>
  <c r="R126" i="14"/>
  <c r="E15" i="1" s="1" a="1"/>
  <c r="E15" i="1" s="1"/>
  <c r="B58" i="1" s="1"/>
  <c r="W98" i="14" l="1"/>
  <c r="J13" i="1" s="1" a="1"/>
  <c r="J13" i="1" s="1"/>
  <c r="W101" i="14" a="1"/>
  <c r="W101" i="14" s="1"/>
  <c r="W102" i="14" a="1"/>
  <c r="W102" i="14" s="1"/>
  <c r="W103" i="14" a="1"/>
  <c r="W103" i="14" s="1"/>
  <c r="W104" i="14" a="1"/>
  <c r="W104" i="14" s="1"/>
  <c r="W100" i="14" a="1"/>
  <c r="W100" i="14" s="1"/>
  <c r="T98" i="14"/>
  <c r="G13" i="1" s="1" a="1"/>
  <c r="G13" i="1" s="1"/>
  <c r="T101" i="14" a="1"/>
  <c r="T101" i="14" s="1"/>
  <c r="T102" i="14" a="1"/>
  <c r="T102" i="14" s="1"/>
  <c r="T103" i="14" a="1"/>
  <c r="T103" i="14" s="1"/>
  <c r="T104" i="14" a="1"/>
  <c r="T104" i="14" s="1"/>
  <c r="T100" i="14" a="1"/>
  <c r="T100" i="14" s="1"/>
  <c r="X98" i="14"/>
  <c r="K13" i="1" s="1" a="1"/>
  <c r="K13" i="1" s="1"/>
  <c r="X101" i="14" a="1"/>
  <c r="X101" i="14" s="1"/>
  <c r="X102" i="14" a="1"/>
  <c r="X102" i="14" s="1"/>
  <c r="X103" i="14" a="1"/>
  <c r="X103" i="14" s="1"/>
  <c r="X104" i="14" a="1"/>
  <c r="X104" i="14" s="1"/>
  <c r="X100" i="14" a="1"/>
  <c r="X100" i="14" s="1"/>
  <c r="V98" i="14"/>
  <c r="I13" i="1" s="1" a="1"/>
  <c r="I13" i="1" s="1"/>
  <c r="V101" i="14" a="1"/>
  <c r="V101" i="14" s="1"/>
  <c r="V102" i="14" a="1"/>
  <c r="V102" i="14" s="1"/>
  <c r="V103" i="14" a="1"/>
  <c r="V103" i="14" s="1"/>
  <c r="V104" i="14" a="1"/>
  <c r="V104" i="14" s="1"/>
  <c r="V100" i="14" a="1"/>
  <c r="V100" i="14" s="1"/>
  <c r="D57" i="1" a="1"/>
  <c r="D57" i="1" s="1"/>
  <c r="D13" i="15" s="1"/>
  <c r="B14" i="15"/>
  <c r="D58" i="1"/>
  <c r="B57" i="1"/>
  <c r="B13" i="15" s="1"/>
  <c r="B15" i="15"/>
  <c r="D56" i="1"/>
  <c r="D12" i="15" s="1"/>
  <c r="W106" i="14" l="1"/>
  <c r="W105" i="14"/>
  <c r="T106" i="14"/>
  <c r="T105" i="14"/>
  <c r="X106" i="14"/>
  <c r="X105" i="14"/>
  <c r="V106" i="14"/>
  <c r="V105" i="14"/>
  <c r="E58" i="1"/>
  <c r="D14" i="15"/>
  <c r="W113" i="14" l="1"/>
  <c r="W107" i="14" a="1"/>
  <c r="W107" i="14" s="1"/>
  <c r="W108" i="14" a="1"/>
  <c r="W108" i="14" s="1"/>
  <c r="W109" i="14" a="1"/>
  <c r="W109" i="14" s="1"/>
  <c r="W110" i="14" a="1"/>
  <c r="W110" i="14" s="1"/>
  <c r="W111" i="14" a="1"/>
  <c r="W111" i="14" s="1"/>
  <c r="T113" i="14"/>
  <c r="T107" i="14" a="1"/>
  <c r="T107" i="14" s="1"/>
  <c r="T108" i="14" a="1"/>
  <c r="T108" i="14" s="1"/>
  <c r="T109" i="14" a="1"/>
  <c r="T109" i="14" s="1"/>
  <c r="T110" i="14" a="1"/>
  <c r="T110" i="14" s="1"/>
  <c r="T111" i="14" a="1"/>
  <c r="T111" i="14" s="1"/>
  <c r="X113" i="14"/>
  <c r="X107" i="14" a="1"/>
  <c r="X107" i="14" s="1"/>
  <c r="X108" i="14" a="1"/>
  <c r="X108" i="14" s="1"/>
  <c r="X109" i="14" a="1"/>
  <c r="X109" i="14" s="1"/>
  <c r="X110" i="14" a="1"/>
  <c r="X110" i="14" s="1"/>
  <c r="X111" i="14" a="1"/>
  <c r="X111" i="14" s="1"/>
  <c r="V113" i="14"/>
  <c r="V107" i="14" a="1"/>
  <c r="V107" i="14" s="1"/>
  <c r="V108" i="14" a="1"/>
  <c r="V108" i="14" s="1"/>
  <c r="V109" i="14" a="1"/>
  <c r="V109" i="14" s="1"/>
  <c r="V110" i="14" a="1"/>
  <c r="V110" i="14" s="1"/>
  <c r="V111" i="14" a="1"/>
  <c r="V111" i="14" s="1"/>
  <c r="W112" i="14" l="1"/>
  <c r="J14" i="1" s="1" a="1"/>
  <c r="J14" i="1" s="1"/>
  <c r="W120" i="14"/>
  <c r="W114" i="14" a="1"/>
  <c r="W114" i="14" s="1"/>
  <c r="W115" i="14" a="1"/>
  <c r="W115" i="14" s="1"/>
  <c r="W116" i="14" a="1"/>
  <c r="W116" i="14" s="1"/>
  <c r="W117" i="14" a="1"/>
  <c r="W117" i="14" s="1"/>
  <c r="W118" i="14" a="1"/>
  <c r="W118" i="14" s="1"/>
  <c r="T112" i="14"/>
  <c r="G14" i="1" s="1" a="1"/>
  <c r="G14" i="1" s="1"/>
  <c r="T120" i="14"/>
  <c r="T114" i="14" a="1"/>
  <c r="T114" i="14" s="1"/>
  <c r="T115" i="14" a="1"/>
  <c r="T115" i="14" s="1"/>
  <c r="T116" i="14" a="1"/>
  <c r="T116" i="14" s="1"/>
  <c r="T117" i="14" a="1"/>
  <c r="T117" i="14" s="1"/>
  <c r="T118" i="14" a="1"/>
  <c r="T118" i="14" s="1"/>
  <c r="X112" i="14"/>
  <c r="K14" i="1" s="1" a="1"/>
  <c r="K14" i="1" s="1"/>
  <c r="X120" i="14"/>
  <c r="X114" i="14" a="1"/>
  <c r="X114" i="14" s="1"/>
  <c r="X115" i="14" a="1"/>
  <c r="X115" i="14" s="1"/>
  <c r="X116" i="14" a="1"/>
  <c r="X116" i="14" s="1"/>
  <c r="X117" i="14" a="1"/>
  <c r="X117" i="14" s="1"/>
  <c r="X118" i="14" a="1"/>
  <c r="X118" i="14" s="1"/>
  <c r="V112" i="14"/>
  <c r="I14" i="1" s="1" a="1"/>
  <c r="I14" i="1" s="1"/>
  <c r="V120" i="14"/>
  <c r="V114" i="14" a="1"/>
  <c r="V114" i="14" s="1"/>
  <c r="V115" i="14" a="1"/>
  <c r="V115" i="14" s="1"/>
  <c r="V116" i="14" a="1"/>
  <c r="V116" i="14" s="1"/>
  <c r="V117" i="14" a="1"/>
  <c r="V117" i="14" s="1"/>
  <c r="V118" i="14" a="1"/>
  <c r="V118" i="14" s="1"/>
  <c r="W119" i="14" l="1"/>
  <c r="W130" i="14" s="1"/>
  <c r="J12" i="1" s="1" a="1"/>
  <c r="J12" i="1" s="1"/>
  <c r="W127" i="14"/>
  <c r="W121" i="14" a="1"/>
  <c r="W121" i="14" s="1"/>
  <c r="W122" i="14" a="1"/>
  <c r="W122" i="14" s="1"/>
  <c r="W123" i="14" a="1"/>
  <c r="W123" i="14" s="1"/>
  <c r="W124" i="14" a="1"/>
  <c r="W124" i="14" s="1"/>
  <c r="W125" i="14" a="1"/>
  <c r="W125" i="14" s="1"/>
  <c r="T119" i="14"/>
  <c r="T130" i="14" s="1"/>
  <c r="G12" i="1" s="1" a="1"/>
  <c r="G12" i="1" s="1"/>
  <c r="T127" i="14"/>
  <c r="T121" i="14" a="1"/>
  <c r="T121" i="14" s="1"/>
  <c r="T122" i="14" a="1"/>
  <c r="T122" i="14" s="1"/>
  <c r="T123" i="14" a="1"/>
  <c r="T123" i="14" s="1"/>
  <c r="T124" i="14" a="1"/>
  <c r="T124" i="14" s="1"/>
  <c r="T125" i="14" a="1"/>
  <c r="T125" i="14" s="1"/>
  <c r="X119" i="14"/>
  <c r="X130" i="14" s="1"/>
  <c r="K12" i="1" s="1" a="1"/>
  <c r="K12" i="1" s="1"/>
  <c r="X127" i="14"/>
  <c r="X121" i="14" a="1"/>
  <c r="X121" i="14" s="1"/>
  <c r="X122" i="14" a="1"/>
  <c r="X122" i="14" s="1"/>
  <c r="X123" i="14" a="1"/>
  <c r="X123" i="14" s="1"/>
  <c r="X124" i="14" a="1"/>
  <c r="X124" i="14" s="1"/>
  <c r="X125" i="14" a="1"/>
  <c r="X125" i="14" s="1"/>
  <c r="V119" i="14"/>
  <c r="V130" i="14" s="1"/>
  <c r="I12" i="1" s="1" a="1"/>
  <c r="I12" i="1" s="1"/>
  <c r="V127" i="14"/>
  <c r="V121" i="14" a="1"/>
  <c r="V121" i="14" s="1"/>
  <c r="V122" i="14" a="1"/>
  <c r="V122" i="14" s="1"/>
  <c r="V123" i="14" a="1"/>
  <c r="V123" i="14" s="1"/>
  <c r="V124" i="14" a="1"/>
  <c r="V124" i="14" s="1"/>
  <c r="V125" i="14" a="1"/>
  <c r="V125" i="14" s="1"/>
  <c r="W126" i="14" l="1"/>
  <c r="J15" i="1" s="1" a="1"/>
  <c r="J15" i="1" s="1"/>
  <c r="B63" i="1" s="1"/>
  <c r="T126" i="14"/>
  <c r="G15" i="1" s="1" a="1"/>
  <c r="G15" i="1" s="1"/>
  <c r="B30" i="7" s="1"/>
  <c r="X126" i="14"/>
  <c r="K15" i="1" s="1" a="1"/>
  <c r="K15" i="1" s="1"/>
  <c r="V126" i="14"/>
  <c r="I15" i="1" s="1" a="1"/>
  <c r="I15" i="1" s="1"/>
  <c r="B31" i="7" s="1"/>
  <c r="B64" i="1" l="1"/>
  <c r="B20" i="15" s="1"/>
  <c r="B19" i="15"/>
  <c r="D59" i="1"/>
  <c r="D15" i="15" s="1"/>
  <c r="D60" i="1"/>
  <c r="B60" i="1"/>
  <c r="B16" i="15" s="1"/>
  <c r="D61" i="1"/>
  <c r="B62" i="1"/>
  <c r="B18" i="15" s="1"/>
  <c r="E60" i="1" l="1"/>
  <c r="D16" i="15"/>
  <c r="E61" i="1"/>
  <c r="D17" i="15"/>
  <c r="U2" i="14" a="1"/>
  <c r="U2" i="14" s="1"/>
  <c r="U6" i="14" a="1"/>
  <c r="U6" i="14" s="1"/>
  <c r="U4" i="14" a="1"/>
  <c r="U4" i="14" s="1"/>
  <c r="U5" i="14" a="1"/>
  <c r="U5" i="14" s="1"/>
  <c r="U3" i="14" a="1"/>
  <c r="U3" i="14" s="1"/>
  <c r="U8" i="14"/>
  <c r="U15" i="14"/>
  <c r="U16" i="14" s="1" a="1"/>
  <c r="U16" i="14" s="1"/>
  <c r="U22" i="14"/>
  <c r="U29" i="14"/>
  <c r="U36" i="14"/>
  <c r="U43" i="14"/>
  <c r="U50" i="14"/>
  <c r="U57" i="14"/>
  <c r="U64" i="14"/>
  <c r="U71" i="14"/>
  <c r="U78" i="14"/>
  <c r="U85" i="14"/>
  <c r="U92" i="14"/>
  <c r="U99" i="14"/>
  <c r="U100" i="14" a="1"/>
  <c r="U100" i="14" s="1"/>
  <c r="U106" i="14"/>
  <c r="U113" i="14"/>
  <c r="U120" i="14"/>
  <c r="U121" i="14" a="1"/>
  <c r="U121" i="14" s="1"/>
  <c r="U127" i="14" l="1"/>
  <c r="P13" i="7" s="1" a="1"/>
  <c r="P13" i="7" s="1"/>
  <c r="H46" i="1" s="1"/>
  <c r="U122" i="14" a="1"/>
  <c r="U122" i="14" s="1"/>
  <c r="U123" i="14" a="1"/>
  <c r="U123" i="14" s="1"/>
  <c r="U124" i="14" a="1"/>
  <c r="U124" i="14" s="1"/>
  <c r="U125" i="14" a="1"/>
  <c r="U125" i="14" s="1"/>
  <c r="U114" i="14" a="1"/>
  <c r="U114" i="14" s="1"/>
  <c r="U115" i="14" a="1"/>
  <c r="U115" i="14" s="1"/>
  <c r="U116" i="14" a="1"/>
  <c r="U116" i="14" s="1"/>
  <c r="U117" i="14" a="1"/>
  <c r="U117" i="14" s="1"/>
  <c r="U118" i="14" a="1"/>
  <c r="U118" i="14" s="1"/>
  <c r="U107" i="14" a="1"/>
  <c r="U107" i="14" s="1"/>
  <c r="U108" i="14" a="1"/>
  <c r="U108" i="14" s="1"/>
  <c r="U109" i="14" a="1"/>
  <c r="U109" i="14" s="1"/>
  <c r="U110" i="14" a="1"/>
  <c r="U110" i="14" s="1"/>
  <c r="U111" i="14" a="1"/>
  <c r="U111" i="14" s="1"/>
  <c r="U101" i="14" a="1"/>
  <c r="U101" i="14" s="1"/>
  <c r="U102" i="14" a="1"/>
  <c r="U102" i="14" s="1"/>
  <c r="U103" i="14" a="1"/>
  <c r="U103" i="14" s="1"/>
  <c r="U104" i="14" a="1"/>
  <c r="U104" i="14" s="1"/>
  <c r="U93" i="14" a="1"/>
  <c r="U93" i="14" s="1"/>
  <c r="U94" i="14" a="1"/>
  <c r="U94" i="14" s="1"/>
  <c r="U95" i="14" a="1"/>
  <c r="U95" i="14" s="1"/>
  <c r="U96" i="14" a="1"/>
  <c r="U96" i="14" s="1"/>
  <c r="U97" i="14" a="1"/>
  <c r="U97" i="14" s="1"/>
  <c r="U86" i="14" a="1"/>
  <c r="U86" i="14" s="1"/>
  <c r="U87" i="14" a="1"/>
  <c r="U87" i="14" s="1"/>
  <c r="U88" i="14" a="1"/>
  <c r="U88" i="14" s="1"/>
  <c r="U89" i="14" a="1"/>
  <c r="U89" i="14" s="1"/>
  <c r="U90" i="14" a="1"/>
  <c r="U90" i="14" s="1"/>
  <c r="U79" i="14" a="1"/>
  <c r="U79" i="14" s="1"/>
  <c r="U80" i="14" a="1"/>
  <c r="U80" i="14" s="1"/>
  <c r="U81" i="14" a="1"/>
  <c r="U81" i="14" s="1"/>
  <c r="U82" i="14" a="1"/>
  <c r="U82" i="14" s="1"/>
  <c r="U83" i="14" a="1"/>
  <c r="U83" i="14" s="1"/>
  <c r="U72" i="14" a="1"/>
  <c r="U72" i="14" s="1"/>
  <c r="U73" i="14" a="1"/>
  <c r="U73" i="14" s="1"/>
  <c r="U74" i="14" a="1"/>
  <c r="U74" i="14" s="1"/>
  <c r="U75" i="14" a="1"/>
  <c r="U75" i="14" s="1"/>
  <c r="U76" i="14" a="1"/>
  <c r="U76" i="14" s="1"/>
  <c r="U65" i="14" a="1"/>
  <c r="U65" i="14" s="1"/>
  <c r="U66" i="14" a="1"/>
  <c r="U66" i="14" s="1"/>
  <c r="U67" i="14" a="1"/>
  <c r="U67" i="14" s="1"/>
  <c r="U68" i="14" a="1"/>
  <c r="U68" i="14" s="1"/>
  <c r="U69" i="14" a="1"/>
  <c r="U69" i="14" s="1"/>
  <c r="U61" i="14" a="1"/>
  <c r="U61" i="14" s="1"/>
  <c r="U62" i="14" a="1"/>
  <c r="U62" i="14" s="1"/>
  <c r="U59" i="14" a="1"/>
  <c r="U59" i="14" s="1"/>
  <c r="U60" i="14" a="1"/>
  <c r="U60" i="14" s="1"/>
  <c r="U58" i="14" a="1"/>
  <c r="U58" i="14" s="1"/>
  <c r="U63" i="14" s="1"/>
  <c r="U51" i="14" a="1"/>
  <c r="U51" i="14" s="1"/>
  <c r="U54" i="14" a="1"/>
  <c r="U54" i="14" s="1"/>
  <c r="U55" i="14" a="1"/>
  <c r="U55" i="14" s="1"/>
  <c r="U52" i="14" a="1"/>
  <c r="U52" i="14" s="1"/>
  <c r="U53" i="14" a="1"/>
  <c r="U53" i="14" s="1"/>
  <c r="U44" i="14" a="1"/>
  <c r="U44" i="14" s="1"/>
  <c r="U47" i="14" a="1"/>
  <c r="U47" i="14" s="1"/>
  <c r="U48" i="14" a="1"/>
  <c r="U48" i="14" s="1"/>
  <c r="U45" i="14" a="1"/>
  <c r="U45" i="14" s="1"/>
  <c r="U46" i="14" a="1"/>
  <c r="U46" i="14" s="1"/>
  <c r="U37" i="14" a="1"/>
  <c r="U37" i="14" s="1"/>
  <c r="U41" i="14" a="1"/>
  <c r="U41" i="14" s="1"/>
  <c r="U39" i="14" a="1"/>
  <c r="U39" i="14" s="1"/>
  <c r="U40" i="14" a="1"/>
  <c r="U40" i="14" s="1"/>
  <c r="U38" i="14" a="1"/>
  <c r="U38" i="14" s="1"/>
  <c r="U34" i="14" a="1"/>
  <c r="U34" i="14" s="1"/>
  <c r="U32" i="14" a="1"/>
  <c r="U32" i="14" s="1"/>
  <c r="U33" i="14" a="1"/>
  <c r="U33" i="14" s="1"/>
  <c r="U31" i="14" a="1"/>
  <c r="U31" i="14" s="1"/>
  <c r="U30" i="14" a="1"/>
  <c r="U30" i="14" s="1"/>
  <c r="U35" i="14" s="1"/>
  <c r="U26" i="14" a="1"/>
  <c r="U26" i="14" s="1"/>
  <c r="U27" i="14" a="1"/>
  <c r="U27" i="14" s="1"/>
  <c r="U24" i="14" a="1"/>
  <c r="U24" i="14" s="1"/>
  <c r="U25" i="14" a="1"/>
  <c r="U25" i="14" s="1"/>
  <c r="U23" i="14" a="1"/>
  <c r="U23" i="14" s="1"/>
  <c r="U28" i="14" s="1"/>
  <c r="H6" i="1" s="1" a="1"/>
  <c r="H6" i="1" s="1"/>
  <c r="U20" i="14" a="1"/>
  <c r="U20" i="14" s="1"/>
  <c r="U18" i="14" a="1"/>
  <c r="U18" i="14" s="1"/>
  <c r="U19" i="14" a="1"/>
  <c r="U19" i="14" s="1"/>
  <c r="U17" i="14" a="1"/>
  <c r="U17" i="14" s="1"/>
  <c r="U21" i="14" s="1"/>
  <c r="U13" i="14" a="1"/>
  <c r="U13" i="14" s="1"/>
  <c r="U11" i="14" a="1"/>
  <c r="U11" i="14" s="1"/>
  <c r="U12" i="14" a="1"/>
  <c r="U12" i="14" s="1"/>
  <c r="U10" i="14" a="1"/>
  <c r="U10" i="14" s="1"/>
  <c r="U9" i="14" a="1"/>
  <c r="U9" i="14" s="1"/>
  <c r="U14" i="14" s="1"/>
  <c r="H5" i="1" s="1" a="1"/>
  <c r="H5" i="1" s="1"/>
  <c r="U7" i="14"/>
  <c r="U128" i="14" s="1"/>
  <c r="H4" i="1" s="1" a="1"/>
  <c r="H4" i="1" s="1"/>
  <c r="U42" i="14" l="1"/>
  <c r="H7" i="1" s="1" a="1"/>
  <c r="H7" i="1" s="1"/>
  <c r="U49" i="14"/>
  <c r="U56" i="14"/>
  <c r="H9" i="1" s="1" a="1"/>
  <c r="H9" i="1" s="1"/>
  <c r="U70" i="14"/>
  <c r="H10" i="1" s="1" a="1"/>
  <c r="H10" i="1" s="1"/>
  <c r="U77" i="14"/>
  <c r="U84" i="14"/>
  <c r="H11" i="1" s="1" a="1"/>
  <c r="H11" i="1" s="1"/>
  <c r="U91" i="14"/>
  <c r="U98" i="14"/>
  <c r="H13" i="1" s="1" a="1"/>
  <c r="H13" i="1" s="1"/>
  <c r="U105" i="14"/>
  <c r="U112" i="14"/>
  <c r="H14" i="1" s="1" a="1"/>
  <c r="H14" i="1" s="1"/>
  <c r="U119" i="14"/>
  <c r="U126" i="14"/>
  <c r="H15" i="1" s="1" a="1"/>
  <c r="H15" i="1" s="1"/>
  <c r="U130" i="14" l="1"/>
  <c r="H12" i="1" s="1" a="1"/>
  <c r="H12" i="1" s="1"/>
  <c r="U129" i="14"/>
  <c r="H8" i="1" s="1" a="1"/>
  <c r="H8" i="1" s="1"/>
  <c r="B61" i="1" s="1"/>
  <c r="B17"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<sst xmlns="http://schemas.openxmlformats.org/spreadsheetml/2006/main" count="10750" uniqueCount="3725">
  <si>
    <t>Character Class</t>
  </si>
  <si>
    <t>Attribute Filter</t>
  </si>
  <si>
    <t>Attributes</t>
  </si>
  <si>
    <t>Engineer</t>
  </si>
  <si>
    <t>(Select)</t>
  </si>
  <si>
    <t>Specialisations &amp; Traits</t>
  </si>
  <si>
    <t>Power</t>
  </si>
  <si>
    <t>Precision</t>
  </si>
  <si>
    <t>Toughness</t>
  </si>
  <si>
    <t>Vitality</t>
  </si>
  <si>
    <t>Concentration</t>
  </si>
  <si>
    <t>Condition Damage</t>
  </si>
  <si>
    <t>Expertise</t>
  </si>
  <si>
    <t>Ferocity</t>
  </si>
  <si>
    <t>Healing Power</t>
  </si>
  <si>
    <t>Defence</t>
  </si>
  <si>
    <t>Specialisation 1</t>
  </si>
  <si>
    <t>Illusions</t>
  </si>
  <si>
    <t>Legend</t>
  </si>
  <si>
    <t>Major Adept</t>
  </si>
  <si>
    <t>Persistence of Memory</t>
  </si>
  <si>
    <t>Section Bar</t>
  </si>
  <si>
    <t>Major Master</t>
  </si>
  <si>
    <t>Subsection</t>
  </si>
  <si>
    <t>Major Grandmaster</t>
  </si>
  <si>
    <t>Category</t>
  </si>
  <si>
    <t>Specialisation 2</t>
  </si>
  <si>
    <t>Inspiration</t>
  </si>
  <si>
    <t>Input</t>
  </si>
  <si>
    <t>Major Stat/Celestial</t>
  </si>
  <si>
    <t>Warden's Feedback</t>
  </si>
  <si>
    <t>Minor Stat</t>
  </si>
  <si>
    <t>Incompatible</t>
  </si>
  <si>
    <t>Specialisation 3</t>
  </si>
  <si>
    <t>Troubadour</t>
  </si>
  <si>
    <t>Illusionary Defense</t>
  </si>
  <si>
    <t>Gear</t>
  </si>
  <si>
    <t>Weapon (1H)</t>
  </si>
  <si>
    <t>Assassin</t>
  </si>
  <si>
    <t>Weapon (2H)</t>
  </si>
  <si>
    <t>Head</t>
  </si>
  <si>
    <t>Captain</t>
  </si>
  <si>
    <t>Shoulders</t>
  </si>
  <si>
    <t>Apostate</t>
  </si>
  <si>
    <t>Chest</t>
  </si>
  <si>
    <t>Hands</t>
  </si>
  <si>
    <t>Marauder</t>
  </si>
  <si>
    <t>Legs</t>
  </si>
  <si>
    <t>Feet</t>
  </si>
  <si>
    <t>Ear</t>
  </si>
  <si>
    <t>Chrysocola</t>
  </si>
  <si>
    <t>Finger</t>
  </si>
  <si>
    <t>Neck</t>
  </si>
  <si>
    <t>Back</t>
  </si>
  <si>
    <t>Runes</t>
  </si>
  <si>
    <t>Superior Rune of the Pack</t>
  </si>
  <si>
    <t>Superior Rune of Strength</t>
  </si>
  <si>
    <t>Jewels</t>
  </si>
  <si>
    <t>Exquisite Azurite Jewel</t>
  </si>
  <si>
    <t>Exquisite Black Diamond Jewel</t>
  </si>
  <si>
    <t>Exquisite Ambrite Jewel</t>
  </si>
  <si>
    <t>Exquisite Burl Jewel</t>
  </si>
  <si>
    <t>Exquisite Ruby Jewel</t>
  </si>
  <si>
    <t>Signets</t>
  </si>
  <si>
    <t>Superconducting Signet</t>
  </si>
  <si>
    <t>Signet of Midnight</t>
  </si>
  <si>
    <t>Consumables</t>
  </si>
  <si>
    <t>Food</t>
  </si>
  <si>
    <t>Clove-Spiced Pear and Cured Meat Flatbread</t>
  </si>
  <si>
    <t>Utility</t>
  </si>
  <si>
    <t>Rough Sharpening Stone</t>
  </si>
  <si>
    <t>Additional</t>
  </si>
  <si>
    <t>Offhand is Shield :</t>
  </si>
  <si>
    <t>Assassin's Signet active :</t>
  </si>
  <si>
    <t>Final Totals</t>
  </si>
  <si>
    <t>Health</t>
  </si>
  <si>
    <t>Boons</t>
  </si>
  <si>
    <t>Stacks/Toggle</t>
  </si>
  <si>
    <t>Armor</t>
  </si>
  <si>
    <t>Might</t>
  </si>
  <si>
    <t>Critical Chance</t>
  </si>
  <si>
    <t>Fury</t>
  </si>
  <si>
    <t>Critical Damage</t>
  </si>
  <si>
    <t>Quickness</t>
  </si>
  <si>
    <t>Boon Duration</t>
  </si>
  <si>
    <t>Regeneration</t>
  </si>
  <si>
    <t>Condition Duration</t>
  </si>
  <si>
    <t>Vigor</t>
  </si>
  <si>
    <t>Alacrity</t>
  </si>
  <si>
    <t>Death's Carapace</t>
  </si>
  <si>
    <t>Name</t>
  </si>
  <si>
    <t>Apply Condition</t>
  </si>
  <si>
    <t>Stacks</t>
  </si>
  <si>
    <t>Effect</t>
  </si>
  <si>
    <t>Minor Adept</t>
  </si>
  <si>
    <t>Minor Master</t>
  </si>
  <si>
    <t>Illusion created</t>
  </si>
  <si>
    <t>Lute playing in background</t>
  </si>
  <si>
    <t>Minor Grandmaster</t>
  </si>
  <si>
    <t>Instrument playing</t>
  </si>
  <si>
    <t>Condition/Stacks active</t>
  </si>
  <si>
    <t>Condition/Stacks available but inactive</t>
  </si>
  <si>
    <t>Precision*</t>
  </si>
  <si>
    <t>Class</t>
  </si>
  <si>
    <t>Specialisation</t>
  </si>
  <si>
    <t>Tier</t>
  </si>
  <si>
    <t>Description</t>
  </si>
  <si>
    <t>Filter</t>
  </si>
  <si>
    <t>Zealot's Resolution</t>
  </si>
  <si>
    <t>Guardian</t>
  </si>
  <si>
    <t>Zeal</t>
  </si>
  <si>
    <t>Cast Lesser Symbol of Resolution when you are struck while below the health threshold.</t>
  </si>
  <si>
    <t>Selected Major Trait</t>
  </si>
  <si>
    <t>Wrathful Spirit</t>
  </si>
  <si>
    <t>Aegis grants boons when it ends.</t>
  </si>
  <si>
    <t>Selected Minor Trait</t>
  </si>
  <si>
    <t>Fiery Wrath</t>
  </si>
  <si>
    <t>Deal increased strike damage to burning foes.</t>
  </si>
  <si>
    <t>Zealous Scepter</t>
  </si>
  <si>
    <t>Gain might when your Virtue skill 1 passive effect triggers; gain more might while wielding a scepter.</t>
  </si>
  <si>
    <t>Symbolic Exposure</t>
  </si>
  <si>
    <t>Symbols inflict vulnerability on foes. Deal increased strike damage to vulnerable foes.</t>
  </si>
  <si>
    <t>Furious Focus</t>
  </si>
  <si>
    <t>While you have fury, your attacks inflict vulnerability.</t>
  </si>
  <si>
    <t>Zealous Blade</t>
  </si>
  <si>
    <t>Your power is increased. Gain additional power while wielding a greatsword. Your greatsword skills have reduced recharge.</t>
  </si>
  <si>
    <t>Kindled Zeal</t>
  </si>
  <si>
    <t>Gain condition damage based on your power.</t>
  </si>
  <si>
    <t>Symbolic Power</t>
  </si>
  <si>
    <t>Symbols deal increased strike damage.</t>
  </si>
  <si>
    <t>Eternal Armory</t>
  </si>
  <si>
    <t>Spirit Weapons gain additional casts and burn foes with their first strike.</t>
  </si>
  <si>
    <t>Shattered Aegis</t>
  </si>
  <si>
    <t>When an aegis you applied blocks an attack, it unleashes a Mystic Rebuke.</t>
  </si>
  <si>
    <t>Symbolic Avenger</t>
  </si>
  <si>
    <t>Your strike damage is increased whenever your Symbols hit a foe.</t>
  </si>
  <si>
    <t>Justice is Blind</t>
  </si>
  <si>
    <t>Radiance</t>
  </si>
  <si>
    <t>Gain a light aura and blind nearby foes when you activate Virtue skill 1.</t>
  </si>
  <si>
    <t>Inner Fire</t>
  </si>
  <si>
    <t>Gain fury when you strike a foe that has burning stacks over the threshold.</t>
  </si>
  <si>
    <t>Right-Hand Strength</t>
  </si>
  <si>
    <t>Your precision is increased. Gain increased power while wielding a one-handed weapon in your main hand.</t>
  </si>
  <si>
    <t>Healer's Resolution</t>
  </si>
  <si>
    <t>Gain resolution when using a heal skill.</t>
  </si>
  <si>
    <t>Renewed Justice</t>
  </si>
  <si>
    <t>Virtue skill 1 is renewed when you kill a foe.</t>
  </si>
  <si>
    <t>Wrath of Justice</t>
  </si>
  <si>
    <t>Striking an enemy with the damaging effect from Virtue skill 1 casts Lesser Signet of Wrath.</t>
  </si>
  <si>
    <t>Radiant Fire</t>
  </si>
  <si>
    <t>Zealot's Flame is improved. Burning you inflict has increased duration, and your torch skills gain reduced recharge.</t>
  </si>
  <si>
    <t>Retribution</t>
  </si>
  <si>
    <t>Strike damage dealt is increased while you have resolution.</t>
  </si>
  <si>
    <t>Radiant Power</t>
  </si>
  <si>
    <t>Attacks against burning foes have an increased chance to critically hit. Your ferocity is increased.</t>
  </si>
  <si>
    <t>Amplified Wrath</t>
  </si>
  <si>
    <t>Burning you inflict deals increased damage. Burning duration applied by the passive effect of Virtue skill 1 is increased.</t>
  </si>
  <si>
    <t>Perfect Inscriptions</t>
  </si>
  <si>
    <t>Signets gain improved passive effects and continue to grant their passive bonuses while recharging.</t>
  </si>
  <si>
    <t>Righteous Instincts</t>
  </si>
  <si>
    <t>Resolution increases your chances to critically strike and grants might each interval.</t>
  </si>
  <si>
    <t>Valorous Defense</t>
  </si>
  <si>
    <t>Valor</t>
  </si>
  <si>
    <t>Gain aegis when you are struck while below the health threshold.</t>
  </si>
  <si>
    <t>Strength of the Fallen</t>
  </si>
  <si>
    <t>Lose conditions every interval. Health degenerates more slowly while downed.</t>
  </si>
  <si>
    <t>Smiter's Boon</t>
  </si>
  <si>
    <t>Cast Lesser Smite Condition when you use a healing skill.</t>
  </si>
  <si>
    <t>Focus Mastery</t>
  </si>
  <si>
    <t>Focus skills grant you protection and gain reduced recharge.</t>
  </si>
  <si>
    <t>Steadfast Courage</t>
  </si>
  <si>
    <t>Gain protection when you block an incoming attack with aegis.</t>
  </si>
  <si>
    <t>Stalwart Defender</t>
  </si>
  <si>
    <t>Gain toughness when wielding a shield, and shield skills gain reduced recharge.</t>
  </si>
  <si>
    <t>Redemption</t>
  </si>
  <si>
    <t>Cast Lesser Litany of Wrath when you activate Virtue skill 3.</t>
  </si>
  <si>
    <t>Communal Defenses</t>
  </si>
  <si>
    <t>Blocking an attack grants aegis to nearby allies.</t>
  </si>
  <si>
    <t>Might of the Protector</t>
  </si>
  <si>
    <t>Gain might when you block attacks.</t>
  </si>
  <si>
    <t>Altruistic Healing</t>
  </si>
  <si>
    <t>Heal yourself when you grant a boon to an ally.</t>
  </si>
  <si>
    <t>Monk's Focus</t>
  </si>
  <si>
    <t>Meditation skills heal you and grant fury to nearby allies.</t>
  </si>
  <si>
    <t>Tenacious Defense</t>
  </si>
  <si>
    <t>Aegis you grant reduces the recharge time of Virtue skill 3 when it blocks an attack.</t>
  </si>
  <si>
    <t>Vigorous Precision</t>
  </si>
  <si>
    <t>Honor</t>
  </si>
  <si>
    <t>Gain vigor at the end of your dodge roll.</t>
  </si>
  <si>
    <t>Invigorated Bulwark</t>
  </si>
  <si>
    <t>Increase your healing to other allies each time you block an attack. Mace skills gain reduced recharge and their boons gain increased duration.</t>
  </si>
  <si>
    <t>Protective Reviver</t>
  </si>
  <si>
    <t>Cast Lesser Shield of Absorption when you begin reviving an ally. Shield of Absorption revives allies when it detonates.</t>
  </si>
  <si>
    <t>Protector's Restoration</t>
  </si>
  <si>
    <t>Cast Lesser Symbol of Protection when you use a healing skill.</t>
  </si>
  <si>
    <t>Selfless Daring</t>
  </si>
  <si>
    <t>The end of your dodge roll heals nearby allies.</t>
  </si>
  <si>
    <t>Honorable Staff</t>
  </si>
  <si>
    <t>Gain concentration. Empower now grants endurance to allies in addition to its effects. Staff skills recharge time is reduced.</t>
  </si>
  <si>
    <t>Pure of Heart</t>
  </si>
  <si>
    <t>Aegis heals when it blocks an attack.</t>
  </si>
  <si>
    <t>Empowering Might</t>
  </si>
  <si>
    <t>Grant might to nearby allies when you critically strike.</t>
  </si>
  <si>
    <t>Purity of Body</t>
  </si>
  <si>
    <t>Your Virtue skill 2 passive also regenerates endurance.</t>
  </si>
  <si>
    <t>Pure of Voice</t>
  </si>
  <si>
    <t>Shout skills convert conditions to boons on allies.</t>
  </si>
  <si>
    <t>Writ of Persistence</t>
  </si>
  <si>
    <t>Symbols are improved and heal allies.</t>
  </si>
  <si>
    <t>Force of Will</t>
  </si>
  <si>
    <t>Gain increased vitality. Healing others is improved based on a percentage of your vitality.</t>
  </si>
  <si>
    <t>Inspired Virtue</t>
  </si>
  <si>
    <t>Virtues</t>
  </si>
  <si>
    <t>Virtues apply boons to allies when activated. Deal increased strike damage for each boon on you.</t>
  </si>
  <si>
    <t>Unscathed Contender</t>
  </si>
  <si>
    <t>Strike damage dealt is increased while you have aegis. Strike damage dealt is increased while you are above the health threshold.</t>
  </si>
  <si>
    <t>Resolute Subconscious</t>
  </si>
  <si>
    <t>Gain resolution and aegis when disabled. Disables include stun, daze, knockback, pull, knockdown, sink, float, launch, taunt, and fear.</t>
  </si>
  <si>
    <t>Master of Consecrations</t>
  </si>
  <si>
    <t>Consecrations gain increased duration.</t>
  </si>
  <si>
    <t>Virtue of Resolution</t>
  </si>
  <si>
    <t>Gain resolution when you activate a Virtue. Resolution you grant has increased duration.</t>
  </si>
  <si>
    <t>Inspiring Virtue</t>
  </si>
  <si>
    <t>Strike damage dealt is increased after activating a virtue.</t>
  </si>
  <si>
    <t>Absolute Resolve</t>
  </si>
  <si>
    <t>Activating Virtue skill 2 removes conditions from nearby allies. Virtue skill 2's passive effect is stronger.</t>
  </si>
  <si>
    <t>Glacial Heart</t>
  </si>
  <si>
    <t>Mighty Blow becomes Glacial Blow. Heal when you disable, immobilize, or chill a foe. Disables include stun, daze, knockback, pull, knockdown, sink, float, launch, taunt, and fear.</t>
  </si>
  <si>
    <t>Power of the Virtuous</t>
  </si>
  <si>
    <t>Gain condition damage based on your vitality. Virtues gain reduced recharge.</t>
  </si>
  <si>
    <t>Permeating Wrath</t>
  </si>
  <si>
    <t>The passive effect of Virtue skill 1 triggers more quickly and now burns in an area.</t>
  </si>
  <si>
    <t>Battle Presence</t>
  </si>
  <si>
    <t>Nearby allies gain the passive effect of Virtue skill 2. Willbender: Heal allies when your Resolve effect triggers.</t>
  </si>
  <si>
    <t>Indomitable Courage</t>
  </si>
  <si>
    <t>The active effect of Virtue skill 3 breaks stun and grants stability to nearby allies. Its passive effect gains a shorter interval.</t>
  </si>
  <si>
    <t>Longbow Proficiency</t>
  </si>
  <si>
    <t>Dragonhunter</t>
  </si>
  <si>
    <t>Minor Proficiency</t>
  </si>
  <si>
    <t>You can wield a longbow.</t>
  </si>
  <si>
    <t>Virtuous Action</t>
  </si>
  <si>
    <t>The guardian 's resolve has further increased, allowing Virtues to be manifested as physical aspects. Gain access to Traps.</t>
  </si>
  <si>
    <t>Hunter's Premonition</t>
  </si>
  <si>
    <t>Traps skills grant aegis when used.</t>
  </si>
  <si>
    <t>Dulled Senses</t>
  </si>
  <si>
    <t>Cripple enemies that you disable. Disables include stun, daze, knockback, pull, knockdown, sink, float, launch, taunt, and fear.</t>
  </si>
  <si>
    <t>Soaring Devastation</t>
  </si>
  <si>
    <t>Wings of Resolve delivers an attack upon landing. Movement speed is increased.</t>
  </si>
  <si>
    <t>Defender's Dogma</t>
  </si>
  <si>
    <t>Gain vitality. Blocking an attack causes justice to reach its maximum charge and reduces the cooldown of Spear of Justice.</t>
  </si>
  <si>
    <t>Hunter's Determination</t>
  </si>
  <si>
    <t>Activating your elite skill breaks stun.</t>
  </si>
  <si>
    <t>Zealot's Aggression</t>
  </si>
  <si>
    <t>Deal increased strike damage to crippled foes. Justice's passive effect cripples enemies.</t>
  </si>
  <si>
    <t>Bulwark</t>
  </si>
  <si>
    <t>Shield of Courage gains increased radius and duration.</t>
  </si>
  <si>
    <t>Pure of Sight</t>
  </si>
  <si>
    <t>Deal bonus strike damage based on your distance to the enemy.</t>
  </si>
  <si>
    <t>Hunter's Fortification</t>
  </si>
  <si>
    <t>Remove conditions and heal when blocking attacks.</t>
  </si>
  <si>
    <t>Heavy Light</t>
  </si>
  <si>
    <t>Gain stability when disabling an enemy. Deal increased strike damage to disabled, exposed, or defiant foes. Disables include stun, daze, knockback, pull, knockdown, sink, float, launch, taunt, and fear.</t>
  </si>
  <si>
    <t>Big Game Hunter</t>
  </si>
  <si>
    <t>Striking an enemy tethered by your Spear of Justice inflicts vulnerability and increases strike damage dealt. Tether duration is increased.</t>
  </si>
  <si>
    <t>Axe Proficiency</t>
  </si>
  <si>
    <t>Firebrand</t>
  </si>
  <si>
    <t>You can wield axes.</t>
  </si>
  <si>
    <t>Purity of Word</t>
  </si>
  <si>
    <t>Gain knowledge of Elonian lore, igniting a fierce drive to purge corruption and manifesting your Virtues as mystic tomes. Gain access to Mantras. Using Tome skills consumes pages. You regenerate pages every interval.</t>
  </si>
  <si>
    <t>Unrelenting Criticism</t>
  </si>
  <si>
    <t>Axe skills gain a chance to inflict bleeding. Symbol of Vengeance now dazes on its initial strike.</t>
  </si>
  <si>
    <t>Liberator's Vow</t>
  </si>
  <si>
    <t>Grant allies quickness when you use your heal skill.</t>
  </si>
  <si>
    <t>Archivist of Whispers</t>
  </si>
  <si>
    <t>Your Virtues gain additional pages.</t>
  </si>
  <si>
    <t>Swift Scholar</t>
  </si>
  <si>
    <t>Equipping a Virtue grants you quickness. Every third Tome skill grants you pages. Stacks reset when exiting a tome. Quickness can only be gained once per interval</t>
  </si>
  <si>
    <t>Weighty Terms</t>
  </si>
  <si>
    <t>The final charge of your Mantra skills will slow nearby foes and grant you pages.</t>
  </si>
  <si>
    <t>Stalwart Speed</t>
  </si>
  <si>
    <t>When you grant aegis or stability, grant quickness. This can affect multiple targets simultaneously.</t>
  </si>
  <si>
    <t>Legendary Lore</t>
  </si>
  <si>
    <t>Tome skills gain bonuses from scribbling in the margins by ancient bards.</t>
  </si>
  <si>
    <t>Imbued Haste</t>
  </si>
  <si>
    <t>Gain increased attributes while affected by quickness.</t>
  </si>
  <si>
    <t>Stoic Demeanor</t>
  </si>
  <si>
    <t>Retain Courage passive while it is on cooldown. Grant boons to nearby allies when you disable, immobilize, or slow an enemy. Disables include stun, daze, knockback, pull, knockdown, sink, float, launch, taunt, and fear.</t>
  </si>
  <si>
    <t>Quickfire</t>
  </si>
  <si>
    <t>Retain Justice passive while it is on cooldown. Granting quickness to an ally also grants Ashes of the Just.</t>
  </si>
  <si>
    <t>Loremaster</t>
  </si>
  <si>
    <t>Retain Resolve passive while it is on cooldown. You generate pages more quickly.</t>
  </si>
  <si>
    <t>Sword Proficiency</t>
  </si>
  <si>
    <t>Willbender</t>
  </si>
  <si>
    <t>You can wield swords in your off-hand.</t>
  </si>
  <si>
    <t>Willbender Training</t>
  </si>
  <si>
    <t>The guardian 's Virtues are now movement based, giving them a swift advantage in combat. Gain access to the Physical skill type.</t>
  </si>
  <si>
    <t>Searing Pact</t>
  </si>
  <si>
    <t>Gain condition damage. Willbender Flames now inflict burning on foes they strike.</t>
  </si>
  <si>
    <t>Power for Power</t>
  </si>
  <si>
    <t>Gain increased power. Willbender Flames deal increased damage to foes they strike.</t>
  </si>
  <si>
    <t>Conceited Curate</t>
  </si>
  <si>
    <t>Gain increased vitality. Willbender Flames now heal you when they strike an enemy.</t>
  </si>
  <si>
    <t>Righteous Sprint</t>
  </si>
  <si>
    <t>Gain increased movement speed. Gain swiftness when you activate a virtue.</t>
  </si>
  <si>
    <t>Restorative Virtues</t>
  </si>
  <si>
    <t>Triggered virtue effects reduce the cooldown of active weapon abilities. Gain vigor when activating Flowing Resolve.</t>
  </si>
  <si>
    <t>Holy Reckoning</t>
  </si>
  <si>
    <t>Triggered virtue effects now grant might to allies in addition to their bonuses. Gain fury when activating Rushing Justice.</t>
  </si>
  <si>
    <t>Vanguard Tactics</t>
  </si>
  <si>
    <t>Activating Courage grants resistance. Shadowstepping grants resolution and protection.</t>
  </si>
  <si>
    <t>Lethal Tempo</t>
  </si>
  <si>
    <t>Each time you activate a virtue or your virtue's passives are triggered, gain a damage bonus. Gaining stacks of this boon refreshes other stacks.</t>
  </si>
  <si>
    <t>Phoenix Protocol</t>
  </si>
  <si>
    <t>Gain boons when resolve 's effect triggers, but you no longer heal. Resolve has a modified duration. Gain boons when you use Flowing Resolve.</t>
  </si>
  <si>
    <t>Tyrant's Momentum</t>
  </si>
  <si>
    <t>Lethal Tempo grants increased damage, but has reduced duration. Justice 's duration is modified.</t>
  </si>
  <si>
    <t>Deathless Courage</t>
  </si>
  <si>
    <t>While Courage is active, incoming strike damage and condition damage is reduced.</t>
  </si>
  <si>
    <t>Luminary</t>
  </si>
  <si>
    <t>Harness light and flame to bolster yourself and allies or disrupt your enemies. Gain access to Radiant Forge and Stance skills.</t>
  </si>
  <si>
    <t>Shimmering Stances</t>
  </si>
  <si>
    <t>Stances grant protection to affected allies and blind affected enemies.</t>
  </si>
  <si>
    <t>Resolute Blessing</t>
  </si>
  <si>
    <t>Luminary's Blessing now also reduces incoming condition damage.</t>
  </si>
  <si>
    <t>Persistent Blessing</t>
  </si>
  <si>
    <t>Refresh the duration of your Luminary's Blessing and trigger its healing when you exit Radiant Forge.</t>
  </si>
  <si>
    <t>Light's Gift</t>
  </si>
  <si>
    <t>Gain vitality. Grant Luminary's Blessing to allies when you equip a radiant weapon.</t>
  </si>
  <si>
    <t>Resplendent Weaponry</t>
  </si>
  <si>
    <t>Grant boons to nearby allies when you equip a radiant weapon.</t>
  </si>
  <si>
    <t>Purging Light</t>
  </si>
  <si>
    <t>Remove conditions from nearby allies when you grant yourself light aura.  Gain light aura when you use a healing skill.</t>
  </si>
  <si>
    <t>Empowered Armaments</t>
  </si>
  <si>
    <t>Gain increased strike damage when you equip a radiant weapon.</t>
  </si>
  <si>
    <t>Radiant Armaments</t>
  </si>
  <si>
    <t>Gain a bonus based on your equipped radiant weapon. This bonus lingers for a period of time after exiting Radiant Forge.</t>
  </si>
  <si>
    <t>Illuminating Inspiration</t>
  </si>
  <si>
    <t>Reduce the recharge of your virtue skills when you equip a radiant weapon.</t>
  </si>
  <si>
    <t>Sovereign of Light</t>
  </si>
  <si>
    <t>Gain light aura when entering Radiant Forge. Luminary skills detonate light aura, damaging enemies and healing allies.</t>
  </si>
  <si>
    <t>Master-at-Arms</t>
  </si>
  <si>
    <t>Using a virtue skill recharges radiant weapon skills. Justice recharges hammer, Resolve recharges staff, and Courage recharges sword and shield.</t>
  </si>
  <si>
    <t>Invoking Torment</t>
  </si>
  <si>
    <t>Revenant</t>
  </si>
  <si>
    <t>Corruption</t>
  </si>
  <si>
    <t>Release a burst of torment energy when you switch legends.</t>
  </si>
  <si>
    <t>Acolyte of Torment</t>
  </si>
  <si>
    <t>Torment deals increased damage.</t>
  </si>
  <si>
    <t>Demonic Defiance</t>
  </si>
  <si>
    <t>Gain resistance and remove a damaging condition when you use a Legendary Demon skill.</t>
  </si>
  <si>
    <t>Replenishing Despair</t>
  </si>
  <si>
    <t>Siphon health from nearby enemies when you gain a dark aura. Siphon healing is reduced for each target struck beyond the first.</t>
  </si>
  <si>
    <t>Seething Malice</t>
  </si>
  <si>
    <t>Your condition damage is increased.</t>
  </si>
  <si>
    <t>Abyssal Chill</t>
  </si>
  <si>
    <t>When you chill a foe, you also inflict torment on them.</t>
  </si>
  <si>
    <t>Demonic Resistance</t>
  </si>
  <si>
    <t>Incoming strike damage is reduced while you have resistance on you.</t>
  </si>
  <si>
    <t>Pact of Pain</t>
  </si>
  <si>
    <t>Conditions you apply to foes last longer, but conditions applied to you also last longer.</t>
  </si>
  <si>
    <t>Yearning Empowerment</t>
  </si>
  <si>
    <t>Damaging conditions you apply last longer.</t>
  </si>
  <si>
    <t>Diabolic Inferno</t>
  </si>
  <si>
    <t>Invoke Torment applies poison and burning.</t>
  </si>
  <si>
    <t>Fiendish Tenacity</t>
  </si>
  <si>
    <t>Invoke Torment grants resistance. Resistance heals you every interval.</t>
  </si>
  <si>
    <t>Permeating Pestilence</t>
  </si>
  <si>
    <t>Invoke Torment transfers conditions from you onto foes.</t>
  </si>
  <si>
    <t>Enduring Recovery</t>
  </si>
  <si>
    <t>Gain increased endurance recovery.</t>
  </si>
  <si>
    <t>Planar Protection</t>
  </si>
  <si>
    <t>Cast Dome of the Mists when you use a healing skill.</t>
  </si>
  <si>
    <t>Close Quarters</t>
  </si>
  <si>
    <t>Reduce strike damage dealt to you from foes beyond the range threshold.</t>
  </si>
  <si>
    <t>Spiritual Reckoning</t>
  </si>
  <si>
    <t>Gain resolution when you use invoke a legend.</t>
  </si>
  <si>
    <t>Unwavering Avoidance</t>
  </si>
  <si>
    <t>Gain vigor when successfully evading an attack.</t>
  </si>
  <si>
    <t>Set in Stone</t>
  </si>
  <si>
    <t>Gain protection when you use your profession skill 2. This trait affects True Nature when you are a herald.</t>
  </si>
  <si>
    <t>Resolute Evasion</t>
  </si>
  <si>
    <t>Gain resolution after you dodge.</t>
  </si>
  <si>
    <t>Dwarven Battle Training</t>
  </si>
  <si>
    <t>Deal increased strike damage to weakened foes. Disabling a foe applies weakness. Disables include stun, daze, knockback, pull, knockdown, sink, float, fear, taunt, and launch.</t>
  </si>
  <si>
    <t>Determined Resolution</t>
  </si>
  <si>
    <t>Strike damage taken is reduced by a percentage while you have resolution.</t>
  </si>
  <si>
    <t>Vicious Reprisal</t>
  </si>
  <si>
    <t>While you have resolution, all damage dealt is increased, and you gain might when you strike foes. Resolution granted to you lasts longer.</t>
  </si>
  <si>
    <t>Versed in Stone</t>
  </si>
  <si>
    <t>Rite of the Great Dwarf affects condition damage as well. When struck below the health threshold, cast the Rite of the Great Dwarf. Gain power based on your toughness.</t>
  </si>
  <si>
    <t>Steadfast Rejuvenation</t>
  </si>
  <si>
    <t>Heal every second for each point of upkeep currently in use.</t>
  </si>
  <si>
    <t>Healer's Gift</t>
  </si>
  <si>
    <t>Salvation</t>
  </si>
  <si>
    <t>Invoking Harmony</t>
  </si>
  <si>
    <t>Healing done to other allies is increased for a short duration after invoking a legend.</t>
  </si>
  <si>
    <t>Blinding Truths</t>
  </si>
  <si>
    <t>Blind nearby foes when you use a healing skill.</t>
  </si>
  <si>
    <t>Eluding Nullification</t>
  </si>
  <si>
    <t>The end of your dodge roll removes a condition from nearby allies.</t>
  </si>
  <si>
    <t>Life Attunement</t>
  </si>
  <si>
    <t>Gain healing power. Gain concentration based on a portion of your healing power.</t>
  </si>
  <si>
    <t>Words of Censure</t>
  </si>
  <si>
    <t>Blinding, immobilizing, or affecting a foe with crowd control heals nearby allies. Skills that strike many foes at the same time can heal multiple times.</t>
  </si>
  <si>
    <t>Resilient Spirit</t>
  </si>
  <si>
    <t>Periodically gain barrier for each unique boon you have.</t>
  </si>
  <si>
    <t>Fortified Blessing</t>
  </si>
  <si>
    <t>Grant protection when you remove a condition from an ally.</t>
  </si>
  <si>
    <t>Serene Rejuvenation</t>
  </si>
  <si>
    <t>Increase healing to other allies. Legendary Centaur skills apply boons in an area.</t>
  </si>
  <si>
    <t>Generous Abundance</t>
  </si>
  <si>
    <t>Heal allies around yourself when using a Legend skill. Heal allies around Ventari's Tablet when using a Legendary Centaur skill. Dragon Facet skills and Ventari's Will cannot activate this trait.</t>
  </si>
  <si>
    <t>Unyielding Devotion</t>
  </si>
  <si>
    <t>Take reduced strike damage for a duration after healing. Lasts longer if you heal an ally other than yourself.</t>
  </si>
  <si>
    <t>Invigorating Dismissal</t>
  </si>
  <si>
    <t>Grant endurance when you remove a condition from an ally.</t>
  </si>
  <si>
    <t>Invoker's Rage</t>
  </si>
  <si>
    <t>Invocation</t>
  </si>
  <si>
    <t>Gain fury when you invoke a legend.</t>
  </si>
  <si>
    <t>Cleansing Channel</t>
  </si>
  <si>
    <t>Invoking a legend removes a condition.</t>
  </si>
  <si>
    <t>Rising Tide</t>
  </si>
  <si>
    <t>While your health is above the threshold, strike damage dealt is increased.</t>
  </si>
  <si>
    <t>Glaring Resolve</t>
  </si>
  <si>
    <t>Gain stability and heal yourself when you break stuns.</t>
  </si>
  <si>
    <t>Ferocious Aggression</t>
  </si>
  <si>
    <t>All damage dealt is increased while you have fury.</t>
  </si>
  <si>
    <t>Spirit Boon</t>
  </si>
  <si>
    <t>Invoking a legend grants boons to nearby allies based on the legend that was invoked.</t>
  </si>
  <si>
    <t>Rapid Flow</t>
  </si>
  <si>
    <t>Heal yourself and gain swiftness when you use a skill that has an energy cost.</t>
  </si>
  <si>
    <t>Incensed Response</t>
  </si>
  <si>
    <t>Gain might when you grant yourself fury.</t>
  </si>
  <si>
    <t>Contained Temper</t>
  </si>
  <si>
    <t>Gain energy when you break stun.</t>
  </si>
  <si>
    <t>Song of the Mists</t>
  </si>
  <si>
    <t>Invoking a legend casts a skill based on the legend you invoked. Invoking Razah casts the skill associated with the legend you have equipped in your other slot instead.</t>
  </si>
  <si>
    <t>Charged Mists</t>
  </si>
  <si>
    <t>Invoking a legend while at or below the energy threshold grants extra energy to your new legend.</t>
  </si>
  <si>
    <t>Roiling Mists</t>
  </si>
  <si>
    <t>Critical-hit chance is further increased while you are under the effect of fury. Convert a percentage of your outgoing critical strike damage into healing.</t>
  </si>
  <si>
    <t>Expose Defenses</t>
  </si>
  <si>
    <t>Devastation</t>
  </si>
  <si>
    <t>Your first attack when entering combat applies vulnerability. This ability is refreshed when you use an elite skill.</t>
  </si>
  <si>
    <t>Aggressive Arrival</t>
  </si>
  <si>
    <t>Gain resistance when you invoke a legend.</t>
  </si>
  <si>
    <t>Unsuspecting Strikes</t>
  </si>
  <si>
    <t>Deal increased strike damage to foes with health above the health threshold.</t>
  </si>
  <si>
    <t>Battle Scarred</t>
  </si>
  <si>
    <t>Siphon health after using your healing skill.</t>
  </si>
  <si>
    <t>Destructive Impulses</t>
  </si>
  <si>
    <t>All damage dealt is increased, and increased additionally if you have an off-hand weapon equipped.</t>
  </si>
  <si>
    <t>Assassin's Presence</t>
  </si>
  <si>
    <t>While you are in combat, grant fury to yourself and nearby allies each interval.</t>
  </si>
  <si>
    <t>Notoriety</t>
  </si>
  <si>
    <t>Might grants you more power and less condition damage. Gain might when using a legendary stance skill.</t>
  </si>
  <si>
    <t>Thrill of Combat</t>
  </si>
  <si>
    <t>Gain stacks of Battle Scars while in combat.</t>
  </si>
  <si>
    <t>Targeted Destruction</t>
  </si>
  <si>
    <t>Deal increased strike damage to targets based on their vulnerability stacks.</t>
  </si>
  <si>
    <t>Brutality</t>
  </si>
  <si>
    <t>Gain quickness when you swap weapons. Deal increased damage to foes with stability or protection.</t>
  </si>
  <si>
    <t>Swift Termination</t>
  </si>
  <si>
    <t>Deal increased strike damage to foes below the health threshold.</t>
  </si>
  <si>
    <t>Dance of Death</t>
  </si>
  <si>
    <t>Applying vulnerability to foes grants stacks of Battle Scars. The healing from Battle Scars is increased while you are below the health threshold.</t>
  </si>
  <si>
    <t>Shield Proficiency</t>
  </si>
  <si>
    <t>Herald</t>
  </si>
  <si>
    <t>You can wield shields in your off hand.</t>
  </si>
  <si>
    <t>Crystal Harbinger</t>
  </si>
  <si>
    <t>You can now use Legendary Dragon skills and gain access to Facet of Nature.</t>
  </si>
  <si>
    <t>Elder's Respite</t>
  </si>
  <si>
    <t>Regeneration heals for more. Gain regeneration when struck while below the health threshold.</t>
  </si>
  <si>
    <t>Core Value</t>
  </si>
  <si>
    <t>Improve the effects of the True Nature skill.</t>
  </si>
  <si>
    <t>Rising Momentum</t>
  </si>
  <si>
    <t>Gain increased movement speed for each point of upkeep currently in use.</t>
  </si>
  <si>
    <t>Draconic Fortitude</t>
  </si>
  <si>
    <t>Gain increased maximum health.</t>
  </si>
  <si>
    <t>Shared Empowerment</t>
  </si>
  <si>
    <t>When applying a boon to an ally, also apply might to nearby allies.</t>
  </si>
  <si>
    <t>Shining Aspects</t>
  </si>
  <si>
    <t>Using a consume skill heals you.</t>
  </si>
  <si>
    <t>Hardening Persistence</t>
  </si>
  <si>
    <t>Strike damage taken is reduced for each point of upkeep currently in use. Shield skills remove conditions.</t>
  </si>
  <si>
    <t>Reinforced Potency</t>
  </si>
  <si>
    <t>Gain concentration and deal increased strike damage for each active boon you have.</t>
  </si>
  <si>
    <t>Elevated Compassion</t>
  </si>
  <si>
    <t>Heal allies when you grant them boons. Grant boons to allies when your upkeep cost is equal to or higher than the threshold. An ally can only be affected by this skill once per interval.</t>
  </si>
  <si>
    <t>Draconic Echo</t>
  </si>
  <si>
    <t>You retain your facet passives for a duration after using their consume skills. Your facet passives grant additional bonuses.</t>
  </si>
  <si>
    <t>Forceful Persistence</t>
  </si>
  <si>
    <t>Deal increased strike damage with active upkeep skills. Herald and weapon upkeep skills grant less damage but can be stacked.</t>
  </si>
  <si>
    <t>Short Bow Proficiency</t>
  </si>
  <si>
    <t>Renegade</t>
  </si>
  <si>
    <t>You can wield short bows.</t>
  </si>
  <si>
    <t>Ambush Commander</t>
  </si>
  <si>
    <t>When you critically strike, or attack your enemies from behind or their flanks, or strike a defiant foe, you'll inspire yourself with Kalla's fervor. Gain access to Citadel Order abilities.</t>
  </si>
  <si>
    <t>Ashen Demeanor</t>
  </si>
  <si>
    <t>Disabling a foe cripples your enemy, which leaves them vulnerable and inspires you with Kalla's Fervor.</t>
  </si>
  <si>
    <t>Blood Fury</t>
  </si>
  <si>
    <t>Fury increases the duration of bleeds you inflict. Gaining fury inspires you with Kalla's Fervor.</t>
  </si>
  <si>
    <t>Wrought-Iron Will</t>
  </si>
  <si>
    <t>Evading an attack inspires you with Kalla's Fervor and grants boons to nearby allies.</t>
  </si>
  <si>
    <t>Endless Enmity</t>
  </si>
  <si>
    <t>Grant fury to yourself and nearby allies when you critically strike a foe.</t>
  </si>
  <si>
    <t>Bold Reversal</t>
  </si>
  <si>
    <t>When you use a heal skill, gain resistance.</t>
  </si>
  <si>
    <t>Heartpiercer</t>
  </si>
  <si>
    <t>Bleeding you inflict deals more damage.</t>
  </si>
  <si>
    <t>All for One</t>
  </si>
  <si>
    <t>Using Legendary Renegade abilities grants protection to allies near the summoned warband member. Gain increased strike damage whenever you use a Legendary Renegade skill.</t>
  </si>
  <si>
    <t>Brutal Momentum</t>
  </si>
  <si>
    <t>Gain increased critical-hit chance. This bonus is increased further while your endurance is full. Gain vigor when you gain fury.</t>
  </si>
  <si>
    <t>Vindication</t>
  </si>
  <si>
    <t>Kalla's Fervor causes you to heal for a percentage of your outgoing damage. Citadel Bombardment pulls more missiles into Tyria for every stack of Kalla's Fervor affecting you.</t>
  </si>
  <si>
    <t>Lasting Legacy</t>
  </si>
  <si>
    <t>Kalla's Fervor you inspire lasts longer and is more potent. Heroic Command grants more might per stack of Kalla's Fervor.</t>
  </si>
  <si>
    <t>Righteous Rebel</t>
  </si>
  <si>
    <t>Kalla's Fervor increases your healing to other allies. Orders from Above lasts longer and affects a larger area.</t>
  </si>
  <si>
    <t>Greatsword Proficiency</t>
  </si>
  <si>
    <t>Vindicator</t>
  </si>
  <si>
    <t>You can wield greatswords.</t>
  </si>
  <si>
    <t>Tenacious Ruin</t>
  </si>
  <si>
    <t>Instead of dodging, deliver a powerful blow from above, striking foes when you hit the ground.</t>
  </si>
  <si>
    <t>Leviathan Strength</t>
  </si>
  <si>
    <t>Deal increased damage while your endurance is not full.</t>
  </si>
  <si>
    <t>Amnesty of Shing Jea</t>
  </si>
  <si>
    <t>Legendary Alliance abilities gain an additional bonus. Activating Energy Meld or Alliance Tactics grants both of these bonuses simultaneously at greater amounts to nearby allies. Kurzick abilities grant regeneration. Luxon abilities grant might.</t>
  </si>
  <si>
    <t>Redemptor's Sermon</t>
  </si>
  <si>
    <t>When you use a healing skill, heal allies in the area and grant them protection. This trait is unique per game mode.</t>
  </si>
  <si>
    <t>Balance in Discord</t>
  </si>
  <si>
    <t>Gain health and boons when swapping legends or by using Alliance Tactics while attuned to the Legendary Alliance.</t>
  </si>
  <si>
    <t>Reaver's Curse</t>
  </si>
  <si>
    <t>Energy Meld 's cooldown is reduced and it increases the effectiveness of your next dodge.</t>
  </si>
  <si>
    <t>Angsiyan's Trust</t>
  </si>
  <si>
    <t>Energy Meld no longer has an energy cost and grants energy when used in combat.</t>
  </si>
  <si>
    <t>Song of Arboreum</t>
  </si>
  <si>
    <t>Energy Meld grants more endurance and grants its endurance and vigor to nearby allies.</t>
  </si>
  <si>
    <t>Empire Divided</t>
  </si>
  <si>
    <t>Gain increased power while above the health threshold. Gain increased healing power while below it.</t>
  </si>
  <si>
    <t>Forerunner of Death</t>
  </si>
  <si>
    <t>Dodging now deals more damage but affects a smaller area. Outgoing strike damage is increased for a period of time upon impact.</t>
  </si>
  <si>
    <t>Vassals of the Empire</t>
  </si>
  <si>
    <t>Dodging now grants boons to allies and strikes foes when landing.</t>
  </si>
  <si>
    <t>Saint of zu Heltzer</t>
  </si>
  <si>
    <t>The affected area of your dodge is increased. You now heal allies in an area when you land instead of dealing damage. Outgoing healing is increased for a period of time upon landing.</t>
  </si>
  <si>
    <t>Enigmatic Connection</t>
  </si>
  <si>
    <t>Conduit</t>
  </si>
  <si>
    <t>Gain access to Cosmic Wisdom and Legendary Entity Stance. The effects of Cosmic Wisdom changes depending on which legend you are currently using. Gain affinity while using legend skill, which increases the duration of Cosmic Wisdom.</t>
  </si>
  <si>
    <t>Conductive Armaments</t>
  </si>
  <si>
    <t>Gain affinity when using a weapon skill that costs energy.</t>
  </si>
  <si>
    <t>Boundless Knowledge</t>
  </si>
  <si>
    <t>Gain boons when you reach maximum affinity.</t>
  </si>
  <si>
    <t>Lingering Determination</t>
  </si>
  <si>
    <t>If you have at least the listed amount of affinity when swapping legends, you regain affinity afterwards. Heal yourself and gain endurance when gaining affinity.</t>
  </si>
  <si>
    <t>Bolstered Bonds</t>
  </si>
  <si>
    <t>Gain attributes based on your equipped legends. Those attributes are increased further when Cosmic Wisdom is active.</t>
  </si>
  <si>
    <t>Kinetic Insight</t>
  </si>
  <si>
    <t>The recharge of Release Potential skills is reduced. The effectiveness of Release Potential skills are [ sic ] increased as if you had two additional points of affinity, up to a maximum of five.</t>
  </si>
  <si>
    <t>Expanded Consciousness</t>
  </si>
  <si>
    <t>Your maximum affinity is increased.</t>
  </si>
  <si>
    <t>Ethereal Purification</t>
  </si>
  <si>
    <t>Lose conditions when activating Cosmic Wisdom and at a set interval while Cosmic Wisdom is active.</t>
  </si>
  <si>
    <t>Numinous Gift</t>
  </si>
  <si>
    <t>The third minor traits of other specializations you equip have improved effectiveness. Gain might and additional boons when you use Cosmic Wisdom, depending on which legends you have equipped.</t>
  </si>
  <si>
    <t>Mistfire</t>
  </si>
  <si>
    <t>Apply conditions to enemies when you disable them. Damage and daze enemies around you when activating Cosmic Wisdom.</t>
  </si>
  <si>
    <t>Enhanced Embodiment</t>
  </si>
  <si>
    <t>Reduce the recharge of invoking legends in combat. Invoking legends while Cosmic Wisdom is active extends its duration.</t>
  </si>
  <si>
    <t>Perpetual Wisdom</t>
  </si>
  <si>
    <t>Cosmic Wisdom is always active. You can no longer activate it manually, but your passive energy regeneration is reduced. Trigger the active portion of Numinous Gift when you invoke a legend while in combat.</t>
  </si>
  <si>
    <t>Reckless Dodge</t>
  </si>
  <si>
    <t>Warrior</t>
  </si>
  <si>
    <t>Strength</t>
  </si>
  <si>
    <t>Damage foes at the end of a dodge roll.</t>
  </si>
  <si>
    <t>Brave Stride</t>
  </si>
  <si>
    <t>Movement skills grant boons and adrenaline when used.</t>
  </si>
  <si>
    <t>Restorative Strength</t>
  </si>
  <si>
    <t>Using a heal skill grants might.</t>
  </si>
  <si>
    <t>Peak Performance</t>
  </si>
  <si>
    <t>Deal increased strike damage. Physical skills further increase all outgoing strike damage for a period of time.</t>
  </si>
  <si>
    <t>Building Momentum</t>
  </si>
  <si>
    <t>Burst skills restore endurance on hit.</t>
  </si>
  <si>
    <t>Body Blow</t>
  </si>
  <si>
    <t>Stuns, dazes, knockbacks, pulls, pushes, and launches inflict vulnerability and weakness.</t>
  </si>
  <si>
    <t>Forceful Greatsword</t>
  </si>
  <si>
    <t>Gain power and a chance to gain might on critical strike. Double these bonuses while wielding a greatsword or underwater spear. Greatsword and underwater spear skills recharge faster.</t>
  </si>
  <si>
    <t>Great Fortitude</t>
  </si>
  <si>
    <t>Gain vitality and ferocity based on a percentage of your power.</t>
  </si>
  <si>
    <t>Pinnacle of Strength</t>
  </si>
  <si>
    <t>Might applied to you grants more power. Your critical-hit chance is increased.</t>
  </si>
  <si>
    <t>Berserker's Power</t>
  </si>
  <si>
    <t>Gain increased strike damage when you use a burst skill; this damage increase is based on your adrenaline.</t>
  </si>
  <si>
    <t>Might Makes Right</t>
  </si>
  <si>
    <t>Gain health and endurance whenever you apply might to yourself.</t>
  </si>
  <si>
    <t>Aggressive Onslaught</t>
  </si>
  <si>
    <t>Gain quickness when you disable an enemy. While you have quickness, your movement speed is increased. This stacks with other movement speed increases.</t>
  </si>
  <si>
    <t>Furious Burst</t>
  </si>
  <si>
    <t>Arms</t>
  </si>
  <si>
    <t>Gain fury when you swap weapons. Fury gives an increased critical chance.</t>
  </si>
  <si>
    <t>Wounding Precision</t>
  </si>
  <si>
    <t>Gain expertise based on your precision.</t>
  </si>
  <si>
    <t>Signet Mastery</t>
  </si>
  <si>
    <t>Signets grant a stacking ferocity boon on use. Cast Lesser Signet of Might when striking a foe below the health threshold.</t>
  </si>
  <si>
    <t>Opportunist</t>
  </si>
  <si>
    <t>Gain fury and adrenaline when you immobilize or disable a foe.</t>
  </si>
  <si>
    <t>Deep Strikes</t>
  </si>
  <si>
    <t>Gain condition damage when you have fury. You have increased chance to critically strike against bleeding foes.</t>
  </si>
  <si>
    <t>Unsuspecting Foe</t>
  </si>
  <si>
    <t>Increased critical-hit chance against disabled or defiant foes. Disables include stun, daze, knockback, pull, knockdown, sink, float, launch, taunt, and fear.</t>
  </si>
  <si>
    <t>Sundering Burst</t>
  </si>
  <si>
    <t>Burst skills inflict vulnerability if they hit and inflict additional vulnerability if the attack is a critical hit. Can only occur once per interval per target for multihit burst skills.</t>
  </si>
  <si>
    <t>Blademaster</t>
  </si>
  <si>
    <t>Gain expertise. Gain condition damage while wielding a sword. Sword skills gain reduced recharge.</t>
  </si>
  <si>
    <t>Bloodlust</t>
  </si>
  <si>
    <t>You have a chance to inflict bleeding on critical hits, and bleeds that you apply last longer.</t>
  </si>
  <si>
    <t>Burst Precision</t>
  </si>
  <si>
    <t>Burst skills have an increased critical chance. Gain bonus critical-hit chance and ferocity for a duration when you hit with a burst skill. Duration is based on adrenaline spent.</t>
  </si>
  <si>
    <t>Furious</t>
  </si>
  <si>
    <t>Critical hits grant bonus adrenaline and gain a stacking condition damage effect.</t>
  </si>
  <si>
    <t>Dual Wielding</t>
  </si>
  <si>
    <t>Attack speed is increased when wielding a main-hand weapon in your offhand. Heal when you critically strike a foe while wielding a main-hand weapon in your off hand. This heal is increased when critically striking a bleeding foe.</t>
  </si>
  <si>
    <t>Thick Skin</t>
  </si>
  <si>
    <t>Defense</t>
  </si>
  <si>
    <t>Gain protection when you use a healing skill.</t>
  </si>
  <si>
    <t>Shield Master</t>
  </si>
  <si>
    <t>Reflect missiles whenever you are blocking. Gain adrenaline when you block an attack or reflect a missile.</t>
  </si>
  <si>
    <t>Dogged March</t>
  </si>
  <si>
    <t>Reduce the duration of movement-impeding conditions and gain regeneration when you are affected by one of these conditions.</t>
  </si>
  <si>
    <t>Cull the Weak</t>
  </si>
  <si>
    <t>Deal increased strike damage to weakened foes. Burst skills inflict weakness. Can only occur once per interval per target for multihit burst skills.</t>
  </si>
  <si>
    <t>Adrenal Health</t>
  </si>
  <si>
    <t>Gain health based on adrenaline spent.</t>
  </si>
  <si>
    <t>Defy Pain</t>
  </si>
  <si>
    <t>Cast Lesser Endure Pain when you use an elite skill.</t>
  </si>
  <si>
    <t>Resilient Roll</t>
  </si>
  <si>
    <t>Gain resistance when you dodge.</t>
  </si>
  <si>
    <t>Merciless Hammer</t>
  </si>
  <si>
    <t>Hammer and mace skills deal increased damage when striking a disabled or defiant foe. Gain adrenaline when you disable a foe. Disables include stun, taunt, daze, knockback, pull, knockdown, sink, float, fear, and launch.</t>
  </si>
  <si>
    <t>Hardened Armor</t>
  </si>
  <si>
    <t>Gain resolution when you block or are struck by a critical hit. Strike damage taken is reduced by a percentage while you have resolution.</t>
  </si>
  <si>
    <t>Last Stand</t>
  </si>
  <si>
    <t>Stances grant vigor and barrier when activated, and they have increased duration.</t>
  </si>
  <si>
    <t>Cleansing Ire</t>
  </si>
  <si>
    <t>Gain adrenaline when hit. Remove a condition when you hit with a burst skill, then remove an additional condition for every bar of adrenaline spent.</t>
  </si>
  <si>
    <t>Stalwart Strength</t>
  </si>
  <si>
    <t>Gain stability when you disable a foe. Deal increased strike damage while you have stability.</t>
  </si>
  <si>
    <t>Marching Orders</t>
  </si>
  <si>
    <t>Tactics</t>
  </si>
  <si>
    <t>Periodically gain Soldier's Focus. Hitting with a burst skill expends Soldier's Focus to grant might to nearby allies.</t>
  </si>
  <si>
    <t>Leg Specialist</t>
  </si>
  <si>
    <t>Immobilize a target when you cripple them with a skill. Deal increased strike damage to foes affected with movement-impairing conditions.</t>
  </si>
  <si>
    <t>Soldier's Comfort</t>
  </si>
  <si>
    <t>Soldier's Focus heals affected allies and grants them protection.</t>
  </si>
  <si>
    <t>Roaring Reveille</t>
  </si>
  <si>
    <t>Warhorn skills apply additional boons. Your concentration is increased.</t>
  </si>
  <si>
    <t>Empowered</t>
  </si>
  <si>
    <t>Deal increased strike damage for every boon on you.</t>
  </si>
  <si>
    <t>Warrior's Cunning</t>
  </si>
  <si>
    <t>Deal increased strike damage to foes above the health threshold. Also deal more damage to foes with barrier. Damage bonuses do not stack.</t>
  </si>
  <si>
    <t>Shrug It Off</t>
  </si>
  <si>
    <t>Use "Shake It Off!" when you use a healing skill. Removing a damaging condition from an ally heals them.</t>
  </si>
  <si>
    <t>Empower Allies</t>
  </si>
  <si>
    <t>While you are in combat, grant might to yourself and nearby allies each interval.</t>
  </si>
  <si>
    <t>Mending Might</t>
  </si>
  <si>
    <t>Applying might to an ally heals you.</t>
  </si>
  <si>
    <t>Martial Cadence</t>
  </si>
  <si>
    <t>Soldier's Focus grants boons to affected allies and removes conditions from them. Refresh Soldier's Focus when you swap weapons.</t>
  </si>
  <si>
    <t>Vigorous Shouts</t>
  </si>
  <si>
    <t>Shout skills heal allies. Gain healing power based on your power.</t>
  </si>
  <si>
    <t>Phalanx Strength</t>
  </si>
  <si>
    <t>When you grant yourself might, grant it to nearby allies as well.</t>
  </si>
  <si>
    <t>Versatile Rage</t>
  </si>
  <si>
    <t>Discipline</t>
  </si>
  <si>
    <t>Gain adrenaline on weapon swap.</t>
  </si>
  <si>
    <t>Crack Shot</t>
  </si>
  <si>
    <t>Your longbow, rifle, and harpoon gun weapon skill 1 attacks are enhanced.</t>
  </si>
  <si>
    <t>Warrior's Sprint</t>
  </si>
  <si>
    <t>Run faster while wielding melee weapons, and deal increased strike damage while you have swiftness. Movement skills break immobilization when used.</t>
  </si>
  <si>
    <t>Stalwart Focus</t>
  </si>
  <si>
    <t>Increase your incoming healing effectiveness and healing to other allies.</t>
  </si>
  <si>
    <t>Fast Hands</t>
  </si>
  <si>
    <t>Weapon-swapping recharges faster.</t>
  </si>
  <si>
    <t>Doubled Standards</t>
  </si>
  <si>
    <t>Banners grant resolution to allies when they are dropped. Pulsing boons applied through banners last longer.</t>
  </si>
  <si>
    <t>Destruction of the Empowered</t>
  </si>
  <si>
    <t>Deal increased strike damage per boon on your target.</t>
  </si>
  <si>
    <t>Brawler's Recovery</t>
  </si>
  <si>
    <t>Remove conditions when you swap weapons.</t>
  </si>
  <si>
    <t>Versatile Power</t>
  </si>
  <si>
    <t>Gain might on weapon swap. Burst skills gain reduced recharge.</t>
  </si>
  <si>
    <t>Axe Mastery</t>
  </si>
  <si>
    <t>Gain ferocity. Gain additional ferocity when wielding an axe. Axe skills gain reduced recharge and grant adrenaline when critically striking.</t>
  </si>
  <si>
    <t>Heightened Focus</t>
  </si>
  <si>
    <t>Gain quickness and recharge your Burst skills when you strike a foe that is below the health threshold. Gain increased outgoing healing when you strike with a Burst skill, based on adrenaline spent.</t>
  </si>
  <si>
    <t>Burst Mastery</t>
  </si>
  <si>
    <t>Burst skills deal more damage, grant swiftness, and restore a portion of adrenaline spent.</t>
  </si>
  <si>
    <t>Torch Proficiency</t>
  </si>
  <si>
    <t>Berserker</t>
  </si>
  <si>
    <t>You can wield torches in your off hand.</t>
  </si>
  <si>
    <t>Primal Rage</t>
  </si>
  <si>
    <t>Gain access to berserk mode and primal bursts.</t>
  </si>
  <si>
    <t>Smash Brawler</t>
  </si>
  <si>
    <t>When you hit with a Primal Burst skill, extend the duration of your berserk. Critical-hit chance is increased while berserk.</t>
  </si>
  <si>
    <t>Last Blaze</t>
  </si>
  <si>
    <t>When you use a rage skill, inflict burning on nearby enemies.Rage skills extend berserk longer.</t>
  </si>
  <si>
    <t>Savage Instinct</t>
  </si>
  <si>
    <t>Activating berserk mode breaks stuns and reduces incoming damage.</t>
  </si>
  <si>
    <t>Burst of Aggression</t>
  </si>
  <si>
    <t>Gain a burst of speed when entering berserk mode.</t>
  </si>
  <si>
    <t>Blood Reaction</t>
  </si>
  <si>
    <t>A percentage of precision is given as a bonus to ferocity and a percentage of power is given as a bonus to condition damage. These bonuses are doubled in berserk mode.</t>
  </si>
  <si>
    <t>Heat the Soul</t>
  </si>
  <si>
    <t>Grant boons to nearby allies when you use a Burst skill.</t>
  </si>
  <si>
    <t>Dead or Alive</t>
  </si>
  <si>
    <t>Heal yourself and gain Blood Reckoning when entering berserk mode.</t>
  </si>
  <si>
    <t>Fatal Frenzy</t>
  </si>
  <si>
    <t>Berserk mode increases power and condition damage.</t>
  </si>
  <si>
    <t>Bloody Roar</t>
  </si>
  <si>
    <t>Deal increased strike damage while in berserk mode. Gain resistance when entering berserk mode.</t>
  </si>
  <si>
    <t>King of Fires</t>
  </si>
  <si>
    <t>Increase the duration of burning you apply. Gain fire aura when you critically hit an enemy. Berserker skills detonate fire aura, damaging and burning nearby foes.</t>
  </si>
  <si>
    <t>Eternal Champion</t>
  </si>
  <si>
    <t>Gain stability and endurance when entering berserk mode. Traits that trigger when entering berserk mode also trigger when exiting berserk mode. You can now exit berserk mode early.</t>
  </si>
  <si>
    <t>Dagger Proficiency</t>
  </si>
  <si>
    <t>Spellbreaker</t>
  </si>
  <si>
    <t>You can wield daggers in both hands.</t>
  </si>
  <si>
    <t>Spellbreaker's Conviction</t>
  </si>
  <si>
    <t>Maximum adrenaline is capped at 2 bars, and only level 1 bursts are available. Gain access to the Full Counter burst and Meditation skills.</t>
  </si>
  <si>
    <t>Pure Strike</t>
  </si>
  <si>
    <t>Deal increased critical-hit damage. This bonus is doubled against boonless foes.</t>
  </si>
  <si>
    <t>Guard Counter</t>
  </si>
  <si>
    <t>Gain protection after a successful Full Counter.</t>
  </si>
  <si>
    <t>No Escape</t>
  </si>
  <si>
    <t>Dazes and stuns inflict immobilize.</t>
  </si>
  <si>
    <t>Dispelling Force</t>
  </si>
  <si>
    <t>Dazes, stuns, pulls, knockdowns, knockbacks, and launches remove boons.</t>
  </si>
  <si>
    <t>Loss Aversion</t>
  </si>
  <si>
    <t>Removing boons from a foe deals damage and gives you adrenaline.</t>
  </si>
  <si>
    <t>Slow Counter</t>
  </si>
  <si>
    <t>Full Counter applies cripple and slow.</t>
  </si>
  <si>
    <t>Sun and Moon Style</t>
  </si>
  <si>
    <t>Gain bonuses for each dagger you equip: Main handâ€”Strike damage is increased versus foes with no boons. Off Handâ€” Heal for a percent of your outgoing strike damage.</t>
  </si>
  <si>
    <t>Attacker's Insight</t>
  </si>
  <si>
    <t>Gain Insight when disabling foes or removing boons. Full Counter refreshes all burst skills on hit. Disables include stun, daze, knockback, pull, knockdown, sink, float, launch, taunt and fear.</t>
  </si>
  <si>
    <t>Enchantment Collapse</t>
  </si>
  <si>
    <t>Removing a boon from a foe causes all nearby foes to lose additional boons.</t>
  </si>
  <si>
    <t>Revenge Counter</t>
  </si>
  <si>
    <t>Full Counter deals additional damage and grants resistance. Copy conditions on yourself to targets you hit with Full Counter.</t>
  </si>
  <si>
    <t>Magebane Tether</t>
  </si>
  <si>
    <t>Hitting with a burst skill casts Magebane Tether on your target if they are within range.</t>
  </si>
  <si>
    <t>Pistol Proficiency</t>
  </si>
  <si>
    <t>Bladesworn</t>
  </si>
  <si>
    <t>You can wield pistols.</t>
  </si>
  <si>
    <t>Gun X Sword</t>
  </si>
  <si>
    <t>Gain access to the Gunsaber as an alternate weapon set, but lose the ability to swap to other weapon sets during combat. Adrenaline is replaced with flow.</t>
  </si>
  <si>
    <t>River's Flow</t>
  </si>
  <si>
    <t>Incoming healing increased. Healing yourself increases flow rate. Regeneration effects do not trigger flow rate increase</t>
  </si>
  <si>
    <t>Swift as the Wind</t>
  </si>
  <si>
    <t>Movement skills grant swiftness and increase flow rate.</t>
  </si>
  <si>
    <t>Unseen Sword</t>
  </si>
  <si>
    <t>Swapping weapons strikes all nearby foes. Will not activate out of combat unless an enemy is within range</t>
  </si>
  <si>
    <t>Dragonscale Defense</t>
  </si>
  <si>
    <t>Gain boons when entering Dragon Trigger.</t>
  </si>
  <si>
    <t>Unshakable Mountain</t>
  </si>
  <si>
    <t>Gain barrier when you convert flow into charges while below the charge threshold.</t>
  </si>
  <si>
    <t>Fierce as Fire</t>
  </si>
  <si>
    <t>Gain increased strike damage for each round of ammunition spent.</t>
  </si>
  <si>
    <t>Lush Forest</t>
  </si>
  <si>
    <t>Using the first round of ammo on an ammunition skill reduces the recharge of all warrior skills. Does not affect the recharge of Unsheathe Gunsaber, Sheathe Gunsaber, and Dragon Trigger.</t>
  </si>
  <si>
    <t>Guns and Glory</t>
  </si>
  <si>
    <t>Gain ferocity for a short duration when you hit with an explosion. The effect stacks duration.</t>
  </si>
  <si>
    <t>Immortal Dragon</t>
  </si>
  <si>
    <t>Dragon Slash heals you for a percentage of the damage dealt. Gain protection whenever you convert flow into charges.</t>
  </si>
  <si>
    <t>Unyielding Dragon</t>
  </si>
  <si>
    <t>Dragon Slash becomes unblockable and ignores blindness. Gain might whenever you convert flow into charges.</t>
  </si>
  <si>
    <t>Daring Dragon</t>
  </si>
  <si>
    <t>Dragon Slash has a lower maximum charge level and consumes more flow per charge, but its damage per charge is increased. Grant boons to nearby allies when you use Dragon Slash.</t>
  </si>
  <si>
    <t>Rally the Valiant</t>
  </si>
  <si>
    <t>Paragon</t>
  </si>
  <si>
    <t>Gain access to chants and command skills. Gain motivation by using a chant or by using a burst skill while a refrain is active.</t>
  </si>
  <si>
    <t>Call to Action</t>
  </si>
  <si>
    <t>Gain motivation when you enter combat. If no refrains are active, automatically activate the refrain of Chant of Action.</t>
  </si>
  <si>
    <t>Calming Tongue</t>
  </si>
  <si>
    <t>Chant of Recuperation removes conditions from affected allies when activated.</t>
  </si>
  <si>
    <t>Liberating Liaise</t>
  </si>
  <si>
    <t>Chant of Freedom grants superspeed to affected allies when activated.</t>
  </si>
  <si>
    <t>Inspiring Implements</t>
  </si>
  <si>
    <t>Gain concentration. Gain motivation when you swap weapons.</t>
  </si>
  <si>
    <t>Strengthening Stanzas</t>
  </si>
  <si>
    <t>Refrains grant bonus effects to you while they are active.</t>
  </si>
  <si>
    <t>Invigorating Tempo</t>
  </si>
  <si>
    <t>Heal yourself and gain adrenaline for each point of motivation spent.</t>
  </si>
  <si>
    <t>Reverberation</t>
  </si>
  <si>
    <t>Command echoes can trigger a second time.</t>
  </si>
  <si>
    <t>Unyielding Resolve</t>
  </si>
  <si>
    <t>Strike and condition damage dealt to you is reduced for each point of motivation you have.</t>
  </si>
  <si>
    <t>Feverish Pulse</t>
  </si>
  <si>
    <t>Using a chant reduces the recharge of your other chants and grants boon to affected allies.</t>
  </si>
  <si>
    <t>Brisk Pacing</t>
  </si>
  <si>
    <t>Deal increased damage based on your motivation level.</t>
  </si>
  <si>
    <t>Enduring Refrain</t>
  </si>
  <si>
    <t>Refrain effects of chants are stronger. Gain additional motivation when you activate a chant.</t>
  </si>
  <si>
    <t>Explosive Entrance</t>
  </si>
  <si>
    <t>Explosives</t>
  </si>
  <si>
    <t>Your first attack when entering combat explodes, dealing damage to nearby foes. This ability refreshes after a dodge roll.</t>
  </si>
  <si>
    <t>Grenadier</t>
  </si>
  <si>
    <t>Increase the blast radius of grenades. Using a healing skill casts Lesser Grenade Barrage.</t>
  </si>
  <si>
    <t>Short Fuse</t>
  </si>
  <si>
    <t>Gain fury when you hit a foe with an Explosion.</t>
  </si>
  <si>
    <t>Glass Cannon</t>
  </si>
  <si>
    <t>Strike damage dealt increases when above health threshold.</t>
  </si>
  <si>
    <t>Steel-Packed Powder</t>
  </si>
  <si>
    <t>Explosions cause vulnerability.</t>
  </si>
  <si>
    <t>Aim-Assisted Rocket</t>
  </si>
  <si>
    <t>Missile hits launch a rocket at your target. After enough rockets have been fired, an orbital strike is called instead. This trait has an internal cooldown.</t>
  </si>
  <si>
    <t>Explosive Temper</t>
  </si>
  <si>
    <t>Explosions grant stacking ferocity when they hit.</t>
  </si>
  <si>
    <t>Blast Shield</t>
  </si>
  <si>
    <t>Explosive Entrance grants barrier. Gain vitality based on a percentage of your power.</t>
  </si>
  <si>
    <t>Shaped Charge</t>
  </si>
  <si>
    <t>Deal increased strike damage for each stack of vulnerability on your target.</t>
  </si>
  <si>
    <t>Grand Entrance</t>
  </si>
  <si>
    <t>Explosive Entrance grants you resistance and increased critical-strike chance for a brief duration.</t>
  </si>
  <si>
    <t>Shrapnel</t>
  </si>
  <si>
    <t>Explosions have a chance to cripple and cause bleeding on hit.</t>
  </si>
  <si>
    <t>Big Boomer</t>
  </si>
  <si>
    <t>Deal increased strike damage to foes with a lower health percentage than you. Hitting with an Explosion heals you over a few seconds.</t>
  </si>
  <si>
    <t>Sharpshooter</t>
  </si>
  <si>
    <t>Firearms</t>
  </si>
  <si>
    <t>Critical hits have a chance to cause bleeding.</t>
  </si>
  <si>
    <t>Chemical Rounds</t>
  </si>
  <si>
    <t>Gain condition damage. Your pistol skills gain increased condition duration.</t>
  </si>
  <si>
    <t>Sanguine Array</t>
  </si>
  <si>
    <t>Gain might when you inflict bleeding on a foe.</t>
  </si>
  <si>
    <t>High Caliber</t>
  </si>
  <si>
    <t>You have an increased critical hit chance against foes within the range threshold.</t>
  </si>
  <si>
    <t>Hematic Focus</t>
  </si>
  <si>
    <t>Gain fury when you inflict bleeding on an enemy. Fury gives an increased critical-strike chance.</t>
  </si>
  <si>
    <t>Juggernaut</t>
  </si>
  <si>
    <t>Gain might while wielding a flamethrower. Might applied to you gains increased duration. Napalm grants you stability and a fire aura.</t>
  </si>
  <si>
    <t>Thermal Vision</t>
  </si>
  <si>
    <t>Gain expertise. Increase your outgoing condition damage when you inflict burning.</t>
  </si>
  <si>
    <t>No Scope</t>
  </si>
  <si>
    <t>Critical hits on foes within the range threshold have a chance to grant fury. Fury grants you ferocity.</t>
  </si>
  <si>
    <t>Serrated Steel</t>
  </si>
  <si>
    <t>Bleeding you inflict gains increased duration.</t>
  </si>
  <si>
    <t>Equal and Opposite Reaction</t>
  </si>
  <si>
    <t>Gain quickness and stability when you disable an enemy.</t>
  </si>
  <si>
    <t>Modified Ammunition</t>
  </si>
  <si>
    <t>Deal increased strike damage for each condition on a foe.</t>
  </si>
  <si>
    <t>Incendiary Powder</t>
  </si>
  <si>
    <t>Burning you inflict lasts longer, and your critical hits inflict burning.</t>
  </si>
  <si>
    <t>Cleansing Synergy</t>
  </si>
  <si>
    <t>Inventions</t>
  </si>
  <si>
    <t>Using a heal skill triggers a cleansing pulse around you.</t>
  </si>
  <si>
    <t>Over Shield</t>
  </si>
  <si>
    <t>Shield skills grant protection to nearby allies. Protection on you gains increased damage reduction.</t>
  </si>
  <si>
    <t>Automated Medical Response</t>
  </si>
  <si>
    <t>Grant regeneration to nearby allies when you use a healing skill's associated tool belt skill.</t>
  </si>
  <si>
    <t>Autodefense Bomb Dispenser</t>
  </si>
  <si>
    <t>Drop a smoke bomb when you are disabled. Disables include stun, daze, knockback, pull, knockdown, sink, float, launch, taunt, and fear.</t>
  </si>
  <si>
    <t>Reconstruction Enclosure</t>
  </si>
  <si>
    <t>Grant protection to nearby allies when you use a heal skill.</t>
  </si>
  <si>
    <t>Experimental Turrets</t>
  </si>
  <si>
    <t>Turret. Turrets create a reflective barrier when built and grant boons to allies around them on a regular interval.</t>
  </si>
  <si>
    <t>Soothing Detonation</t>
  </si>
  <si>
    <t>Heal nearby allies when using a tool belt skill.</t>
  </si>
  <si>
    <t>Mecha Legs</t>
  </si>
  <si>
    <t>Energy Amplifier</t>
  </si>
  <si>
    <t>Your power and healing power are increased while you have regeneration.</t>
  </si>
  <si>
    <t>Anticorrosion Plating</t>
  </si>
  <si>
    <t>When you grant protection to an ally, cleanse conditions from them.</t>
  </si>
  <si>
    <t>Bunker Down</t>
  </si>
  <si>
    <t>Create a proximity mine at your target's location and a med kit at your location when you disable an enemy.</t>
  </si>
  <si>
    <t>Medical Dispersion Field</t>
  </si>
  <si>
    <t>While in combat, a percentage of healing you apply to yourself is stored by your Medical Dispersion Field. Each interval, stored healing is spent to heal nearby allies.</t>
  </si>
  <si>
    <t>Hidden Flask</t>
  </si>
  <si>
    <t>Alchemy</t>
  </si>
  <si>
    <t>Drink a Lesser Elixir B when struck while below the health threshold.</t>
  </si>
  <si>
    <t>Invigorating Speed</t>
  </si>
  <si>
    <t>When you gain swiftness or superspeed, you also gain vigor.</t>
  </si>
  <si>
    <t>Protection Injection</t>
  </si>
  <si>
    <t>Gain protection when you are disabled. Disables include stun, daze, knockback, pull, knockdown, sink, float, launch, taunt, and fear.</t>
  </si>
  <si>
    <t>Health Insurance</t>
  </si>
  <si>
    <t>Increase your incoming healing effectiveness. Gain increased healing to others while using a med kit.</t>
  </si>
  <si>
    <t>Transmute</t>
  </si>
  <si>
    <t>Drink a Lesser Elixir C when you use a healing skill.</t>
  </si>
  <si>
    <t>Comeback Cure</t>
  </si>
  <si>
    <t>Grant regeneration when you remove a condition from an ally.</t>
  </si>
  <si>
    <t>Boiling Point</t>
  </si>
  <si>
    <t>Gain fury when you gain might at or above the threshold.</t>
  </si>
  <si>
    <t>Backpack Regenerator</t>
  </si>
  <si>
    <t>Recover health every second when using an Engineering Kit.</t>
  </si>
  <si>
    <t>Compounding Chemicals</t>
  </si>
  <si>
    <t>Heal yourself when you grant yourself a boon. Remove a condition from yourself when you use an elixir skill. Gain increased concentration.</t>
  </si>
  <si>
    <t>HGH</t>
  </si>
  <si>
    <t>Elixirs gain increased durations, and grant might.</t>
  </si>
  <si>
    <t>Purity of Purpose</t>
  </si>
  <si>
    <t>When you would cleanse a condition from an ally, convert it into a boon instead. This can affect multiple targets simuntaneously.</t>
  </si>
  <si>
    <t>Chain Reactivity</t>
  </si>
  <si>
    <t>Gain barrier when you successfully finish a combo field with a leap or a blast. Every third successful finish grants a larger barrier and might.</t>
  </si>
  <si>
    <t>Optimized Activation</t>
  </si>
  <si>
    <t>Tools</t>
  </si>
  <si>
    <t>Using tool belt skills grants vigor.</t>
  </si>
  <si>
    <t>Static Discharge</t>
  </si>
  <si>
    <t>Discharge a bolt of lightning whenever you use a tool belt skill.</t>
  </si>
  <si>
    <t>Reactive Lenses</t>
  </si>
  <si>
    <t>Activate Lesser Utility Goggles when using a healing skill.</t>
  </si>
  <si>
    <t>Power Wrench</t>
  </si>
  <si>
    <t>Reduce the recharge of your elite skill when you dodge.</t>
  </si>
  <si>
    <t>Mechanized Deployment</t>
  </si>
  <si>
    <t>Your tool belt skills gain reduced recharge. Tool belt skills remove conditions. Engage Photon Forge cannot activate this trait.</t>
  </si>
  <si>
    <t>Streamlined Kits</t>
  </si>
  <si>
    <t>Equipping an Engineering Kit creates an attack or spell and grants you swiftness.</t>
  </si>
  <si>
    <t>Lock On</t>
  </si>
  <si>
    <t>Striking a stealthed foe triggers Invisible Analysis. Disabling a foe triggers Controlled Analysis. Disables include stun, daze, knockback, pull, knockdown, sink, float, launch, taunt, and fear.</t>
  </si>
  <si>
    <t>Takedown Round</t>
  </si>
  <si>
    <t>Deal increased strike damage while your endurance is not full.</t>
  </si>
  <si>
    <t>Excessive Energy</t>
  </si>
  <si>
    <t>Strike damage dealt is increased while you have vigor.</t>
  </si>
  <si>
    <t>Kinetic Battery</t>
  </si>
  <si>
    <t>Gain Kinetic Charges when you use a tool belt skill. At maximum, charges gain a burst of speed.</t>
  </si>
  <si>
    <t>Adrenal Implant</t>
  </si>
  <si>
    <t>Endurance regeneration is increased.</t>
  </si>
  <si>
    <t>Gadgeteer</t>
  </si>
  <si>
    <t>Gadget skills are more powerful.</t>
  </si>
  <si>
    <t>Hammer Proficiency</t>
  </si>
  <si>
    <t>Scrapper</t>
  </si>
  <si>
    <t>You can wield hammers.</t>
  </si>
  <si>
    <t>Function Gyro</t>
  </si>
  <si>
    <t>You gain access to the function gyro, which replaces your tool belt skill 5. Gain access to Gyro skills.</t>
  </si>
  <si>
    <t>Gyroscopic Acceleration</t>
  </si>
  <si>
    <t>Well abilities have an increased area of effect and grant superspeed to nearby allies on their first pulse. Your function gyro also grants superspeed to allies when cast.</t>
  </si>
  <si>
    <t>System Shocker</t>
  </si>
  <si>
    <t>Disabling a foe grants barrier to nearby allies. Your function gyro dazes foes when cast. Disables include stun, daze, knockback, pull, knockdown, sink, float, launch, taunt, and fear.</t>
  </si>
  <si>
    <t>Mass Momentum</t>
  </si>
  <si>
    <t>Gain might while you have stability. Your Function Gyro applies stability to allies when cast.</t>
  </si>
  <si>
    <t>Speed of Synergy</t>
  </si>
  <si>
    <t>Using a heal skill grants superspeed in a radius around you. Using a healing skill's associated tool-belt skill grants you personal superspeed.</t>
  </si>
  <si>
    <t>Rapid Regeneration</t>
  </si>
  <si>
    <t>Regenerate health while affected by swiftness or superspeed.</t>
  </si>
  <si>
    <t>Expert Examination</t>
  </si>
  <si>
    <t>Your function gyro grants protection to allies when cast. Using a healing skill's associated toolbelt grants protection to nearby allies.</t>
  </si>
  <si>
    <t>Object in Motion</t>
  </si>
  <si>
    <t>Deal increased strike damage while you have stability, swiftness, or superspeed. This damage increase compounds for each boon you have.</t>
  </si>
  <si>
    <t>Impact Savant</t>
  </si>
  <si>
    <t>A percentage of the strike damage you deal is converted into barrier.</t>
  </si>
  <si>
    <t>Ex Machina</t>
  </si>
  <si>
    <t>Function gyro has additional charges, no longer has a recharge penalty, and grants barrier to nearby allies.</t>
  </si>
  <si>
    <t>Kinetic Accelerators</t>
  </si>
  <si>
    <t>Grant boons to nearby allies when you successfully combo a field with a blast, leap, or whirl finisher. Your function gyro is now a blast finisher. Whirl finishers can only trigger this trait once per interval.</t>
  </si>
  <si>
    <t>Applied Force</t>
  </si>
  <si>
    <t>Gain stability when you gain might at or above the threshold. Might grants bonus power.</t>
  </si>
  <si>
    <t>Holosmith</t>
  </si>
  <si>
    <t>You can wield swords in your main hand.</t>
  </si>
  <si>
    <t>Photon Projector</t>
  </si>
  <si>
    <t>Photon Forge replaces your tool belt skill 5. Gain access to Exceed skills.</t>
  </si>
  <si>
    <t>Light Density Amplifier</t>
  </si>
  <si>
    <t>Photon Forge reduces incoming damage but has increased passive heat generation.</t>
  </si>
  <si>
    <t>Prismatic Converter</t>
  </si>
  <si>
    <t>Deactivate Photon Forge converts conditions into boons based on your heat level.</t>
  </si>
  <si>
    <t>Solar Focusing Lens</t>
  </si>
  <si>
    <t>Your first few attacks after entering or exiting Photon Forge inflict burning and deal increased strike damage. This bonus is also granted if you overheat.</t>
  </si>
  <si>
    <t>Heat Therapy</t>
  </si>
  <si>
    <t>Gain health per unit of heat lost. This trait does not function while cooling due to an overheat unless Photonic Blasting Module is equipped.</t>
  </si>
  <si>
    <t>Crystal Configuration: Storm</t>
  </si>
  <si>
    <t>Photon Forge skill 1 now fires explosive projectiles, but generates extra heat.</t>
  </si>
  <si>
    <t>Crystal Configuration: Eclipse</t>
  </si>
  <si>
    <t>Corona Burst grants a barrier for each target struck.</t>
  </si>
  <si>
    <t>Crystal Configuration: Zephyr</t>
  </si>
  <si>
    <t>Holo Leap removes movement-impairing conditions, grants superspeed instead of swiftness, and inflicts cripple.</t>
  </si>
  <si>
    <t>Laser's Edge</t>
  </si>
  <si>
    <t>While Photon Forge is active, your outgoing strike damage is increased based on your current heat.</t>
  </si>
  <si>
    <t>Thermal Release Valve</t>
  </si>
  <si>
    <t>Dodge rolling vents heat as an attack against nearby foes and grants vigor. (Attack will not occur without heat.)</t>
  </si>
  <si>
    <t>Enhanced Capacity Storage Unit</t>
  </si>
  <si>
    <t>Increases maximum heat capacity. While above 100% heat, periodically gain might. Some skills and traits gain additional heat tiers.</t>
  </si>
  <si>
    <t>Photonic Blasting Module</t>
  </si>
  <si>
    <t>Overheat now blasts damage to nearby foes and no longer deals its initial damage to you. The tool belt recharge penalty for Overheat is reduced. Heat can only be lost after overheating. Damage over time from Overheat is still applied.</t>
  </si>
  <si>
    <t>Mace Proficiency</t>
  </si>
  <si>
    <t>Mechanist</t>
  </si>
  <si>
    <t>You can wield maces in your main hand.</t>
  </si>
  <si>
    <t>Mechanical Genius</t>
  </si>
  <si>
    <t>Through your mechanical genius, you have utilized Canthan jade technology to build a customized battle mech that will fight at your side. Your mech inherits a percentage of all of your combat attributes except precision, which is added to its own. Your tool belt skills are replaced with Mech Commands, customized by your trait choices. Mech Commands take longer to recharge when  using them far away from your mech. Gain access to signet utility skills.</t>
  </si>
  <si>
    <t>Mech Arms: Single-Edge Cutters</t>
  </si>
  <si>
    <t>Unlocks the Mech Command skill Rolling Smash. Your mech's attacks apply bleeding. This attack's effect may only affect a certain target once per interval.</t>
  </si>
  <si>
    <t>Mech Arms: High-Impact Drivers</t>
  </si>
  <si>
    <t>Unlocks the Mech Command skill Explosive Knuckle. Your mech's attacks now generate might for allies within a radius. This effect may only occur once per interval. The mech does not count against the target count for this trait.</t>
  </si>
  <si>
    <t>Mech Arms: Jade Cannons</t>
  </si>
  <si>
    <t>Melee attacks become ranged, have an increased chance to critically hit, and apply vulnerability. Unlocks the Mech Command skill Spark Revolver.</t>
  </si>
  <si>
    <t>Mech Fighter</t>
  </si>
  <si>
    <t>New combat subroutines enable your mech to use Rocket Punch when you activate Skill 3 on your equipped weapon. Your mech gains a greater percentage of your own toughness and vitality stats.</t>
  </si>
  <si>
    <t>Mech Frame: Conductive Alloys</t>
  </si>
  <si>
    <t>Unlocks the Mech Command skill Discharge Array. Your mech gains a greater percentage of your own condition damage and expertise stats.</t>
  </si>
  <si>
    <t>Mech Frame: Channeling Conduits</t>
  </si>
  <si>
    <t>Unlocks the Mech Command skill Crisis Zone. When you or your mech apply barrier, also grant a boon to the affected target. Your mech gains a greater percentage of your concentration and healing power stats.</t>
  </si>
  <si>
    <t>Mech Frame: Variable Mass Distributor</t>
  </si>
  <si>
    <t>Unlocks the Mech Command skill Core Reactor Shot. Your mech gains a greater percentage of your own precision stats.</t>
  </si>
  <si>
    <t>Exigency Protocols</t>
  </si>
  <si>
    <t>When your mech is struck while under half health, it activates Exigency Protocols, gaining damage reduction and regeneration for a short duration. Regeneration boons you apply are stronger.</t>
  </si>
  <si>
    <t>Mech Core: Jade Dynamo</t>
  </si>
  <si>
    <t>Unlocks the Mech Command skill Jade Mortar. Mech Command skills grant you quickness when used and have a reduced cooldown.</t>
  </si>
  <si>
    <t>Mech Core: Barrier Engine</t>
  </si>
  <si>
    <t>Unlocks the Mech Command skill Barrier Burst. While in combat, your mech will automatically grant a small barrier each interval to nearby allies. The mech does not count against the target count for this trait.</t>
  </si>
  <si>
    <t>Mech Core: J-Drive</t>
  </si>
  <si>
    <t>Gain access to the Mech Command skill Sky Circus. While dismissed or away for repairs, your mech supports you with an occasional aerial bombardment. Signet skills gain improved passive effects and continue to grant their passive bonuses while recharging.</t>
  </si>
  <si>
    <t>Experimental Union</t>
  </si>
  <si>
    <t>Amalgam</t>
  </si>
  <si>
    <t>Through asuran ingenuity, you are host to a mercurial mold. You are able to command it using selectable morph skills that replace your toolbelt skills or even fully merge with it to evolve into a superior being. Morph skills selected will alter the composition of the mercurial mold, changing the bonuses it grants you when you evolve. Gain access to stance utility skills.</t>
  </si>
  <si>
    <t>Stainless Steel</t>
  </si>
  <si>
    <t>Convert conditions to boons when you use a stance skill or evolve.</t>
  </si>
  <si>
    <t>Innervating Alloy</t>
  </si>
  <si>
    <t>Heal every second while you have barrier. Heal when you evolve.</t>
  </si>
  <si>
    <t>Hardened Chrome</t>
  </si>
  <si>
    <t>Morph skills and evolving grant protection to yourself.</t>
  </si>
  <si>
    <t>Hybrid Vigor</t>
  </si>
  <si>
    <t>Gain vitality. Gain barrier when you use a morph skill.</t>
  </si>
  <si>
    <t>Carbolic Composition</t>
  </si>
  <si>
    <t>Amalgam skills inflict poison on hit. Poison you inflict lasts longer.</t>
  </si>
  <si>
    <t>Mercurial Tendencies</t>
  </si>
  <si>
    <t>Disabling an enemy reduces the cooldown of Evolve.</t>
  </si>
  <si>
    <t>Silver Lining</t>
  </si>
  <si>
    <t>Evolve no longer inherits bonuses from strains. Morph skills grant their strain bonuses.</t>
  </si>
  <si>
    <t>Willing Host</t>
  </si>
  <si>
    <t>Using a morph skill increases your damage for a duration.</t>
  </si>
  <si>
    <t>Symbiotic Synergy</t>
  </si>
  <si>
    <t>Evolve recharges morph skills. Morph skills deal increased strike damage.</t>
  </si>
  <si>
    <t>New Genes</t>
  </si>
  <si>
    <t>Morph skills grants boons to allies. Grant an additional boon based on which morph skill was used.</t>
  </si>
  <si>
    <t>Double Helix</t>
  </si>
  <si>
    <t>Evolve has two charges and grants an increased attribute bonus.</t>
  </si>
  <si>
    <t>Opening Strike</t>
  </si>
  <si>
    <t>Ranger</t>
  </si>
  <si>
    <t>Marksmanship</t>
  </si>
  <si>
    <t>You and your pet inflict vulnerability with your first strike when entering combat.</t>
  </si>
  <si>
    <t>Stoneform</t>
  </si>
  <si>
    <t>Use Lesser Signet of Stone when you use an elite skill. Activating a Signet grants might and fury.</t>
  </si>
  <si>
    <t>Hunter's Gaze</t>
  </si>
  <si>
    <t>Gain might when you strike a foe based on their health percent.</t>
  </si>
  <si>
    <t>Clarion Bond</t>
  </si>
  <si>
    <t>Cast Lesser Call of the Wild when you swap pets.</t>
  </si>
  <si>
    <t>Alpha Focus</t>
  </si>
  <si>
    <t>Your opening strikes inflict cripple on your foes.</t>
  </si>
  <si>
    <t>Wolfsong</t>
  </si>
  <si>
    <t>Canine Beast abilities apply vulnerability and reveal nearby enemies. You deal additional increased strike damage against vulnerable enemies.</t>
  </si>
  <si>
    <t>Farsighted</t>
  </si>
  <si>
    <t>Ranger weapon skills deal increased strike damage. Damage is further increased for foes above the range threshold.</t>
  </si>
  <si>
    <t>Moment of Clarity</t>
  </si>
  <si>
    <t>Gain an attack of opportunity for you and your pet on interrupting a foe. Daze and stun durations that you inflict last longer. This trait can only grant an attack of opportunity against enemies with defiance bars once per interval.</t>
  </si>
  <si>
    <t>Precise Strike</t>
  </si>
  <si>
    <t>Opening Strike has an increased chance to critically strike.</t>
  </si>
  <si>
    <t>Predator's Onslaught</t>
  </si>
  <si>
    <t>You and your pet deal increased strike damage to disabled, defiant, or movement-impaired foes. Affected conditions are stun, taunt, daze, cripple, fear, immobilize, and chilled.</t>
  </si>
  <si>
    <t>Remorseless</t>
  </si>
  <si>
    <t>Regain opening strike whenever you gain fury. Opening strike deals more damage.</t>
  </si>
  <si>
    <t>Lead the Wind</t>
  </si>
  <si>
    <t>Your longbow and harpoon-gun skills pierce and recharge faster. Point-Blank Shot grants boons.</t>
  </si>
  <si>
    <t>Tail Wind</t>
  </si>
  <si>
    <t>Skirmishing</t>
  </si>
  <si>
    <t>Gain swiftness when swapping weapons in combat.</t>
  </si>
  <si>
    <t>Sharpened Edges</t>
  </si>
  <si>
    <t>You and your pet have a chance to cause bleeding on critical hits.</t>
  </si>
  <si>
    <t>Primal Reflexes</t>
  </si>
  <si>
    <t>When you successfully evade an attack, gain vigor.</t>
  </si>
  <si>
    <t>Trapper's Expertise</t>
  </si>
  <si>
    <t>Increase the duration of boons and conditions applied by traps. Offensive traps inflict cripple.</t>
  </si>
  <si>
    <t>Furious Grip</t>
  </si>
  <si>
    <t>Gain fury when swapping weapons in combat.</t>
  </si>
  <si>
    <t>Fang and Claw</t>
  </si>
  <si>
    <t>Feline, avian, and drake pets gain additional precision and ferocity. Beast skills grant fury around the ranger.</t>
  </si>
  <si>
    <t>Strider's Strength</t>
  </si>
  <si>
    <t>You and your pet gain power. Gain additional power while wielding a sword. Successfully evading an attack grants might.</t>
  </si>
  <si>
    <t>Hidden Barbs</t>
  </si>
  <si>
    <t>Bleeding you inflict is more dangerous.</t>
  </si>
  <si>
    <t>Hunter's Tactics</t>
  </si>
  <si>
    <t>You deal more damage and have an increased chance to critically strike while attacking from behind or the side or when striking a defiant foe.</t>
  </si>
  <si>
    <t>Quick Draw</t>
  </si>
  <si>
    <t>When swapping weapons, gain quickness. The next ranger weapon skill you use will recharge faster.</t>
  </si>
  <si>
    <t>Light on your Feet</t>
  </si>
  <si>
    <t>Damage and condition duration are increased after dodging or using a ranger skill that evades. Short bow skills pierce and gain recharge reduction, and their attacks from behind or while flanking or against defiant foes are improved.</t>
  </si>
  <si>
    <t>Vicious Quarry</t>
  </si>
  <si>
    <t>Fury grants ferocity and additional increased critical strike chance. When struck while below the health threshold, gain fury.</t>
  </si>
  <si>
    <t>Natural Vigor</t>
  </si>
  <si>
    <t>Wilderness Survival</t>
  </si>
  <si>
    <t>You recover endurance more quickly.</t>
  </si>
  <si>
    <t>Child of Earth</t>
  </si>
  <si>
    <t>Create muddy terrain when you use a healing skill.</t>
  </si>
  <si>
    <t>Oakheart Salve</t>
  </si>
  <si>
    <t>Gain regeneration when you are inflicted with bleeding, poison, or burning. While you have regeneration, you take reduced strike damage.</t>
  </si>
  <si>
    <t>Arachnophobia</t>
  </si>
  <si>
    <t>Spider pet's Spit and devourer pet's Twin Darts additionally inflict torment. You and your pet gain expertise ; spiders and devourers gain more.</t>
  </si>
  <si>
    <t>Companion's Defense</t>
  </si>
  <si>
    <t>You and your pet gain protection when you dodge roll.</t>
  </si>
  <si>
    <t>Ambidexterity</t>
  </si>
  <si>
    <t>Gain condition damage. Gain additional condition damage while wielding a torch, dagger, or mace. Torch and dagger skills recharge faster.</t>
  </si>
  <si>
    <t>Survival Instincts</t>
  </si>
  <si>
    <t>Gain increased outgoing strike damage and reduced incoming strike damage. When above the health threshold, outgoing strike damage is further increased. When below the health threshold, incoming strike damage is further reduced.</t>
  </si>
  <si>
    <t>Empathic Bond</t>
  </si>
  <si>
    <t>Remove conditions when you swap pets.</t>
  </si>
  <si>
    <t>Rugged Growth</t>
  </si>
  <si>
    <t>You and your pet recover health while affected by protection.</t>
  </si>
  <si>
    <t>Carnivore</t>
  </si>
  <si>
    <t>Steal health from enemies when you or your pet disable them. Disables include stun, daze, knockback, pull, knockdown, sink, float, launch, taunt, and fear.</t>
  </si>
  <si>
    <t>Wilderness Knowledge</t>
  </si>
  <si>
    <t>Survival skills grant fury and remove conditions.</t>
  </si>
  <si>
    <t>Poison Master</t>
  </si>
  <si>
    <t>Upon using a Beast ability, your pet's next attack will inflict poison ; your poison damage is increased.</t>
  </si>
  <si>
    <t>Rejuvenation</t>
  </si>
  <si>
    <t>Nature Magic</t>
  </si>
  <si>
    <t>Beast skills now grant regeneration around the ranger.</t>
  </si>
  <si>
    <t>Bountiful Hunter</t>
  </si>
  <si>
    <t>You deal increased strike damage for each boon affecting you. Your pet deals increased strike damage for each boon affecting it.</t>
  </si>
  <si>
    <t>Wellspring</t>
  </si>
  <si>
    <t>Grant regeneration to nearby allies when you use a healing skill. You and your pet gain healing power based on power.</t>
  </si>
  <si>
    <t>Allies' Aid</t>
  </si>
  <si>
    <t>Cast "Search and Rescue!" when you begin reviving an ally. Moa pets grant barrier to nearby allies with their Beast skill.</t>
  </si>
  <si>
    <t>Fortifying Bond</t>
  </si>
  <si>
    <t>When you gain a boon, it is shared with your pet.</t>
  </si>
  <si>
    <t>Evasive Purity</t>
  </si>
  <si>
    <t>Cleanse a condition when you dodge. Heal if you cleansed a condition this way.</t>
  </si>
  <si>
    <t>Spirited Arrival</t>
  </si>
  <si>
    <t>Grant boons to nearby allies when swapping pets.</t>
  </si>
  <si>
    <t>Windborne Notes</t>
  </si>
  <si>
    <t>Grant nearby allies regeneration when you use a warhorn skill. Heal allies when you grant them regeneration.</t>
  </si>
  <si>
    <t>Lingering Magic</t>
  </si>
  <si>
    <t>You and your pet gain increased concentration. Regeneration you apply is more effective.</t>
  </si>
  <si>
    <t>Nature's Vengeance</t>
  </si>
  <si>
    <t>Spirits slam again when they finish shaking.</t>
  </si>
  <si>
    <t>Protective Ward</t>
  </si>
  <si>
    <t>Cast Lesser "Guard!" when you swap pets.</t>
  </si>
  <si>
    <t>Invigorating Bond</t>
  </si>
  <si>
    <t>Beast skills heal allies around the ranger.</t>
  </si>
  <si>
    <t>Pack Alpha</t>
  </si>
  <si>
    <t>Beastmastery</t>
  </si>
  <si>
    <t>Your pet 's attributes are improved and pet skills gain recharge reduction. Improved attributes are power, condition damage, precision, toughness, and vitality.</t>
  </si>
  <si>
    <t>Go for the Eyes</t>
  </si>
  <si>
    <t>Nearby foes are blinded by Beast abilities.</t>
  </si>
  <si>
    <t>Potent Ally</t>
  </si>
  <si>
    <t>You and your pet each grant might to the other when critically striking a foe.</t>
  </si>
  <si>
    <t>Resounding Timbre</t>
  </si>
  <si>
    <t>Commands apply additional boons around you.</t>
  </si>
  <si>
    <t>Loud Whistle</t>
  </si>
  <si>
    <t>While your health is above the threshold, your pet deals increased strike damage. Your pet swap gains recharge reduction.</t>
  </si>
  <si>
    <t>Wilting Strike</t>
  </si>
  <si>
    <t>Beast abilities inflict weakness on those struck. This effect will only occur once on each target struck by an ability.</t>
  </si>
  <si>
    <t>Two-Handed Training</t>
  </si>
  <si>
    <t>Greatsword and underwater spear skills deal more damage and recharge faster. Gain fury when you disable a foe.</t>
  </si>
  <si>
    <t>Natural Healing</t>
  </si>
  <si>
    <t>Your pet recovers health each interval.</t>
  </si>
  <si>
    <t>Pet's Prowess</t>
  </si>
  <si>
    <t>Your pet moves faster and deals more damage on critical hits.</t>
  </si>
  <si>
    <t>Beastly Warden</t>
  </si>
  <si>
    <t>Beast abilities taunt nearby foes. Ursine and porcine pets deal increased damage and have increased health.</t>
  </si>
  <si>
    <t>Zephyr's Speed</t>
  </si>
  <si>
    <t>Cast Lesser Quickening Zephyr when you swap pets.</t>
  </si>
  <si>
    <t>Honed Axes</t>
  </si>
  <si>
    <t>You and your pet gain ferocity. Axe skills gain reduced recharge, and you gain additional ferocity while wielding an axe.</t>
  </si>
  <si>
    <t>Staff Proficiency</t>
  </si>
  <si>
    <t>Druid</t>
  </si>
  <si>
    <t>You can wield a staff.</t>
  </si>
  <si>
    <t>Celestial Being</t>
  </si>
  <si>
    <t>Gain access to Glyphs. Become a celestial avatar once you gain enough astral force. Generate astral force by healing allies and damaging foes.</t>
  </si>
  <si>
    <t>Druidic Clarity</t>
  </si>
  <si>
    <t>Becoming a celestial avatar removes conditions from you and nearby allies.</t>
  </si>
  <si>
    <t>Cultivated Synergy</t>
  </si>
  <si>
    <t>Using your heal skill, heals allies around you and your pet.</t>
  </si>
  <si>
    <t>Blood Moon</t>
  </si>
  <si>
    <t>Daze enemies when you become a celestial avatar. Inflict bleeding on enemies you immobilize or disable.</t>
  </si>
  <si>
    <t>Live Vicariously</t>
  </si>
  <si>
    <t>When you heal an ally, you are also healed.</t>
  </si>
  <si>
    <t>Celestial Shadow</t>
  </si>
  <si>
    <t>Grant superspeed and stealth to nearby allies when leaving celestial avatar form.</t>
  </si>
  <si>
    <t>Verdant Etching</t>
  </si>
  <si>
    <t>Glyphs grant protection to nearby allies.</t>
  </si>
  <si>
    <t>Natural Balance</t>
  </si>
  <si>
    <t>Upon entering and leaving celestial avatar form, deal increased damage and gain boon duration for a brief period.</t>
  </si>
  <si>
    <t>Natural Mender</t>
  </si>
  <si>
    <t>Increase healing to other allies. Gain astral force each interval while not in celestial avatar form.</t>
  </si>
  <si>
    <t>Grace of the Land</t>
  </si>
  <si>
    <t>Grant boons to allies within the radius of your Celestial Avatar skills.</t>
  </si>
  <si>
    <t>Lingering Light</t>
  </si>
  <si>
    <t>While in Celestial Avatar form, your healing of others is significantly increased. Healing another player with a Celestial Avatar skill reduces the cooldown of Celestial Avatar. Cooldown can only be reduced once per outgoing heal and will occur even if the affected player is at full health.</t>
  </si>
  <si>
    <t>Eclipse</t>
  </si>
  <si>
    <t>Your Celestial Avatar skills are offensively augmented. Striking enemies grants additional astral force.</t>
  </si>
  <si>
    <t>Soulbeast</t>
  </si>
  <si>
    <t>You can wield a dagger in your main hand.</t>
  </si>
  <si>
    <t>Elevated Bond</t>
  </si>
  <si>
    <t>Gain access to Stances. Survival in the desert has enhanced your connection to your pet, granting you the ability to meld with them by entering beastmode. Traits that affect your pet may affect you differently while in beastmode.</t>
  </si>
  <si>
    <t>Fresh Reinforcement</t>
  </si>
  <si>
    <t>Entering beastmode grants you the boons affecting your pet.</t>
  </si>
  <si>
    <t>Live Fast</t>
  </si>
  <si>
    <t>Using a Beast ability grants you offensive boons.</t>
  </si>
  <si>
    <t>Unstoppable Union</t>
  </si>
  <si>
    <t>Entering or exiting beast mode grants protection.</t>
  </si>
  <si>
    <t>Furious Strength</t>
  </si>
  <si>
    <t>You deal increased strike damage while you have fury.</t>
  </si>
  <si>
    <t>Second Skin</t>
  </si>
  <si>
    <t>Conditions inflict less damage to you while you have protection.</t>
  </si>
  <si>
    <t>Essence of Speed</t>
  </si>
  <si>
    <t>Gaining quickness increases the duration of other boons affecting you.</t>
  </si>
  <si>
    <t>Predator's Cunning</t>
  </si>
  <si>
    <t>When you apply poison to a foe, steal some health from them.</t>
  </si>
  <si>
    <t>Twice as Vicious</t>
  </si>
  <si>
    <t>Disabling a foe increases your damage and condition damage for a short duration.</t>
  </si>
  <si>
    <t>Eternal Bond</t>
  </si>
  <si>
    <t>Heal when you use a merged skill. You can swap pets while merged.</t>
  </si>
  <si>
    <t>Leader of the Pack</t>
  </si>
  <si>
    <t>Stance skills gain increased duration on you and grant their effects to nearby allies for a reduced duration.</t>
  </si>
  <si>
    <t>Oppressive Superiority</t>
  </si>
  <si>
    <t>Deal increased damage to foes at a lower health percentage than you. Conditions you apply to foes at a lower health percentage than you last longer.</t>
  </si>
  <si>
    <t>Untamed</t>
  </si>
  <si>
    <t>Unleashed Power</t>
  </si>
  <si>
    <t>Gain access to Cantrips and Unleash. While your pet is unleashed, its skills are replaced with larger area-of-effect skills. Once per interval, Unleashed Ambush skills become available for a short period of time after you unleash.</t>
  </si>
  <si>
    <t>Debilitating Blows</t>
  </si>
  <si>
    <t>Disabling a foe applies conditions to that foe based on your current state. Disables include stun, daze, knockback, pull, knockdown, sink, float, launch, taunt, and fear.</t>
  </si>
  <si>
    <t>Nature's Shield</t>
  </si>
  <si>
    <t>Cantrips grant barrier to you and your pet.</t>
  </si>
  <si>
    <t>Blinding Outburst</t>
  </si>
  <si>
    <t>Venomous Outburst deals more damage and applies blindness in addition to its other effects. Unleashed Ambush skills deal more damage.</t>
  </si>
  <si>
    <t>Natural Fortitude</t>
  </si>
  <si>
    <t>Gain vitality. Unleashed Ambush skills siphon health if they hit. Siphon healing is reduced for each target struck beyond the first. Cannot siphon the same target more than once per skill.</t>
  </si>
  <si>
    <t>Enhancing Impact</t>
  </si>
  <si>
    <t>Disabling a foe grants you boons based on your current state. Disables include stun, daze, knockback, pull, knockdown, sink, float, launch, taunt, and fear.</t>
  </si>
  <si>
    <t>Cleansing Unleash</t>
  </si>
  <si>
    <t>Remove conditions when you or your pet unleash.</t>
  </si>
  <si>
    <t>Corrupting Vines</t>
  </si>
  <si>
    <t>Rending Vines corrupts boons into conditions instead of removing them. Unleashed Ambush skills remove boons from enemies. Cannot affect enemies more than once per skill.</t>
  </si>
  <si>
    <t>Vow of the Untamed</t>
  </si>
  <si>
    <t>Your outgoing strike damage is increased while you are unleashed. You take reduced damage from strikes while your pet is unleashed.</t>
  </si>
  <si>
    <t>Let Loose</t>
  </si>
  <si>
    <t>Unleashed Ambush skills grant boons to nearby allies. Refresh Unleashed Power when you swap weapons.</t>
  </si>
  <si>
    <t>Biorhythm</t>
  </si>
  <si>
    <t>When you or your pet unleash, gain biorhythm every interval for a duration. When you reach the biorhythm stack threshold, the next time you or your pet unleash, gain both bonuses from Vow of the Untamed.</t>
  </si>
  <si>
    <t>Ferocious Symbiosis</t>
  </si>
  <si>
    <t>You and your pet grant each other increased damage and movement speed when striking enemies. When this triggers, it refreshes the duration of all stacks</t>
  </si>
  <si>
    <t>Teachings of the Tengu</t>
  </si>
  <si>
    <t>Galeshot</t>
  </si>
  <si>
    <t>Mastery of tengu wind magic allows you to conjure the Cyclone Bow at will. Using arrow -consuming skills grants Wind Force. After you reach the Wind Force threshold, you are able to use Hawkeye. Gain access to Squalls. Using Cyclone Bow skills consumes arrows. You generate arrows every interval.</t>
  </si>
  <si>
    <t>Joy of Movement</t>
  </si>
  <si>
    <t>Squalls remove movement -impairing conditions and a damaging condition.</t>
  </si>
  <si>
    <t>Feel the Rush</t>
  </si>
  <si>
    <t>Movement skills grant you swiftness and endurance.</t>
  </si>
  <si>
    <t>Wuthering Wind</t>
  </si>
  <si>
    <t>After using Bluster, your pet 's next attack creates a damaging swell of wind around its target.</t>
  </si>
  <si>
    <t>Bird of Prey</t>
  </si>
  <si>
    <t>Strike damage is increased when you have swiftness or superspeed. Swiftness is more effective.</t>
  </si>
  <si>
    <t>Flock Together</t>
  </si>
  <si>
    <t>Feathered pets have increased strike damage and health. Beast skills grant quickness around the ranger.</t>
  </si>
  <si>
    <t>Perilous Skies</t>
  </si>
  <si>
    <t>Quarry's Peril is replaced by Pelt.</t>
  </si>
  <si>
    <t>Thrill of the Catch</t>
  </si>
  <si>
    <t>Restore arrows when you or your pet disable an enemy.</t>
  </si>
  <si>
    <t>Jetstream</t>
  </si>
  <si>
    <t>Your base movement speed is increased. Hawkeye grants superspeed.</t>
  </si>
  <si>
    <t>Cloudburst</t>
  </si>
  <si>
    <t>Quarry's Peril and Supersonic Arrow reset the cooldown of Bluster. When you use Bluster or Hawkeye, grant boons to nearby allies.</t>
  </si>
  <si>
    <t>Gale Force</t>
  </si>
  <si>
    <t>Wind Force grants stacking increased movement speed and damage. When you use Hawkeye, convert these into a stronger bonus for a duration.</t>
  </si>
  <si>
    <t>Shrike</t>
  </si>
  <si>
    <t>After a number of missile hits, release a volley of arrows at your target and gain an arrow. Missiles from this trait do not count toward its next trigger.</t>
  </si>
  <si>
    <t>Serpent's Touch</t>
  </si>
  <si>
    <t>Thief</t>
  </si>
  <si>
    <t>Deadly Arts</t>
  </si>
  <si>
    <t>Stealing inflicts poison. While in the downed state, your attacks apply poison.</t>
  </si>
  <si>
    <t>Dagger Training</t>
  </si>
  <si>
    <t>Gain bonus power, which is increased when wielding a dagger.</t>
  </si>
  <si>
    <t>Mug</t>
  </si>
  <si>
    <t>Deal damage and gain life when stealing. This attack cannot critically hit enemies.</t>
  </si>
  <si>
    <t>Deadly Ambition</t>
  </si>
  <si>
    <t>Inflict poison when striking a foe with a dual wield attack. Gain increased condition damage. Applies poison once per attack use.</t>
  </si>
  <si>
    <t>Lotus Poison</t>
  </si>
  <si>
    <t>Weaken targets when you poison them.</t>
  </si>
  <si>
    <t>Even the Odds</t>
  </si>
  <si>
    <t>Apply vulnerability when you steal. Gain might when you hit with a stealth attack.</t>
  </si>
  <si>
    <t>Panic Strike</t>
  </si>
  <si>
    <t>Immobilizing a foe poisons them. Striking a foe below the health threshold immobilizes them.</t>
  </si>
  <si>
    <t>Revealed Training</t>
  </si>
  <si>
    <t>Gain power, then gain extra power while you are revealed.</t>
  </si>
  <si>
    <t>Exposed Weakness</t>
  </si>
  <si>
    <t>Deal increased strike damage to your target for each unique condition on them.</t>
  </si>
  <si>
    <t>Potent Poison</t>
  </si>
  <si>
    <t>Poison you inflict has increased damage and duration. Other Deadly Arts traits apply additional stacks of poison.</t>
  </si>
  <si>
    <t>Improvisation</t>
  </si>
  <si>
    <t>Use stolen skills twice. Reduce the cooldown of all equipped utility skills when you steal. Cooldown effect will only trigger if all utility slots are filled and if at least one of your active utility skills is on cooldown. Does not affect inactive sequence skills.</t>
  </si>
  <si>
    <t>Executioner</t>
  </si>
  <si>
    <t>Deal increased strike damage when your target is below the health threshold.</t>
  </si>
  <si>
    <t>Keen Observer</t>
  </si>
  <si>
    <t>Critical Strikes</t>
  </si>
  <si>
    <t>Critical-hit chance is increased while your health is above the threshold.</t>
  </si>
  <si>
    <t>Assassin's Fury</t>
  </si>
  <si>
    <t>Gain might when you gain fury.</t>
  </si>
  <si>
    <t>Signets of Power</t>
  </si>
  <si>
    <t>Signets grant initiative.</t>
  </si>
  <si>
    <t>Twin Fangs</t>
  </si>
  <si>
    <t>Deal increased critical damage, which is further increased when your health is above the threshold. Gain bonus critical-hit chance when hitting a foe from behind or the side or when they are defiant.</t>
  </si>
  <si>
    <t>Unrelenting Strikes</t>
  </si>
  <si>
    <t>Grant fury to yourself and nearby allies when you critically strike an enemy.</t>
  </si>
  <si>
    <t>Sundering Shade</t>
  </si>
  <si>
    <t>Stealth Attack skills inflict vulnerability and grant fury upon successfully hitting foes.</t>
  </si>
  <si>
    <t>Practiced Tolerance</t>
  </si>
  <si>
    <t>Gain ferocity based on your precision.</t>
  </si>
  <si>
    <t>Deadly Aim</t>
  </si>
  <si>
    <t>Your pistol and harpoon gun attacks now pierce and have increased strike damage.</t>
  </si>
  <si>
    <t>Ferocious Strikes</t>
  </si>
  <si>
    <t>Gain increased critical damage against foes whose health is above the threshold.</t>
  </si>
  <si>
    <t>No Quarter</t>
  </si>
  <si>
    <t>Landing a critical hit while under the effects of fury increases the duration of fury. Gain increased ferocity while under the effects of fury.</t>
  </si>
  <si>
    <t>Hidden Killer</t>
  </si>
  <si>
    <t>Gain bonus critical-hit chance while stealthed. This bonus lingers for a short duration after you've been revealed.</t>
  </si>
  <si>
    <t>Invigorating Precision</t>
  </si>
  <si>
    <t>You are healed for a percentage of outgoing critical-hit damage. This healing is increased while you are under the effects of fury.</t>
  </si>
  <si>
    <t>Merciful Ambush</t>
  </si>
  <si>
    <t>Shadow Arts</t>
  </si>
  <si>
    <t>Heal when you enter or exit stealth. Stealth yourself and your target when reviving an ally. This effect also applies to stealth you grant to allies.</t>
  </si>
  <si>
    <t>Shielding Restoration</t>
  </si>
  <si>
    <t>Grant barrier and dark aura to nearby allies when you use a healing skill.</t>
  </si>
  <si>
    <t>Shadow's Embrace</t>
  </si>
  <si>
    <t>Remove conditions when you enter or exit stealth. This effect also applies to stealth you grant to allies.</t>
  </si>
  <si>
    <t>Hidden Thief</t>
  </si>
  <si>
    <t>Stealing inflicts blindness. Stealth Attacks inflict weakness. Cannot affect the same target more than once per interval.</t>
  </si>
  <si>
    <t>Meld with Shadows</t>
  </si>
  <si>
    <t>Gain superspeed when you enter or exit stealth.</t>
  </si>
  <si>
    <t>Shadow Savior</t>
  </si>
  <si>
    <t>Gain dark aura when you steal. Granting yourself dark aura heals nearby allies.</t>
  </si>
  <si>
    <t>Leeching Venoms</t>
  </si>
  <si>
    <t>Venom utility skills siphon life from struck foes. Gain stacks of Spider Venom when you enter or exit stealth. Siphoning can only occur once per strike.</t>
  </si>
  <si>
    <t>Cloaked in Shadow</t>
  </si>
  <si>
    <t>Gaining stealth blinds nearby foes. Blinding a foe siphons health from them.</t>
  </si>
  <si>
    <t>Shadow Siphoning</t>
  </si>
  <si>
    <t>Stealth attacks siphon health if they hit. Cannot siphon the same target more than once per interval.</t>
  </si>
  <si>
    <t>Cover of Shadow</t>
  </si>
  <si>
    <t>When you steal, create a field around yourself that grants allies protection. Granting dark aura to yourself removes a condition from nearby allies.</t>
  </si>
  <si>
    <t>Shadow's Rejuvenation</t>
  </si>
  <si>
    <t>Gain initiative when you enter or exit stealth.</t>
  </si>
  <si>
    <t>Rending Shade</t>
  </si>
  <si>
    <t>Steal boons from enemies you strike with stealth attacks. Striking a boonless foe with a stealth attack inflicts fear on nearby foes.</t>
  </si>
  <si>
    <t>Expeditious Dodger</t>
  </si>
  <si>
    <t>Acrobatics</t>
  </si>
  <si>
    <t>Gain swiftness upon dodging.</t>
  </si>
  <si>
    <t>Instant Reflexes</t>
  </si>
  <si>
    <t>Gain evasion when you use an elite skill.</t>
  </si>
  <si>
    <t>Pumping Up</t>
  </si>
  <si>
    <t>Gain might when when you dodge.</t>
  </si>
  <si>
    <t>Pain Response</t>
  </si>
  <si>
    <t>Dodging removes a damaging condition from you.</t>
  </si>
  <si>
    <t>Feline Grace</t>
  </si>
  <si>
    <t>Gain vigor upon successfully evading an attack.</t>
  </si>
  <si>
    <t>Guarded Initiation</t>
  </si>
  <si>
    <t>Movement skills grant resistance.</t>
  </si>
  <si>
    <t>Swindler's Equilibrium</t>
  </si>
  <si>
    <t>Gain power and additional power while wielding a sword or underwater spear. Successfully evading an attack while wielding a sword or underwater spear recharges Steal.</t>
  </si>
  <si>
    <t>Hard to Catch</t>
  </si>
  <si>
    <t>Gain endurance when you shadowstep.</t>
  </si>
  <si>
    <t>Fluid Strikes</t>
  </si>
  <si>
    <t>Gain increased strike damage for a period of time when you shadowstep or use a movement skill.</t>
  </si>
  <si>
    <t>Assassin's Reward</t>
  </si>
  <si>
    <t>Heal yourself whenever you use a skill that uses initiative. Heal yourself for each point of initiative spent.</t>
  </si>
  <si>
    <t>Upper Hand</t>
  </si>
  <si>
    <t>Gain initiative when you dodge, and gain initiative and regeneration when you evade an attack. Evading can only trigger this trait once per interval.</t>
  </si>
  <si>
    <t>Don't Stop</t>
  </si>
  <si>
    <t>While you have swiftness, movement-impairing conditions have reduced duration. When you gain swiftness, lose a movement-impairing condition.</t>
  </si>
  <si>
    <t>Kleptomaniac</t>
  </si>
  <si>
    <t>Trickery</t>
  </si>
  <si>
    <t>Stealing gives you initiative.</t>
  </si>
  <si>
    <t>Uncatchable</t>
  </si>
  <si>
    <t>Leave behind lesser caltrops when you dodge.</t>
  </si>
  <si>
    <t>Burst of Agility</t>
  </si>
  <si>
    <t>Use Lesser Haste when attacking a foe from behind or from the side or when they are defiant.</t>
  </si>
  <si>
    <t>Thrill of the Crime</t>
  </si>
  <si>
    <t>When you Steal, you and all nearby allies gain fury, might, and swiftness for 10 seconds.</t>
  </si>
  <si>
    <t>Preparedness</t>
  </si>
  <si>
    <t>Increases maximum initiative by 3. Gain increased expertise.</t>
  </si>
  <si>
    <t>Bountiful Theft</t>
  </si>
  <si>
    <t>Stealing grants you and all nearby allies vigor. You rip boons from your target and grant them to nearby allies. Grant additional boons to allies if your target has no boons.</t>
  </si>
  <si>
    <t>Trickster</t>
  </si>
  <si>
    <t>Tricks remove conditions.</t>
  </si>
  <si>
    <t>Pressure Striking</t>
  </si>
  <si>
    <t>Enemies you interrupt are inflicted with torment. This trait can only affect enemies with defiance bars once per interval.</t>
  </si>
  <si>
    <t>Lead Attacks</t>
  </si>
  <si>
    <t>Increases all damage dealt per initiative spent. Steal gains reduced recharge time.</t>
  </si>
  <si>
    <t>Quick Pockets</t>
  </si>
  <si>
    <t>Gain initiative on swapping weapons while in combat.</t>
  </si>
  <si>
    <t>Sleight of Hand</t>
  </si>
  <si>
    <t>Stealing also dazes the target. Reduces the recharge of Steal.</t>
  </si>
  <si>
    <t>Deadly Ambush</t>
  </si>
  <si>
    <t>Stealing also applies bleeding. Bleeding you inflict deals more damage.</t>
  </si>
  <si>
    <t>Daredevil</t>
  </si>
  <si>
    <t>Physical Supremacy</t>
  </si>
  <si>
    <t>Gain access to physical skills. Your maximum endurance threshold is increased.</t>
  </si>
  <si>
    <t>Marauder's Resilience</t>
  </si>
  <si>
    <t>Gain vitality based on a portion of your power. Damage is decreased from foes within the range threshold.</t>
  </si>
  <si>
    <t>Escapist's Fortitude</t>
  </si>
  <si>
    <t>Gain health when you successfully evade an attack. Remove a condition whenever you evade an attack.</t>
  </si>
  <si>
    <t>Brawler's Tenacity</t>
  </si>
  <si>
    <t>Physical skills grant endurance when activated.</t>
  </si>
  <si>
    <t>Weakening Strikes</t>
  </si>
  <si>
    <t>Your next attack after dodging causes weakness to foes struck. Weakened enemies deal less damage to you, and you deal increased strike damage to them.</t>
  </si>
  <si>
    <t>Staff Master</t>
  </si>
  <si>
    <t>While wielding a staff, gain endurance for each initiative point spent. Gain bonus power, which is increased when wielding a staff.</t>
  </si>
  <si>
    <t>Havoc Specialist</t>
  </si>
  <si>
    <t>Strike damage dealt is increased when your endurance is not full.</t>
  </si>
  <si>
    <t>Impacting Disruption</t>
  </si>
  <si>
    <t>Recharge steal and inflict a pulmonary impact when you interrupt an enemy. This trait can only affect enemies with defiance bars once per interval.</t>
  </si>
  <si>
    <t>Endurance Thief</t>
  </si>
  <si>
    <t>Gain endurance when you successfully steal from an enemy.</t>
  </si>
  <si>
    <t>Lotus Training</t>
  </si>
  <si>
    <t>Your dodge ability now uses Impaling Lotus, firing daggers at nearby enemies. Gain increased condition damage for a period of time when dodging.</t>
  </si>
  <si>
    <t>Unhindered Combatant</t>
  </si>
  <si>
    <t>Your dodge ability is replaced by a long-range dash that removes inhibiting conditions and grants swiftness and damage reduction. Removing conditions in this way temporarily reduces endurance gain.</t>
  </si>
  <si>
    <t>Bounding Dodger</t>
  </si>
  <si>
    <t>Your dodge ability is replaced by Bound, dealing damage to the area after you evade. Gain increased strike damage for a period of time after you dodge.</t>
  </si>
  <si>
    <t>Rifle Proficiency</t>
  </si>
  <si>
    <t>Deadeye</t>
  </si>
  <si>
    <t>You can wield rifles.</t>
  </si>
  <si>
    <t>Deadeye's Gaze</t>
  </si>
  <si>
    <t>Steal is replaced with Deadeye's Mark, which unlocks new Stolen skills and malice generation. Stealth attacks consume malice for bonus effects. Gain access to rifles and cantrips.</t>
  </si>
  <si>
    <t>Malicious Intent</t>
  </si>
  <si>
    <t>Marking a target or striking your mark with a stealth attack will immediately grant malice.</t>
  </si>
  <si>
    <t>Collateral Damage</t>
  </si>
  <si>
    <t>Trigger Burst of Shadows at your target's location if it dies while marked.</t>
  </si>
  <si>
    <t>One in the Chamber</t>
  </si>
  <si>
    <t>When you cast a cantrip, gain a random new stolen skill. Stolen skills deal more damage. (Requires a marked target. Overwrites existing stolen skills.)</t>
  </si>
  <si>
    <t>Renewing Gaze</t>
  </si>
  <si>
    <t>Deadeye's Mark recharges if your mark is defeated. Gain regeneration when this recharge occurs.</t>
  </si>
  <si>
    <t>Silent Scope</t>
  </si>
  <si>
    <t>Gain precision. Gain additional precision while wielding a rifle. Enter stealth when you dodge roll with a rifle equipped.</t>
  </si>
  <si>
    <t>Payback</t>
  </si>
  <si>
    <t>When Renewing Gaze triggers, this trait restores a portion of the recharge time needed by your healing, utility, and elite skills. Excludes racial skills.</t>
  </si>
  <si>
    <t>Premeditation</t>
  </si>
  <si>
    <t>Deal increased strike damage for each unique boon you have; concentration is increased.</t>
  </si>
  <si>
    <t>Iron Sight</t>
  </si>
  <si>
    <t>Strike damage dealt to your marked target is increased, and strike damage taken from your marked target is reduced.</t>
  </si>
  <si>
    <t>Maleficent Seven</t>
  </si>
  <si>
    <t>Increase the maximum malice -stack count. Restore initiative and gain boons upon reaching the maximum number of malice stacks.</t>
  </si>
  <si>
    <t>Be Quick or Be Killed</t>
  </si>
  <si>
    <t>Gain quickness when marking a foe. Your power and precision are increased while under this effect.</t>
  </si>
  <si>
    <t>Fire for Effect</t>
  </si>
  <si>
    <t>Using a stolen skill grants additional boons to allies around you. Stolen skills will always be Steal Time, regardless of the target's profession.</t>
  </si>
  <si>
    <t>Scepter Proficiency</t>
  </si>
  <si>
    <t>Specter</t>
  </si>
  <si>
    <t>You can wield scepters in your main hand.</t>
  </si>
  <si>
    <t>Unlock scepter. Steal becomes Siphon. Gain access to shadow force through spending initiative, and gain access to Shadow Shroud ability.</t>
  </si>
  <si>
    <t>Second Opinion</t>
  </si>
  <si>
    <t>A portion of condition damage is converted to healing power. Gain condition damage, which is increased while wielding a scepter.</t>
  </si>
  <si>
    <t>Shallow Grave</t>
  </si>
  <si>
    <t>Transfer conditions to an enemy when targeting them with Siphon. Remove conditions from nearby allies and your targeted ally when targeting them with Siphon.</t>
  </si>
  <si>
    <t>Consume Shadows</t>
  </si>
  <si>
    <t>Gain stacks of Consume Shadows at regular intervals while in Shadow Shroud. Exiting Shadow Shroud consumes your remaining shadow force and heals allies based on the number of stacks you have gained. Allies that are fully healed receive the rest of the value in barrier.</t>
  </si>
  <si>
    <t>Dark Sentry</t>
  </si>
  <si>
    <t>Apply Rot Wallow Venom to allies you grant barrier to. Outgoing healing to allies is increased. Rot Wallow Venom effect cannot apply to yourself.</t>
  </si>
  <si>
    <t>Larcenous Torment</t>
  </si>
  <si>
    <t>Steal health and gain shadow force when you torment a foe. Does not grant shadow force while in shroud.</t>
  </si>
  <si>
    <t>Amplified Siphoning</t>
  </si>
  <si>
    <t>Gain increased shadow force when hitting a foe with Siphon. Grant increased barrier when targeting an ally.</t>
  </si>
  <si>
    <t>Traversing Dusk</t>
  </si>
  <si>
    <t>Heal allies in the area around you when you shadowstep. Gain shadow force for each ally in the radius. Wells grant resistance on their initial impact.</t>
  </si>
  <si>
    <t>Panaku's Ambition</t>
  </si>
  <si>
    <t>Gain barrier when you strike foes with a stealth attack. When you apply stealth to allies you also grant them barrier. This effect can only be received once and will reset when stealth is removed.</t>
  </si>
  <si>
    <t>Strength of Shadows</t>
  </si>
  <si>
    <t>Gain expertise based on a percentage of your vitality. Torment you inflict deals increased damage.</t>
  </si>
  <si>
    <t>Hungering Darkness</t>
  </si>
  <si>
    <t>While in shroud, transfer conditions from your tethered ally and cleanse conditions from yourself. Each condition removed in this fashion heals a percentage of your base health and grants your tethered ally barrier.</t>
  </si>
  <si>
    <t>Shadestep</t>
  </si>
  <si>
    <t>Shadow Shroud skills provide additional supportive effects to nearby allies and your tethered ally.</t>
  </si>
  <si>
    <t>Trinket Collector</t>
  </si>
  <si>
    <t>Antiquary</t>
  </si>
  <si>
    <t>Steal is replaced with Skritt Swipe, allowing you to pilfer from enemies. Successfully pilfering grants one offensive and one defensive artifact. Only one artifact may be used each time you pilfer, and pilfering overrides any artifacts you already have.</t>
  </si>
  <si>
    <t>Card Swap</t>
  </si>
  <si>
    <t>Gain access to Reshuffle. Remove conditions from yourself whenever you reshuffle your artifacts or use an artifact skill.</t>
  </si>
  <si>
    <t>Repeat Ransacker</t>
  </si>
  <si>
    <t>Reduce the recharge of Skritt Swipe whenever you use an artifact.</t>
  </si>
  <si>
    <t>Prolific Plunderer</t>
  </si>
  <si>
    <t>Gain an additional artifact slot. Whenever you pilfer, you gain an additional, random artifact. You can use one additional artifact when you pilfer with Skritt Swipe.</t>
  </si>
  <si>
    <t>Magpie's Defense</t>
  </si>
  <si>
    <t>Grant yourself barrier when you use a healing or elite skill. The cooldowns for this trait are separate for healing and elite skills.</t>
  </si>
  <si>
    <t>Scoundrel's Luck</t>
  </si>
  <si>
    <t>Gain Scoundrel's Luck whenever you use an artifact, Scoundrel's Luck allows you to use Double Edge skills on cooldown without backfiring.</t>
  </si>
  <si>
    <t>Meticulous Custodian</t>
  </si>
  <si>
    <t>Your artifacts have increased effectiveness.  Beneficial artifact effects last longer and have increased charges.</t>
  </si>
  <si>
    <t>Exhilarating Ephemera</t>
  </si>
  <si>
    <t>Gain increased damage for a period of time after using an artifact.</t>
  </si>
  <si>
    <t>Enterprising Aristocrat</t>
  </si>
  <si>
    <t>Gain initiative whenever you use an artifact skill.</t>
  </si>
  <si>
    <t>Prodigious Pincher</t>
  </si>
  <si>
    <t>You pilfer after using a certain amount of initiative. This trait will override any existing artifacts when triggered.</t>
  </si>
  <si>
    <t>Possessive Hoarder</t>
  </si>
  <si>
    <t>Artifacts grant barrier and boons to allies when used. Offensive and defensive artifacts grant different boons.</t>
  </si>
  <si>
    <t>Combat High</t>
  </si>
  <si>
    <t>Gain Combat High when you use Skritt Swipe, increasing your outgoing strike and condition damage. Lose stacks of Combat High every interval.</t>
  </si>
  <si>
    <t>Empowering Flame</t>
  </si>
  <si>
    <t>Elementalist</t>
  </si>
  <si>
    <t>Fire</t>
  </si>
  <si>
    <t>Gain power while in fire attunement.</t>
  </si>
  <si>
    <t>Burning Precision</t>
  </si>
  <si>
    <t>Burning you inflict has increased duration and your critical hits gain a chance to inflict burning.</t>
  </si>
  <si>
    <t>Conjurer</t>
  </si>
  <si>
    <t>Gain fire aura when an ally picks up a conjured weapon.</t>
  </si>
  <si>
    <t>Burning Fire</t>
  </si>
  <si>
    <t>Cast Lesser Cleansing Fire when you have a number of conditions on you.</t>
  </si>
  <si>
    <t>Sunspot</t>
  </si>
  <si>
    <t>Gain a fire aura, and damage nearby foes when you attune to fire. Also triggers on overload skills.</t>
  </si>
  <si>
    <t>Burning Rage</t>
  </si>
  <si>
    <t>Sunspot inflicts burning, and its radius is increased. Your condition damage is increased.</t>
  </si>
  <si>
    <t>Smothering Auras</t>
  </si>
  <si>
    <t>Fire auras have increased duration. Applying auras to allies removes conditions, and transmuting auras removes conditions from nearby allies.</t>
  </si>
  <si>
    <t>Power Overwhelming</t>
  </si>
  <si>
    <t>While at or above the might threshold, gain increased power. Power bonuses are doubled while attuned to fire.</t>
  </si>
  <si>
    <t>Pyromancer's Training</t>
  </si>
  <si>
    <t>Your fire -weapon skills gain reduced recharge. Deal increased strike damage to burning foes.</t>
  </si>
  <si>
    <t>Persisting Flames</t>
  </si>
  <si>
    <t>Fire fields created by weapon skills last longer. Whenever your fire fields hit a foe or you inflict burning, gain increased strike damage for a duration.</t>
  </si>
  <si>
    <t>Pyromancer's Puissance</t>
  </si>
  <si>
    <t>Gain might for using any skill while attuned to fire. When leaving fire attunement or successfully completing a fire overload, unleash a Flame Expulsion.</t>
  </si>
  <si>
    <t>Inferno</t>
  </si>
  <si>
    <t>Burning you inflict scales off of your power instead of your condition damage.</t>
  </si>
  <si>
    <t>Air</t>
  </si>
  <si>
    <t>Your chance to critically strike is increased. While attuned to air, your movement speed is also increased.</t>
  </si>
  <si>
    <t>Zephyr's Boon</t>
  </si>
  <si>
    <t>Grant boons to allies you grant auras to.</t>
  </si>
  <si>
    <t>One with Air</t>
  </si>
  <si>
    <t>Gain superspeed when attuning to air.</t>
  </si>
  <si>
    <t>Ferocious Winds</t>
  </si>
  <si>
    <t>Electric Discharge</t>
  </si>
  <si>
    <t>Strike your target with a bolt of lightning when attuning to air. Also triggers on overload skills.</t>
  </si>
  <si>
    <t>Inscription</t>
  </si>
  <si>
    <t>Gain boons upon casting a glyph based on your attunement.</t>
  </si>
  <si>
    <t>Raging Storm</t>
  </si>
  <si>
    <t>Critically striking a foe grants fury. Gain ferocity while under the effects of fury.</t>
  </si>
  <si>
    <t>Stormsoul</t>
  </si>
  <si>
    <t>Deal increased strike damage to disabled or defiant foes. Outgoing stun duration increased. Disables include stun, daze, knockback, pull, knockdown, sink, float, launch, taunt, and fear.</t>
  </si>
  <si>
    <t>Aeromancer's Training</t>
  </si>
  <si>
    <t>Gain ferocity, and gain additional ferocity while attuned to air. Air weapon skills get a reduced recharge time.</t>
  </si>
  <si>
    <t>Bolt to the Heart</t>
  </si>
  <si>
    <t>Deal increased strike damage to enemies below the health threshold.</t>
  </si>
  <si>
    <t>Fresh Air</t>
  </si>
  <si>
    <t>Recharge air attunement on a critical hit. Gain a ferocity boost when attuning to air.</t>
  </si>
  <si>
    <t>Lightning Rod</t>
  </si>
  <si>
    <t>Cast Lightning Rod when you disable a foe. Disables include stun, daze, knockback, pull, knockdown, sink, float, launch, taunt, and fear.</t>
  </si>
  <si>
    <t>Stone Flesh</t>
  </si>
  <si>
    <t>Earth</t>
  </si>
  <si>
    <t>Strike damage taken is reduced while attuned to earth.</t>
  </si>
  <si>
    <t>Earth's Embrace</t>
  </si>
  <si>
    <t>Gain resistance after using a healing skill.</t>
  </si>
  <si>
    <t>Serrated Stones</t>
  </si>
  <si>
    <t>Bleeding you inflict has increased duration. Deal increased damage to bleeding foes.</t>
  </si>
  <si>
    <t>Elemental Shielding</t>
  </si>
  <si>
    <t>Auras you grant to allies also grant protection.</t>
  </si>
  <si>
    <t>Earthen Blast</t>
  </si>
  <si>
    <t>Gain barrier and cripple nearby foes when attuning to earth. Also triggers on overload skills. Barrier will not be gained when attuning to the same element.</t>
  </si>
  <si>
    <t>Strength of Stone</t>
  </si>
  <si>
    <t>Gain condition damage based on your toughness. Inflict bleeding when you immobilize a foe. Bleeding can only occur on the same target once per interval.</t>
  </si>
  <si>
    <t>Rock Solid</t>
  </si>
  <si>
    <t>Grant stability to nearby allies when attuning to earth. Note: This effect will not trigger when attuning to the same element.</t>
  </si>
  <si>
    <t>Earthen Blessing</t>
  </si>
  <si>
    <t>Decrease the duration of movement-impairing conditions applied to you. Restore endurance when you receive one of these conditions.</t>
  </si>
  <si>
    <t>Geomancer's Training</t>
  </si>
  <si>
    <t>Strike damage from nearby foes is reduced. Earth weapon skills gain reduced recharge.</t>
  </si>
  <si>
    <t>Diamond Skin</t>
  </si>
  <si>
    <t>Remove conditions from yourself when you successfully combo a field with a leap finisher. Remove conditions from nearby allies when you successfully combo a field with a blast finisher.</t>
  </si>
  <si>
    <t>Written in Stone</t>
  </si>
  <si>
    <t>Signets continue to grant their passive bonuses while recharging. Gain an aura when you use a signet skill.</t>
  </si>
  <si>
    <t>Stone Heart</t>
  </si>
  <si>
    <t>You cannot be critically hit for a duration of time after entering or exiting earth attunement. Remaining effect duration is lost when exiting.</t>
  </si>
  <si>
    <t>Soothing Mist</t>
  </si>
  <si>
    <t>Water</t>
  </si>
  <si>
    <t>You and nearby allies recover health while you are attuned to water.</t>
  </si>
  <si>
    <t>Soothing Ice</t>
  </si>
  <si>
    <t>Gain regeneration and frost aura when using a healing skill.</t>
  </si>
  <si>
    <t>Piercing Shards</t>
  </si>
  <si>
    <t>Vulnerability you inflict has increased duration. Deal increased strike damage to vulnerable foes. Damage bonus is doubled while attuned to water.</t>
  </si>
  <si>
    <t>Stop, Drop, and Roll</t>
  </si>
  <si>
    <t>Dodging removes burning and chilled from nearby allies.</t>
  </si>
  <si>
    <t>Healing Ripple</t>
  </si>
  <si>
    <t>Heal nearby allies when attuning to water. This effect will not trigger when attuning to the same element, but will be triggered by overload skills.</t>
  </si>
  <si>
    <t>Soothing Disruption</t>
  </si>
  <si>
    <t>Cantrips grant boons.</t>
  </si>
  <si>
    <t>Cleansing Wave</t>
  </si>
  <si>
    <t>Remove conditions from nearby allies when attuning to water.</t>
  </si>
  <si>
    <t>Flow like Water</t>
  </si>
  <si>
    <t>Deal increased strike damage, which is further increased while your health is above the threshold. Blocking or evading an attack heals you.</t>
  </si>
  <si>
    <t>Aquamancer's Training</t>
  </si>
  <si>
    <t>Increase healing to other allies. Water -weapon skills gain reduced recharge.</t>
  </si>
  <si>
    <t>Cleansing Water</t>
  </si>
  <si>
    <t>Cleanse conditions from allies you grant regeneration to.</t>
  </si>
  <si>
    <t>Powerful Aura</t>
  </si>
  <si>
    <t>Any aura you grant yourself is granted to nearby allies.</t>
  </si>
  <si>
    <t>Soothing Power</t>
  </si>
  <si>
    <t>Gain vitality. Soothing Mist is more effective.</t>
  </si>
  <si>
    <t>Arcane Prowess</t>
  </si>
  <si>
    <t>Arcane</t>
  </si>
  <si>
    <t>Gain boons when you switch attunements.</t>
  </si>
  <si>
    <t>Arcane Precision</t>
  </si>
  <si>
    <t>Your critical strikes have a chance to inflict a condition based on your attunement.</t>
  </si>
  <si>
    <t>Renewing Stamina</t>
  </si>
  <si>
    <t>Gain vigor when you critically strike a foe.</t>
  </si>
  <si>
    <t>Arcane Restoration</t>
  </si>
  <si>
    <t>Swapping attunements restores health.</t>
  </si>
  <si>
    <t>Elemental Attunement</t>
  </si>
  <si>
    <t>Grant a boon to nearby allies when changing attunements. Note: This effect will not trigger when attuning to the same element.</t>
  </si>
  <si>
    <t>Arcane Resurrection</t>
  </si>
  <si>
    <t>Cast Geyser when you begin reviving a downed ally. Geyser now partially revives downed allies. When you begin reviving an ally, you gain an aura based on your attunement.</t>
  </si>
  <si>
    <t>Elemental Lockdown</t>
  </si>
  <si>
    <t>When you disable a foe, gain a boon based upon your current attunement.</t>
  </si>
  <si>
    <t>Final Shielding</t>
  </si>
  <si>
    <t>Cast Lesser Arcane Shield when you use an elite skill.</t>
  </si>
  <si>
    <t>Elemental Enchantment</t>
  </si>
  <si>
    <t>Gain concentration and your attunements gain reduced recharge.</t>
  </si>
  <si>
    <t>Evasive Arcana</t>
  </si>
  <si>
    <t>Cast a skill when you dodge based on your attunement.</t>
  </si>
  <si>
    <t>Arcane Lightning</t>
  </si>
  <si>
    <t>Arcane skills grant increased ferocity and have additional effects.</t>
  </si>
  <si>
    <t>Bountiful Power</t>
  </si>
  <si>
    <t>Deal increased strike damage for each boon on you.</t>
  </si>
  <si>
    <t>Warhorn Proficiency</t>
  </si>
  <si>
    <t>Tempest</t>
  </si>
  <si>
    <t>You can wield the warhorn weapon.</t>
  </si>
  <si>
    <t>Singularity</t>
  </si>
  <si>
    <t>Attain elemental singularity by remaining in an attunement for a period of time. Upon attaining singularity, you may overload the attunement to your vicinity. Gain access to Shouts.</t>
  </si>
  <si>
    <t>Gale Song</t>
  </si>
  <si>
    <t>Grant protection to nearby allies when you use a healing skill.</t>
  </si>
  <si>
    <t>Latent Stamina</t>
  </si>
  <si>
    <t>Grant vigor to nearby allies when attuning to water. Restore endurance to allies you grant vigor.</t>
  </si>
  <si>
    <t>Unstable Conduit</t>
  </si>
  <si>
    <t>Overloads grant an aura based on your attunement.</t>
  </si>
  <si>
    <t>Gathered Focus</t>
  </si>
  <si>
    <t>Your concentration is increased.</t>
  </si>
  <si>
    <t>Tempestuous Aria</t>
  </si>
  <si>
    <t>Using a shout grants allies might. Granting an aura to an ally increases your outgoing damage for a period of time.</t>
  </si>
  <si>
    <t>Harmonious Conduit</t>
  </si>
  <si>
    <t>Gain stability and swiftness when starting an overload.</t>
  </si>
  <si>
    <t>Invigorating Torrents</t>
  </si>
  <si>
    <t>Auras you grant also grant regeneration and vigor.</t>
  </si>
  <si>
    <t>Hardy Conduit</t>
  </si>
  <si>
    <t>Overloads grant protection to nearby allies. Protection gains increased damage reduction.</t>
  </si>
  <si>
    <t>Transcendent Tempest</t>
  </si>
  <si>
    <t>Time to attain singularity is reduced. Upon successfully completing an overload, gain increased damage.</t>
  </si>
  <si>
    <t>Lucid Singularity</t>
  </si>
  <si>
    <t>Apply boons to nearby allies while channeling and when successfully completing a channel.</t>
  </si>
  <si>
    <t>Elemental Bastion</t>
  </si>
  <si>
    <t>Heal allies you grant an aura to. Grant frost aura to nearby allies when struck while below the health threshold.</t>
  </si>
  <si>
    <t>Weaver</t>
  </si>
  <si>
    <t>Your active attunement is now applied to your main hand, with the old attunement moving to your off hand. Attunement recharges are reduced. Gain access to Dual Attack and the Stance utility types.</t>
  </si>
  <si>
    <t>Superior Elements</t>
  </si>
  <si>
    <t>Dual Attack skills weaken enemies. Attacks against weakened foes have increased critical chance.</t>
  </si>
  <si>
    <t>Elemental Pursuit</t>
  </si>
  <si>
    <t>Gain superspeed when inflicting inhibiting conditions on enemies.</t>
  </si>
  <si>
    <t>Master's Fortitude</t>
  </si>
  <si>
    <t>Gain increased vitality when wielding a sword. Gain bonus vitality based on a portion of your power and condition damage.</t>
  </si>
  <si>
    <t>Elemental Refreshment</t>
  </si>
  <si>
    <t>Grant barrier to yourself when using Dual Attack skills.</t>
  </si>
  <si>
    <t>Weaver's Prowess</t>
  </si>
  <si>
    <t>Gain increased condition damage and duration for a period of time after attuning to a different element.</t>
  </si>
  <si>
    <t>Swift Revenge</t>
  </si>
  <si>
    <t>Gain swiftness when using a Dual Attack. Deal increased strike damage to enemies while under the effects of swiftness or superspeed.</t>
  </si>
  <si>
    <t>Bolstered Elements</t>
  </si>
  <si>
    <t>Gain protection when activating a Stance. Activate Lesser Stone Resonance when using an elite skill.</t>
  </si>
  <si>
    <t>Elemental Polyphony</t>
  </si>
  <si>
    <t>Gain attributes based on your current attunement. When dual attuned, gain both benefits.</t>
  </si>
  <si>
    <t>Elements of Rage</t>
  </si>
  <si>
    <t>Gain a bonus to all damage dealt for a period of time when attuned to a single element. Gain precision based on a percentage of your vitality.</t>
  </si>
  <si>
    <t>Woven Stride</t>
  </si>
  <si>
    <t>Gain swiftness when you are inflicted with inhibiting conditions. When gaining either superspeed or swiftness, also gain regeneration and cleanse a condition. Swiftness has increased effectiveness.</t>
  </si>
  <si>
    <t>Invigorating Strikes</t>
  </si>
  <si>
    <t>Gain vigor when using a Dual Attack. Dodge rolling grants a barrier.</t>
  </si>
  <si>
    <t>Catalyst</t>
  </si>
  <si>
    <t>Depth of Elements</t>
  </si>
  <si>
    <t>Build up elemental energy when you strike foes. Energy is consumed to imbue the Jade Sphere with different elements, creating combo fields and granting boons to allies in the area. Gain access to Augments.</t>
  </si>
  <si>
    <t>Hardened Auras</t>
  </si>
  <si>
    <t>Damage reduction is increased when you grant yourself an aura. When this triggers, the duration of all stacks are refreshed.</t>
  </si>
  <si>
    <t>Vicious Empowerment</t>
  </si>
  <si>
    <t>Gain Elemental Empowerment and might when you disable or immobilize a foe.</t>
  </si>
  <si>
    <t>Energized Elements</t>
  </si>
  <si>
    <t>Gain energy and boons when you switch attunements. Energy can only be gained while in combat.</t>
  </si>
  <si>
    <t>Elemental Empowerment</t>
  </si>
  <si>
    <t>Gain Elemental Empowerment while in combat.</t>
  </si>
  <si>
    <t>Empowering Auras</t>
  </si>
  <si>
    <t>Gain increased outgoing damage when you grant yourself an aura. When this triggers, the duration of all stacks are refreshed.</t>
  </si>
  <si>
    <t>Evasive Empowerment</t>
  </si>
  <si>
    <t>Gain Elemental Empowerment and vigor when evading an attack.</t>
  </si>
  <si>
    <t>Spectacular Sphere</t>
  </si>
  <si>
    <t>Your jade sphere is larger and grants quickness [ sic ] and an additional boon based on your current attunement to nearby allies when activated.</t>
  </si>
  <si>
    <t>Elemental Epitome</t>
  </si>
  <si>
    <t>Gain an aura based on your current attunement when you combo. Gain Elemental Empowerment when you grant yourself an aura. Auras can be gained this way once per attunement per interval.</t>
  </si>
  <si>
    <t>Staunch Auras</t>
  </si>
  <si>
    <t>Gain stability when you grant yourself an aura.</t>
  </si>
  <si>
    <t>Empowered Empowerment</t>
  </si>
  <si>
    <t>Elemental Empowerment is more effective. While at maximum stacks of Elemental Empowerment, its effectiveness is increased further.</t>
  </si>
  <si>
    <t>Sphere Specialist</t>
  </si>
  <si>
    <t>Boons applied by your Jade Sphere have increased duration. You can now gain energy while jade spheres are active.</t>
  </si>
  <si>
    <t>Evocation</t>
  </si>
  <si>
    <t>Evoker</t>
  </si>
  <si>
    <t>Select an element to specialize in, greatly reducing its recharge time and gaining a familiar of that element. The familiar's basic skill charges as you use weapon skills, charging more rapidly when you use a weapon skill of its element. Using the familiar's basic skill three times will enable its empowered skill. Gain access to meditation skills.</t>
  </si>
  <si>
    <t>Fiery Might</t>
  </si>
  <si>
    <t>Burning you inflict deals increased damage. Deal increased strike damage to burning foes.</t>
  </si>
  <si>
    <t>Altruistic Aspect</t>
  </si>
  <si>
    <t>Meditation skills grant boons to allies.</t>
  </si>
  <si>
    <t>Spirit's Succor</t>
  </si>
  <si>
    <t>Heal yourself when you use a familiar skill.</t>
  </si>
  <si>
    <t>Enhanced Potency</t>
  </si>
  <si>
    <t>Improve a boon based on your familiar.</t>
  </si>
  <si>
    <t>Familiar's Focus</t>
  </si>
  <si>
    <t>Familiar's Prowess is improved.</t>
  </si>
  <si>
    <t>Familiar's Blessing</t>
  </si>
  <si>
    <t>Grant boons to nearby allies when you use a familiar skill.</t>
  </si>
  <si>
    <t>Elemental Dynamo</t>
  </si>
  <si>
    <t>Gain one familiar charge when attuning to your selected element.</t>
  </si>
  <si>
    <t>Familiar's Prowess</t>
  </si>
  <si>
    <t>Gain a temporary bonus after using a familiar skill.</t>
  </si>
  <si>
    <t>Galvanic Enchantment</t>
  </si>
  <si>
    <t>After you use a familiar skill, your next strike creates an arc of chain lightning. Chain lightnings created by evoker skills inflict burning.</t>
  </si>
  <si>
    <t>Elemental Balance</t>
  </si>
  <si>
    <t>Every second time you enter your selected attunement, the next elementalist weapon skill you use will recharge faster.</t>
  </si>
  <si>
    <t>Specialized Elements</t>
  </si>
  <si>
    <t>You cannot leave your selected attunement. Your familiar 's basic skill recharges more quickly, and activating it recharges your weapon skills by a small amount. Activating your familiar's empowered skill recharges your weapon skills and triggers traits as if you entered the attunement.</t>
  </si>
  <si>
    <t>Illusion of Vulnerability</t>
  </si>
  <si>
    <t>Mesmer</t>
  </si>
  <si>
    <t>Domination</t>
  </si>
  <si>
    <t>Inflict vulnerability when you interrupt a foe. This trait can only affect enemies with defiance bars once per interval.</t>
  </si>
  <si>
    <t>Bountiful Blades</t>
  </si>
  <si>
    <t>Improves greatsword skills. Mirror Blade bounces additional times, and Phantasmal Berserker summons an additional berserker and deals less damage.</t>
  </si>
  <si>
    <t>Empowered Illusions</t>
  </si>
  <si>
    <t>Illusions deal increased strike damage.</t>
  </si>
  <si>
    <t>Rending Shatter</t>
  </si>
  <si>
    <t>Shatter skills inflict vulnerability on hit.</t>
  </si>
  <si>
    <t>Dazzling</t>
  </si>
  <si>
    <t>Dazing or stunning a foe also applies vulnerability.</t>
  </si>
  <si>
    <t>Shattered Concentration</t>
  </si>
  <si>
    <t>Shatter skills also remove a boon on hit.</t>
  </si>
  <si>
    <t>Egotism</t>
  </si>
  <si>
    <t>Deal increased strike damage to foes with a lower health percentage than you.</t>
  </si>
  <si>
    <t>Furious Interruption</t>
  </si>
  <si>
    <t>Gain quickness when you interrupt a foe.</t>
  </si>
  <si>
    <t>Fragility</t>
  </si>
  <si>
    <t>Vicious Expression</t>
  </si>
  <si>
    <t>You and your illusions deal increased strike damage to foes without boons. Disabling a foe removes boons from them. Disables include stun, daze, knockback, pull, knockdown, sink, float, launch, taunt, and fear.</t>
  </si>
  <si>
    <t>Mental Anguish</t>
  </si>
  <si>
    <t>Shatter skills deal more damage. This bonus damage is doubled against foes that are not activating skills.</t>
  </si>
  <si>
    <t>Power Block</t>
  </si>
  <si>
    <t>Interrupts deal damage and inflict weakness while granting you a damage increase This trait can only damage enemies with defiance bars once per interval.</t>
  </si>
  <si>
    <t>Critical Infusion</t>
  </si>
  <si>
    <t>Dueling</t>
  </si>
  <si>
    <t>Gain vigor when delivering a critical hit.</t>
  </si>
  <si>
    <t>Phantasmal Fury</t>
  </si>
  <si>
    <t>Your phantasms have fury.</t>
  </si>
  <si>
    <t>Mental Gymnastics</t>
  </si>
  <si>
    <t>Duelist's Discipline</t>
  </si>
  <si>
    <t>Pistol attacks from you and your illusions have a chance to cause bleeding. Interrupting a foe recharges pistol skills. This trait can only reduce recharge on enemies with defiance bars once per interval.</t>
  </si>
  <si>
    <t>Sharper Images</t>
  </si>
  <si>
    <t>Illusions inflict bleeding on critical hits.</t>
  </si>
  <si>
    <t>Blinding Dissipation</t>
  </si>
  <si>
    <t>Shatter skill 2 inflicts blindness.</t>
  </si>
  <si>
    <t>Wandering Mind</t>
  </si>
  <si>
    <t>Remove a nondamaging condition and gain swiftness whenever you evade an attack.</t>
  </si>
  <si>
    <t>Fencer's Finesse</t>
  </si>
  <si>
    <t>Gain a stacking ferocity effect when you or one of your illusions strikes with a one-handed sword or an underwater spear. Reduces recharge on sword and underwater spear skills.</t>
  </si>
  <si>
    <t>Master Fencer</t>
  </si>
  <si>
    <t>Superiority Complex</t>
  </si>
  <si>
    <t>Your critical hits deal more damage. Critical hit damage against disabled foes, or foes below the health threshold, is further increased. Disabled foes are affected by stun, daze, knockback, pull, knockdown, sink, float, fear, taunt, or launch.</t>
  </si>
  <si>
    <t>Ineptitude</t>
  </si>
  <si>
    <t>Interrupting a foe inflicts blind, and blinding a foe inflicts confusion. This trait can only activate on enemies with defiance bars once per interval.</t>
  </si>
  <si>
    <t>Deceptive Evasion</t>
  </si>
  <si>
    <t>Create a clone at your current position when you dodge.</t>
  </si>
  <si>
    <t>Metaphysical Rejuvenation</t>
  </si>
  <si>
    <t>Chaos</t>
  </si>
  <si>
    <t>Grant regeneration to nearby allies when you use a healing skill.</t>
  </si>
  <si>
    <t>Method of Madness</t>
  </si>
  <si>
    <t>Cast Lesser Chaos Storm when you use a healing skill.</t>
  </si>
  <si>
    <t>Grant protection to nearby allies when you use Shatter skill 2.</t>
  </si>
  <si>
    <t>Master of Manipulation</t>
  </si>
  <si>
    <t>Manipulations grant aegis to yourself and nearby allies.</t>
  </si>
  <si>
    <t>Illusionary Membrane</t>
  </si>
  <si>
    <t>Gain chaos aura when you use your second Shatter skill. Chaos aura grants you increased condition damage for a period of time.</t>
  </si>
  <si>
    <t>Auspicious Anguish</t>
  </si>
  <si>
    <t>Convert damaging conditions to boons whenever you gain Distortion or become disabled. This trait can only trigger when disabled once per interval. Disables include stun, daze, knockback, pull, knockdown, sink, float, launch, taunt, and fear.</t>
  </si>
  <si>
    <t>Chaotic Transference</t>
  </si>
  <si>
    <t>Gaining chaos aura grants boons to nearby allies.</t>
  </si>
  <si>
    <t>Chaotic Potency</t>
  </si>
  <si>
    <t>Gain condition damage. Gain additional condition damage while wielding a staff. Staff and trident skills gain reduced recharge.</t>
  </si>
  <si>
    <t>Chaotic Persistence</t>
  </si>
  <si>
    <t>Gain concentration and expertise while affected by regeneration.</t>
  </si>
  <si>
    <t>Chaotic Interruption</t>
  </si>
  <si>
    <t>When you interrupt a foe, recharge one of your equipped-weapon skills at random. Only affects weapon skills that are recharging.</t>
  </si>
  <si>
    <t>Prismatic Understanding</t>
  </si>
  <si>
    <t>Increased stealth duration from mesmer skills. Gain random boons while you are in stealth.</t>
  </si>
  <si>
    <t>Bountiful Disillusionment</t>
  </si>
  <si>
    <t>Gain stability when you use a Shatter skill. Grant an additional boon to nearby allies based on which Shatter is used.</t>
  </si>
  <si>
    <t>Mender's Purity</t>
  </si>
  <si>
    <t>Cast Lesser Power Cleanse when you use a healing skill.</t>
  </si>
  <si>
    <t>Medic's Feedback</t>
  </si>
  <si>
    <t>Cast Feedback while reviving an ally. Feedback revives allies inside its dome.</t>
  </si>
  <si>
    <t>Restorative Mantras</t>
  </si>
  <si>
    <t>Heals allies around you when you use a charge of a Mantra.</t>
  </si>
  <si>
    <t>Sympathetic Visage</t>
  </si>
  <si>
    <t>Phantasms take your conditions from you when summoned.</t>
  </si>
  <si>
    <t>Inspiring Distortion</t>
  </si>
  <si>
    <t>Grant aegis to other nearby allies whenever you give yourself distortion or use Shatter skill 4.</t>
  </si>
  <si>
    <t>Focus weapon skills reflect projectiles. Reduces recharge on focus weapon skills.</t>
  </si>
  <si>
    <t>Ego Restoration</t>
  </si>
  <si>
    <t>Create a clone when you use a healing skill.</t>
  </si>
  <si>
    <t>Temporal Enchanter</t>
  </si>
  <si>
    <t>When you cast a glamour, allies near the glamour gain resistance and superspeed.</t>
  </si>
  <si>
    <t>Illusionary Inspiration</t>
  </si>
  <si>
    <t>Increase healing to other allies. Summoning an illusion heals all allies around you. Virtuoso : Triggers when stocking a blade.</t>
  </si>
  <si>
    <t>Mental Defense</t>
  </si>
  <si>
    <t>Shatter skill 4 grants boons and breaks allies out of stuns.</t>
  </si>
  <si>
    <t>Restorative Illusions</t>
  </si>
  <si>
    <t>Heal and cleanse conditions from yourself and nearby allies when you use a Shatter skill.</t>
  </si>
  <si>
    <t>Blurred Inscriptions</t>
  </si>
  <si>
    <t>Signets have improved active effects, and activating one grants you distortion.</t>
  </si>
  <si>
    <t>Cry of Pain</t>
  </si>
  <si>
    <t>Shatter skill 2 inflicts more stacks of confusion for an increased duration.</t>
  </si>
  <si>
    <t>Shatter Storm</t>
  </si>
  <si>
    <t>Shatter skill 1 becomes an ammo skill.</t>
  </si>
  <si>
    <t>When a phantasm becomes a clone, it transfers its boons to you.</t>
  </si>
  <si>
    <t>The Pledge</t>
  </si>
  <si>
    <t>Flame bursts from torch skills inflict additional burning.</t>
  </si>
  <si>
    <t>Compounding Power</t>
  </si>
  <si>
    <t>Creating an illusion increases your outgoing damage and condition damage for a short duration. Virtuoso : Triggers when stocking a blade.</t>
  </si>
  <si>
    <t>Escape Artist</t>
  </si>
  <si>
    <t>When a phantasm is created, grant it distortion.</t>
  </si>
  <si>
    <t>Phantasmal Haste</t>
  </si>
  <si>
    <t>Phantasms spawn with quickness. Gain quickness when you create a phantasm.</t>
  </si>
  <si>
    <t>Maim the Disillusioned</t>
  </si>
  <si>
    <t>Shatter skills inflict torment on hit.</t>
  </si>
  <si>
    <t>Master of Misdirection</t>
  </si>
  <si>
    <t>Shatter skills gain recharge reduction.</t>
  </si>
  <si>
    <t>Phantasmal Force</t>
  </si>
  <si>
    <t>Phantasms deal increased strike damage for each stack of might you have. Gain might when your phantasms become clones.</t>
  </si>
  <si>
    <t>Master of Fragmentation</t>
  </si>
  <si>
    <t>Your Shatter skills are improved.</t>
  </si>
  <si>
    <t>Malicious Sorcery</t>
  </si>
  <si>
    <t>Confusion you inflict has increased duration. When you dodge an attack, inflict confusion on your attacker.</t>
  </si>
  <si>
    <t>Chronomancer</t>
  </si>
  <si>
    <t>You can wield shield items.</t>
  </si>
  <si>
    <t>Time Splitter</t>
  </si>
  <si>
    <t>Gain access to chronomancer shatter skills and Wells.</t>
  </si>
  <si>
    <t>Delayed Reactions</t>
  </si>
  <si>
    <t>Disabling a foe slows them. Disables include stun, daze, knockback, pull, knockdown, sink, float, launch, taunt, and fear. This trait can only affect the same enemy with once per interval.</t>
  </si>
  <si>
    <t>Time Catches Up</t>
  </si>
  <si>
    <t>Activating a Shatter gives your illusions superspeed. Shatters deal increased damage to movement-impaired foes.</t>
  </si>
  <si>
    <t>All's Well That Ends Well</t>
  </si>
  <si>
    <t>Wells heal allies when they end.</t>
  </si>
  <si>
    <t>Flow of Time</t>
  </si>
  <si>
    <t>Gain alacrity for each clone you shatter. Gain increased critical-strike chance for you and your clones [ sic ] when you have alacrity.</t>
  </si>
  <si>
    <t>Danger Time</t>
  </si>
  <si>
    <t>Gain additional critical-hit damage against slowed enemies. This bonus also applies to your illusions.</t>
  </si>
  <si>
    <t>Illusionary Reversion</t>
  </si>
  <si>
    <t>Shatter skills generate a clone and grant alacrity if you have enough clones present.</t>
  </si>
  <si>
    <t>Improved Alacrity</t>
  </si>
  <si>
    <t>Alacrity applied to you is stronger but has a reduced duration.</t>
  </si>
  <si>
    <t>Time Marches On</t>
  </si>
  <si>
    <t>You move 25% faster. The duration of incoming movement-impairing conditions is reduced by 25%.</t>
  </si>
  <si>
    <t>Stretched Time</t>
  </si>
  <si>
    <t>Nearby allies gain boons for each clone you shatter. Grant boons to nearby allies when you summon a phantasm.</t>
  </si>
  <si>
    <t>Seize the Moment</t>
  </si>
  <si>
    <t>You and nearby allies gain quickness for each clone you shatter. Grant quickness to nearby allies when you summon a phantasm.</t>
  </si>
  <si>
    <t>Chronophantasma</t>
  </si>
  <si>
    <t>The first time a phantasm would become a clone, it instead resummons itself and attacks again. Resummoned phantasms inflict a percentage of the original's damage. (Resummoned phantasms are briefly dazed.)</t>
  </si>
  <si>
    <t>Mirage</t>
  </si>
  <si>
    <t>You can wield an axe in your main hand.</t>
  </si>
  <si>
    <t>Mirage Cloak</t>
  </si>
  <si>
    <t>Gain Mirage Cloak instead of dodge rolling. Ambush skills become available for a short time whenever you gain Mirage Cloak. Gain access to Deception skills.</t>
  </si>
  <si>
    <t>Self-Deception</t>
  </si>
  <si>
    <t>Using a Deception skill will create a clone if you have any other clones active.</t>
  </si>
  <si>
    <t>Renewing Oasis</t>
  </si>
  <si>
    <t>Gain regeneration when you gain Mirage Cloak. The duration of incoming damaging conditions is reduced while you are regenerating.</t>
  </si>
  <si>
    <t>Riddle of Sand</t>
  </si>
  <si>
    <t>When entering combat, your first Ambush attack applies confusion. This ability refreshes when you use a Shatter skill.</t>
  </si>
  <si>
    <t>Nomad's Endurance</t>
  </si>
  <si>
    <t>Shatter skills give vigor. Strike and condition damage dealt is increased when you have vigor.</t>
  </si>
  <si>
    <t>Desert Distortion</t>
  </si>
  <si>
    <t>Illusions shattered by Distortion become Mirage Mirrors. Ambush skills become available for a short time whenever you grant distortion to yourself.</t>
  </si>
  <si>
    <t>Mirage Mantle</t>
  </si>
  <si>
    <t>Ambush skills you use grant boons to nearby allies.</t>
  </si>
  <si>
    <t>Phantom Pain</t>
  </si>
  <si>
    <t>Gain a damage increase when you use a Shatter skill, increasing per clone shattered.</t>
  </si>
  <si>
    <t>Speed of Sand</t>
  </si>
  <si>
    <t>Mirage Cloak increases your movement speed.</t>
  </si>
  <si>
    <t>Infinite Horizon</t>
  </si>
  <si>
    <t>When you gain Mirage Cloak, your illusions also gain it.</t>
  </si>
  <si>
    <t>Elusive Mind</t>
  </si>
  <si>
    <t>Lose conditions when you gain Mirage Cloak.</t>
  </si>
  <si>
    <t>Dune Cloak</t>
  </si>
  <si>
    <t>Shatter skills grant Mirage Cloak if you have enough clones present. Gaining Mirage Cloak recharges Mind Wrack and Cry of Frustration.</t>
  </si>
  <si>
    <t>Virtuoso</t>
  </si>
  <si>
    <t>You can wield daggers.</t>
  </si>
  <si>
    <t>Psychic Blades</t>
  </si>
  <si>
    <t>Whenever a clone would be summoned, you instead stock a blade. Blades persist indefinitely until used. Your shatters are replaced with Bladesongs that consume your stocked blades, but still count as shatters for the purposes of core traits. While out of combat, you will automatically stock a blade every 10 seconds.</t>
  </si>
  <si>
    <t>Bladeturn Refrain</t>
  </si>
  <si>
    <t>Bladesongs grant aegis.</t>
  </si>
  <si>
    <t>Mental Focus</t>
  </si>
  <si>
    <t>Strike damage is increased against foes within the range threshold.</t>
  </si>
  <si>
    <t>Jagged Mind</t>
  </si>
  <si>
    <t>Blade attacks inflict bleeding on critical hits. A percentage of your condition damage dealt heals you.</t>
  </si>
  <si>
    <t>Deadly Blades</t>
  </si>
  <si>
    <t>Blades inflict vulnerability on critical hits. After successfully casting a Bladesong, increase all damage dealt for a short time. This does not stack.</t>
  </si>
  <si>
    <t>Duelist's Reversal</t>
  </si>
  <si>
    <t>Blocking or dodging an attack grants boons.</t>
  </si>
  <si>
    <t>Phantasmal Blades</t>
  </si>
  <si>
    <t>Phantasms that successfully complete their attack launch a blade at their target and grant you fury when they expire.</t>
  </si>
  <si>
    <t>Sharpening Sorrow</t>
  </si>
  <si>
    <t>Gain fury when you activate Bladesong Sorrow. Fury increases your expertise.</t>
  </si>
  <si>
    <t>Quiet Intensity</t>
  </si>
  <si>
    <t>Fury gives an increased critical chance. Gain ferocity based on your vitality.</t>
  </si>
  <si>
    <t>Psychic Riposte</t>
  </si>
  <si>
    <t>Blocking or evading an attack stocks blades. Dodging stocks a blade and causes your next Bladesong to be unblockable.</t>
  </si>
  <si>
    <t>Infinite Forge</t>
  </si>
  <si>
    <t>Automatically stock blades while in combat. When you use bladesong above the blade threshold, refund blades. Blade attacks deal more damage.</t>
  </si>
  <si>
    <t>Bloodsong</t>
  </si>
  <si>
    <t>Bleeding you apply deals increased damage. Stock a blade after applying enough stacks of bleeding to foes.</t>
  </si>
  <si>
    <t>Wandering Minstrel</t>
  </si>
  <si>
    <t>Build up notes instead of summoning illusions. Shatters are replaced by instrument skills, which consume notes to continue playing. Gain access to Tales. While out of combat, you will automatically stock a blade [ sic ] every 10 seconds.</t>
  </si>
  <si>
    <t>Mayhem</t>
  </si>
  <si>
    <t>Flustering Flute now applies torment. Dodging reduces the recharge of Flustering Flute.</t>
  </si>
  <si>
    <t>Raconteur</t>
  </si>
  <si>
    <t>Tales heal and grant protection to nearby allies.</t>
  </si>
  <si>
    <t>Syncopate</t>
  </si>
  <si>
    <t>Deafening Drum releases an additional quick wave after a delay. Deal damage to enemies you disable.</t>
  </si>
  <si>
    <t>Symphonic Resonance</t>
  </si>
  <si>
    <t>Instruments provide bonuses while playing in the background.</t>
  </si>
  <si>
    <t>Shredding</t>
  </si>
  <si>
    <t>Lively Lute fires an additional wave at your enemy. The lute's damage bonus is increased.</t>
  </si>
  <si>
    <t>Life of the Party</t>
  </si>
  <si>
    <t>Lively Lute and Crescendo grant boons to affected allies.</t>
  </si>
  <si>
    <t>Love Song</t>
  </si>
  <si>
    <t>Harmonious Harp 's distortion lasts longer. Strike damage from enemies is reduced while the harp is playing in the background.</t>
  </si>
  <si>
    <t>Harmonize</t>
  </si>
  <si>
    <t>Gain a note when you use a phantasm skill.</t>
  </si>
  <si>
    <t>Fortissimo</t>
  </si>
  <si>
    <t>After using Crescendo, gain a note every interval for a duration. Gain increased attributes for each instrument you have playing.</t>
  </si>
  <si>
    <t>Call and Response</t>
  </si>
  <si>
    <t>When you use an instrument above the note threshold, create an afterimage that plays that instrument after a delay.</t>
  </si>
  <si>
    <t>Altered Chord</t>
  </si>
  <si>
    <t>Crescendo prompts your last-played instrument to take the spotlight, augmenting Crescendo's effects. Playing an instrument recharges Crescendo.</t>
  </si>
  <si>
    <t>Reaper's Might</t>
  </si>
  <si>
    <t>Necromancer</t>
  </si>
  <si>
    <t>Spite</t>
  </si>
  <si>
    <t>Shroud skill 1 grants might.</t>
  </si>
  <si>
    <t>Spiteful Talisman</t>
  </si>
  <si>
    <t>Deal increased strike damage to foes with no boons. Focus and axe skills recharge faster.</t>
  </si>
  <si>
    <t>Spiteful Renewal</t>
  </si>
  <si>
    <t>Consume conditions to gain health when you use a healing skill.</t>
  </si>
  <si>
    <t>Bitter Chill</t>
  </si>
  <si>
    <t>Chilling a foe inflicts vulnerability.</t>
  </si>
  <si>
    <t>Death's Embrace</t>
  </si>
  <si>
    <t>Deal increased strike damage while downed. Inflict vulnerability when you strike a foe below the health threshold. Cannot apply vulnerability to the same target more than once per interval.</t>
  </si>
  <si>
    <t>Chill of Death</t>
  </si>
  <si>
    <t>Cast Lesser Spinal Shivers on a foe when attacking them while their health is below the threshold.</t>
  </si>
  <si>
    <t>Awaken the Pain</t>
  </si>
  <si>
    <t>Might grants you more power and less condition damage. Gain might when entering shroud.</t>
  </si>
  <si>
    <t>Signets of Suffering</t>
  </si>
  <si>
    <t>Signets steal health and remove boons from affected foes. Siphon healing is reduced for each target struck beyond the first.</t>
  </si>
  <si>
    <t>Siphoned Power</t>
  </si>
  <si>
    <t>Gain might when you strike a foe below the health threshold.</t>
  </si>
  <si>
    <t>Dread</t>
  </si>
  <si>
    <t>Inflicting fear on a foe gives you boons. Shroud skill 3 partially recharges when you defeat foes.</t>
  </si>
  <si>
    <t>Close to Death</t>
  </si>
  <si>
    <t>Spiteful Spirit</t>
  </si>
  <si>
    <t>Strike around you when entering shroud.</t>
  </si>
  <si>
    <t>Barbed Precision</t>
  </si>
  <si>
    <t>Curses</t>
  </si>
  <si>
    <t>Critical hits have a chance to cause bleeding. Increases bleed duration.</t>
  </si>
  <si>
    <t>Insidious Disruption</t>
  </si>
  <si>
    <t>Disabling a foe inflicts torment on them. Disables include stun, daze, knockback, pull, knockdown, sink, float, launch, taunt, and fear.</t>
  </si>
  <si>
    <t>Plague Sending</t>
  </si>
  <si>
    <t>Your first attack after entering shroud transfers conditions. Only activates if you have conditions.</t>
  </si>
  <si>
    <t>Chilling Darkness</t>
  </si>
  <si>
    <t>Blinding a target will also apply chill.</t>
  </si>
  <si>
    <t>Furious Demise</t>
  </si>
  <si>
    <t>Gain fury when entering shroud. Gain additional precision.</t>
  </si>
  <si>
    <t>Master of Corruption</t>
  </si>
  <si>
    <t>Corruptions gain reduced recharge time and inflict additional conditions on you.</t>
  </si>
  <si>
    <t>Path of Corruption</t>
  </si>
  <si>
    <t>Shroud skill 2 now additionally converts boons into conditions.</t>
  </si>
  <si>
    <t>Parasitic Contagion</t>
  </si>
  <si>
    <t>A percentage of your condition damage heals you. Healing will not occur while life force replaces health.</t>
  </si>
  <si>
    <t>Target the Weak</t>
  </si>
  <si>
    <t>Increases critical-hit chance for each condition on the foe. Gain condition damage based on your precision.</t>
  </si>
  <si>
    <t>Weakening Shroud</t>
  </si>
  <si>
    <t>Cast Lesser Enfeeble when entering shroud. Critical hits inflict weakness.</t>
  </si>
  <si>
    <t>Terror</t>
  </si>
  <si>
    <t>Fear you inflict deals damage each second.</t>
  </si>
  <si>
    <t>Lingering Curse</t>
  </si>
  <si>
    <t>Your condition damage is increased. Conditions inflicted by scepter skills have longer durations, and Feast of Corruption becomes Devouring Darkness.</t>
  </si>
  <si>
    <t>Armored Shroud</t>
  </si>
  <si>
    <t>Death Magic</t>
  </si>
  <si>
    <t>Gain carapace when entering shroud.</t>
  </si>
  <si>
    <t>Flesh of the Master</t>
  </si>
  <si>
    <t>Minions have increased health. Gain carapace for each minion you control. Your minions are destroyed when this trait is reassigned.</t>
  </si>
  <si>
    <t>Putrid Defense</t>
  </si>
  <si>
    <t>Poison damage is increased. Applying poison grants carapace.</t>
  </si>
  <si>
    <t>Shrouded Removal</t>
  </si>
  <si>
    <t>Lose a condition when you enter shroud and every few seconds while you remain in shroud. Gain carapace when removing conditions from yourself.</t>
  </si>
  <si>
    <t>Soul Comprehension</t>
  </si>
  <si>
    <t>Your passive life-force generation from nearby deaths is increased. Kills grant carapace. When you enter shroud, gain life-force per stack of carapace.</t>
  </si>
  <si>
    <t>Necromantic Corruption</t>
  </si>
  <si>
    <t>Minions deal more damage and take conditions from you. When a minion attacks, it transfers conditions to its target. There is a 10 second cooldown per minion.</t>
  </si>
  <si>
    <t>Dark Defiance</t>
  </si>
  <si>
    <t>If you are disabled, gain protection. Incoming condition damage is reduced while you have protection. Disables include stun, daze, knockback, pull, knockdown, sink, float, fear, taunt, and launch.</t>
  </si>
  <si>
    <t>Deadly Strength</t>
  </si>
  <si>
    <t>Carapace stacks grant power and condition damage.</t>
  </si>
  <si>
    <t>Beyond the Veil</t>
  </si>
  <si>
    <t>Take reduced condition damage while at or above the threshold of carapace stacks.</t>
  </si>
  <si>
    <t>Death Nova</t>
  </si>
  <si>
    <t>When you or one of your minions is downed, create a Poison Nova. Summon a jagged horror when you kill a foe.</t>
  </si>
  <si>
    <t>Corrupter's Fervor</t>
  </si>
  <si>
    <t>Inflicting a condition on a foe grants carapace. Gain pulsing protection while at or above the carapace threshold.</t>
  </si>
  <si>
    <t>Unholy Sanctuary</t>
  </si>
  <si>
    <t>Regenerate health while in shroud. If your life force is above the threshold, your shroud will activate if you would take a lethal blow.</t>
  </si>
  <si>
    <t>Mark of Evasion</t>
  </si>
  <si>
    <t>Blood Magic</t>
  </si>
  <si>
    <t>Leave a Mark of Blood when you dodge.</t>
  </si>
  <si>
    <t>Ritual of Life</t>
  </si>
  <si>
    <t>Cast Lesser Well of Blood when reviving an ally. Wells of Blood revive allies every pulse.</t>
  </si>
  <si>
    <t>Overflowing Thirst</t>
  </si>
  <si>
    <t>Dagger skills grant nearby allies Taste for Blood.</t>
  </si>
  <si>
    <t>Blood Bond</t>
  </si>
  <si>
    <t>Cast Lesser Signet of Vampirism on your foe when you inflict bleeding on them that matches or exceeds the threshold.</t>
  </si>
  <si>
    <t>Vampiric</t>
  </si>
  <si>
    <t>Siphon health whenever you hit a foe. Minions siphon health and transfer it to you.</t>
  </si>
  <si>
    <t>Life from Death</t>
  </si>
  <si>
    <t>Heal allies in an area when you exit shroud. Increase healing to other allies.</t>
  </si>
  <si>
    <t>Banshee's Wail</t>
  </si>
  <si>
    <t>Warhorn skills gain increased effect duration.</t>
  </si>
  <si>
    <t>Vampiric Presence</t>
  </si>
  <si>
    <t>You and your nearby allies siphon health with attacks. This effect increases while in Shroud.</t>
  </si>
  <si>
    <t>Last Rites</t>
  </si>
  <si>
    <t>As long as you are not downed, allies near you do not bleed out if they are downed. Gain healing power based on your current health.</t>
  </si>
  <si>
    <t>Blood Bank</t>
  </si>
  <si>
    <t>Gaining health grants a proportionate amount of barrier. Conversion amount increases while at full health.</t>
  </si>
  <si>
    <t>Unholy Martyr</t>
  </si>
  <si>
    <t>Entering shroud transfers conditions from allies to you. Exiting shroud consumes conditions currently on you and converts them to life force.</t>
  </si>
  <si>
    <t>Transfusion</t>
  </si>
  <si>
    <t>Marks can be triggered by allies to heal them and provide them with additional benefits. Create Lesser Chilblains at your location when you use your fourth shroud skill.</t>
  </si>
  <si>
    <t>Gluttony</t>
  </si>
  <si>
    <t>Soul Reaping</t>
  </si>
  <si>
    <t>Increases the amount of life force gained from all sources.</t>
  </si>
  <si>
    <t>Unyielding Blast</t>
  </si>
  <si>
    <t>Shroud skill 1 inflicts vulnerability.</t>
  </si>
  <si>
    <t>Soul Marks</t>
  </si>
  <si>
    <t>Marks become unblockable and generate life force when triggered.</t>
  </si>
  <si>
    <t>Speed of Shadows</t>
  </si>
  <si>
    <t>Entering shroud grants swiftness and removes movement-impairing conditions.</t>
  </si>
  <si>
    <t>Sinister Shroud</t>
  </si>
  <si>
    <t>Shroud skills gain reduced recharge.</t>
  </si>
  <si>
    <t>Soul Barbs</t>
  </si>
  <si>
    <t>Entering or exiting shroud increases all damage you deal for a duration.</t>
  </si>
  <si>
    <t>Vital Persistence</t>
  </si>
  <si>
    <t>Gain Vitality. Your incoming healing is increased.</t>
  </si>
  <si>
    <t>Fear of Death</t>
  </si>
  <si>
    <t>Your fear effects have increased durations. Inflicting fear generates life force.</t>
  </si>
  <si>
    <t>Soul Battery</t>
  </si>
  <si>
    <t>Maximum life force is increased.</t>
  </si>
  <si>
    <t>Eternal Life</t>
  </si>
  <si>
    <t>Gain life force every interval up to the threshold when not in shroud. Gain protection when you enter shroud.</t>
  </si>
  <si>
    <t>Death Perception</t>
  </si>
  <si>
    <t>Gain increased critical-strike chance. Gain increased critical-strike damage while in shroud.</t>
  </si>
  <si>
    <t>Dhuumfire</t>
  </si>
  <si>
    <t>Shroud skill 1 inflicts burning on your target.</t>
  </si>
  <si>
    <t>Reaper</t>
  </si>
  <si>
    <t>Shroud Knight</t>
  </si>
  <si>
    <t>Death Shroud is replaced with Reaper's Shroud, which has more melee-oriented skills and consumes life force at a faster rate. Gain access to shouts.</t>
  </si>
  <si>
    <t>Augury of Death</t>
  </si>
  <si>
    <t>Shouts now siphon health. This effect is increased on foes in melee range.</t>
  </si>
  <si>
    <t>Chilling Nova</t>
  </si>
  <si>
    <t>Critical hits against chilled foes cause an explosion that chills adjacent foes.</t>
  </si>
  <si>
    <t>Relentless Pursuit</t>
  </si>
  <si>
    <t>Reduces duration of movement-impairing conditions. Additional reduction while in reaper's shroud.</t>
  </si>
  <si>
    <t>Shivers of Dread</t>
  </si>
  <si>
    <t>Whenever you inflict fear, you also chill.</t>
  </si>
  <si>
    <t>Soul Eater</t>
  </si>
  <si>
    <t>Striking foes within the range threshold deals increased strike damage and heals you for a portion of the damage dealt.</t>
  </si>
  <si>
    <t>Chilling Victory</t>
  </si>
  <si>
    <t>Striking a chilled foe grants might and life force. Single attacks can activate this trait more than once before recharging.</t>
  </si>
  <si>
    <t>Decimate Defenses</t>
  </si>
  <si>
    <t>Striking a foe with vulnerability increases your critical hit chance.</t>
  </si>
  <si>
    <t>Cold Shoulder</t>
  </si>
  <si>
    <t>Chill lasts longer, and chilled foes take increased strike damage from your attacks.</t>
  </si>
  <si>
    <t>Blighter's Boon</t>
  </si>
  <si>
    <t>Gain life force when you apply a boon to yourself or remove a boon from an enemy. If you are in reaper's shroud, gain health instead.</t>
  </si>
  <si>
    <t>Deathly Chill</t>
  </si>
  <si>
    <t>Chill deals damage over time.</t>
  </si>
  <si>
    <t>Reaper's Onslaught</t>
  </si>
  <si>
    <t>Gain ferocity and quickness while in Reaper's Shroud. Hitting with Life Reap reduces the recharge time of shroud skills. Recharge reduction can only occur once per use of Life Reap.</t>
  </si>
  <si>
    <t>Scourge</t>
  </si>
  <si>
    <t>You can wield torches.</t>
  </si>
  <si>
    <t>Mantle of Sand</t>
  </si>
  <si>
    <t>Gain the power to craft sand shadows and command them using your life force. Gain access to Punishment and Shade skills. Shade skills inherit the effects of traits that affect shroud skills.</t>
  </si>
  <si>
    <t>Abrasive Grit</t>
  </si>
  <si>
    <t>Granting an ally a barrier removes conditions afflicting them and grants might. This effect only occurs with barrier from scourge skills and traits.</t>
  </si>
  <si>
    <t>Fell Beacon</t>
  </si>
  <si>
    <t>Burning you inflict does more damage. Gain expertise based on your condition damage.</t>
  </si>
  <si>
    <t>Nourishing Ashes</t>
  </si>
  <si>
    <t>Gain life force when you inflict burning, and remove or corrupt a boon.</t>
  </si>
  <si>
    <t>Sand Sage</t>
  </si>
  <si>
    <t>Gain concentration and expertise when you have an active shade.</t>
  </si>
  <si>
    <t>Feed from Corruption</t>
  </si>
  <si>
    <t>When you remove or corrupt a boon from an enemy, gain barrier.</t>
  </si>
  <si>
    <t>Sadistic Searing</t>
  </si>
  <si>
    <t>Nefarious Favor now burns nearby enemy targets.</t>
  </si>
  <si>
    <t>Herald of Sorrow</t>
  </si>
  <si>
    <t>Desert Shroud becomes Sandstorm Shroud.</t>
  </si>
  <si>
    <t>Blood as Sand</t>
  </si>
  <si>
    <t>Reduce all incoming damage taken when you have a shade active.</t>
  </si>
  <si>
    <t>Sand Savant</t>
  </si>
  <si>
    <t>Summon only one shade at a time. This greater shade has a modified recharge. Influence a larger area with shade skills. A greater shade counts as three shades for related traits.</t>
  </si>
  <si>
    <t>Demonic Lore</t>
  </si>
  <si>
    <t>Torment you inflict deals increased damage and causes your foes to burn. This trait can only inflict burning on a particular target once every three seconds.</t>
  </si>
  <si>
    <t>Desert Empowerment</t>
  </si>
  <si>
    <t>Manifest Sand Shade grants a barrier to allies near it. When you apply barrier, grant boons to the affected target. This effect only occurs with barrier from scourge skills and traits.</t>
  </si>
  <si>
    <t>Harbinger</t>
  </si>
  <si>
    <t>Dark Disciple</t>
  </si>
  <si>
    <t>Death Shroud is replaced with Harbinger Shroud, granting powerful offensive skills but leaving you vulnerable to attack. As you remain in Harbinger Shroud, you accumulate stacking Blight. Blight decreases your maximum health.</t>
  </si>
  <si>
    <t>Wicked Corruption</t>
  </si>
  <si>
    <t>Deal increased strike damage for each stack of blight you have. Critical strikes deal increased damage to targets with torment.</t>
  </si>
  <si>
    <t>Bolstering Brew</t>
  </si>
  <si>
    <t>Elixir skills grant protection.</t>
  </si>
  <si>
    <t>Septic Corruption</t>
  </si>
  <si>
    <t>Deal increased condition damage for each stack of blight you have. Shroud 2 skill also inflicts poison.</t>
  </si>
  <si>
    <t>Alchemic Vigor</t>
  </si>
  <si>
    <t>Gain increased vitality. Heal each second for each stack of blight you have.</t>
  </si>
  <si>
    <t>Implacable Foe</t>
  </si>
  <si>
    <t>Gain stability and damage reduction when entering Harbinger Shroud. Gain ferocity based on your vitality.</t>
  </si>
  <si>
    <t>Twisted Medicine</t>
  </si>
  <si>
    <t>Elixir skills also grant their boons to allies within the elixir impact radius. Gain concentration based on your vitality.</t>
  </si>
  <si>
    <t>Dark Gunslinger</t>
  </si>
  <si>
    <t>Pistol skills gain reduced recharge. Gain expertise based on your vitality.</t>
  </si>
  <si>
    <t>Corrupted Talent</t>
  </si>
  <si>
    <t>Gain life force when you enter Harbinger Shroud.</t>
  </si>
  <si>
    <t>Cascading Corruption</t>
  </si>
  <si>
    <t>Your power is increased. While in Harbinger Shroud, you gain an aura that pulses each interval to damage and cripple nearby enemies.</t>
  </si>
  <si>
    <t>Deathly Haste</t>
  </si>
  <si>
    <t>While in Harbinger Shroud, gain an aura that pulses each interval to grant quickness to yourself and nearby allies.</t>
  </si>
  <si>
    <t>Doom Approaches</t>
  </si>
  <si>
    <t>Your condition damage is increased. While in Harbinger Shroud, you gain an aura that pulses each interval to torment and weaken nearby enemies.</t>
  </si>
  <si>
    <t>Spawning Power</t>
  </si>
  <si>
    <t>Ritualist</t>
  </si>
  <si>
    <t>Death shroud is replaced with ritualist's shroud. Spirits created by shroud skills will persist until you exit shroud. After performing their initial attack, spirits will periodically attack enemies. Gain access to weapon spells.</t>
  </si>
  <si>
    <t>Wandering Spirits</t>
  </si>
  <si>
    <t>Spirits teleport to you before they perform their autoattack.</t>
  </si>
  <si>
    <t>Spirit's Gift</t>
  </si>
  <si>
    <t>Heal nearby allies when you summon a creature. Spirits and minions are creatures.</t>
  </si>
  <si>
    <t>Explosive Growth</t>
  </si>
  <si>
    <t>When you summon a creature, deal damage to enemies around that creature. Spirits and minions are creatures.</t>
  </si>
  <si>
    <t>Boon of Creation</t>
  </si>
  <si>
    <t>Gain concentration. Gain life force when you summon a creature. Spirits and minions are creatures.</t>
  </si>
  <si>
    <t>Spirits' Remedy</t>
  </si>
  <si>
    <t>Remove conditions from nearby allies when you summon a creature. Spirits and minions are creatures.</t>
  </si>
  <si>
    <t>Empowering Spirits</t>
  </si>
  <si>
    <t>Grant boons to nearby allies when you summon a spirit.</t>
  </si>
  <si>
    <t>Spirit's Strength</t>
  </si>
  <si>
    <t>Your summoned creatures deal more damage and their healing is increased. Spirits and minions are creatures.</t>
  </si>
  <si>
    <t>Charged Souls</t>
  </si>
  <si>
    <t>Gain access to spirit innervation skills, allowing you to channel energy to your spirits for an additional effect. Gain life force when you use an innervate skill.</t>
  </si>
  <si>
    <t>Wielder's Boon</t>
  </si>
  <si>
    <t>Weapon spells remove conditions from affected allies. Affected allies receive the full benefit of weapon spells.</t>
  </si>
  <si>
    <t>Lingering Spirits</t>
  </si>
  <si>
    <t>Gain a bonus for each active spirit. Spirits persist when exiting ritualist's shroud but continue to drain life force. Life force that is gained during this time will not be consumed by spirits.</t>
  </si>
  <si>
    <t>Soul Twisting</t>
  </si>
  <si>
    <t>The first spirit skill you use when entering ritualist's shroud recharges instantly.</t>
  </si>
  <si>
    <t>Stat</t>
  </si>
  <si>
    <t>Amount</t>
  </si>
  <si>
    <t>Type 1</t>
  </si>
  <si>
    <t>Type 2</t>
  </si>
  <si>
    <t>Conditional?</t>
  </si>
  <si>
    <t>Condition</t>
  </si>
  <si>
    <t>Affecting Stat/Boon</t>
  </si>
  <si>
    <t>Note</t>
  </si>
  <si>
    <t>Max Stacks</t>
  </si>
  <si>
    <t>Flat</t>
  </si>
  <si>
    <t>+150 Ferocity</t>
  </si>
  <si>
    <t>Yes</t>
  </si>
  <si>
    <t>Arcane Skill used</t>
  </si>
  <si>
    <t>+150 Ferocity on Arcane Skill use</t>
  </si>
  <si>
    <t>+180 Condition Damage</t>
  </si>
  <si>
    <t>Elemental Enhancement</t>
  </si>
  <si>
    <t>+180 Concentration</t>
  </si>
  <si>
    <t>Player attuned to Fire</t>
  </si>
  <si>
    <t>+200 Power while attuned to Fire</t>
  </si>
  <si>
    <t>Player attuned to Water</t>
  </si>
  <si>
    <t>+200 Healing Power while attuned to Water</t>
  </si>
  <si>
    <t>Player attuned to Air</t>
  </si>
  <si>
    <t>+200 Ferocity while attuned to Air</t>
  </si>
  <si>
    <t>Player attuned to Earth</t>
  </si>
  <si>
    <t>+200 Vitality while attuned to Earth</t>
  </si>
  <si>
    <t>Percentage</t>
  </si>
  <si>
    <t>Attuned to single element</t>
  </si>
  <si>
    <t>+7% Condition Damage when attuned to single element</t>
  </si>
  <si>
    <t>Derived</t>
  </si>
  <si>
    <t>+Precision, 13% of Vitality</t>
  </si>
  <si>
    <t>Boon Enhancement</t>
  </si>
  <si>
    <t>Fox familiar</t>
  </si>
  <si>
    <t>+5 Condition Damage from Might stacks from Fox familiar</t>
  </si>
  <si>
    <t>Otter familiar</t>
  </si>
  <si>
    <t>+20% Healing Power from Regeneration from Otter familiar</t>
  </si>
  <si>
    <t>Crit Chance</t>
  </si>
  <si>
    <t>Hare familiar</t>
  </si>
  <si>
    <t>+15% Critical Chance from Fury from Hare familiar</t>
  </si>
  <si>
    <t>+25% Condition Damage from Familiar's Prowess Fox familiar (overwrite)</t>
  </si>
  <si>
    <t>+7% Condition Damage from Fox familiar</t>
  </si>
  <si>
    <t>+Ferocity, 7% of Precision</t>
  </si>
  <si>
    <t>+250 Ferocity while attuned to Air</t>
  </si>
  <si>
    <t>+240 Concentration</t>
  </si>
  <si>
    <t>Sword equipped</t>
  </si>
  <si>
    <t>+120 Vitality with Sword equipped</t>
  </si>
  <si>
    <t>+Vitality, 5% of Power</t>
  </si>
  <si>
    <t>+Vitality, 5% of Condition Damage</t>
  </si>
  <si>
    <t>10+ stacks of Might</t>
  </si>
  <si>
    <t>+150 Power at 10 stacks of Might</t>
  </si>
  <si>
    <t>+180 Ferocity from Fury</t>
  </si>
  <si>
    <t>+300 Vitality</t>
  </si>
  <si>
    <t>+Condition Damage, 10% of Toughness</t>
  </si>
  <si>
    <t>Recently attuned to different element</t>
  </si>
  <si>
    <t>+5% Condition Damage when attuning to different element</t>
  </si>
  <si>
    <t>+20% Condition Duration when attuning to different element</t>
  </si>
  <si>
    <t>+5% Critical Chance</t>
  </si>
  <si>
    <t>+30 Power from Might stacks</t>
  </si>
  <si>
    <t>+Vitality, 10% of Power</t>
  </si>
  <si>
    <t>+120 Condition Damage</t>
  </si>
  <si>
    <t>Pistol Skill</t>
  </si>
  <si>
    <t>+33% Condition Duration on Pistol Skills</t>
  </si>
  <si>
    <t>+250 Power from Regeneration</t>
  </si>
  <si>
    <t>+250 Healing Power from Regeneration</t>
  </si>
  <si>
    <t>Stacking</t>
  </si>
  <si>
    <t>Explosion hit</t>
  </si>
  <si>
    <t>Stacking +20 Ferocity on Explosion hit</t>
  </si>
  <si>
    <t>Hit with Explosive Entrance</t>
  </si>
  <si>
    <t>+10% Critical Chance from Explosive Entrance</t>
  </si>
  <si>
    <t>Med Kit equipped</t>
  </si>
  <si>
    <t>+20% Healing Power with Med Kit equipped</t>
  </si>
  <si>
    <t>Crit Damage</t>
  </si>
  <si>
    <t>+15% Critical Chance from Fury</t>
  </si>
  <si>
    <t>Foe within 450 distance units</t>
  </si>
  <si>
    <t>+15% Critical Chance within 450 distance units</t>
  </si>
  <si>
    <t>+240 Vitality</t>
  </si>
  <si>
    <t>+150 Ferocity from Fury</t>
  </si>
  <si>
    <t>+150 Expertise</t>
  </si>
  <si>
    <t>Burning inflicted</t>
  </si>
  <si>
    <t>+5% Condition Damage when Burning inflicted</t>
  </si>
  <si>
    <t>+120 Vitality</t>
  </si>
  <si>
    <t>+180 Vitality</t>
  </si>
  <si>
    <t>+120 Concentration</t>
  </si>
  <si>
    <t>+250 Condition Damage from Quickness</t>
  </si>
  <si>
    <t>+250 Healing Power from Quickness</t>
  </si>
  <si>
    <t>+250 Vitality from Quickness</t>
  </si>
  <si>
    <t>+Condition Damage, 10% of Power</t>
  </si>
  <si>
    <t>+120 Power</t>
  </si>
  <si>
    <t>+Condition Damage, 7% of Vitality</t>
  </si>
  <si>
    <t>+80 Precision</t>
  </si>
  <si>
    <t>One-Handed Weapon in Main Hand</t>
  </si>
  <si>
    <t>+80 Power with One-Handed Weapon in Main Hand</t>
  </si>
  <si>
    <t>Shield equipped</t>
  </si>
  <si>
    <t>+240 Toughness with Shield equipped</t>
  </si>
  <si>
    <t>Greatsword equipped</t>
  </si>
  <si>
    <t>+120 Power with Greatsword equipped</t>
  </si>
  <si>
    <t>+250 Concentration from Regeneration</t>
  </si>
  <si>
    <t>+100 Expertise from Regeneration</t>
  </si>
  <si>
    <t>Staff equipped</t>
  </si>
  <si>
    <t>+120 Condition Damage with Staff equipped</t>
  </si>
  <si>
    <t>+2% Condition Damage per stack when creating Illusion</t>
  </si>
  <si>
    <t>Hit on Slowed foe</t>
  </si>
  <si>
    <t>+15% Critical Chance against Slowed foes</t>
  </si>
  <si>
    <t>Bladesong recently cast</t>
  </si>
  <si>
    <t>+5% Condition Damage after casting a Bladesong</t>
  </si>
  <si>
    <t>Hit with Sword or underwater Spear by Player or Player's Illusion</t>
  </si>
  <si>
    <t>+15 Ferocity per stack on hit or Illusion hit with Sword or underwater Spear</t>
  </si>
  <si>
    <t>+15% Critical Chance from Alacrity</t>
  </si>
  <si>
    <t>All</t>
  </si>
  <si>
    <t>+4% to all attributes for each instrument playing</t>
  </si>
  <si>
    <t>Chaos Aura active</t>
  </si>
  <si>
    <t>+7% Condition Damage from Chaos aura</t>
  </si>
  <si>
    <t>+10% Condition Damage from Vigor</t>
  </si>
  <si>
    <t>+Ferocity, 10% of Vitality</t>
  </si>
  <si>
    <t>+150 Expertise from Fury</t>
  </si>
  <si>
    <t>+15% Critical Damage</t>
  </si>
  <si>
    <t>Foe disabled or below 50% Health</t>
  </si>
  <si>
    <t>+10% Critical Damage against disabled foes or foes below 50% Health</t>
  </si>
  <si>
    <t>+25% Condition Damage while Lute playing in background</t>
  </si>
  <si>
    <t>+10 Power from Might stacks</t>
  </si>
  <si>
    <t>-10 Condition Damage from Might stacks</t>
  </si>
  <si>
    <t>+240 Power</t>
  </si>
  <si>
    <t>+Expertise, 13% of Vitality</t>
  </si>
  <si>
    <t>+10 Power per Death's Carapace stack</t>
  </si>
  <si>
    <t>+10 Condition Damage per Death's Carapace stack</t>
  </si>
  <si>
    <t>+15% Critical Chance</t>
  </si>
  <si>
    <t>Shroud active</t>
  </si>
  <si>
    <t>+15% Critical Damage while in Shroud</t>
  </si>
  <si>
    <t>Foe is Vulnerable</t>
  </si>
  <si>
    <t>+2% Crit Chance on hit per Vulnerability stack on foe</t>
  </si>
  <si>
    <t>+240 Condition Damage</t>
  </si>
  <si>
    <t>+Expertise, 7% of Condition Damage</t>
  </si>
  <si>
    <t>+180 Precision</t>
  </si>
  <si>
    <t>+Ferocity, 13% of Vitality</t>
  </si>
  <si>
    <t>Player above 75% Health</t>
  </si>
  <si>
    <t>+150 Healing Power while player above 75% Health</t>
  </si>
  <si>
    <t>Player below 75% Health</t>
  </si>
  <si>
    <t>+300 Healing Power while player below 75% Health</t>
  </si>
  <si>
    <t>Player below 50% Health</t>
  </si>
  <si>
    <t>+450 Healing Power while player below 50% Health</t>
  </si>
  <si>
    <t>+200 Condition Damage</t>
  </si>
  <si>
    <t>Scepter Skill</t>
  </si>
  <si>
    <t>+50% Condition Duration on Scepter Skills</t>
  </si>
  <si>
    <t>Reaper's Shroud active</t>
  </si>
  <si>
    <t>+300 Ferocity while in Reaper's Shroud</t>
  </si>
  <si>
    <t>Shade active</t>
  </si>
  <si>
    <t>+225 Concentration from active Shade</t>
  </si>
  <si>
    <t>+225 Experise from active Shade</t>
  </si>
  <si>
    <t>Blight is active</t>
  </si>
  <si>
    <t>+0.25% Condition Damage per Blight stack</t>
  </si>
  <si>
    <t>Foe has Condition</t>
  </si>
  <si>
    <t>+2% Critical Chance for every Condition on foe</t>
  </si>
  <si>
    <t>+Condition Damage, 13% of Precision</t>
  </si>
  <si>
    <t>+Concentration, 13% of Vitality</t>
  </si>
  <si>
    <t>Foe is Tormented</t>
  </si>
  <si>
    <t>+12.5 Critical Damage against Tormented foes</t>
  </si>
  <si>
    <t>Dagger, Mace or Torch equipped</t>
  </si>
  <si>
    <t>+120 Condition Damage with Dagger, Mace or Torch equipped</t>
  </si>
  <si>
    <t>+120 Ferocity</t>
  </si>
  <si>
    <t>Axe equipped</t>
  </si>
  <si>
    <t>+120 Ferocity with Axe equipped</t>
  </si>
  <si>
    <t>Hit from side or behind on Defiant foe</t>
  </si>
  <si>
    <t>+10% Critical Chance on hit from side or behind against Defiant foe</t>
  </si>
  <si>
    <t>Dodge or evading Skill used</t>
  </si>
  <si>
    <t>+10% Condition Duration from dodge or Skill that evades</t>
  </si>
  <si>
    <t>Foe's Health % lower than player's</t>
  </si>
  <si>
    <t>+10% Condition Duration when foe's Health % lower than player's</t>
  </si>
  <si>
    <t>+120 Power with Sword equipped</t>
  </si>
  <si>
    <t>Player disabled foe</t>
  </si>
  <si>
    <t>+10% Condition Damage on disabling foe</t>
  </si>
  <si>
    <t>+250 Ferocity from Fury</t>
  </si>
  <si>
    <t>+Healing Power, 7% of Power</t>
  </si>
  <si>
    <t>Player in Legendary Assassin Stance</t>
  </si>
  <si>
    <t>+150 Power in Legendary Assassin Stance</t>
  </si>
  <si>
    <t>+150 Ferocity in Legendary Assassin Stance</t>
  </si>
  <si>
    <t>Player in Legendary Centaur Stance</t>
  </si>
  <si>
    <t>+150 Healing Power in Legendary Centaur Stance</t>
  </si>
  <si>
    <t>+150 Concentration in Legendary Centaur Stance</t>
  </si>
  <si>
    <t>Player in Legendary Demon Stance</t>
  </si>
  <si>
    <t>+150 Condition Damage in Legendary Demon Stance</t>
  </si>
  <si>
    <t>+150 Expertise in Legendary Demon Stance</t>
  </si>
  <si>
    <t>Player in Legendary Dwarf Stance</t>
  </si>
  <si>
    <t>+150 Toughness in Legendary Dwarf Stance</t>
  </si>
  <si>
    <t>+150 Vitality in Legendary Dwarf Stance</t>
  </si>
  <si>
    <t>Player in Legendary Entity Stance</t>
  </si>
  <si>
    <t>+75 All Stats in Legendary Entity Stance</t>
  </si>
  <si>
    <t>+10% Critical Chance</t>
  </si>
  <si>
    <t>At full Endurance</t>
  </si>
  <si>
    <t>+33% Critical Chance at full Endurance</t>
  </si>
  <si>
    <t>+10% Health</t>
  </si>
  <si>
    <t>Player above 50% Health</t>
  </si>
  <si>
    <t>+240 Power while player above 50% Health</t>
  </si>
  <si>
    <t>+240 Healing Power while player below 50% Health</t>
  </si>
  <si>
    <t>+120 Healing Power</t>
  </si>
  <si>
    <t>+25% Critical Chance from Fury</t>
  </si>
  <si>
    <t>+Power, 13% of Toughness</t>
  </si>
  <si>
    <t>Be Quick or be Killed</t>
  </si>
  <si>
    <t>+200 Power from Quickness</t>
  </si>
  <si>
    <t>+200 Precision from Quickness</t>
  </si>
  <si>
    <t>Skritt Swipe used</t>
  </si>
  <si>
    <t>+3% Condition Damage per stack on Skritt Swipe</t>
  </si>
  <si>
    <t>+80 Power</t>
  </si>
  <si>
    <t>Dagger equipped</t>
  </si>
  <si>
    <t>+80 Power with Dagger equipped</t>
  </si>
  <si>
    <t>Foe's Health 50%+</t>
  </si>
  <si>
    <t>+10% Critical Damage when foe's Health 50% or higher</t>
  </si>
  <si>
    <t>Player in or recently left Stealth</t>
  </si>
  <si>
    <t>+100% Critical Chance from Stealth</t>
  </si>
  <si>
    <t>+5% Critical Chance while player above 50% Health</t>
  </si>
  <si>
    <t>Recently dodged</t>
  </si>
  <si>
    <t>+15% Condition Damage from Dodge</t>
  </si>
  <si>
    <t>+Vitality, 7% of Power</t>
  </si>
  <si>
    <t>+Ferocity, 10% of Precision</t>
  </si>
  <si>
    <t>Player Revealed</t>
  </si>
  <si>
    <t>+120 Power from Revealed</t>
  </si>
  <si>
    <t>+Healing Power, 7% of Condition Damage</t>
  </si>
  <si>
    <t>+90 Condition Damage</t>
  </si>
  <si>
    <t>Scepter equipped</t>
  </si>
  <si>
    <t>+90 Condition Damage with Scepter equipped</t>
  </si>
  <si>
    <t>+120 Precision</t>
  </si>
  <si>
    <t>Rifle equipped</t>
  </si>
  <si>
    <t>+120 Precision with Rifle equipped</t>
  </si>
  <si>
    <t>+120 Power with Staff equipped</t>
  </si>
  <si>
    <t>Sword or underwater Spear equipped</t>
  </si>
  <si>
    <t>+120 Power with Sword or underwater Spear equipped</t>
  </si>
  <si>
    <t>+5% Critical Damage</t>
  </si>
  <si>
    <t>+2% Critical Damage while player above 50% Health</t>
  </si>
  <si>
    <t>+7% Critical Chance on hit from side or behind against Defiant foe</t>
  </si>
  <si>
    <t>+120 Expertise</t>
  </si>
  <si>
    <t>+120 Condition Damage with Sword equipped</t>
  </si>
  <si>
    <t>+Ferocity, 12% of Precision</t>
  </si>
  <si>
    <t>+Condition Damage, 15% of Power</t>
  </si>
  <si>
    <t>Berserk active</t>
  </si>
  <si>
    <t>+Ferocity, 24% of Precision from Berserk</t>
  </si>
  <si>
    <t>+Condition Damage, 30% of Power from Berserk</t>
  </si>
  <si>
    <t>Burst Skill used</t>
  </si>
  <si>
    <t>+100% Critical Chance on Burst Skill use</t>
  </si>
  <si>
    <t>+180 Condition Damage from Fury</t>
  </si>
  <si>
    <t>+300 Power from Berserk</t>
  </si>
  <si>
    <t>+300 Condition Damage from Berserk</t>
  </si>
  <si>
    <t>Critical Strike</t>
  </si>
  <si>
    <t>+120 Power on Critical Strike</t>
  </si>
  <si>
    <t>Critical Strike with Greatsword equipped</t>
  </si>
  <si>
    <t>+240 Power on Critical Strike with Greatsword equipped</t>
  </si>
  <si>
    <t>Stacking +15 Condition Damage on Critical</t>
  </si>
  <si>
    <t>+Ferocity, 10% of Power</t>
  </si>
  <si>
    <t>+250 Ferocity on Explosion hit</t>
  </si>
  <si>
    <t>+100 Concentration</t>
  </si>
  <si>
    <t>+7.5% Critical Damage</t>
  </si>
  <si>
    <t>No Boons</t>
  </si>
  <si>
    <t>+15% Critical Damage with no Boons</t>
  </si>
  <si>
    <t>Signet used</t>
  </si>
  <si>
    <t>Stacking +100 Ferocity on Signet use</t>
  </si>
  <si>
    <t>+15% Critical Chance from Berserk</t>
  </si>
  <si>
    <t>Chant of Action active</t>
  </si>
  <si>
    <t>+15% Condition Damage from Chant of Action</t>
  </si>
  <si>
    <t>Defiant foe</t>
  </si>
  <si>
    <t>+25% Critical Chance on Defiant foe</t>
  </si>
  <si>
    <t>Disabled foe</t>
  </si>
  <si>
    <t>+50% Critical Chance on disabled foe</t>
  </si>
  <si>
    <t>+Healing Power, 13% of Power</t>
  </si>
  <si>
    <t>+Expertise, 7% of Precision</t>
  </si>
  <si>
    <t>Prefixes and Attributes</t>
  </si>
  <si>
    <t>Prefixes &amp; Values</t>
  </si>
  <si>
    <t>Prefix</t>
  </si>
  <si>
    <t>Major</t>
  </si>
  <si>
    <t>Major 2</t>
  </si>
  <si>
    <t>Minor</t>
  </si>
  <si>
    <t>Minor 2</t>
  </si>
  <si>
    <t>Filtered</t>
  </si>
  <si>
    <t>Ref</t>
  </si>
  <si>
    <t>Slot</t>
  </si>
  <si>
    <t>Apothecary</t>
  </si>
  <si>
    <t>Avatar</t>
  </si>
  <si>
    <t>Bringer</t>
  </si>
  <si>
    <t>Carrion</t>
  </si>
  <si>
    <t>Cavalier</t>
  </si>
  <si>
    <t>Celestial</t>
  </si>
  <si>
    <t>All attributes Minor</t>
  </si>
  <si>
    <t>Cleric</t>
  </si>
  <si>
    <t>Commander</t>
  </si>
  <si>
    <t>Crusader</t>
  </si>
  <si>
    <t>Demolisher</t>
  </si>
  <si>
    <t>Destroyer</t>
  </si>
  <si>
    <t>Dire</t>
  </si>
  <si>
    <t>Diviner</t>
  </si>
  <si>
    <t>Dragon</t>
  </si>
  <si>
    <t>Forsaken</t>
  </si>
  <si>
    <t>Giver</t>
  </si>
  <si>
    <t>Grieving</t>
  </si>
  <si>
    <t>Harrier</t>
  </si>
  <si>
    <t>Heretic</t>
  </si>
  <si>
    <t>Knight</t>
  </si>
  <si>
    <t>Magi</t>
  </si>
  <si>
    <t>Marshal</t>
  </si>
  <si>
    <t>Minstrel</t>
  </si>
  <si>
    <t>Nomad</t>
  </si>
  <si>
    <t>Paladin</t>
  </si>
  <si>
    <t>Plaguedoctor</t>
  </si>
  <si>
    <t>Rabid</t>
  </si>
  <si>
    <t>Rampager</t>
  </si>
  <si>
    <t>Sage</t>
  </si>
  <si>
    <t>Sentinel</t>
  </si>
  <si>
    <t>Seraph</t>
  </si>
  <si>
    <t>Settler</t>
  </si>
  <si>
    <t>Shaman</t>
  </si>
  <si>
    <t>Sinister</t>
  </si>
  <si>
    <t>Soldier</t>
  </si>
  <si>
    <t>Swashbuckler</t>
  </si>
  <si>
    <t>Trailblazer</t>
  </si>
  <si>
    <t>Tyrant</t>
  </si>
  <si>
    <t>Valkyrie</t>
  </si>
  <si>
    <t>Vigilant</t>
  </si>
  <si>
    <t>Viper</t>
  </si>
  <si>
    <t>Wanderer</t>
  </si>
  <si>
    <t>Wizard</t>
  </si>
  <si>
    <t>Zealot</t>
  </si>
  <si>
    <t>Agate</t>
  </si>
  <si>
    <t>Ambrite</t>
  </si>
  <si>
    <t>Azurite</t>
  </si>
  <si>
    <t>Beryl</t>
  </si>
  <si>
    <t>Black Diamond</t>
  </si>
  <si>
    <t>Burl</t>
  </si>
  <si>
    <t>Charged Ambrite</t>
  </si>
  <si>
    <t>Charged Quartz</t>
  </si>
  <si>
    <t>Coral</t>
  </si>
  <si>
    <t>Ebony</t>
  </si>
  <si>
    <t>Emerald</t>
  </si>
  <si>
    <t>Flax Blossom</t>
  </si>
  <si>
    <t>Freshwater Pearl</t>
  </si>
  <si>
    <t>Jade</t>
  </si>
  <si>
    <t>Maguuma Lily</t>
  </si>
  <si>
    <t>Moonstone</t>
  </si>
  <si>
    <t>Opal</t>
  </si>
  <si>
    <t>Passiflora</t>
  </si>
  <si>
    <t>Polished-Resin</t>
  </si>
  <si>
    <t>Ruby</t>
  </si>
  <si>
    <t>Sapphire</t>
  </si>
  <si>
    <t>Snowflake</t>
  </si>
  <si>
    <t>Sprocket</t>
  </si>
  <si>
    <t>Serpentite</t>
  </si>
  <si>
    <t>Bonus 1</t>
  </si>
  <si>
    <t>Bonus 2</t>
  </si>
  <si>
    <t>Bonus 3</t>
  </si>
  <si>
    <t>Bonus 4</t>
  </si>
  <si>
    <t>Bonus 5</t>
  </si>
  <si>
    <t>Bonus 6</t>
  </si>
  <si>
    <t>Superior Rune of Fireworks</t>
  </si>
  <si>
    <t>Superior Rune of Surging</t>
  </si>
  <si>
    <t>Movement Speed</t>
  </si>
  <si>
    <t>Superior Rune of the Citadel</t>
  </si>
  <si>
    <t>Fury Duration</t>
  </si>
  <si>
    <t>Might Duration</t>
  </si>
  <si>
    <t>Superior Rune of the Privateer</t>
  </si>
  <si>
    <t>Superior Rune of Hoelbrak</t>
  </si>
  <si>
    <t>Incoming Condition Duration</t>
  </si>
  <si>
    <t>Superior Rune of the Fire</t>
  </si>
  <si>
    <t>Burning Duration</t>
  </si>
  <si>
    <t>Superior Rune of the Centaur</t>
  </si>
  <si>
    <t>Swiftness Duration</t>
  </si>
  <si>
    <t>Superior Rune of the Mad King</t>
  </si>
  <si>
    <t>Bleeding Duration</t>
  </si>
  <si>
    <t>Superior Rune of the Flame Legion</t>
  </si>
  <si>
    <t>Superior Rune of the Baelfire</t>
  </si>
  <si>
    <t>Superior Rune of the Elementalist</t>
  </si>
  <si>
    <t>Superior Rune of the Scholar</t>
  </si>
  <si>
    <t>Superior Rune of the Deadeye</t>
  </si>
  <si>
    <t>Superior Rune of the Ogre</t>
  </si>
  <si>
    <t>Superior Rune of Infiltration</t>
  </si>
  <si>
    <t>Superior Rune of the Spellbreaker</t>
  </si>
  <si>
    <t>Superior Rune of the Mesmer</t>
  </si>
  <si>
    <t>Daze Duration</t>
  </si>
  <si>
    <t>Superior Rune of the Chronomancer</t>
  </si>
  <si>
    <t>Superior Rune of the Reaper</t>
  </si>
  <si>
    <t>Superior Rune of the Daredevil</t>
  </si>
  <si>
    <t>Superior Rune of the Scrapper</t>
  </si>
  <si>
    <t>Superior Rune of the Brawler</t>
  </si>
  <si>
    <t>Superior Rune of the Cavalier</t>
  </si>
  <si>
    <t>Superior Rune of Vampirism</t>
  </si>
  <si>
    <t>Superior Rune of the Holosmith</t>
  </si>
  <si>
    <t>Superior Rune of Lyssa</t>
  </si>
  <si>
    <t>Superior Rune of Rata Sum</t>
  </si>
  <si>
    <t>Poison Duration</t>
  </si>
  <si>
    <t>Weakness Duration</t>
  </si>
  <si>
    <t>Superior Rune of the Thief</t>
  </si>
  <si>
    <t>Superior Rune of the Eagle</t>
  </si>
  <si>
    <t>Superior Rune of the Ranger</t>
  </si>
  <si>
    <t>Superior Rune of the Herald</t>
  </si>
  <si>
    <t>Superior Rune of Durability</t>
  </si>
  <si>
    <t>Superior Rune of the Earth</t>
  </si>
  <si>
    <t>Protection Duration</t>
  </si>
  <si>
    <t>Superior Rune of Svanir</t>
  </si>
  <si>
    <t>Chill Duration</t>
  </si>
  <si>
    <t>Incoming Chill Duration</t>
  </si>
  <si>
    <t>Superior Rune of the Forgeman</t>
  </si>
  <si>
    <t>Superior Rune of the Engineer</t>
  </si>
  <si>
    <t>Superior Rune of Melandru</t>
  </si>
  <si>
    <t>Superior Rune of the Dolyak</t>
  </si>
  <si>
    <t>Superior Rune of Mercy</t>
  </si>
  <si>
    <t>Superior Rune of the Defender</t>
  </si>
  <si>
    <t>Superior Rune of the Guardian</t>
  </si>
  <si>
    <t>Superior Rune of Resistance</t>
  </si>
  <si>
    <t>Superior Rune of Snowfall</t>
  </si>
  <si>
    <t>Superior Rune of Sanctuary</t>
  </si>
  <si>
    <t>Superior Rune of Radiance</t>
  </si>
  <si>
    <t>Superior Rune of Speed</t>
  </si>
  <si>
    <t>Superior Rune of the Lich</t>
  </si>
  <si>
    <t>Superior Rune of the Ice</t>
  </si>
  <si>
    <t>Superior Rune of the Wurm</t>
  </si>
  <si>
    <t>Superior Rune of the Warrior</t>
  </si>
  <si>
    <t>Superior Rune of the Trooper</t>
  </si>
  <si>
    <t>Superior Rune of Exuberance</t>
  </si>
  <si>
    <t>Superior Rune of the Aristocracy</t>
  </si>
  <si>
    <t>Superior Rune of the Firebrand</t>
  </si>
  <si>
    <t>Quickness Duration</t>
  </si>
  <si>
    <t>Superior Rune of the Trapper</t>
  </si>
  <si>
    <t>Superior Rune of the Nightmare</t>
  </si>
  <si>
    <t>Fear Duration</t>
  </si>
  <si>
    <t>Superior Rune of the Krait</t>
  </si>
  <si>
    <t>Superior Rune of Balthazar</t>
  </si>
  <si>
    <t>Superior Rune of Grenth</t>
  </si>
  <si>
    <t>Superior Rune of Perplexity</t>
  </si>
  <si>
    <t>Confusion Duration</t>
  </si>
  <si>
    <t>Superior Rune of Thorns</t>
  </si>
  <si>
    <t>Superior Rune of the Afflicted</t>
  </si>
  <si>
    <t>Superior Rune of Tormenting</t>
  </si>
  <si>
    <t>Torment Duration</t>
  </si>
  <si>
    <t>Torment duration</t>
  </si>
  <si>
    <t>Superior Rune of the Renegade</t>
  </si>
  <si>
    <t>Superior Rune of the Berserker</t>
  </si>
  <si>
    <t>Superior Rune of the Soulbeast</t>
  </si>
  <si>
    <t>Superior Rune of the Adventurer</t>
  </si>
  <si>
    <t>Superior Rune of the Undead</t>
  </si>
  <si>
    <t>Superior Rune of the Mirage</t>
  </si>
  <si>
    <t>Superior Rune of the Necromancer</t>
  </si>
  <si>
    <t>Superior Rune of Scavenging</t>
  </si>
  <si>
    <t>Superior Rune of Antitoxin</t>
  </si>
  <si>
    <t>Superior Rune of the Sunless</t>
  </si>
  <si>
    <t>Superior Rune of Orr</t>
  </si>
  <si>
    <t>Superior Rune of Rage</t>
  </si>
  <si>
    <t>Superior Rune of the Air</t>
  </si>
  <si>
    <t>Superior Rune of Evasion</t>
  </si>
  <si>
    <t>Superior Rune of the Dragonhunter</t>
  </si>
  <si>
    <t>Superior Rune of the Golemancer</t>
  </si>
  <si>
    <t>Superior Rune of the Rebirth</t>
  </si>
  <si>
    <t>Superior Rune of Altruism</t>
  </si>
  <si>
    <t>Superior Rune of the Monk</t>
  </si>
  <si>
    <t>Superior Rune of the Water</t>
  </si>
  <si>
    <t>Superior Rune of the Grove</t>
  </si>
  <si>
    <t>Superior Rune of Dwayna</t>
  </si>
  <si>
    <t>Regeneration Duration</t>
  </si>
  <si>
    <t>Superior Rune of the Scourge</t>
  </si>
  <si>
    <t>Superior Rune of the Druid</t>
  </si>
  <si>
    <t>Superior Rune of the Flock</t>
  </si>
  <si>
    <t>Superior Rune of Nature's Bounty</t>
  </si>
  <si>
    <t>Superior Rune of the Traveler</t>
  </si>
  <si>
    <t>to All Stats</t>
  </si>
  <si>
    <t>Superior Rune of Leadership</t>
  </si>
  <si>
    <t>Superior Rune of the Tempest</t>
  </si>
  <si>
    <t>Superior Rune of the Weaver</t>
  </si>
  <si>
    <t>Superior Rune of Divinity</t>
  </si>
  <si>
    <t>Superior Rune of the Revenant</t>
  </si>
  <si>
    <t>Superior Rune of the Zephyrite</t>
  </si>
  <si>
    <t>Superior Rune of the Stars</t>
  </si>
  <si>
    <t>Incoming Weakness Duration</t>
  </si>
  <si>
    <t>Incoming Chill and Cripple Duration</t>
  </si>
  <si>
    <t>Major 1</t>
  </si>
  <si>
    <t>Minor 1</t>
  </si>
  <si>
    <t>Signet</t>
  </si>
  <si>
    <t>Signet Check</t>
  </si>
  <si>
    <t>Bane Signet</t>
  </si>
  <si>
    <t>Signet of Mercy</t>
  </si>
  <si>
    <t>Signet of Wrath</t>
  </si>
  <si>
    <t>Signet of Fury</t>
  </si>
  <si>
    <t>Signet of Might</t>
  </si>
  <si>
    <t>Signet of Stone</t>
  </si>
  <si>
    <t>Signet of the Wild</t>
  </si>
  <si>
    <t>Assassin's Signet</t>
  </si>
  <si>
    <t>Signet of Agility</t>
  </si>
  <si>
    <t>Signet of Fire</t>
  </si>
  <si>
    <t>Signet of Domination</t>
  </si>
  <si>
    <t>Signet of Spite</t>
  </si>
  <si>
    <t>Passive</t>
  </si>
  <si>
    <t>Active</t>
  </si>
  <si>
    <t>Signet of Resolve</t>
  </si>
  <si>
    <t>Remove a condition from yourself every few seconds.</t>
  </si>
  <si>
    <t>Heal yourself and remove conditions.</t>
  </si>
  <si>
    <t>Improved Power</t>
  </si>
  <si>
    <t>Knock down and damage your foe.</t>
  </si>
  <si>
    <t>Signet of Judgment</t>
  </si>
  <si>
    <t>Reduces all incoming damage.</t>
  </si>
  <si>
    <t>Grant resolution and protection to nearby allies while debilitating nearby enemies.</t>
  </si>
  <si>
    <t>Improves concentration.</t>
  </si>
  <si>
    <t>Revive a nearby downed ally.</t>
  </si>
  <si>
    <t>Grants you increased condition damage.</t>
  </si>
  <si>
    <t>Immobilize and burn your target.</t>
  </si>
  <si>
    <t>Signet of Courage</t>
  </si>
  <si>
    <t>Periodically heal allies in an area around you while in combat.</t>
  </si>
  <si>
    <t>Channel healing and boons in a large area around you, concluding with a large heal if this skill is not interrupted.</t>
  </si>
  <si>
    <t>Healing Signet</t>
  </si>
  <si>
    <t>Regenerate health.</t>
  </si>
  <si>
    <t>Heal yourself, and grant yourself resistance.</t>
  </si>
  <si>
    <t>Dolyak Signet</t>
  </si>
  <si>
    <t>Reduces incoming damage.</t>
  </si>
  <si>
    <t>Heal yourself and gain stability.</t>
  </si>
  <si>
    <t>Improves precision.</t>
  </si>
  <si>
    <t>Gain adrenaline and improve your precision and ferocity.</t>
  </si>
  <si>
    <t>Improves power.</t>
  </si>
  <si>
    <t>Attacks are unblockable and you gain might.</t>
  </si>
  <si>
    <t>Signet of Stamina</t>
  </si>
  <si>
    <t>Faster endurance regeneration.</t>
  </si>
  <si>
    <t>Cure all conditions and gain endurance. Gain additional endurance for each condition cured.</t>
  </si>
  <si>
    <t>Signet of Rage</t>
  </si>
  <si>
    <t>Grants adrenaline while in combat.</t>
  </si>
  <si>
    <t>Gain fury, might, and swiftness.</t>
  </si>
  <si>
    <t>Rectifier Signet</t>
  </si>
  <si>
    <t>Heal yourself and your mech every second.</t>
  </si>
  <si>
    <t>Heal yourself and your mech.</t>
  </si>
  <si>
    <t>Barrier Signet</t>
  </si>
  <si>
    <t>Incoming strike and condition damage is reduced.</t>
  </si>
  <si>
    <t>Create a projectile-blocking dome around yourself. You and allies inside the dome gain barrier every second. If your mech is active, the dome is centered on it and is larger.The mech does not count against the target count for this skill.</t>
  </si>
  <si>
    <t>Force Signet</t>
  </si>
  <si>
    <t>Increases strike damage dealt.</t>
  </si>
  <si>
    <t>Knock foes away from yourself and away from your mech.</t>
  </si>
  <si>
    <t>Shift Signet</t>
  </si>
  <si>
    <t>Increases movement speed. Boons you gain are copied to your mech.</t>
  </si>
  <si>
    <t>You and your mech Shadowstep to the target location. Removes conditions on you and your mech.</t>
  </si>
  <si>
    <t>Increases condition damage dealt.</t>
  </si>
  <si>
    <t>Creates a damaging field around you that applies conditions to nearby foes. If your mech is active, the field instead radiates from and follows the mech.</t>
  </si>
  <si>
    <t>Overclock Signet</t>
  </si>
  <si>
    <t>Reduces recharge of other signets.</t>
  </si>
  <si>
    <t>Order your mech to fire its ultimate weapon, the jade buster cannon. If your mech is not present, instead your mech is summoned, even if Crash Down is on cooldown.</t>
  </si>
  <si>
    <t>Signet of Renewal</t>
  </si>
  <si>
    <t>You and your pet recover health.</t>
  </si>
  <si>
    <t>Grant resistance and resolution to your pet; it pulls conditions from nearby allies to itself.</t>
  </si>
  <si>
    <t>Improves toughness for you and your pet.</t>
  </si>
  <si>
    <t>You and your pet take no damage from attacks. You and your pet are still susceptible to conditions and control effects.</t>
  </si>
  <si>
    <t>Signet of the Hunt</t>
  </si>
  <si>
    <t>Grants 25% increased movement speed to you and your pet.</t>
  </si>
  <si>
    <t>Attacks from you and your pet become unblockable, and you both gain superspeed.</t>
  </si>
  <si>
    <t>Increases the ferocity of you and your pet.</t>
  </si>
  <si>
    <t>Tap into the land to root foes around you.</t>
  </si>
  <si>
    <t>Signet of Malice</t>
  </si>
  <si>
    <t>Heals when you attack.</t>
  </si>
  <si>
    <t>Gain health.</t>
  </si>
  <si>
    <t>Grants increased power.</t>
  </si>
  <si>
    <t>Power is massively increased for a short duration.</t>
  </si>
  <si>
    <t>Infiltrator's Signet</t>
  </si>
  <si>
    <t>Regenerates one extra initiative every ten seconds.</t>
  </si>
  <si>
    <t>Shadowstep to your foe.</t>
  </si>
  <si>
    <t>Grants increased precision.</t>
  </si>
  <si>
    <t>Refill endurance and cleanse conditions from nearby allies.</t>
  </si>
  <si>
    <t>Signet of Shadows</t>
  </si>
  <si>
    <t>Grants a 25% increase in movement speed.</t>
  </si>
  <si>
    <t>Apply conditions to foes near your target and gain dark aura.</t>
  </si>
  <si>
    <t>Signet of Restoration</t>
  </si>
  <si>
    <t>Grants health every time you cast a spell.</t>
  </si>
  <si>
    <t>Heal yourself.</t>
  </si>
  <si>
    <t>Signet of Air</t>
  </si>
  <si>
    <t>Blind your target and nearby foes.</t>
  </si>
  <si>
    <t>Signet of Earth</t>
  </si>
  <si>
    <t>Improves toughness.</t>
  </si>
  <si>
    <t>Immobilize and bleed your foe.</t>
  </si>
  <si>
    <t>Improves critical chance.</t>
  </si>
  <si>
    <t>Burn your target and nearby foes.</t>
  </si>
  <si>
    <t>Signet of Water</t>
  </si>
  <si>
    <t>Reduces incoming condition duration.</t>
  </si>
  <si>
    <t>Damage and chill foes while healing and reviving allies in an area.</t>
  </si>
  <si>
    <t>Signet of the Ether</t>
  </si>
  <si>
    <t>Heal yourself whenever you summon an illusion.</t>
  </si>
  <si>
    <t>Heal yourself and reduce the recharge of phantasm skills.Virtuoso: Passive triggers when stocking a blade.</t>
  </si>
  <si>
    <t>Improved condition damage.</t>
  </si>
  <si>
    <t>Stun your foe.</t>
  </si>
  <si>
    <t>Signet of Illusions</t>
  </si>
  <si>
    <t>Creates a clone every few seconds.</t>
  </si>
  <si>
    <t>Recharges shatter skills.</t>
  </si>
  <si>
    <t>Signet of Inspiration</t>
  </si>
  <si>
    <t>Grant swiftness and an additional random boon every ten seconds.</t>
  </si>
  <si>
    <t>Extends the duration of all boons on yourself.</t>
  </si>
  <si>
    <t>Improves expertise.</t>
  </si>
  <si>
    <t>Blind nearby foes and stealth yourself.</t>
  </si>
  <si>
    <t>Signet of Humility</t>
  </si>
  <si>
    <t>Reduces duration of incoming stuns, dazes, fears, and taunts.</t>
  </si>
  <si>
    <t>Transform your foe into a moa bird.(Defiant foes will have their defiant bar reduced instead.)</t>
  </si>
  <si>
    <t>Signet of Vampirism</t>
  </si>
  <si>
    <t>Steal health from nearby foes while in combat.</t>
  </si>
  <si>
    <t>Heal yourself and mark a foe. Allied players will siphon life from the marked enemy.</t>
  </si>
  <si>
    <t>Plague Signet</t>
  </si>
  <si>
    <t>Reduce incoming condition damage.</t>
  </si>
  <si>
    <t>Send your conditions to a foe.</t>
  </si>
  <si>
    <t>Inflict bleeding, blindness, crippled, poison, vulnerability, and weakness on your foe.</t>
  </si>
  <si>
    <t>Signet of Undeath</t>
  </si>
  <si>
    <t>Generates life force while in combat.</t>
  </si>
  <si>
    <t>Sacrifice health to revive one downed ally in a target area.</t>
  </si>
  <si>
    <t>Signet of the Locust</t>
  </si>
  <si>
    <t>Your movement speed is increased.</t>
  </si>
  <si>
    <t>Strike and remove boons from nearby foes. Heal for each foe you strike and for each boon removed.</t>
  </si>
  <si>
    <t>Rice Ball</t>
  </si>
  <si>
    <t>Grilled Steak</t>
  </si>
  <si>
    <t>Eda's Apple Pie</t>
  </si>
  <si>
    <t>Pickled Wurm Egg</t>
  </si>
  <si>
    <t>Bowl of Cold Wurm Stew</t>
  </si>
  <si>
    <t>Spicy Flank Steak</t>
  </si>
  <si>
    <t>Bowl of Sharkfin Soup</t>
  </si>
  <si>
    <t>Bowl of Watery Mushroom Soup</t>
  </si>
  <si>
    <t>Warden Ration</t>
  </si>
  <si>
    <t>Roasted Meaty Sandwich</t>
  </si>
  <si>
    <t>Pepper Steak</t>
  </si>
  <si>
    <t>Stick of Mystery Meat</t>
  </si>
  <si>
    <t>Blessing Of Bear</t>
  </si>
  <si>
    <t>Drottot's Poached Egg</t>
  </si>
  <si>
    <t>Plate of Jerk Poultry</t>
  </si>
  <si>
    <t>Filet of Sesame-Roasted Meat</t>
  </si>
  <si>
    <t>Griffon Egg Omelet</t>
  </si>
  <si>
    <t>Plate of Coriander Crusted Meat</t>
  </si>
  <si>
    <t>Plate of Steak and Asparagus</t>
  </si>
  <si>
    <t>Can of Steak and Asparagus</t>
  </si>
  <si>
    <t>Plate of Truffle Steak</t>
  </si>
  <si>
    <t>Steak with Winterberry Sauce</t>
  </si>
  <si>
    <t>Spicy Marinated Mushroom</t>
  </si>
  <si>
    <t>Crunchy Grasshopper</t>
  </si>
  <si>
    <t>Filet of Rosemary-Roasted Meat</t>
  </si>
  <si>
    <t>Plate of Roast Meat with Mint Sauce</t>
  </si>
  <si>
    <t>Can of Roasted Meat with Braised Leeks</t>
  </si>
  <si>
    <t>Plate of Roast Meat with Braised Leeks</t>
  </si>
  <si>
    <t>Plate of Orrian Steak Frittes</t>
  </si>
  <si>
    <t>Spicy Lime Steak</t>
  </si>
  <si>
    <t>Plate of Citrus Clove Meat</t>
  </si>
  <si>
    <t>Spicier Flank Steak</t>
  </si>
  <si>
    <t>Canned Spicier Flank Steak</t>
  </si>
  <si>
    <t>Plate of Fire Flank Steak</t>
  </si>
  <si>
    <t>Bowl of Marjory's Experimental Chili</t>
  </si>
  <si>
    <t>Avocado Smoothie</t>
  </si>
  <si>
    <t>Bowl of Sweet and Spicy Butternut Squash Soup</t>
  </si>
  <si>
    <t>Plate of Spicy Moa Wings</t>
  </si>
  <si>
    <t>Bowl of Passion Fruit Tapioca Pudding</t>
  </si>
  <si>
    <t>Kodan Incense</t>
  </si>
  <si>
    <t>Bowl of Vegetable Stock</t>
  </si>
  <si>
    <t>Bowl of Simple Vegetable Soup</t>
  </si>
  <si>
    <t>Bowl of Tomato Soup</t>
  </si>
  <si>
    <t>Bowl of Ice Wurm Bisque</t>
  </si>
  <si>
    <t>Bowl of Beet and Bean Stew</t>
  </si>
  <si>
    <t>Bowl of Sawgill Mushroom Risotto</t>
  </si>
  <si>
    <t>Bowl of Herbed Vegetable Stock</t>
  </si>
  <si>
    <t>Bowl of Kale Soup</t>
  </si>
  <si>
    <t>Bowl of Chickpea Soup</t>
  </si>
  <si>
    <t>Slice of Ice Worm Sashimi</t>
  </si>
  <si>
    <t>Can of Artichoke Soup</t>
  </si>
  <si>
    <t>Bowl of Artichoke Soup</t>
  </si>
  <si>
    <t>Bowl of Curry Pumpkin Soup</t>
  </si>
  <si>
    <t>Bowl of Yam Soup</t>
  </si>
  <si>
    <t>Bowl of Pumpkin Bisque</t>
  </si>
  <si>
    <t>Bowl of Potato and Leek Soup</t>
  </si>
  <si>
    <t>Can of Potato and Leek Soup</t>
  </si>
  <si>
    <t>Bowl of Fancy Potato and Leek Soup</t>
  </si>
  <si>
    <t>Bowl of Skalefin Soup</t>
  </si>
  <si>
    <t>Bowl of Tomato Zucchini Soup</t>
  </si>
  <si>
    <t>Bowl of Cauliflower Soup</t>
  </si>
  <si>
    <t>Minotaur Steak</t>
  </si>
  <si>
    <t>Bowl of Butternut Squash Soup</t>
  </si>
  <si>
    <t>Can of Butternut Squash Soup</t>
  </si>
  <si>
    <t>Bowl of Curry Butternut Squash Soup</t>
  </si>
  <si>
    <t>Poached Salmon Filet</t>
  </si>
  <si>
    <t>Blueberry Muffin</t>
  </si>
  <si>
    <t>Blackened Fish Steak</t>
  </si>
  <si>
    <t>Passion Fruit SoufflÃ©</t>
  </si>
  <si>
    <t>Plate of Pasta with Tomato Sauce</t>
  </si>
  <si>
    <t>Meatball</t>
  </si>
  <si>
    <t>Meatball Dinner</t>
  </si>
  <si>
    <t>Bowl of Grilled Bananas with Passion Fruit Sauce</t>
  </si>
  <si>
    <t>Plate of Spicy Herbed Chicken</t>
  </si>
  <si>
    <t>Boiled Crawdad</t>
  </si>
  <si>
    <t>Bowl of Gladiator Gruel</t>
  </si>
  <si>
    <t>Bowl of Krytan Meatball Dinner</t>
  </si>
  <si>
    <t>Blessing of Azantil</t>
  </si>
  <si>
    <t>Bowl of Pesto Pasta Salad</t>
  </si>
  <si>
    <t>Can of Poultry Tarragon Pasta</t>
  </si>
  <si>
    <t>Bowl of Poultry Tarragon Pasta</t>
  </si>
  <si>
    <t>Bowl of Truffle Ravioli</t>
  </si>
  <si>
    <t>Plate of Frostgorge Clams</t>
  </si>
  <si>
    <t>Bowl of Salad a la Consortium</t>
  </si>
  <si>
    <t>Passion Fruit Coconut Cookie</t>
  </si>
  <si>
    <t>Canned Stuffed Artichoke with Tropical Dressing</t>
  </si>
  <si>
    <t>Stuffed Artichoke with Tropical Dressing</t>
  </si>
  <si>
    <t>Bowl of Tropical Mousse</t>
  </si>
  <si>
    <t>Bowl of Chocolate Tapioca Pudding</t>
  </si>
  <si>
    <t>Bowl of Refugee's Beet Soup</t>
  </si>
  <si>
    <t>Grumble Cake</t>
  </si>
  <si>
    <t>Loaf of Bread</t>
  </si>
  <si>
    <t>Buttermilk Biscuit</t>
  </si>
  <si>
    <t>Handful of Bjarni's Rabbit Food</t>
  </si>
  <si>
    <t>Cinnamon Pinwheel</t>
  </si>
  <si>
    <t>Fried Banana Chips</t>
  </si>
  <si>
    <t>Pact Ration</t>
  </si>
  <si>
    <t>Order of Whispers Rations</t>
  </si>
  <si>
    <t>Priory Rations</t>
  </si>
  <si>
    <t>Vigil Rations</t>
  </si>
  <si>
    <t>Loaf of Travelers Bread</t>
  </si>
  <si>
    <t>Bowl of Dolyak Stew</t>
  </si>
  <si>
    <t>Loaf of Banana Bread</t>
  </si>
  <si>
    <t>Loaf of Walnut Sticky Bread</t>
  </si>
  <si>
    <t>Curry Bun</t>
  </si>
  <si>
    <t>Flatbread</t>
  </si>
  <si>
    <t>Mushroom Loaf</t>
  </si>
  <si>
    <t>Loaf of Zucchini Bread</t>
  </si>
  <si>
    <t>Red Bean Cake</t>
  </si>
  <si>
    <t>Slice of Pumpkin Bread</t>
  </si>
  <si>
    <t>Loaf of Raspberry Peach Bread</t>
  </si>
  <si>
    <t>Can of Raspberry Peach Bread</t>
  </si>
  <si>
    <t>Loaf of Omnomberry Bread</t>
  </si>
  <si>
    <t>Bowl of Zesty Turnip Soup</t>
  </si>
  <si>
    <t>Soul Pastry</t>
  </si>
  <si>
    <t>Loaf of Candy Cactus Cornbread</t>
  </si>
  <si>
    <t>Bowl of Nopalitos SautÃ©</t>
  </si>
  <si>
    <t>Plate of Eggs Benedict</t>
  </si>
  <si>
    <t>Bowl of Green Chile Ice Cream</t>
  </si>
  <si>
    <t>Bowl of Carne Khan Chili</t>
  </si>
  <si>
    <t>Bowl of Firebreather Chili</t>
  </si>
  <si>
    <t>Grilled Mushroom</t>
  </si>
  <si>
    <t>Peeled Spikeroot Fruit</t>
  </si>
  <si>
    <t>Seared Beef Steak</t>
  </si>
  <si>
    <t>Jar of Juniberry Jam</t>
  </si>
  <si>
    <t>Veggie Burger</t>
  </si>
  <si>
    <t>Grilled Portobello Mushroom</t>
  </si>
  <si>
    <t>Bowl of Mushroom Risotto</t>
  </si>
  <si>
    <t>Can of Mushroom and Asparagus Risotto</t>
  </si>
  <si>
    <t>Bowl of Mushroom and Asparagus Risotto</t>
  </si>
  <si>
    <t>Bowl of Truffle Risotto</t>
  </si>
  <si>
    <t>Bowl of Creamy Portobello Soup</t>
  </si>
  <si>
    <t>Crab Food</t>
  </si>
  <si>
    <t>Bowl of Fancy Creamy Mushroom Soup</t>
  </si>
  <si>
    <t>Can of Snow Truffle Soup</t>
  </si>
  <si>
    <t>Bowl of Snow Truffle Soup</t>
  </si>
  <si>
    <t>Bowl of Orrian Truffle Soup</t>
  </si>
  <si>
    <t>Plate of Beef Rendang</t>
  </si>
  <si>
    <t>Bowl of Prickly Pear Tapioca Pudding</t>
  </si>
  <si>
    <t>Crunchy Firefly Snack</t>
  </si>
  <si>
    <t>Petri Dish Delight</t>
  </si>
  <si>
    <t>Cheese Pizza</t>
  </si>
  <si>
    <t>Veggie Pizza</t>
  </si>
  <si>
    <t>Prickly Pear Stuffed Nopal</t>
  </si>
  <si>
    <t>Bowl of Sweet and Spicy Beans</t>
  </si>
  <si>
    <t>Mushroom Pizza</t>
  </si>
  <si>
    <t>Blood Orange</t>
  </si>
  <si>
    <t>Fancy Veggie Pizza</t>
  </si>
  <si>
    <t>Bowl of Fly Soup</t>
  </si>
  <si>
    <t>Super Veggie Pizza</t>
  </si>
  <si>
    <t>Koi Cake</t>
  </si>
  <si>
    <t>Rare Veggie Pizza</t>
  </si>
  <si>
    <t>Bowl of Garlic Kale Sautee</t>
  </si>
  <si>
    <t>Red-Lentil Saobosa</t>
  </si>
  <si>
    <t>Prickly Pear Pie</t>
  </si>
  <si>
    <t>Bowl of Cactus Fruit Salad</t>
  </si>
  <si>
    <t>Bowl of "Elon Red"</t>
  </si>
  <si>
    <t>Drake Steak</t>
  </si>
  <si>
    <t>Flaming Fire Flakes</t>
  </si>
  <si>
    <t>Bowl of Meaty Wurm Surprise</t>
  </si>
  <si>
    <t>Bowl of Green Bean Stew</t>
  </si>
  <si>
    <t>Bowl of Simple Meat Chili</t>
  </si>
  <si>
    <t>Bowl of Meat and Bean Chili</t>
  </si>
  <si>
    <t>Bowl of Chili and Avocado</t>
  </si>
  <si>
    <t>Bowl of Spiced Meat Chili</t>
  </si>
  <si>
    <t>Can of Spicy Meat Chili</t>
  </si>
  <si>
    <t>Bowl of Spicy Meat Chili</t>
  </si>
  <si>
    <t>Bowl of Fire Meat Chili</t>
  </si>
  <si>
    <t>Fishy Rice Bowl</t>
  </si>
  <si>
    <t>White Cake</t>
  </si>
  <si>
    <t>Chocolate Cake</t>
  </si>
  <si>
    <t>Chocolate Cherry Cake</t>
  </si>
  <si>
    <t>Orange Cake</t>
  </si>
  <si>
    <t>Orange Coconut Cake</t>
  </si>
  <si>
    <t>Canned Chocolate Raspberry Cake</t>
  </si>
  <si>
    <t>Chocolate Raspberry Cake</t>
  </si>
  <si>
    <t>Chocolate Omnomberry Cake</t>
  </si>
  <si>
    <t>Hamburger</t>
  </si>
  <si>
    <t>Cheeseburger</t>
  </si>
  <si>
    <t>Spinach Burger</t>
  </si>
  <si>
    <t>Deluxe Burger</t>
  </si>
  <si>
    <t>Horseradish Burger</t>
  </si>
  <si>
    <t>Boxed Spicy Cheeseburger</t>
  </si>
  <si>
    <t>Spicy Cheeseburger</t>
  </si>
  <si>
    <t>Fancy Truffle Burger</t>
  </si>
  <si>
    <t>Bowl of Kimchi Tofu Stew</t>
  </si>
  <si>
    <t>Meaty Asparagus Skewer</t>
  </si>
  <si>
    <t>Meaty Rice Bowl</t>
  </si>
  <si>
    <t>Plate of Kimchi Pancakes</t>
  </si>
  <si>
    <t>Bowl of Basic Vegetable Soup</t>
  </si>
  <si>
    <t>Bowl of Simple Bean Chili</t>
  </si>
  <si>
    <t>Bowl of Fancy Bean Chili</t>
  </si>
  <si>
    <t>Bowl of Zucchini Chili</t>
  </si>
  <si>
    <t>Bowl of Degun Shun Stew</t>
  </si>
  <si>
    <t>Bowl of Spiced Veggie Chili</t>
  </si>
  <si>
    <t>Bowl of Spicy Veggie Chili</t>
  </si>
  <si>
    <t>Bowl of Fire Veggie Chili</t>
  </si>
  <si>
    <t>Bowl of Prickly Pear Sorbet</t>
  </si>
  <si>
    <t>Winterberry Sorbet</t>
  </si>
  <si>
    <t>Plate of Roasted Cactus</t>
  </si>
  <si>
    <t>Prototype Nutriment</t>
  </si>
  <si>
    <t>Blueberry Cookie</t>
  </si>
  <si>
    <t>Sugar Cookie</t>
  </si>
  <si>
    <t>Apple Passion Fruit Pie</t>
  </si>
  <si>
    <t>Delicious Cave Spore</t>
  </si>
  <si>
    <t>Strawberry Cookie</t>
  </si>
  <si>
    <t>Bowl of Front Line Stew</t>
  </si>
  <si>
    <t>Prismatic Soylent</t>
  </si>
  <si>
    <t>Passion Fruit Bar</t>
  </si>
  <si>
    <t>Delicious Rice Ball</t>
  </si>
  <si>
    <t>Chocolate Chip Cookie</t>
  </si>
  <si>
    <t>Murrellow Stimulant Snack</t>
  </si>
  <si>
    <t>Candy Corn Cookie</t>
  </si>
  <si>
    <t>Chocolate Mint Cookie</t>
  </si>
  <si>
    <t>Chocolate Raspberry Cookie</t>
  </si>
  <si>
    <t>Glazed Chocolate Raspberry Cookie</t>
  </si>
  <si>
    <t>Boxed Chocolate Raspberry Cookie</t>
  </si>
  <si>
    <t>Spicy Chocolate Cookie</t>
  </si>
  <si>
    <t>Honeypot Ant</t>
  </si>
  <si>
    <t>Cherry Cookie</t>
  </si>
  <si>
    <t>Blackberry Cookie</t>
  </si>
  <si>
    <t>Peach Cookie</t>
  </si>
  <si>
    <t>Boxed Peach Cookie</t>
  </si>
  <si>
    <t>Omnomberry Cookie</t>
  </si>
  <si>
    <t>Gummy Wurms</t>
  </si>
  <si>
    <t>Cherry Passion Fruit Cake</t>
  </si>
  <si>
    <t>Orange Passion Fruit Tart</t>
  </si>
  <si>
    <t>Canned Raspberry Passion Fruit Compote</t>
  </si>
  <si>
    <t>Raspberry Passion Fruit Compote</t>
  </si>
  <si>
    <t>Bowl of Tropical Fruit Salad</t>
  </si>
  <si>
    <t>Bowl of Poultry Satay</t>
  </si>
  <si>
    <t>Bowl of Poultry Stock</t>
  </si>
  <si>
    <t>Roasted Aloe Seed</t>
  </si>
  <si>
    <t>Bowl of Poultry Noodle Soup</t>
  </si>
  <si>
    <t>Bowl of Kraitweed Salad</t>
  </si>
  <si>
    <t>Bowl of Savory Spinach and Poultry Soup</t>
  </si>
  <si>
    <t>Bowl of Herbed Poultry Stock</t>
  </si>
  <si>
    <t>Bowl of Kale and Poultry Soup</t>
  </si>
  <si>
    <t>Bowl of Hearty Poultry Soup</t>
  </si>
  <si>
    <t>Bowl of Poultry and Winter Vegetable Soup</t>
  </si>
  <si>
    <t>Can of Hearty Poultry Soup</t>
  </si>
  <si>
    <t>Bowl of Saffron-scented Poultry Soup</t>
  </si>
  <si>
    <t>Bowl of Chocolate Chip Ice Cream</t>
  </si>
  <si>
    <t>Bowl of Candy Corn Ice Cream</t>
  </si>
  <si>
    <t>Bowl of Blueberry Chocolate Chunk Ice Cream</t>
  </si>
  <si>
    <t>Bowl of Ginger-Lime Ice Cream</t>
  </si>
  <si>
    <t>Bowl of Mint Chocolate Chip Ice Cream</t>
  </si>
  <si>
    <t>Bowl of Peach Raspberry Swirl Ice Cream</t>
  </si>
  <si>
    <t>Kralkachocolate Bar</t>
  </si>
  <si>
    <t>Bowl of Saffron-Mango Ice Cream</t>
  </si>
  <si>
    <t>Whitefish Sushi</t>
  </si>
  <si>
    <t>Yellowfish Sushi</t>
  </si>
  <si>
    <t>Orangefish Sushi</t>
  </si>
  <si>
    <t>Redfish Sushi</t>
  </si>
  <si>
    <t>Bowl of Fish Stew</t>
  </si>
  <si>
    <t>Bowl of Echovald Hotpot</t>
  </si>
  <si>
    <t>Bowl of Jade Sea Bounty</t>
  </si>
  <si>
    <t>Flight of Sushi</t>
  </si>
  <si>
    <t>Plate of Crispy Fish Pancakes</t>
  </si>
  <si>
    <t>Plate of Imperial Palace Special</t>
  </si>
  <si>
    <t>Bowl of Apple Sauce</t>
  </si>
  <si>
    <t>Cinnamon Apple</t>
  </si>
  <si>
    <t>Eggs Beetletun</t>
  </si>
  <si>
    <t>Onion Ring</t>
  </si>
  <si>
    <t>Blueberry Tart</t>
  </si>
  <si>
    <t>Candied Apple</t>
  </si>
  <si>
    <t>Caramel</t>
  </si>
  <si>
    <t>Lemon Tart</t>
  </si>
  <si>
    <t>Meat Pie</t>
  </si>
  <si>
    <t>Sparkling Effervescence</t>
  </si>
  <si>
    <t>Caramel Apple</t>
  </si>
  <si>
    <t>Chocolate Banana</t>
  </si>
  <si>
    <t>Lemon Bar</t>
  </si>
  <si>
    <t>Candy Corn Cake</t>
  </si>
  <si>
    <t>Clam Cake</t>
  </si>
  <si>
    <t>TurrÃ³n Slice</t>
  </si>
  <si>
    <t>Plate of Island Pudding</t>
  </si>
  <si>
    <t>Cherry Tart</t>
  </si>
  <si>
    <t>Ginger Pear Tart</t>
  </si>
  <si>
    <t>Glazed Pear Tart</t>
  </si>
  <si>
    <t>Peach Tart</t>
  </si>
  <si>
    <t>Canned Peach Tart</t>
  </si>
  <si>
    <t>Glazed Peach Tart</t>
  </si>
  <si>
    <t>Dragonfly Cupcake</t>
  </si>
  <si>
    <t>Omnomberry Tart</t>
  </si>
  <si>
    <t>Strawberry Ghost</t>
  </si>
  <si>
    <t>Chocolate Cherry</t>
  </si>
  <si>
    <t>Chocolate Orange</t>
  </si>
  <si>
    <t>Chocolate Raspberry Cream</t>
  </si>
  <si>
    <t>Boxed Chocolate Raspberry Cream</t>
  </si>
  <si>
    <t>Chocolate Omnomberry Cream</t>
  </si>
  <si>
    <t>Yam Fritter</t>
  </si>
  <si>
    <t>Chickpea Fritter</t>
  </si>
  <si>
    <t>Eggplant Fritter</t>
  </si>
  <si>
    <t>Canned Eggplant Fritter</t>
  </si>
  <si>
    <t>Cup of Lotus Fries</t>
  </si>
  <si>
    <t>Spicy Pumpkin Cookie</t>
  </si>
  <si>
    <t>Cherry Almond Bar</t>
  </si>
  <si>
    <t>Piece of Candy Corn Almond Brittle</t>
  </si>
  <si>
    <t>Orange Coconut Bar</t>
  </si>
  <si>
    <t>Boxed Raspberry Peach Bar</t>
  </si>
  <si>
    <t>Homemade Campfire Treat</t>
  </si>
  <si>
    <t>Raspberry Peach Bar</t>
  </si>
  <si>
    <t>Omnomberry Bar</t>
  </si>
  <si>
    <t>Longevity Noodles</t>
  </si>
  <si>
    <t>Peppermint Omnomberry Bar</t>
  </si>
  <si>
    <t>Cake Shot (effect)</t>
  </si>
  <si>
    <t>Dragon's Revelry Starcake</t>
  </si>
  <si>
    <t>Tray of Decade Desserts</t>
  </si>
  <si>
    <t>Can of Stewed Oysters</t>
  </si>
  <si>
    <t>Fried Oysters</t>
  </si>
  <si>
    <t>Fried Oyster Sandwich</t>
  </si>
  <si>
    <t>Oysters with Cocktail Sauce</t>
  </si>
  <si>
    <t>Bowl of Lemongrass Mussel Pasta</t>
  </si>
  <si>
    <t>Bowl of Mussel Soup</t>
  </si>
  <si>
    <t>Plate of Mussels Gnashblade</t>
  </si>
  <si>
    <t>Oysters with Spicy Sauce</t>
  </si>
  <si>
    <t>Oysters Gnashblade</t>
  </si>
  <si>
    <t>Oysters with Zesty Sauce</t>
  </si>
  <si>
    <t>Oysters with Pesto Sauce</t>
  </si>
  <si>
    <t>Bowl of Curry Mussel Soup</t>
  </si>
  <si>
    <t>Plate of Peppercorn-Spiced Coq Au Vin</t>
  </si>
  <si>
    <t>Mists-Infused Peppercorn-Crusted Sous-Vide Steak</t>
  </si>
  <si>
    <t>Peppercorn-Crusted Sous-Vide Steak</t>
  </si>
  <si>
    <t>Plate of Peppered Clear Truffle Ravioli</t>
  </si>
  <si>
    <t>Plate of Peppercorn-Spiced Beef Carpaccio</t>
  </si>
  <si>
    <t>Plate of Peppercorn-Spiced Poultry Aspic</t>
  </si>
  <si>
    <t>Peppercorn-Spiced Eggs Benedict</t>
  </si>
  <si>
    <t>Spiced Pepper Creme Brulee</t>
  </si>
  <si>
    <t>Spiced Peppercorn Cheesecake</t>
  </si>
  <si>
    <t>Peppered Cured Meat Flatbread</t>
  </si>
  <si>
    <t>Peppercorn and Veggie Flatbread</t>
  </si>
  <si>
    <t>Bowl of Spiced Fruit Salad</t>
  </si>
  <si>
    <t>Spherified Peppercorn-Spiced Oyster Soup</t>
  </si>
  <si>
    <t>Mists-Infused Spherified Peppercorn-Spiced Oyster Soup</t>
  </si>
  <si>
    <t>Slice of Buttered Toast</t>
  </si>
  <si>
    <t>Cheese Triangle</t>
  </si>
  <si>
    <t>Slice of Cinnamon Toast</t>
  </si>
  <si>
    <t>Slice of Garlic Bread</t>
  </si>
  <si>
    <t>Loaf of Rosemary Bread</t>
  </si>
  <si>
    <t>Slice of Spiced Bread</t>
  </si>
  <si>
    <t>Loaf of Tarragon Bread</t>
  </si>
  <si>
    <t>Bit of Enchanted Clam Bait</t>
  </si>
  <si>
    <t>Canned Tarragon Bread</t>
  </si>
  <si>
    <t>Loaf of Saffron Bread</t>
  </si>
  <si>
    <t>Bowl of Wurm Meat Stew</t>
  </si>
  <si>
    <t>Jug of Autumn Nectar</t>
  </si>
  <si>
    <t>Bowl of Basic Poultry Soup</t>
  </si>
  <si>
    <t>Bowl of Simple Poultry Soup</t>
  </si>
  <si>
    <t>Moa Egg Omelet</t>
  </si>
  <si>
    <t>Spinach Salad</t>
  </si>
  <si>
    <t>Bowl of Clam Chowder</t>
  </si>
  <si>
    <t>Bowl of Dilled Clam Chowder</t>
  </si>
  <si>
    <t>Bowl of Chickpea and Poultry Soup</t>
  </si>
  <si>
    <t>Bowl of Poultry and Leek Soup</t>
  </si>
  <si>
    <t>Can of Poultry and Leek Soup</t>
  </si>
  <si>
    <t>Bowl of Lemongrass Poultry Soup</t>
  </si>
  <si>
    <t>Quiche of Darkness</t>
  </si>
  <si>
    <t>Sweet Bean Bun</t>
  </si>
  <si>
    <t>Plate of Clove-Spiced Coq Au Vin</t>
  </si>
  <si>
    <t>Mushroom Clove Sous-Vide Steak</t>
  </si>
  <si>
    <t>Plate of Clove-Spiced Clear Truffle Ravioli</t>
  </si>
  <si>
    <t>Plate of Clove-Spiced Beef Carpaccio</t>
  </si>
  <si>
    <t>Plate of Clove-Spiced Poultry Aspic</t>
  </si>
  <si>
    <t>Clove-Spiced Eggs Benedict</t>
  </si>
  <si>
    <t>Clove-Spiced Creme Brulee</t>
  </si>
  <si>
    <t>Orange Clove Cheesecake</t>
  </si>
  <si>
    <t>Clove and Veggie Flatbread</t>
  </si>
  <si>
    <t>Bowl of Fruit Salad with Orange-Clove Syrup</t>
  </si>
  <si>
    <t>Spherified Clove-Spiced Oyster Soup</t>
  </si>
  <si>
    <t>Cup of Potato Fries</t>
  </si>
  <si>
    <t>Mashed Purple Potatoes</t>
  </si>
  <si>
    <t>Mashed Potato</t>
  </si>
  <si>
    <t>Loaf of Kodan Bread</t>
  </si>
  <si>
    <t>Bowl of Outrider Stew</t>
  </si>
  <si>
    <t>Turnip Casserole</t>
  </si>
  <si>
    <t>Bowl of Mashed Yams</t>
  </si>
  <si>
    <t>Bowl of Spiced Mashed Yams</t>
  </si>
  <si>
    <t>Roasted Rutabaga</t>
  </si>
  <si>
    <t>Roasted Parsnip</t>
  </si>
  <si>
    <t>Bowl of Roasted Lotus Root</t>
  </si>
  <si>
    <t>Seraph Standard Ration</t>
  </si>
  <si>
    <t>Stick of Cotton Candy</t>
  </si>
  <si>
    <t>Apple Tart</t>
  </si>
  <si>
    <t>Bowl of Gelatinous Ooze Custard</t>
  </si>
  <si>
    <t>Apple Pie</t>
  </si>
  <si>
    <t>Bowl of Candy Corn Custard</t>
  </si>
  <si>
    <t>Heart-Shaped Cookie</t>
  </si>
  <si>
    <t>Kastaz Roasted Poultry</t>
  </si>
  <si>
    <t>Healing Salve</t>
  </si>
  <si>
    <t>Shiverpeak Ration</t>
  </si>
  <si>
    <t>Banana Cream Pie</t>
  </si>
  <si>
    <t>Rock Candy</t>
  </si>
  <si>
    <t>Shiverpeak Popper</t>
  </si>
  <si>
    <t>Grape Pie</t>
  </si>
  <si>
    <t>Experimental Skritt Wafer</t>
  </si>
  <si>
    <t>Pirate Hard Tack</t>
  </si>
  <si>
    <t>Dredge Worker Ration</t>
  </si>
  <si>
    <t>Slice of Vigil Hard Tack</t>
  </si>
  <si>
    <t>Pumpkin Pie</t>
  </si>
  <si>
    <t>Standard Pact Ration</t>
  </si>
  <si>
    <t>Raspberry Pie</t>
  </si>
  <si>
    <t>Glazed Pumpkin Pie</t>
  </si>
  <si>
    <t>Canned Peach Pie Filling</t>
  </si>
  <si>
    <t>Peach Pie</t>
  </si>
  <si>
    <t>Bowl of Cactus Soup</t>
  </si>
  <si>
    <t>Mango Pie</t>
  </si>
  <si>
    <t>Bowl of Black Pepper Cactus Salad</t>
  </si>
  <si>
    <t>Tropical Peppermint Cake</t>
  </si>
  <si>
    <t>Bowl of Red Lentil Soup</t>
  </si>
  <si>
    <t>Holographic Super Cake</t>
  </si>
  <si>
    <t>Plate of Sesame-Crusted Coq Au Vin</t>
  </si>
  <si>
    <t>Soy-Sesame Sous-Vide Steak</t>
  </si>
  <si>
    <t>Plate of Clear Truffle and Sesame Ravioli</t>
  </si>
  <si>
    <t>Plate of Sesame-Ginger Beef Carpaccio</t>
  </si>
  <si>
    <t>Plate of Sesame Poultry Aspic</t>
  </si>
  <si>
    <t>Sesame Eggs Benedict</t>
  </si>
  <si>
    <t>Sesame Creme Brulee</t>
  </si>
  <si>
    <t>Sesame Cheesecake</t>
  </si>
  <si>
    <t>Sesame-Asparagus and Cured Meat Flatbread</t>
  </si>
  <si>
    <t>Sesame Veggie Flatbread</t>
  </si>
  <si>
    <t>Bowl of Sesame Fruit Salad</t>
  </si>
  <si>
    <t>Spherified Sesame Oyster Soup</t>
  </si>
  <si>
    <t>Plate of Coq Au Vin with Mint Garnish</t>
  </si>
  <si>
    <t>Sous-Vide Steak with Mint-Parsley Sauce</t>
  </si>
  <si>
    <t>Plate of Clear Truffle and Mint Ravioli</t>
  </si>
  <si>
    <t>Plate of Beef Carpaccio with Mint Garnish</t>
  </si>
  <si>
    <t>Plate of Poultry Aspic with Mint Garnish</t>
  </si>
  <si>
    <t>Eggs Benedict with Mint-Parsley Sauce</t>
  </si>
  <si>
    <t>Mint Creme Brulee</t>
  </si>
  <si>
    <t>Mint Strawberry Cheesecake</t>
  </si>
  <si>
    <t>Mint-Pear Cured Meat Flatbread</t>
  </si>
  <si>
    <t>Mint and Veggie Flatbread</t>
  </si>
  <si>
    <t>Bowl of Mists-Infused Fruit Salad with Mint Garnish</t>
  </si>
  <si>
    <t>Bowl of Fruit Salad with Mint Garnish</t>
  </si>
  <si>
    <t>Spherified Oyster Soup with Mint Garnish</t>
  </si>
  <si>
    <t>Slice of Rainbow Cake</t>
  </si>
  <si>
    <t>Blueberry Pie</t>
  </si>
  <si>
    <t>Cupcake</t>
  </si>
  <si>
    <t>Strawberry Pie</t>
  </si>
  <si>
    <t>Indigo Mushroom Milkshake</t>
  </si>
  <si>
    <t>Cherry Pie</t>
  </si>
  <si>
    <t>Blackberry Pie</t>
  </si>
  <si>
    <t>Canned Mixed Berry Pie</t>
  </si>
  <si>
    <t>Mixed Berry Pie</t>
  </si>
  <si>
    <t>Slice of Candied Dragon Roll</t>
  </si>
  <si>
    <t>Omnomberry Pie</t>
  </si>
  <si>
    <t>Scoop of Mintberry Swirl Ice Cream</t>
  </si>
  <si>
    <t>Omnomberry Ghost</t>
  </si>
  <si>
    <t>Winterberry Pie</t>
  </si>
  <si>
    <t>Slice of Allspice Cake</t>
  </si>
  <si>
    <t>Slice of Allspice Cake with Ice Cream</t>
  </si>
  <si>
    <t>Plate of Coq Au Vin with Salsa</t>
  </si>
  <si>
    <t>Cilantro Lime Sous-Vide Steak</t>
  </si>
  <si>
    <t>Plate of Clear Truffle and Cilantro Ravioli</t>
  </si>
  <si>
    <t>Plate of Beef Carpaccio with Salsa Garnish</t>
  </si>
  <si>
    <t>Plate of Poultry Aspic with Salsa Garnish</t>
  </si>
  <si>
    <t>Salsa Eggs Benedict</t>
  </si>
  <si>
    <t>Mango Cilantro Creme Brulee</t>
  </si>
  <si>
    <t>Strawberry Cilantro Cheesecake</t>
  </si>
  <si>
    <t>Cilantro and Cured Meat Flatbread</t>
  </si>
  <si>
    <t>Salsa-Topped Veggie Flatbread</t>
  </si>
  <si>
    <t>Bowl of Fruit Salad with Cilantro Garnish</t>
  </si>
  <si>
    <t>Spherified Cilantro Oyster Soup</t>
  </si>
  <si>
    <t>Can of Spicy Veggie Chili</t>
  </si>
  <si>
    <t>Plate of Sugar Rib Roast</t>
  </si>
  <si>
    <t>Chili Pepper Popper</t>
  </si>
  <si>
    <t>Stuffed Pepper</t>
  </si>
  <si>
    <t>Stuffed Zucchini</t>
  </si>
  <si>
    <t>Bowl of Hummus</t>
  </si>
  <si>
    <t>Roasted Artichoke</t>
  </si>
  <si>
    <t>Canned Roasted Artichoke</t>
  </si>
  <si>
    <t>Ghost Pepper Popper</t>
  </si>
  <si>
    <t>Fried Golden Dumpling</t>
  </si>
  <si>
    <t>Bowl of Red Meat Stock</t>
  </si>
  <si>
    <t>Strip of Dolyak Jerky</t>
  </si>
  <si>
    <t>Bowl of Simple Meat Stew</t>
  </si>
  <si>
    <t>Bowl of Kappa Soup</t>
  </si>
  <si>
    <t>Bowl of Onion Soup</t>
  </si>
  <si>
    <t>Poached Griffon Egg</t>
  </si>
  <si>
    <t>Bowl of Hearty Red Meat Stew</t>
  </si>
  <si>
    <t>Bowl of Herbed Meat Stock</t>
  </si>
  <si>
    <t>Bowl of Meat and Cabbage Stew</t>
  </si>
  <si>
    <t>Bowl of Cabbage Stirfry</t>
  </si>
  <si>
    <t>Bowl of Spiced Meat and Cabbage Stew</t>
  </si>
  <si>
    <t>Can of Meat and Winter Vegetable Stew</t>
  </si>
  <si>
    <t>Bowl of Meat and Winter Vegetable Stew</t>
  </si>
  <si>
    <t>Bowl of Orrian Truffle and Meat Stew</t>
  </si>
  <si>
    <t>Jerk Poultry and Nopal Flatbread Sandwich</t>
  </si>
  <si>
    <t>Bowl of Tapioca Pudding</t>
  </si>
  <si>
    <t>Cheesy Cassava Roll</t>
  </si>
  <si>
    <t>Bowl of Simple Stirfry</t>
  </si>
  <si>
    <t>Bowl of Sauteed Carrots</t>
  </si>
  <si>
    <t>Celebratory Steak</t>
  </si>
  <si>
    <t>Bowl of Ettin Stew</t>
  </si>
  <si>
    <t>Bowl of Garlic Spinach Sautee</t>
  </si>
  <si>
    <t>Plate of Mushrooms Yakkington</t>
  </si>
  <si>
    <t>Bowl of Avocado Stirfry</t>
  </si>
  <si>
    <t>Bowl of Eggplant Stirfry</t>
  </si>
  <si>
    <t>Can of Eggplant Stir-Fry</t>
  </si>
  <si>
    <t>Bowl of Lotus Stirfry</t>
  </si>
  <si>
    <t>Bowl of Sauteed Zucchini with Nutmeg</t>
  </si>
  <si>
    <t>Handful of Trail Mix</t>
  </si>
  <si>
    <t>Egg in a Cloud</t>
  </si>
  <si>
    <t>Bowl of Cauliflower Sautee</t>
  </si>
  <si>
    <t>Bowl of Eggplant Sautee</t>
  </si>
  <si>
    <t>Can of Eggplant Saute</t>
  </si>
  <si>
    <t>Bowl of Truffle Sautee</t>
  </si>
  <si>
    <t>Glass of Melon Juice</t>
  </si>
  <si>
    <t>Bowl of Blueberry Apple Compote</t>
  </si>
  <si>
    <t>Bowl of Strawberry Apple Compote</t>
  </si>
  <si>
    <t>Bowl of Cherry Vanilla Compote</t>
  </si>
  <si>
    <t>Bowl of Blackberry Pear Compote</t>
  </si>
  <si>
    <t>Raspberry Peach Compote</t>
  </si>
  <si>
    <t>Mined Edible Root</t>
  </si>
  <si>
    <t>Canned Raspberry Peach Compote</t>
  </si>
  <si>
    <t>Omnomberry Compote</t>
  </si>
  <si>
    <t>Swiftly Scrambled Eggs</t>
  </si>
  <si>
    <t>Aquatic Elixir</t>
  </si>
  <si>
    <t>Bowl of Simple Salad</t>
  </si>
  <si>
    <t>Explorers Kit</t>
  </si>
  <si>
    <t>Flask of Emergency Supplies</t>
  </si>
  <si>
    <t>Bowl of Ascalonian Salad</t>
  </si>
  <si>
    <t>Bowl of Coleslaw</t>
  </si>
  <si>
    <t>Bowl of Cabbage and Chickpea Salad</t>
  </si>
  <si>
    <t>Can of Asparagus and Sage Salad</t>
  </si>
  <si>
    <t>Bowl of Asparagus and Sage Salad</t>
  </si>
  <si>
    <t>Experimental Remnant</t>
  </si>
  <si>
    <t>Bowl of Seaweed Salad</t>
  </si>
  <si>
    <t>Bowl of Winterberry Seaweed Salad</t>
  </si>
  <si>
    <t>Spring Roll</t>
  </si>
  <si>
    <t>Moa Haunch</t>
  </si>
  <si>
    <t>Spicy Meat Kabob</t>
  </si>
  <si>
    <t>Piece of Undersea Wurm Sushi</t>
  </si>
  <si>
    <t>Griffon Egg</t>
  </si>
  <si>
    <t>Pepper Steak Dinner</t>
  </si>
  <si>
    <t>Chef's Tasting Platter</t>
  </si>
  <si>
    <t>Sesame-Roasted Dinner</t>
  </si>
  <si>
    <t>Plate of Coriander Crusted Meat Dinner</t>
  </si>
  <si>
    <t>Can of Steak and Asparagus Dinner</t>
  </si>
  <si>
    <t>Plate of Steak and Asparagus Dinner</t>
  </si>
  <si>
    <t>Dragon's Breath Bun</t>
  </si>
  <si>
    <t>Plate of Truffle Steak Dinner</t>
  </si>
  <si>
    <t>Carrot SoufflÃ©</t>
  </si>
  <si>
    <t>Jerk Poultry Flatbread Sandwich</t>
  </si>
  <si>
    <t>Steamed Red Dumpling</t>
  </si>
  <si>
    <t>Block of Tofu</t>
  </si>
  <si>
    <t>Piece of Orrian Sea Urchin Roe Sushi</t>
  </si>
  <si>
    <t>Marinated Mushroom</t>
  </si>
  <si>
    <t>Magical Fruit</t>
  </si>
  <si>
    <t>Karka Cake</t>
  </si>
  <si>
    <t>Sage-Stuffed Mushroom</t>
  </si>
  <si>
    <t>Triktiki Omelet</t>
  </si>
  <si>
    <t>Divinity Stuffed Mushroom</t>
  </si>
  <si>
    <t>Bowl of Tasty Wurm Stew</t>
  </si>
  <si>
    <t>Eztlitl Stuffed Mushroom</t>
  </si>
  <si>
    <t>Spicy Stuffed Mushroom</t>
  </si>
  <si>
    <t>Canned Spicy Stuffed Mushroom</t>
  </si>
  <si>
    <t>Karka Egg Omelet</t>
  </si>
  <si>
    <t>Saffron Stuffed Mushroom</t>
  </si>
  <si>
    <t>Plate of Sweet Curried Mussels</t>
  </si>
  <si>
    <t>Bowl of Spiced Red Lentil Stew</t>
  </si>
  <si>
    <t>Grilled Poultry</t>
  </si>
  <si>
    <t>Strip of Boar Jerky</t>
  </si>
  <si>
    <t>Quaggan Fish Snack</t>
  </si>
  <si>
    <t>Poultry Piccata</t>
  </si>
  <si>
    <t>Fish Steak</t>
  </si>
  <si>
    <t>Strip of Venison Jerky</t>
  </si>
  <si>
    <t>Sage-Stuffed Poultry</t>
  </si>
  <si>
    <t>Dilled Poultry Piccata</t>
  </si>
  <si>
    <t>Crab Cake</t>
  </si>
  <si>
    <t>Plate of Citrus Poultry with Almonds</t>
  </si>
  <si>
    <t>Tarragon Stuffed Poultry</t>
  </si>
  <si>
    <t>Canned Tarragon Stuffed Poultry</t>
  </si>
  <si>
    <t>Icy Fish Snack</t>
  </si>
  <si>
    <t>Dragonfish Candy</t>
  </si>
  <si>
    <t>Plate of Lemongrass Poultry</t>
  </si>
  <si>
    <t>Cup of Light-Roasted Coffee</t>
  </si>
  <si>
    <t>Rabbit Offering</t>
  </si>
  <si>
    <t>Slice of Watermelon</t>
  </si>
  <si>
    <t>Bowl of Salsa</t>
  </si>
  <si>
    <t>Bowl of Bean Salad</t>
  </si>
  <si>
    <t>Bowl of Avocado Salsa</t>
  </si>
  <si>
    <t>Bowl of Chickpea Salad</t>
  </si>
  <si>
    <t>Variloo's Swift Algae Snack</t>
  </si>
  <si>
    <t>Can of Mango Salsa</t>
  </si>
  <si>
    <t>Bowl of Mango Salsa</t>
  </si>
  <si>
    <t>Bowl of Fire Salsa</t>
  </si>
  <si>
    <t>Bloodstone Bearclaw Pastry</t>
  </si>
  <si>
    <t>Bloodstone Pot Pie</t>
  </si>
  <si>
    <t>Bowl of Bloodstone Goulash</t>
  </si>
  <si>
    <t>Bowl of Bloodstone Ice Cream</t>
  </si>
  <si>
    <t>Bowl of Bloodstone Bisque</t>
  </si>
  <si>
    <t>Complete Bloodstone Breakfast</t>
  </si>
  <si>
    <t>Demitasse of Bloodstone Espresso</t>
  </si>
  <si>
    <t>Mug of Bloodstone Coffee</t>
  </si>
  <si>
    <t>Plate of Bloodstone Waffles</t>
  </si>
  <si>
    <t>Refurbished Toy</t>
  </si>
  <si>
    <t>Super Mixed Parfait</t>
  </si>
  <si>
    <t>Zephyrite Fish Jerky</t>
  </si>
  <si>
    <t>Derived Bonus 1</t>
  </si>
  <si>
    <t>Derived Bonus 2</t>
  </si>
  <si>
    <t>Karma Bonus</t>
  </si>
  <si>
    <t>Magic Find Bonus</t>
  </si>
  <si>
    <t>Gold Bonus</t>
  </si>
  <si>
    <t>Healthy Bonus</t>
  </si>
  <si>
    <t>Stepped Bonus 1</t>
  </si>
  <si>
    <t>Stepped Bonus 2</t>
  </si>
  <si>
    <t>Movement Speed Bonus</t>
  </si>
  <si>
    <t>Experience Bonus</t>
  </si>
  <si>
    <t>Flat Bonus</t>
  </si>
  <si>
    <t>Type</t>
  </si>
  <si>
    <t>Gain</t>
  </si>
  <si>
    <t>Percent</t>
  </si>
  <si>
    <t>From</t>
  </si>
  <si>
    <t>For</t>
  </si>
  <si>
    <t>Apprentice Maintenance Oil</t>
  </si>
  <si>
    <t>Apprentice Tuning Crystal</t>
  </si>
  <si>
    <t>Chatoyant Elixir</t>
  </si>
  <si>
    <t>Thesis on Basic Accuracy</t>
  </si>
  <si>
    <t>Thesis on Basic Malice</t>
  </si>
  <si>
    <t>Thesis on Basic Strength</t>
  </si>
  <si>
    <t>Writ of Basic Accuracy</t>
  </si>
  <si>
    <t>Writ of Basic Malice</t>
  </si>
  <si>
    <t>Writ of Basic Strength</t>
  </si>
  <si>
    <t>Tiny Sharpening Stone</t>
  </si>
  <si>
    <t>Skale Venom</t>
  </si>
  <si>
    <t>Serious Potion</t>
  </si>
  <si>
    <t>Fool's Tall Tonic</t>
  </si>
  <si>
    <t>Fool's Dog Treat</t>
  </si>
  <si>
    <t>Journeyman Maintenance Oil</t>
  </si>
  <si>
    <t>Journeyman Tuning Crystal</t>
  </si>
  <si>
    <t>Simple Sharpening Stone</t>
  </si>
  <si>
    <t>Potent Simple Sharpening Stone</t>
  </si>
  <si>
    <t>Swift Moa Feather</t>
  </si>
  <si>
    <t>Thesis on Accuracy</t>
  </si>
  <si>
    <t>Thesis on Malice</t>
  </si>
  <si>
    <t>Thesis on Basic Speed</t>
  </si>
  <si>
    <t>Thesis on Strength</t>
  </si>
  <si>
    <t>Writ of Accuracy</t>
  </si>
  <si>
    <t>Writ of Basic Speed</t>
  </si>
  <si>
    <t>Writ of Malice</t>
  </si>
  <si>
    <t>Writ of Strength</t>
  </si>
  <si>
    <t>Standard Maintenance Oil</t>
  </si>
  <si>
    <t>Potent Standard Sharpening Stone</t>
  </si>
  <si>
    <t>Standard Sharpening Stone</t>
  </si>
  <si>
    <t>Standard Tuning Crystal</t>
  </si>
  <si>
    <t>Thesis on Studied Accuracy</t>
  </si>
  <si>
    <t>Thesis on Studied Malice</t>
  </si>
  <si>
    <t>Thesis on Studied Strength</t>
  </si>
  <si>
    <t>Writ of Studied Accuracy</t>
  </si>
  <si>
    <t>Writ of Studied Malice</t>
  </si>
  <si>
    <t>Writ of Studied Strength</t>
  </si>
  <si>
    <t>Artisan Maintenance Oil</t>
  </si>
  <si>
    <t>Artisan Tuning Crystal</t>
  </si>
  <si>
    <t>Potent Quality Sharpening Stone</t>
  </si>
  <si>
    <t>Quality Sharpening Stone</t>
  </si>
  <si>
    <t>Thesis on Calculated Accuracy</t>
  </si>
  <si>
    <t>Thesis on Calculated Malice</t>
  </si>
  <si>
    <t>Thesis on Calculated Strength</t>
  </si>
  <si>
    <t>Writ of Calculated Accuracy</t>
  </si>
  <si>
    <t>Writ of Calculated Malice</t>
  </si>
  <si>
    <t>Writ of Calculated Strength</t>
  </si>
  <si>
    <t>Hardened Sharpening Stone</t>
  </si>
  <si>
    <t>Potent Hardened Sharpening Stone</t>
  </si>
  <si>
    <t>Quality Maintenance Oil</t>
  </si>
  <si>
    <t>Quality Tuning Crystal</t>
  </si>
  <si>
    <t>Writ of Studied Speed</t>
  </si>
  <si>
    <t>Thesis on Learned Accuracy</t>
  </si>
  <si>
    <t>Thesis on Learned Malice</t>
  </si>
  <si>
    <t>Thesis on Speed</t>
  </si>
  <si>
    <t>Thesis on Learned Strength</t>
  </si>
  <si>
    <t>Writ of Learned Strength</t>
  </si>
  <si>
    <t>Writ of Learned Malice</t>
  </si>
  <si>
    <t>Writ of Learned Accuracy</t>
  </si>
  <si>
    <t>Compact Hardened Sharpening Stone</t>
  </si>
  <si>
    <t>Compact Quality Maintenance Oil</t>
  </si>
  <si>
    <t>Compact Quality Tuning Crystal</t>
  </si>
  <si>
    <t>Corsair Sharpening Stone</t>
  </si>
  <si>
    <t>Corsair Tuning Crystal</t>
  </si>
  <si>
    <t>Enhanced Lucent Oil</t>
  </si>
  <si>
    <t>Flask of Pumpkin Oil</t>
  </si>
  <si>
    <t>Holographic Super Apple</t>
  </si>
  <si>
    <t>Holographic Super Cheese</t>
  </si>
  <si>
    <t>Holographic Super Drumstick</t>
  </si>
  <si>
    <t>Lump of Crystallized Nougat</t>
  </si>
  <si>
    <t>Corsair Maintenance Oil</t>
  </si>
  <si>
    <t>Magnanimous Maintenance Oil</t>
  </si>
  <si>
    <t>Magnanimous Sharpening Stone</t>
  </si>
  <si>
    <t>Magnanimous Tuning Crystal</t>
  </si>
  <si>
    <t>Magnanimous Maintenance Oil Station</t>
  </si>
  <si>
    <t>Bountiful Maintenance Oil Station</t>
  </si>
  <si>
    <t>Healing to Allies</t>
  </si>
  <si>
    <t>Maintenance Oil Station</t>
  </si>
  <si>
    <t>Furious Maintenance Oil</t>
  </si>
  <si>
    <t>Mist-Infused Maintenance Oil</t>
  </si>
  <si>
    <t>Master Maintenance Oil</t>
  </si>
  <si>
    <t>Potent Master Maintenance Oil</t>
  </si>
  <si>
    <t>Bountiful Maintenance Oil</t>
  </si>
  <si>
    <t>Hylek Maintenance Oil</t>
  </si>
  <si>
    <t>Master Tuning Crystal</t>
  </si>
  <si>
    <t>Potent Master Tuning Crystal</t>
  </si>
  <si>
    <t>Bountiful Tuning Crystal</t>
  </si>
  <si>
    <t>Mist-Infused Master Tuning Crystal</t>
  </si>
  <si>
    <t>Furious Tuning Crystal</t>
  </si>
  <si>
    <t>Krait Tuning Crystal</t>
  </si>
  <si>
    <t>Peppermint Oil</t>
  </si>
  <si>
    <t>Potent Lucent Oil</t>
  </si>
  <si>
    <t>Writ of Masterful Speed</t>
  </si>
  <si>
    <t>Sharpening Skull</t>
  </si>
  <si>
    <t>Karka Toughness Station</t>
  </si>
  <si>
    <t>Demon-Slaying Station</t>
  </si>
  <si>
    <t>Sharpening Stone Station</t>
  </si>
  <si>
    <t>Potent Superior Sharpening Stone</t>
  </si>
  <si>
    <t>Furious Sharpening Stone</t>
  </si>
  <si>
    <t>Superior Sharpening Stone</t>
  </si>
  <si>
    <t>Ogre Sharpening Stone</t>
  </si>
  <si>
    <t>Bountiful Sharpening Stone</t>
  </si>
  <si>
    <t>Mist-Infused Sharpening Stone</t>
  </si>
  <si>
    <t>Thesis on Masterful Accuracy</t>
  </si>
  <si>
    <t>Thesis on Masterful Malice</t>
  </si>
  <si>
    <t>Thesis on Studied Speed</t>
  </si>
  <si>
    <t>Thesis on Masterful Strength</t>
  </si>
  <si>
    <t>Tin of Fruitcake</t>
  </si>
  <si>
    <t>Toxic Maintenance Oil</t>
  </si>
  <si>
    <t>Toxic Sharpening Stone</t>
  </si>
  <si>
    <t>Toxic Tuning Crystal</t>
  </si>
  <si>
    <t>Tuning Crystal Station</t>
  </si>
  <si>
    <t>Toxic Tuning Crystal Station</t>
  </si>
  <si>
    <t>Magnanimous Tuning Crystal Station</t>
  </si>
  <si>
    <t>Tuning Icicle</t>
  </si>
  <si>
    <t>Writ of Masterful Accuracy</t>
  </si>
  <si>
    <t>Writ of Masterful Malice</t>
  </si>
  <si>
    <t>Writ of Masterful Strength</t>
  </si>
  <si>
    <t>Decade Enhancement Station</t>
  </si>
  <si>
    <t>Potion Of Karka Toughness</t>
  </si>
  <si>
    <t>Traits Resolution</t>
  </si>
  <si>
    <t>Spec</t>
  </si>
  <si>
    <t>Bonus</t>
  </si>
  <si>
    <t>Type1</t>
  </si>
  <si>
    <t>Type2</t>
  </si>
  <si>
    <t>Conditional</t>
  </si>
  <si>
    <t>Trait Total</t>
  </si>
  <si>
    <t>% Accumulation</t>
  </si>
  <si>
    <t>Minor Totals</t>
  </si>
  <si>
    <t>Flat Totals</t>
  </si>
  <si>
    <t>%-Based Totals</t>
  </si>
  <si>
    <t>Sigils</t>
  </si>
  <si>
    <t>Utilities</t>
  </si>
  <si>
    <t>Rune Counter</t>
  </si>
  <si>
    <t>Multiplicative Bonuses</t>
  </si>
  <si>
    <t>Derived 1</t>
  </si>
  <si>
    <t>Derived 2</t>
  </si>
  <si>
    <t>Count</t>
  </si>
  <si>
    <t>Traits</t>
  </si>
  <si>
    <t>Result</t>
  </si>
  <si>
    <t>signets</t>
  </si>
  <si>
    <t>sigils</t>
  </si>
  <si>
    <t>Healthy</t>
  </si>
  <si>
    <t>Stepped 1</t>
  </si>
  <si>
    <t>Stepped 2</t>
  </si>
  <si>
    <t>Signet Named Ranges</t>
  </si>
  <si>
    <t>Subtotals</t>
  </si>
  <si>
    <t>Armour Type</t>
  </si>
  <si>
    <t>N/A</t>
  </si>
  <si>
    <t>Class Health &amp; Armor Type</t>
  </si>
  <si>
    <t>Chosen Specs</t>
  </si>
  <si>
    <t>Heavy</t>
  </si>
  <si>
    <t>Medium</t>
  </si>
  <si>
    <t>Hard Capped Attributes</t>
  </si>
  <si>
    <t>Light</t>
  </si>
  <si>
    <t>Attributes List</t>
  </si>
  <si>
    <t>Trait Filter</t>
  </si>
  <si>
    <t>Specialisation Filter &amp; Elite Specialisation Check</t>
  </si>
  <si>
    <t>Apply Condition Lists</t>
  </si>
  <si>
    <t>Stacking Lists</t>
  </si>
  <si>
    <t>Class/Spec Valid Check</t>
  </si>
  <si>
    <t>Core</t>
  </si>
  <si>
    <t>Elite</t>
  </si>
  <si>
    <t>Conditional Formatting Checks</t>
  </si>
  <si>
    <t>Spec/Trait Valid Check</t>
  </si>
  <si>
    <t>Stacking Check</t>
  </si>
  <si>
    <t>Conditional Check</t>
  </si>
  <si>
    <t>-</t>
  </si>
  <si>
    <t>Superior Sigil of Accuracy</t>
  </si>
  <si>
    <t>+7% Critical Chance</t>
  </si>
  <si>
    <t>Superior Sigil of Force</t>
  </si>
  <si>
    <t>+5% Damage</t>
  </si>
  <si>
    <t>Superior Sigil of Bursting</t>
  </si>
  <si>
    <t>+5% Condition Damage</t>
  </si>
  <si>
    <t>Superior Sigil of Malice</t>
  </si>
  <si>
    <t>+10% condition duration .</t>
  </si>
  <si>
    <t>Superior Sigil of Concentration</t>
  </si>
  <si>
    <t>+10% Boon Duration</t>
  </si>
  <si>
    <t>Superior Sigil of Transference</t>
  </si>
  <si>
    <t>Healing to other allies is increased by 10%.</t>
  </si>
  <si>
    <t>Superior Sigil of Agony</t>
  </si>
  <si>
    <t>Increase Inflicted Bleeding Duration: 20%</t>
  </si>
  <si>
    <t>Superior Sigil of Smoldering</t>
  </si>
  <si>
    <t>Increase Inflicted Burning Duration: 20%</t>
  </si>
  <si>
    <t>Superior Sigil of Chilling</t>
  </si>
  <si>
    <t>Increase Inflicted Chill Duration: 20%</t>
  </si>
  <si>
    <t>Superior Sigil of Hobbling</t>
  </si>
  <si>
    <t>Increase Inflicted Cripple Duration: 20%</t>
  </si>
  <si>
    <t>Superior Sigil of Venom</t>
  </si>
  <si>
    <t>Increase Inflicted Poison Duration: 20%</t>
  </si>
  <si>
    <t>Superior Sigil of Demons</t>
  </si>
  <si>
    <t>Increase the duration of inflicted torment by 20%.</t>
  </si>
  <si>
    <t>Superior Sigil of Peril</t>
  </si>
  <si>
    <t>Increase Inflicted Vulnerability Duration: 20%</t>
  </si>
  <si>
    <t>Superior Sigil of Debility</t>
  </si>
  <si>
    <t>Increase Inflicted Weakness Duration: 20%</t>
  </si>
  <si>
    <t>Superior Sigil of Paralyzation</t>
  </si>
  <si>
    <t>+30% Stun Duration</t>
  </si>
  <si>
    <t>Superior Sigil of Centaur Slaying</t>
  </si>
  <si>
    <t>+7% Strike Damage vs. Centaurs ; +3% Strike Damage</t>
  </si>
  <si>
    <t>Superior Sigil of Demon Slaying</t>
  </si>
  <si>
    <t>+7% Strike Damage vs. Demons , Kryptis , and Titanspawn ; +3% Strike Damage</t>
  </si>
  <si>
    <t>Superior Sigil of Destroyer Slaying</t>
  </si>
  <si>
    <t>+7% Strike Damage vs. Destroyers ; +3% Strike Damage</t>
  </si>
  <si>
    <t>Superior Sigil of Sorrow</t>
  </si>
  <si>
    <t>+7% Strike Damage vs. Dredge ; +3% Strike Damage</t>
  </si>
  <si>
    <t>Superior Sigil of Elemental Slaying</t>
  </si>
  <si>
    <t>+7% Strike Damage vs. Elementals ; +3% Strike Damage</t>
  </si>
  <si>
    <t>Superior Sigil of Smothering</t>
  </si>
  <si>
    <t>+7% Strike Damage vs. Flame Legion ; +3% Strike Damage</t>
  </si>
  <si>
    <t>Superior Sigil of Ghost Slaying</t>
  </si>
  <si>
    <t>+7% Strike Damage vs. Ghosts ; +3% Strike Damage</t>
  </si>
  <si>
    <t>Superior Sigil of Grawl Slaying</t>
  </si>
  <si>
    <t>+7% Strike Damage vs. Grawl ; +3% Strike Damage</t>
  </si>
  <si>
    <t>Superior Sigil of Hologram Slaying</t>
  </si>
  <si>
    <t>+17% Strike Damage vs Dragon Bash Holograms; +3% Strike Damage</t>
  </si>
  <si>
    <t>Superior Sigil of Icebrood Slaying</t>
  </si>
  <si>
    <t>+7% Strike Damage vs. Icebrood ; +3% Strike Damage</t>
  </si>
  <si>
    <t>Superior Sigil of Mad Scientists</t>
  </si>
  <si>
    <t>+7% Strike Damage vs. Inquest ; +3% Strike Damage</t>
  </si>
  <si>
    <t>Superior Sigil of Justice</t>
  </si>
  <si>
    <t>+7% Strike Damage vs. Outlaws ; +3% Strike Damage</t>
  </si>
  <si>
    <t>Superior Sigil of Karka Slaying</t>
  </si>
  <si>
    <t>+7% Strike Damage vs. Karka ; +3% Strike Damage</t>
  </si>
  <si>
    <t>Superior Sigil of Serpent Slaying</t>
  </si>
  <si>
    <t>+7% Strike Damage vs. Krait ; +3% Strike Damage</t>
  </si>
  <si>
    <t>Superior Sigil of Dreams</t>
  </si>
  <si>
    <t>+7% Strike Damage vs. Nightmare Court ; +3% Strike Damage</t>
  </si>
  <si>
    <t>Superior Sigil of the Night</t>
  </si>
  <si>
    <t>Outgoing damage is increased by 3% with an additional 7% at night .</t>
  </si>
  <si>
    <t>Superior Sigil of Ogre Slaying</t>
  </si>
  <si>
    <t>+7% Strike Damage vs. Ogres ; +3% Strike Damage</t>
  </si>
  <si>
    <t>Superior Sigil of Wrath</t>
  </si>
  <si>
    <t>+7% Strike Damage vs. Sons of Svanir ; +3% Strike Damage</t>
  </si>
  <si>
    <t>Superior Sigil of Impact</t>
  </si>
  <si>
    <t>+7% Strike Damage vs Stunned or Knocked-Down Foes; +3% Strike Damage</t>
  </si>
  <si>
    <t>Superior Sigil of Undead Slaying</t>
  </si>
  <si>
    <t>+7% Strike Damage vs. Undead ; +3% Strike Damage</t>
  </si>
  <si>
    <t>Superior Sigil of Nullification</t>
  </si>
  <si>
    <t>Remove a boon with a flanking strike or when they are defiant . (Cooldown: 5 Seconds)</t>
  </si>
  <si>
    <t>Superior Sigil of Purity</t>
  </si>
  <si>
    <t>Remove a condition after striking a foe from its flank or when they are defiant . (Cooldown: 4 Seconds)</t>
  </si>
  <si>
    <t>Superior Sigil of Frailty</t>
  </si>
  <si>
    <t>Inflict 2 stacks of vulnerability for 8 seconds after striking a foe from behind or the flank or when they are defiant . (Cooldown: 2 Seconds)</t>
  </si>
  <si>
    <t>Superior Sigil of Ice</t>
  </si>
  <si>
    <t>Chill a foe for 2 seconds after striking from its flank or when they are defiant . (Cooldown: 10 Seconds)</t>
  </si>
  <si>
    <t>Superior Sigil of Incapacitation</t>
  </si>
  <si>
    <t>Cripple a foe for 2 seconds after striking from its flank or when they are defiant . (Cooldown: 5 Seconds)</t>
  </si>
  <si>
    <t>Superior Sigil of Air</t>
  </si>
  <si>
    <t>Unleash a lightning strike upon critically hitting a foe. (Cooldown: 3 Seconds)</t>
  </si>
  <si>
    <t>Superior Sigil of Fire</t>
  </si>
  <si>
    <t>Trigger a flame blast with a 240 radius upon critically hitting a foe. (Cooldown: 5 Seconds)</t>
  </si>
  <si>
    <t>Superior Sigil of Blood</t>
  </si>
  <si>
    <t>Steal a foe's health upon landing a critical hit . (Cooldown: 5 Seconds)</t>
  </si>
  <si>
    <t>Superior Sigil of Generosity</t>
  </si>
  <si>
    <t>Transfer a condition upon critically hitting a foe. (Cooldown: 6 Seconds)</t>
  </si>
  <si>
    <t>Superior Sigil of Rage</t>
  </si>
  <si>
    <t>Gain quickness for 3 seconds upon critically hitting a foe. (Cooldown: 20 Seconds)</t>
  </si>
  <si>
    <t>Superior Sigil of Strength</t>
  </si>
  <si>
    <t>Gain might for 10 seconds upon critically hitting a foe. (Cooldown: 1 Second)</t>
  </si>
  <si>
    <t>Superior Sigil of Water</t>
  </si>
  <si>
    <t>Heal allies within a 360 radius of your target upon landing a critical hit . (Cooldown: 5 Seconds)</t>
  </si>
  <si>
    <t>Superior Sigil of Blight</t>
  </si>
  <si>
    <t>Inflict nearby enemies with 2 stacks of poison for 4 seconds upon landing a critical hit . (Cooldown: 8 Seconds)</t>
  </si>
  <si>
    <t>Superior Sigil of Earth</t>
  </si>
  <si>
    <t>Inflict bleeding for 6 seconds upon critically hitting a foe. (Cooldown: 2 Seconds)</t>
  </si>
  <si>
    <t>Superior Sigil of Torment</t>
  </si>
  <si>
    <t>Inflict 2 stacks of torment for 5 seconds to enemies around your target upon landing a critical hit . (Cooldown: 5 Seconds)</t>
  </si>
  <si>
    <t>Superior Sigil of Frenzy</t>
  </si>
  <si>
    <t>Recharge all equipped skills by 2 seconds upon killing an enemy . Cooldown: 10 seconds</t>
  </si>
  <si>
    <t>Superior Sigil of Luck</t>
  </si>
  <si>
    <t>75% chance to gain a random boon on killing an enemy .</t>
  </si>
  <si>
    <t>Superior Sigil of Speed</t>
  </si>
  <si>
    <t>Gain Swiftness (20 Seconds) on Killing a Foe</t>
  </si>
  <si>
    <t>Superior Sigil of Stamina</t>
  </si>
  <si>
    <t>Your endurance is refilled each time you kill a foe .</t>
  </si>
  <si>
    <t>Superior Sigil of Bounty</t>
  </si>
  <si>
    <t>Gain a charge of +9 concentration each time you kill a foe, five charges if you kill an enemy player. (Max 25 stacks; ends on down.); (Only one attribute-stacking sigil can be active at a time.)</t>
  </si>
  <si>
    <t>Superior Sigil of Corruption</t>
  </si>
  <si>
    <t>Gain a charge of +10 condition damage each time you kill a foe, five if you kill an enemy player. (Max 25 stacks; ends on down.); (Only one attribute-stacking sigil can be active at a time.)</t>
  </si>
  <si>
    <t>Superior Sigil of Cruelty</t>
  </si>
  <si>
    <t>Gain a charge of +10 ferocity each time you kill a foe, five if you kill an enemy player. (Max 25 stacks; ends on down.); (Only one attribute-stacking sigil can be active at a time.)</t>
  </si>
  <si>
    <t>Superior Sigil of Benevolence</t>
  </si>
  <si>
    <t>Gain a charge that grants 0.5% outgoing healing effectiveness toward other allies each time you kill a foe, five if you kill an enemy player. (Max 25 stacks; ends on down.); (Only one attribute-stacking sigil can be active at a time.)</t>
  </si>
  <si>
    <t>Superior Sigil of Life</t>
  </si>
  <si>
    <t>Gain a charge of +10 healing each time you kill a foe, five if you kill an enemy player. (Max 25 stacks; ends on down.); (Only one attribute-stacking sigil can be active at a time.)</t>
  </si>
  <si>
    <t>Superior Sigil of Bloodlust</t>
  </si>
  <si>
    <t>Gain a charge of +10 power each time you kill a foe, five if you kill an enemy player. (Max 25 stacks; ends on down.); (Only one attribute-stacking sigil can be active at a time.)</t>
  </si>
  <si>
    <t>Superior Sigil of Perception</t>
  </si>
  <si>
    <t>Gain a charge of +10 precision each time you kill a foe, five if you kill an enemy player. (Max 25 stacks; ends on down.); (Only one attribute-stacking sigil can be active at a time.)</t>
  </si>
  <si>
    <t>Superior Sigil of Momentum</t>
  </si>
  <si>
    <t>Gain a charge of +5 toughness each time you kill a foe, five if you kill an enemy player. (Max 25 stacks; ends on down.); (Only one attribute-stacking sigil can be active at a time.)</t>
  </si>
  <si>
    <t>Superior Sigil of the Stars</t>
  </si>
  <si>
    <t>Gain a charge of +2 to all stats each time you kill a foe, 5 charges if you kill an enemy player. (Max 25 stacks; ends on down .); (Only one attribute-stacking sigil can be active at a time.)</t>
  </si>
  <si>
    <t>Superior Sigil of Agility</t>
  </si>
  <si>
    <t>Gain 5 seconds of swiftness and 1 second of quickness when you swap to this weapon while in combat. (Cooldown: 9 Seconds)</t>
  </si>
  <si>
    <t>Superior Sigil of Battle</t>
  </si>
  <si>
    <t>Gain 5 stacks of might for 12 seconds when swapping to this weapon in combat. (Cooldown: 9 seconds)</t>
  </si>
  <si>
    <t>Superior Sigil of Cleansing</t>
  </si>
  <si>
    <t>Remove 3 conditions when swapping to this weapon in combat. (Cooldown: 9 Seconds)</t>
  </si>
  <si>
    <t>Superior Sigil of Doom</t>
  </si>
  <si>
    <t>Your next attack will inflict 3 stacks of poison for 8 seconds after swapping to this weapon while in combat. (Cooldown: 9 Seconds)</t>
  </si>
  <si>
    <t>Superior Sigil of Energy</t>
  </si>
  <si>
    <t>Gain 50% of your endurance when you swap to this weapon while in combat . (Cooldown: 9 seconds)</t>
  </si>
  <si>
    <t>Superior Sigil of Geomancy</t>
  </si>
  <si>
    <t>Inflict bleeding on nearby foes for 8 seconds when you swap to this weapon while in combat. (Cooldown: 9 seconds)</t>
  </si>
  <si>
    <t>Superior Sigil of Hydromancy</t>
  </si>
  <si>
    <t>Damage nearby foes and chill them for 2 seconds when you swap to this weapon while in combat. (Cooldown: 9 seconds)</t>
  </si>
  <si>
    <t>Superior Sigil of Leeching</t>
  </si>
  <si>
    <t>Your next attack after swapping to this weapon while in combat steals some health. (Cooldown: 9 Seconds)</t>
  </si>
  <si>
    <t>Superior Sigil of Mischief</t>
  </si>
  <si>
    <t>Launch up to 4 blinding snowballs at foes in front of you when you swap to this weapon in combat. (Cooldown: 9 seconds)</t>
  </si>
  <si>
    <t>Superior Sigil of Renewal</t>
  </si>
  <si>
    <t>Heal Nearby Allies on Weapon Swap (360 Radius); (Cooldown: 9 Seconds)</t>
  </si>
  <si>
    <t>Superior Sigil of Vision</t>
  </si>
  <si>
    <t>Critically strike an enemy for 3 seconds after swapping to this weapon in combat. (Cooldown: 9 Seconds)</t>
  </si>
  <si>
    <t>Superior Sigil of Absorption</t>
  </si>
  <si>
    <t>Steal 3 boons when interrupting a foe. (Cooldown: 10 seconds) (Cooldown against defiant foes: 3 seconds)</t>
  </si>
  <si>
    <t>Superior Sigil of Celerity</t>
  </si>
  <si>
    <t>Gain quickness for 5 seconds after disabling a foe. (Cooldown: 20 Seconds)</t>
  </si>
  <si>
    <t>Superior Sigil of Draining</t>
  </si>
  <si>
    <t>Steal life when interrupting an enemy. (Cooldown against defiant foes: 3 seconds)</t>
  </si>
  <si>
    <t>Superior Sigil of Rending</t>
  </si>
  <si>
    <t>Inflict 5 stacks of vulnerability for 10 seconds when interrupting a foe. (Cooldown: 3 Seconds)</t>
  </si>
  <si>
    <t>Superior Sigil of Restoration</t>
  </si>
  <si>
    <t>Gain health when interrupting a foe. (Cooldown: 5 Seconds)</t>
  </si>
  <si>
    <t>Superior Sigil of Ruthlessness</t>
  </si>
  <si>
    <t>Gain 5 stacks of might for 10 seconds when interrupting a foe. (Cooldown: 3 Seconds)</t>
  </si>
  <si>
    <t>Superior Sigil of Severance</t>
  </si>
  <si>
    <t>Upon interrupting an enemy, gain up to 250 precision and ferocity for 4 seconds, depending on level. (Cooldown: 1 second)</t>
  </si>
  <si>
    <t>Now</t>
  </si>
  <si>
    <t>Future</t>
  </si>
  <si>
    <t>Level scaling</t>
  </si>
  <si>
    <t>None</t>
  </si>
  <si>
    <t>Item quality</t>
  </si>
  <si>
    <t>Expand attribute filter to cover traits, runes, sigils etc.</t>
  </si>
  <si>
    <t>Redoing trait tables for addition of "None" option?</t>
  </si>
  <si>
    <t>More filters - notes</t>
  </si>
  <si>
    <t>Infusions</t>
  </si>
  <si>
    <t>Underwater gear</t>
  </si>
  <si>
    <t>Secondary attributes? Magic find, karma boost etc</t>
  </si>
  <si>
    <t>Coefficient calculator?</t>
  </si>
  <si>
    <t>Sigil integration, some give ordinary bonuses</t>
  </si>
  <si>
    <t>Modifiers that interact with attributes - healing to other allies, strike damage, etc</t>
  </si>
  <si>
    <t>Alerts for when a selected trait has conditions or stacks that haven't been enabled in the trait selection sheet</t>
  </si>
  <si>
    <t>Major (if 1 Major)</t>
  </si>
  <si>
    <t>Major (if 2 Majors)</t>
  </si>
  <si>
    <t>Minor (if 1 Major)</t>
  </si>
  <si>
    <t>Minor (if 2 Majors)</t>
  </si>
  <si>
    <t>Jewel</t>
  </si>
  <si>
    <t>Shield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</si>
</sst>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7">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b/>
      <sz val="12"/>
      <color rgb="FFFF0000"/>
      <name val="Aptos Narrow"/>
      <family val="2"/>
      <scheme val="minor"/>
    </font>
    <font>
      <b/>
      <sz val="14"/>
      <color theme="0"/>
      <name val="Aptos Narrow"/>
      <family val="2"/>
      <scheme val="minor"/>
    </font>
    <font>
      <b/>
      <sz val="24"/>
      <color theme="0"/>
      <name val="Verdana"/>
    </font>
    <font>
      <b/>
      <sz val="11"/>
      <color theme="0"/>
      <name val="Verdana"/>
    </font>
    <font>
      <b/>
      <sz val="12"/>
      <color theme="0"/>
      <name val="Aptos Narrow"/>
      <family val="2"/>
      <scheme val="minor"/>
    </font>
    <font>
      <sz val="48"/>
      <color theme="1"/>
      <name val="Aptos Narrow"/>
      <family val="2"/>
      <scheme val="minor"/>
    </font>
    <font>
      <i/>
      <sz val="12"/>
      <color theme="0"/>
      <name val="Aptos"/>
    </font>
    <font>
      <b/>
      <sz val="11"/>
      <color rgb="FF000000"/>
      <name val="Aptos Narrow"/>
      <scheme val="minor"/>
    </font>
    <font>
      <sz val="14"/>
      <color theme="0"/>
      <name val="Aptos Narrow"/>
      <family val="2"/>
      <scheme val="minor"/>
    </font>
    <font>
      <sz val="20"/>
      <color theme="0"/>
      <name val="Verdana"/>
    </font>
    <font>
      <sz val="16"/>
      <color theme="0"/>
      <name val="Verdana"/>
    </font>
    <font>
      <sz val="14"/>
      <color theme="0"/>
      <name val="Verdana"/>
    </font>
    <font>
      <sz val="18"/>
      <color theme="0"/>
      <name val="Verdana"/>
    </font>
    <font>
      <sz val="11"/>
      <color theme="4" tint="-0.499984740745262"/>
      <name val="Aptos Narrow"/>
      <family val="2"/>
      <scheme val="minor"/>
    </font>
    <font>
      <sz val="11"/>
      <color theme="4" tint="-0.499984740745262"/>
      <name val="Verdana"/>
    </font>
    <font>
      <sz val="11"/>
      <color rgb="FFFF0000"/>
      <name val="Verdana"/>
    </font>
    <font>
      <b/>
      <sz val="12"/>
      <color rgb="FFFF0000"/>
      <name val="Verdana"/>
    </font>
    <font>
      <sz val="12"/>
      <color theme="0"/>
      <name val="Verdana"/>
    </font>
    <font>
      <sz val="11"/>
      <color theme="0"/>
      <name val="Verdana"/>
    </font>
    <font>
      <sz val="10"/>
      <color theme="0"/>
      <name val="Verdana"/>
    </font>
    <font>
      <i/>
      <sz val="10"/>
      <color theme="4" tint="-0.499984740745262"/>
      <name val="Verdana"/>
    </font>
    <font>
      <b/>
      <sz val="11"/>
      <color theme="8" tint="-0.249977111117893"/>
      <name val="Verdana"/>
    </font>
    <font>
      <sz val="11"/>
      <color theme="1"/>
      <name val="Verdana"/>
    </font>
    <font>
      <sz val="11"/>
      <color theme="8" tint="-0.249977111117893"/>
      <name val="Verdana"/>
    </font>
    <font>
      <b/>
      <sz val="11"/>
      <color theme="9" tint="-0.499984740745262"/>
      <name val="Verdana"/>
    </font>
    <font>
      <b/>
      <sz val="11"/>
      <color theme="9" tint="-0.249977111117893"/>
      <name val="Verdana"/>
    </font>
    <font>
      <b/>
      <sz val="10"/>
      <color theme="0"/>
      <name val="Verdana"/>
    </font>
    <font>
      <sz val="10"/>
      <color theme="4" tint="-0.499984740745262"/>
      <name val="Verdana"/>
    </font>
    <font>
      <b/>
      <i/>
      <sz val="11"/>
      <color theme="8" tint="-0.249977111117893"/>
      <name val="Verdana"/>
    </font>
    <font>
      <b/>
      <sz val="12"/>
      <color rgb="FFC00000"/>
      <name val="Verdana"/>
    </font>
    <font>
      <sz val="10.5"/>
      <color theme="0"/>
      <name val="Verdana"/>
    </font>
    <font>
      <i/>
      <sz val="12"/>
      <color rgb="FFC00000"/>
      <name val="Verdana"/>
    </font>
    <font>
      <i/>
      <sz val="10"/>
      <color theme="1"/>
      <name val="Verdana"/>
    </font>
    <font>
      <sz val="10"/>
      <color rgb="FF006100"/>
      <name val="Verdana"/>
    </font>
    <font>
      <sz val="10"/>
      <color rgb="FF9C5700"/>
      <name val="Verdana"/>
    </font>
    <font>
      <sz val="9"/>
      <color theme="0"/>
      <name val="Verdana"/>
    </font>
    <font>
      <sz val="9"/>
      <color theme="4" tint="-0.499984740745262"/>
      <name val="Verdana"/>
    </font>
    <font>
      <sz val="10"/>
      <color theme="1"/>
      <name val="Verdana"/>
    </font>
    <font>
      <sz val="10"/>
      <color rgb="FF8A7160"/>
      <name val="Verdana"/>
    </font>
    <font>
      <i/>
      <sz val="10"/>
      <color theme="0"/>
      <name val="Verdana"/>
    </font>
    <font>
      <sz val="11"/>
      <color theme="5" tint="-0.499984740745262"/>
      <name val="Verdana"/>
    </font>
    <font>
      <b/>
      <sz val="10"/>
      <color rgb="FF000000"/>
      <name val="Verdana"/>
    </font>
    <font>
      <sz val="10"/>
      <color theme="2" tint="-0.499984740745262"/>
      <name val="Verdana"/>
    </font>
    <font>
      <sz val="10"/>
      <color rgb="FFFFFFFF"/>
      <name val="Verdana"/>
    </font>
    <font>
      <sz val="10"/>
      <color rgb="FF000000"/>
      <name val="Verdana"/>
    </font>
    <font>
      <sz val="9"/>
      <color theme="1"/>
      <name val="Verdana"/>
    </font>
    <font>
      <i/>
      <sz val="9"/>
      <color theme="0"/>
      <name val="Verdana"/>
    </font>
    <font>
      <sz val="11"/>
      <color rgb="FF006100"/>
      <name val="Calibri"/>
      <scheme val="minor"/>
    </font>
    <font>
      <sz val="11"/>
      <color rgb="FF9C5700"/>
      <name val="Calibri"/>
      <scheme val="minor"/>
    </font>
    <font>
      <b/>
      <sz val="11"/>
      <color theme="1"/>
      <name val="Verdana"/>
    </font>
    <font>
      <sz val="9"/>
      <color rgb="FFFFFFFE"/>
      <name val="Verdana"/>
    </font>
    <font>
      <sz val="10"/>
      <color rgb="FFFFFFFE"/>
      <name val="Verdana"/>
    </font>
    <font>
      <sz val="11"/>
      <color theme="0"/>
      <name val="Aptos Narrow"/>
      <scheme val="minor"/>
    </font>
    <font>
      <sz val="16"/>
      <color rgb="FF000000"/>
      <name val="Verdana"/>
    </font>
    <font>
      <sz val="11"/>
      <color rgb="FF000000"/>
      <name val="Verdana"/>
    </font>
    <font>
      <sz val="14"/>
      <color rgb="FF52230A"/>
      <name val="Verdana"/>
    </font>
    <font>
      <sz val="11"/>
      <color rgb="FF242424"/>
      <name val="Verdana"/>
    </font>
    <font>
      <i/>
      <sz val="9"/>
      <color theme="4" tint="-0.499984740745262"/>
      <name val="Verdana"/>
    </font>
    <font>
      <i/>
      <sz val="11"/>
      <color theme="4" tint="-0.499984740745262"/>
      <name val="Verdana"/>
    </font>
    <font>
      <sz val="12"/>
      <color theme="4" tint="-0.499984740745262"/>
      <name val="Verdana"/>
    </font>
    <font>
      <sz val="10"/>
      <color rgb="FF002060"/>
      <name val="Verdana"/>
    </font>
    <font>
      <i/>
      <sz val="14"/>
      <color theme="4" tint="-0.499984740745262"/>
      <name val="Verdana"/>
    </font>
    <font>
      <sz val="11"/>
      <color rgb="FF242424"/>
      <name val="Consolas"/>
      <charset val="1"/>
    </font>
  </fonts>
  <fills count="15">
    <fill>
      <patternFill patternType="none"/>
    </fill>
    <fill>
      <patternFill patternType="gray125"/>
    </fill>
    <fill>
      <patternFill patternType="solid">
        <fgColor theme="0"/>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C6EFCE"/>
        <bgColor indexed="64"/>
      </patternFill>
    </fill>
    <fill>
      <patternFill patternType="solid">
        <fgColor rgb="FFFFEB9C"/>
        <bgColor indexed="64"/>
      </patternFill>
    </fill>
    <fill>
      <patternFill patternType="solid">
        <fgColor rgb="FFC00000"/>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rgb="FF215C98"/>
        <bgColor indexed="64"/>
      </patternFill>
    </fill>
    <fill>
      <patternFill patternType="solid">
        <fgColor theme="4" tint="-0.249977111117893"/>
        <bgColor indexed="64"/>
      </patternFill>
    </fill>
    <fill>
      <patternFill patternType="solid">
        <fgColor rgb="FFC6EFCE"/>
      </patternFill>
    </fill>
    <fill>
      <patternFill patternType="solid">
        <fgColor rgb="FFFFEB9C"/>
      </patternFill>
    </fill>
    <fill>
      <patternFill patternType="solid">
        <fgColor theme="3" tint="9.9978637043366805E-2"/>
        <bgColor indexed="64"/>
      </patternFill>
    </fill>
  </fills>
  <borders count="128">
    <border>
      <left/>
      <right/>
      <top/>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diagonal/>
    </border>
    <border>
      <left/>
      <right style="thin">
        <color theme="2"/>
      </right>
      <top style="thin">
        <color theme="2"/>
      </top>
      <bottom/>
      <diagonal/>
    </border>
    <border>
      <left/>
      <right style="thin">
        <color theme="2"/>
      </right>
      <top/>
      <bottom style="thin">
        <color theme="2"/>
      </bottom>
      <diagonal/>
    </border>
    <border>
      <left/>
      <right/>
      <top style="thin">
        <color theme="2"/>
      </top>
      <bottom/>
      <diagonal/>
    </border>
    <border>
      <left/>
      <right/>
      <top/>
      <bottom style="thin">
        <color theme="2"/>
      </bottom>
      <diagonal/>
    </border>
    <border>
      <left style="thin">
        <color theme="0"/>
      </left>
      <right style="thin">
        <color theme="0"/>
      </right>
      <top style="thin">
        <color theme="0"/>
      </top>
      <bottom style="thin">
        <color theme="0"/>
      </bottom>
      <diagonal/>
    </border>
    <border>
      <left/>
      <right style="thin">
        <color theme="2"/>
      </right>
      <top/>
      <bottom style="thin">
        <color theme="0"/>
      </bottom>
      <diagonal/>
    </border>
    <border>
      <left/>
      <right/>
      <top/>
      <bottom style="thin">
        <color theme="0"/>
      </bottom>
      <diagonal/>
    </border>
    <border>
      <left/>
      <right style="thin">
        <color theme="0"/>
      </right>
      <top/>
      <bottom/>
      <diagonal/>
    </border>
    <border>
      <left/>
      <right style="thin">
        <color theme="0"/>
      </right>
      <top style="thin">
        <color theme="0"/>
      </top>
      <bottom/>
      <diagonal/>
    </border>
    <border>
      <left/>
      <right style="thin">
        <color theme="0"/>
      </right>
      <top/>
      <bottom style="thin">
        <color theme="0"/>
      </bottom>
      <diagonal/>
    </border>
    <border>
      <left style="thin">
        <color theme="2" tint="-0.249977111117893"/>
      </left>
      <right style="thin">
        <color theme="0"/>
      </right>
      <top style="thin">
        <color theme="2" tint="-0.249977111117893"/>
      </top>
      <bottom/>
      <diagonal/>
    </border>
    <border>
      <left style="thin">
        <color theme="2" tint="-0.249977111117893"/>
      </left>
      <right style="thin">
        <color theme="0"/>
      </right>
      <top/>
      <bottom style="thin">
        <color theme="0"/>
      </bottom>
      <diagonal/>
    </border>
    <border>
      <left style="thin">
        <color theme="0"/>
      </left>
      <right/>
      <top style="thin">
        <color theme="0"/>
      </top>
      <bottom style="thin">
        <color theme="0"/>
      </bottom>
      <diagonal/>
    </border>
    <border>
      <left style="thin">
        <color theme="0"/>
      </left>
      <right/>
      <top/>
      <bottom/>
      <diagonal/>
    </border>
    <border>
      <left/>
      <right/>
      <top style="thin">
        <color theme="0"/>
      </top>
      <bottom/>
      <diagonal/>
    </border>
    <border>
      <left/>
      <right/>
      <top style="thin">
        <color theme="0"/>
      </top>
      <bottom style="thin">
        <color theme="0"/>
      </bottom>
      <diagonal/>
    </border>
    <border>
      <left style="thin">
        <color theme="2"/>
      </left>
      <right/>
      <top/>
      <bottom style="thin">
        <color theme="2"/>
      </bottom>
      <diagonal/>
    </border>
    <border>
      <left style="thin">
        <color theme="2"/>
      </left>
      <right/>
      <top style="thin">
        <color theme="2"/>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2"/>
      </left>
      <right/>
      <top/>
      <bottom/>
      <diagonal/>
    </border>
    <border>
      <left style="thin">
        <color theme="0"/>
      </left>
      <right style="thin">
        <color theme="0"/>
      </right>
      <top style="thin">
        <color theme="0"/>
      </top>
      <bottom/>
      <diagonal/>
    </border>
    <border>
      <left/>
      <right style="thin">
        <color theme="2"/>
      </right>
      <top/>
      <bottom/>
      <diagonal/>
    </border>
    <border>
      <left/>
      <right style="thin">
        <color theme="0" tint="-0.14999847407452621"/>
      </right>
      <top style="thin">
        <color theme="0" tint="-0.14999847407452621"/>
      </top>
      <bottom style="thin">
        <color theme="0" tint="-0.14999847407452621"/>
      </bottom>
      <diagonal/>
    </border>
    <border>
      <left/>
      <right style="thin">
        <color theme="2"/>
      </right>
      <top style="thin">
        <color theme="2"/>
      </top>
      <bottom style="thin">
        <color theme="2"/>
      </bottom>
      <diagonal/>
    </border>
    <border>
      <left style="thin">
        <color theme="2"/>
      </left>
      <right style="thin">
        <color theme="0"/>
      </right>
      <top style="thin">
        <color theme="0"/>
      </top>
      <bottom style="thin">
        <color theme="0"/>
      </bottom>
      <diagonal/>
    </border>
    <border>
      <left/>
      <right/>
      <top style="thin">
        <color theme="2" tint="-0.749992370372631"/>
      </top>
      <bottom/>
      <diagonal/>
    </border>
    <border>
      <left style="thin">
        <color theme="2"/>
      </left>
      <right style="thin">
        <color theme="0"/>
      </right>
      <top style="thin">
        <color theme="2"/>
      </top>
      <bottom style="thin">
        <color theme="0"/>
      </bottom>
      <diagonal/>
    </border>
    <border>
      <left style="thin">
        <color theme="2"/>
      </left>
      <right/>
      <top style="thin">
        <color theme="0"/>
      </top>
      <bottom style="thin">
        <color theme="0"/>
      </bottom>
      <diagonal/>
    </border>
    <border>
      <left/>
      <right/>
      <top style="thin">
        <color theme="2"/>
      </top>
      <bottom style="thin">
        <color theme="0"/>
      </bottom>
      <diagonal/>
    </border>
    <border>
      <left style="thin">
        <color theme="2" tint="-9.9978637043366805E-2"/>
      </left>
      <right/>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0"/>
      </left>
      <right style="thin">
        <color theme="2"/>
      </right>
      <top style="thin">
        <color theme="0"/>
      </top>
      <bottom style="thin">
        <color theme="0"/>
      </bottom>
      <diagonal/>
    </border>
    <border>
      <left style="thin">
        <color theme="0"/>
      </left>
      <right style="thin">
        <color theme="2"/>
      </right>
      <top/>
      <bottom style="thin">
        <color theme="0"/>
      </bottom>
      <diagonal/>
    </border>
    <border>
      <left/>
      <right style="thin">
        <color theme="0"/>
      </right>
      <top style="medium">
        <color theme="9" tint="-0.249977111117893"/>
      </top>
      <bottom style="medium">
        <color theme="9" tint="-0.249977111117893"/>
      </bottom>
      <diagonal/>
    </border>
    <border>
      <left style="thin">
        <color theme="0"/>
      </left>
      <right style="thin">
        <color rgb="FFDAF2D0"/>
      </right>
      <top style="thin">
        <color theme="0"/>
      </top>
      <bottom style="thin">
        <color theme="0"/>
      </bottom>
      <diagonal/>
    </border>
    <border>
      <left/>
      <right style="thin">
        <color theme="0"/>
      </right>
      <top style="thin">
        <color theme="0"/>
      </top>
      <bottom style="dotted">
        <color theme="5" tint="-0.499984740745262"/>
      </bottom>
      <diagonal/>
    </border>
    <border>
      <left style="thin">
        <color theme="0"/>
      </left>
      <right style="thin">
        <color theme="0"/>
      </right>
      <top/>
      <bottom style="dotted">
        <color theme="5" tint="-0.499984740745262"/>
      </bottom>
      <diagonal/>
    </border>
    <border>
      <left style="thin">
        <color theme="0"/>
      </left>
      <right/>
      <top/>
      <bottom style="dotted">
        <color theme="5" tint="-0.499984740745262"/>
      </bottom>
      <diagonal/>
    </border>
    <border>
      <left style="thin">
        <color theme="0"/>
      </left>
      <right style="thin">
        <color theme="0"/>
      </right>
      <top style="thin">
        <color theme="0"/>
      </top>
      <bottom style="dotted">
        <color theme="5" tint="-0.499984740745262"/>
      </bottom>
      <diagonal/>
    </border>
    <border>
      <left/>
      <right style="thin">
        <color theme="0"/>
      </right>
      <top style="thin">
        <color theme="0"/>
      </top>
      <bottom style="thin">
        <color rgb="FFFFDBDB"/>
      </bottom>
      <diagonal/>
    </border>
    <border>
      <left style="thin">
        <color theme="0"/>
      </left>
      <right style="thin">
        <color theme="0"/>
      </right>
      <top style="thin">
        <color theme="2"/>
      </top>
      <bottom style="thin">
        <color theme="0"/>
      </bottom>
      <diagonal/>
    </border>
    <border>
      <left style="thin">
        <color theme="0"/>
      </left>
      <right/>
      <top style="thin">
        <color theme="2"/>
      </top>
      <bottom style="thin">
        <color theme="0"/>
      </bottom>
      <diagonal/>
    </border>
    <border>
      <left/>
      <right style="thin">
        <color theme="0"/>
      </right>
      <top style="thin">
        <color theme="2" tint="-0.249977111117893"/>
      </top>
      <bottom/>
      <diagonal/>
    </border>
    <border>
      <left/>
      <right/>
      <top style="thin">
        <color theme="2" tint="-9.9978637043366805E-2"/>
      </top>
      <bottom/>
      <diagonal/>
    </border>
    <border>
      <left/>
      <right/>
      <top style="thin">
        <color theme="3" tint="0.89999084444715716"/>
      </top>
      <bottom/>
      <diagonal/>
    </border>
    <border>
      <left/>
      <right style="thin">
        <color theme="0"/>
      </right>
      <top style="thin">
        <color theme="3" tint="0.89999084444715716"/>
      </top>
      <bottom style="thin">
        <color theme="0"/>
      </bottom>
      <diagonal/>
    </border>
    <border>
      <left/>
      <right style="thin">
        <color theme="0"/>
      </right>
      <top style="thin">
        <color theme="3" tint="0.749992370372631"/>
      </top>
      <bottom style="thin">
        <color theme="0"/>
      </bottom>
      <diagonal/>
    </border>
    <border>
      <left/>
      <right style="thin">
        <color theme="0"/>
      </right>
      <top style="thin">
        <color theme="0"/>
      </top>
      <bottom style="thin">
        <color theme="3" tint="0.249977111117893"/>
      </bottom>
      <diagonal/>
    </border>
    <border>
      <left/>
      <right style="thin">
        <color theme="0"/>
      </right>
      <top/>
      <bottom style="thin">
        <color theme="3" tint="0.749992370372631"/>
      </bottom>
      <diagonal/>
    </border>
    <border>
      <left style="thin">
        <color theme="0"/>
      </left>
      <right style="thin">
        <color theme="0"/>
      </right>
      <top/>
      <bottom style="thin">
        <color theme="3" tint="0.749992370372631"/>
      </bottom>
      <diagonal/>
    </border>
    <border>
      <left style="thin">
        <color theme="0"/>
      </left>
      <right/>
      <top/>
      <bottom style="thin">
        <color theme="3" tint="0.749992370372631"/>
      </bottom>
      <diagonal/>
    </border>
    <border>
      <left/>
      <right style="thin">
        <color rgb="FFDAF2D0"/>
      </right>
      <top style="thin">
        <color theme="0"/>
      </top>
      <bottom style="thin">
        <color theme="0"/>
      </bottom>
      <diagonal/>
    </border>
    <border>
      <left/>
      <right style="thin">
        <color rgb="FFDAF2D0"/>
      </right>
      <top/>
      <bottom style="thin">
        <color theme="0"/>
      </bottom>
      <diagonal/>
    </border>
    <border>
      <left/>
      <right/>
      <top style="medium">
        <color theme="9" tint="-0.249977111117893"/>
      </top>
      <bottom style="medium">
        <color theme="9" tint="-0.249977111117893"/>
      </bottom>
      <diagonal/>
    </border>
    <border>
      <left/>
      <right style="thin">
        <color theme="0"/>
      </right>
      <top/>
      <bottom style="medium">
        <color theme="9" tint="-0.249977111117893"/>
      </bottom>
      <diagonal/>
    </border>
    <border>
      <left/>
      <right style="thin">
        <color theme="0"/>
      </right>
      <top style="medium">
        <color theme="9" tint="-0.249977111117893"/>
      </top>
      <bottom style="thin">
        <color theme="4" tint="-0.499984740745262"/>
      </bottom>
      <diagonal/>
    </border>
    <border>
      <left/>
      <right style="thin">
        <color rgb="FFDAF2D0"/>
      </right>
      <top style="thin">
        <color theme="0"/>
      </top>
      <bottom style="thin">
        <color theme="4" tint="-0.499984740745262"/>
      </bottom>
      <diagonal/>
    </border>
    <border>
      <left/>
      <right style="thin">
        <color theme="0"/>
      </right>
      <top style="thin">
        <color theme="0"/>
      </top>
      <bottom style="thin">
        <color theme="4" tint="-0.499984740745262"/>
      </bottom>
      <diagonal/>
    </border>
    <border>
      <left style="thin">
        <color theme="0"/>
      </left>
      <right style="thin">
        <color theme="0"/>
      </right>
      <top style="thin">
        <color theme="0"/>
      </top>
      <bottom style="thin">
        <color theme="4" tint="-0.499984740745262"/>
      </bottom>
      <diagonal/>
    </border>
    <border>
      <left style="thin">
        <color theme="0"/>
      </left>
      <right style="thin">
        <color theme="9" tint="0.59999389629810485"/>
      </right>
      <top style="thin">
        <color theme="0"/>
      </top>
      <bottom style="thin">
        <color theme="4" tint="-0.499984740745262"/>
      </bottom>
      <diagonal/>
    </border>
    <border>
      <left style="thin">
        <color theme="0"/>
      </left>
      <right/>
      <top style="thin">
        <color theme="0"/>
      </top>
      <bottom style="thin">
        <color theme="4" tint="-0.499984740745262"/>
      </bottom>
      <diagonal/>
    </border>
    <border>
      <left style="thin">
        <color theme="0"/>
      </left>
      <right style="thin">
        <color theme="2"/>
      </right>
      <top style="thin">
        <color theme="0"/>
      </top>
      <bottom style="thin">
        <color theme="4" tint="-0.499984740745262"/>
      </bottom>
      <diagonal/>
    </border>
    <border>
      <left/>
      <right style="thin">
        <color theme="0"/>
      </right>
      <top style="thin">
        <color theme="3" tint="0.499984740745262"/>
      </top>
      <bottom style="medium">
        <color theme="9" tint="-0.249977111117893"/>
      </bottom>
      <diagonal/>
    </border>
    <border>
      <left/>
      <right style="thin">
        <color rgb="FFDAF2D0"/>
      </right>
      <top style="thin">
        <color theme="3" tint="0.749992370372631"/>
      </top>
      <bottom style="thin">
        <color theme="0"/>
      </bottom>
      <diagonal/>
    </border>
    <border>
      <left style="thin">
        <color theme="0"/>
      </left>
      <right style="thin">
        <color theme="0"/>
      </right>
      <top style="thin">
        <color theme="3" tint="0.89999084444715716"/>
      </top>
      <bottom style="thin">
        <color theme="0"/>
      </bottom>
      <diagonal/>
    </border>
    <border>
      <left style="thin">
        <color theme="0"/>
      </left>
      <right/>
      <top style="thin">
        <color theme="3" tint="0.89999084444715716"/>
      </top>
      <bottom style="thin">
        <color theme="0"/>
      </bottom>
      <diagonal/>
    </border>
    <border>
      <left/>
      <right/>
      <top style="thin">
        <color theme="3" tint="0.499984740745262"/>
      </top>
      <bottom style="thin">
        <color theme="0"/>
      </bottom>
      <diagonal/>
    </border>
    <border>
      <left/>
      <right/>
      <top style="thin">
        <color theme="0"/>
      </top>
      <bottom style="thin">
        <color theme="4" tint="-0.499984740745262"/>
      </bottom>
      <diagonal/>
    </border>
    <border>
      <left/>
      <right/>
      <top/>
      <bottom style="thin">
        <color theme="4" tint="-0.499984740745262"/>
      </bottom>
      <diagonal/>
    </border>
    <border>
      <left/>
      <right style="thin">
        <color theme="0"/>
      </right>
      <top/>
      <bottom style="thin">
        <color theme="4" tint="-0.499984740745262"/>
      </bottom>
      <diagonal/>
    </border>
    <border>
      <left style="thin">
        <color theme="0"/>
      </left>
      <right style="thin">
        <color theme="0"/>
      </right>
      <top/>
      <bottom style="thin">
        <color theme="4" tint="-0.499984740745262"/>
      </bottom>
      <diagonal/>
    </border>
    <border>
      <left style="thin">
        <color theme="0"/>
      </left>
      <right/>
      <top/>
      <bottom style="thin">
        <color theme="4" tint="-0.499984740745262"/>
      </bottom>
      <diagonal/>
    </border>
    <border>
      <left style="thin">
        <color theme="0"/>
      </left>
      <right style="dashed">
        <color theme="4" tint="-0.499984740745262"/>
      </right>
      <top/>
      <bottom style="thin">
        <color theme="0"/>
      </bottom>
      <diagonal/>
    </border>
    <border>
      <left style="thin">
        <color theme="0"/>
      </left>
      <right style="dashed">
        <color theme="4" tint="-0.499984740745262"/>
      </right>
      <top style="thin">
        <color theme="0"/>
      </top>
      <bottom style="thin">
        <color theme="0"/>
      </bottom>
      <diagonal/>
    </border>
    <border>
      <left/>
      <right style="dashed">
        <color theme="4" tint="-0.499984740745262"/>
      </right>
      <top style="thin">
        <color theme="0"/>
      </top>
      <bottom style="thin">
        <color theme="0"/>
      </bottom>
      <diagonal/>
    </border>
    <border>
      <left/>
      <right style="dashed">
        <color theme="4" tint="-0.499984740745262"/>
      </right>
      <top style="thin">
        <color theme="0"/>
      </top>
      <bottom/>
      <diagonal/>
    </border>
    <border>
      <left style="thin">
        <color theme="0"/>
      </left>
      <right style="dashed">
        <color theme="0"/>
      </right>
      <top/>
      <bottom/>
      <diagonal/>
    </border>
    <border>
      <left style="thin">
        <color theme="0"/>
      </left>
      <right style="thin">
        <color theme="0"/>
      </right>
      <top style="thin">
        <color theme="0"/>
      </top>
      <bottom style="thin">
        <color theme="2"/>
      </bottom>
      <diagonal/>
    </border>
    <border>
      <left style="thin">
        <color theme="0"/>
      </left>
      <right style="thin">
        <color theme="0"/>
      </right>
      <top style="thin">
        <color theme="0"/>
      </top>
      <bottom style="thin">
        <color theme="3" tint="0.249977111117893"/>
      </bottom>
      <diagonal/>
    </border>
    <border>
      <left style="thin">
        <color theme="0"/>
      </left>
      <right/>
      <top style="thin">
        <color theme="0"/>
      </top>
      <bottom style="thin">
        <color theme="3" tint="0.249977111117893"/>
      </bottom>
      <diagonal/>
    </border>
    <border>
      <left/>
      <right style="thin">
        <color theme="0"/>
      </right>
      <top style="thin">
        <color theme="4" tint="-0.249977111117893"/>
      </top>
      <bottom/>
      <diagonal/>
    </border>
    <border>
      <left style="thin">
        <color theme="0"/>
      </left>
      <right style="thin">
        <color theme="0"/>
      </right>
      <top style="thin">
        <color theme="4" tint="-0.249977111117893"/>
      </top>
      <bottom/>
      <diagonal/>
    </border>
    <border>
      <left style="thin">
        <color theme="0"/>
      </left>
      <right/>
      <top style="thin">
        <color theme="4" tint="-0.249977111117893"/>
      </top>
      <bottom/>
      <diagonal/>
    </border>
    <border>
      <left/>
      <right style="thin">
        <color theme="3" tint="0.499984740745262"/>
      </right>
      <top style="thin">
        <color theme="0"/>
      </top>
      <bottom style="thin">
        <color theme="0"/>
      </bottom>
      <diagonal/>
    </border>
    <border>
      <left/>
      <right style="thin">
        <color theme="3" tint="0.499984740745262"/>
      </right>
      <top style="thin">
        <color theme="0"/>
      </top>
      <bottom/>
      <diagonal/>
    </border>
    <border>
      <left style="thin">
        <color theme="2"/>
      </left>
      <right style="dashed">
        <color theme="4" tint="-0.499984740745262"/>
      </right>
      <top style="thin">
        <color theme="0"/>
      </top>
      <bottom style="thin">
        <color theme="2"/>
      </bottom>
      <diagonal/>
    </border>
    <border>
      <left style="thin">
        <color theme="2"/>
      </left>
      <right style="thin">
        <color theme="0"/>
      </right>
      <top style="thin">
        <color theme="0"/>
      </top>
      <bottom style="thin">
        <color theme="2"/>
      </bottom>
      <diagonal/>
    </border>
    <border>
      <left/>
      <right style="thin">
        <color theme="0"/>
      </right>
      <top style="thin">
        <color theme="3" tint="9.9978637043366805E-2"/>
      </top>
      <bottom/>
      <diagonal/>
    </border>
    <border>
      <left style="thin">
        <color theme="0"/>
      </left>
      <right style="dotted">
        <color theme="0"/>
      </right>
      <top/>
      <bottom style="dotted">
        <color theme="0"/>
      </bottom>
      <diagonal/>
    </border>
    <border>
      <left style="dotted">
        <color theme="0"/>
      </left>
      <right style="dotted">
        <color theme="0"/>
      </right>
      <top/>
      <bottom style="dotted">
        <color theme="0"/>
      </bottom>
      <diagonal/>
    </border>
    <border>
      <left style="dotted">
        <color theme="0"/>
      </left>
      <right/>
      <top/>
      <bottom style="dotted">
        <color theme="0"/>
      </bottom>
      <diagonal/>
    </border>
    <border>
      <left style="thin">
        <color theme="0"/>
      </left>
      <right style="dotted">
        <color theme="0"/>
      </right>
      <top style="thin">
        <color theme="0"/>
      </top>
      <bottom style="thin">
        <color theme="0"/>
      </bottom>
      <diagonal/>
    </border>
    <border>
      <left style="dotted">
        <color theme="0"/>
      </left>
      <right style="dotted">
        <color theme="0"/>
      </right>
      <top style="thin">
        <color theme="0"/>
      </top>
      <bottom style="thin">
        <color theme="0"/>
      </bottom>
      <diagonal/>
    </border>
    <border>
      <left style="dotted">
        <color theme="0"/>
      </left>
      <right style="thin">
        <color theme="2"/>
      </right>
      <top style="thin">
        <color theme="0"/>
      </top>
      <bottom style="thin">
        <color theme="0"/>
      </bottom>
      <diagonal/>
    </border>
    <border>
      <left style="thin">
        <color theme="2"/>
      </left>
      <right/>
      <top style="thin">
        <color theme="2"/>
      </top>
      <bottom style="thin">
        <color theme="0"/>
      </bottom>
      <diagonal/>
    </border>
    <border>
      <left/>
      <right style="thin">
        <color theme="2"/>
      </right>
      <top style="thin">
        <color theme="2"/>
      </top>
      <bottom style="thin">
        <color theme="0"/>
      </bottom>
      <diagonal/>
    </border>
    <border>
      <left/>
      <right/>
      <top style="thin">
        <color theme="0"/>
      </top>
      <bottom style="dashed">
        <color theme="4" tint="-0.499984740745262"/>
      </bottom>
      <diagonal/>
    </border>
    <border>
      <left/>
      <right style="dashed">
        <color theme="4" tint="-0.499984740745262"/>
      </right>
      <top style="thin">
        <color theme="0"/>
      </top>
      <bottom style="dashed">
        <color theme="4" tint="-0.499984740745262"/>
      </bottom>
      <diagonal/>
    </border>
    <border>
      <left/>
      <right style="thin">
        <color theme="0"/>
      </right>
      <top style="thin">
        <color theme="0"/>
      </top>
      <bottom style="dashed">
        <color theme="4" tint="-0.499984740745262"/>
      </bottom>
      <diagonal/>
    </border>
    <border>
      <left style="thin">
        <color theme="0"/>
      </left>
      <right style="thin">
        <color theme="0"/>
      </right>
      <top style="thin">
        <color theme="0"/>
      </top>
      <bottom style="dashed">
        <color theme="4" tint="-0.499984740745262"/>
      </bottom>
      <diagonal/>
    </border>
    <border>
      <left/>
      <right style="thin">
        <color theme="3" tint="0.499984740745262"/>
      </right>
      <top/>
      <bottom style="thin">
        <color theme="0"/>
      </bottom>
      <diagonal/>
    </border>
    <border>
      <left/>
      <right style="dashed">
        <color theme="4" tint="-0.499984740745262"/>
      </right>
      <top/>
      <bottom style="thin">
        <color theme="0"/>
      </bottom>
      <diagonal/>
    </border>
    <border>
      <left/>
      <right style="thin">
        <color theme="0"/>
      </right>
      <top style="dashed">
        <color theme="4" tint="-0.499984740745262"/>
      </top>
      <bottom/>
      <diagonal/>
    </border>
    <border>
      <left style="thin">
        <color theme="0"/>
      </left>
      <right style="thin">
        <color theme="0"/>
      </right>
      <top style="dashed">
        <color theme="4" tint="-0.499984740745262"/>
      </top>
      <bottom/>
      <diagonal/>
    </border>
    <border>
      <left style="thin">
        <color theme="0"/>
      </left>
      <right/>
      <top style="dashed">
        <color theme="4" tint="-0.499984740745262"/>
      </top>
      <bottom/>
      <diagonal/>
    </border>
    <border>
      <left style="thin">
        <color theme="2"/>
      </left>
      <right style="thin">
        <color theme="0"/>
      </right>
      <top style="thin">
        <color theme="0"/>
      </top>
      <bottom style="dashed">
        <color theme="4" tint="-0.249977111117893"/>
      </bottom>
      <diagonal/>
    </border>
    <border>
      <left style="thin">
        <color theme="0"/>
      </left>
      <right style="thin">
        <color theme="0"/>
      </right>
      <top style="thin">
        <color theme="0"/>
      </top>
      <bottom style="dashed">
        <color theme="4" tint="-0.249977111117893"/>
      </bottom>
      <diagonal/>
    </border>
    <border>
      <left/>
      <right style="thin">
        <color theme="0"/>
      </right>
      <top style="thin">
        <color theme="0"/>
      </top>
      <bottom style="dashed">
        <color theme="4" tint="-0.249977111117893"/>
      </bottom>
      <diagonal/>
    </border>
    <border>
      <left style="thin">
        <color theme="0"/>
      </left>
      <right/>
      <top style="thin">
        <color theme="0"/>
      </top>
      <bottom style="dashed">
        <color theme="4" tint="-0.249977111117893"/>
      </bottom>
      <diagonal/>
    </border>
    <border>
      <left/>
      <right/>
      <top style="thin">
        <color theme="0"/>
      </top>
      <bottom style="dashed">
        <color theme="4" tint="-0.249977111117893"/>
      </bottom>
      <diagonal/>
    </border>
    <border>
      <left style="thin">
        <color theme="2"/>
      </left>
      <right/>
      <top style="thin">
        <color theme="0"/>
      </top>
      <bottom style="dashed">
        <color theme="4" tint="-0.249977111117893"/>
      </bottom>
      <diagonal/>
    </border>
    <border>
      <left style="thin">
        <color theme="2"/>
      </left>
      <right style="thin">
        <color theme="0"/>
      </right>
      <top style="thin">
        <color theme="2"/>
      </top>
      <bottom style="dashed">
        <color theme="4" tint="-0.249977111117893"/>
      </bottom>
      <diagonal/>
    </border>
  </borders>
  <cellStyleXfs count="3">
    <xf numFmtId="0" fontId="0" fillId="0" borderId="0"/>
    <xf numFmtId="0" fontId="51" fillId="12" borderId="0" applyNumberFormat="0" applyBorder="0" applyAlignment="0" applyProtection="0"/>
    <xf numFmtId="0" fontId="52" fillId="13" borderId="0" applyNumberFormat="0" applyBorder="0" applyAlignment="0" applyProtection="0"/>
  </cellStyleXfs>
  <cellXfs count="622">
    <xf numFmtId="0" fontId="0" fillId="0" borderId="0" xfId="0"/>
    <xf numFmtId="0" fontId="0" fillId="2" borderId="1" xfId="0" applyFill="1" applyBorder="1"/>
    <xf numFmtId="0" fontId="0" fillId="0" borderId="1" xfId="0" applyBorder="1"/>
    <xf numFmtId="0" fontId="0" fillId="0" borderId="6" xfId="0" applyBorder="1"/>
    <xf numFmtId="0" fontId="0" fillId="0" borderId="7" xfId="0" applyBorder="1"/>
    <xf numFmtId="0" fontId="0" fillId="0" borderId="0" xfId="0" applyAlignment="1">
      <alignment wrapText="1"/>
    </xf>
    <xf numFmtId="0" fontId="0" fillId="0" borderId="23" xfId="0" applyBorder="1"/>
    <xf numFmtId="0" fontId="0" fillId="0" borderId="3" xfId="0" applyBorder="1"/>
    <xf numFmtId="0" fontId="0" fillId="0" borderId="0" xfId="0" applyAlignment="1">
      <alignment vertical="center" wrapText="1"/>
    </xf>
    <xf numFmtId="1" fontId="4" fillId="0" borderId="0" xfId="0" applyNumberFormat="1" applyFont="1" applyAlignment="1">
      <alignment horizontal="right" vertical="top"/>
    </xf>
    <xf numFmtId="0" fontId="6" fillId="0" borderId="2" xfId="0" applyFont="1" applyBorder="1" applyAlignment="1">
      <alignment vertical="center"/>
    </xf>
    <xf numFmtId="0" fontId="0" fillId="0" borderId="2" xfId="0" applyBorder="1"/>
    <xf numFmtId="0" fontId="0" fillId="0" borderId="22" xfId="0" applyBorder="1"/>
    <xf numFmtId="0" fontId="7" fillId="0" borderId="1" xfId="0" applyFont="1" applyBorder="1" applyAlignment="1">
      <alignment horizontal="center" vertical="center"/>
    </xf>
    <xf numFmtId="0" fontId="9" fillId="0" borderId="0" xfId="0" applyFont="1" applyAlignment="1">
      <alignment vertical="center" wrapText="1"/>
    </xf>
    <xf numFmtId="0" fontId="11" fillId="0" borderId="0" xfId="0" applyFont="1" applyAlignment="1">
      <alignment vertical="center" wrapText="1"/>
    </xf>
    <xf numFmtId="0" fontId="1" fillId="0" borderId="0" xfId="0" applyFont="1" applyAlignment="1">
      <alignment vertical="center" wrapText="1"/>
    </xf>
    <xf numFmtId="1" fontId="10" fillId="0" borderId="8" xfId="0" applyNumberFormat="1" applyFont="1" applyFill="1" applyBorder="1" applyAlignment="1">
      <alignment horizontal="center" vertical="center" wrapText="1"/>
    </xf>
    <xf numFmtId="0" fontId="0" fillId="0" borderId="1" xfId="0" applyFill="1" applyBorder="1" applyAlignment="1">
      <alignment vertical="center"/>
    </xf>
    <xf numFmtId="0" fontId="0" fillId="0" borderId="3" xfId="0" applyFill="1" applyBorder="1" applyAlignment="1">
      <alignment vertical="center"/>
    </xf>
    <xf numFmtId="0" fontId="0" fillId="0" borderId="33" xfId="0" applyBorder="1"/>
    <xf numFmtId="0" fontId="0" fillId="0" borderId="4" xfId="0" applyBorder="1"/>
    <xf numFmtId="0" fontId="5" fillId="0" borderId="33" xfId="0" applyFont="1" applyFill="1" applyBorder="1" applyAlignment="1">
      <alignment vertical="center"/>
    </xf>
    <xf numFmtId="0" fontId="8" fillId="0" borderId="33" xfId="0" applyFont="1" applyFill="1" applyBorder="1" applyAlignment="1"/>
    <xf numFmtId="0" fontId="8" fillId="0" borderId="1" xfId="0" applyFont="1" applyFill="1" applyBorder="1" applyAlignment="1"/>
    <xf numFmtId="0" fontId="8" fillId="0" borderId="3" xfId="0" applyFont="1" applyFill="1" applyBorder="1" applyAlignment="1"/>
    <xf numFmtId="0" fontId="23" fillId="10" borderId="26" xfId="0" applyFont="1" applyFill="1" applyBorder="1" applyAlignment="1">
      <alignment horizontal="center" vertical="center"/>
    </xf>
    <xf numFmtId="0" fontId="19" fillId="0" borderId="0" xfId="0" applyFont="1"/>
    <xf numFmtId="0" fontId="26" fillId="0" borderId="0" xfId="0" applyFont="1"/>
    <xf numFmtId="0" fontId="23" fillId="10" borderId="15" xfId="0" applyFont="1" applyFill="1" applyBorder="1" applyAlignment="1">
      <alignment horizontal="center" vertical="center"/>
    </xf>
    <xf numFmtId="0" fontId="22" fillId="0" borderId="0" xfId="0" applyFont="1"/>
    <xf numFmtId="0" fontId="19" fillId="0" borderId="3" xfId="0" applyFont="1" applyBorder="1"/>
    <xf numFmtId="0" fontId="26" fillId="0" borderId="23" xfId="0" applyFont="1" applyBorder="1"/>
    <xf numFmtId="0" fontId="26" fillId="0" borderId="2" xfId="0" applyFont="1" applyBorder="1"/>
    <xf numFmtId="0" fontId="26" fillId="0" borderId="22" xfId="0" applyFont="1" applyBorder="1"/>
    <xf numFmtId="0" fontId="26" fillId="0" borderId="1" xfId="0" applyFont="1" applyBorder="1"/>
    <xf numFmtId="0" fontId="26" fillId="0" borderId="3" xfId="0" applyFont="1" applyBorder="1"/>
    <xf numFmtId="0" fontId="19" fillId="0" borderId="1" xfId="0" applyFont="1" applyBorder="1" applyAlignment="1">
      <alignment horizontal="center" vertical="center"/>
    </xf>
    <xf numFmtId="0" fontId="32" fillId="0" borderId="1" xfId="0" applyFont="1" applyBorder="1" applyAlignment="1">
      <alignment horizontal="center" vertical="center" wrapText="1"/>
    </xf>
    <xf numFmtId="0" fontId="25" fillId="0" borderId="1" xfId="0" applyFont="1" applyBorder="1" applyAlignment="1">
      <alignment horizontal="center" vertical="center"/>
    </xf>
    <xf numFmtId="0" fontId="19" fillId="0" borderId="4" xfId="0" applyFont="1" applyBorder="1"/>
    <xf numFmtId="0" fontId="25" fillId="0" borderId="3" xfId="0" applyFont="1" applyBorder="1" applyAlignment="1">
      <alignment horizontal="center" vertical="center"/>
    </xf>
    <xf numFmtId="0" fontId="19" fillId="0" borderId="22" xfId="0" applyFont="1" applyBorder="1"/>
    <xf numFmtId="0" fontId="19" fillId="0" borderId="1" xfId="0" applyFont="1" applyBorder="1"/>
    <xf numFmtId="0" fontId="19" fillId="0" borderId="23" xfId="0" applyFont="1" applyBorder="1"/>
    <xf numFmtId="0" fontId="33" fillId="0" borderId="32" xfId="0" applyFont="1" applyBorder="1" applyAlignment="1">
      <alignment horizontal="center" vertical="center" wrapText="1"/>
    </xf>
    <xf numFmtId="0" fontId="34" fillId="0" borderId="0" xfId="0" applyFont="1"/>
    <xf numFmtId="0" fontId="19" fillId="0" borderId="2" xfId="0" applyFont="1" applyBorder="1"/>
    <xf numFmtId="0" fontId="26" fillId="0" borderId="29" xfId="0" applyFont="1" applyBorder="1"/>
    <xf numFmtId="0" fontId="28" fillId="0" borderId="0" xfId="0" applyFont="1" applyAlignment="1">
      <alignment horizontal="center" vertical="center"/>
    </xf>
    <xf numFmtId="0" fontId="29" fillId="0" borderId="0" xfId="0" applyFont="1" applyAlignment="1">
      <alignment horizontal="center" vertical="center"/>
    </xf>
    <xf numFmtId="1" fontId="20" fillId="0" borderId="0" xfId="0" applyNumberFormat="1" applyFont="1" applyAlignment="1">
      <alignment horizontal="right" vertical="top"/>
    </xf>
    <xf numFmtId="0" fontId="26" fillId="0" borderId="45" xfId="0" applyFont="1" applyBorder="1"/>
    <xf numFmtId="0" fontId="26" fillId="0" borderId="46" xfId="0" applyFont="1" applyBorder="1"/>
    <xf numFmtId="0" fontId="26" fillId="0" borderId="39" xfId="0" applyFont="1" applyBorder="1"/>
    <xf numFmtId="0" fontId="26" fillId="0" borderId="40" xfId="0" applyFont="1" applyBorder="1"/>
    <xf numFmtId="0" fontId="35" fillId="2" borderId="41" xfId="0" applyFont="1" applyFill="1" applyBorder="1" applyAlignment="1">
      <alignment vertical="center" wrapText="1"/>
    </xf>
    <xf numFmtId="0" fontId="26" fillId="0" borderId="42" xfId="0" applyFont="1" applyBorder="1"/>
    <xf numFmtId="0" fontId="26" fillId="0" borderId="41" xfId="0" applyFont="1" applyBorder="1"/>
    <xf numFmtId="0" fontId="26" fillId="0" borderId="43" xfId="0" applyFont="1" applyBorder="1"/>
    <xf numFmtId="0" fontId="26" fillId="0" borderId="44" xfId="0" applyFont="1" applyBorder="1"/>
    <xf numFmtId="0" fontId="36" fillId="0" borderId="35" xfId="0" applyFont="1" applyBorder="1" applyAlignment="1">
      <alignment horizontal="center" vertical="center" wrapText="1"/>
    </xf>
    <xf numFmtId="0" fontId="23" fillId="10" borderId="0" xfId="0" applyFont="1" applyFill="1" applyAlignment="1">
      <alignment horizontal="left"/>
    </xf>
    <xf numFmtId="0" fontId="23" fillId="3" borderId="0" xfId="0" applyFont="1" applyFill="1" applyAlignment="1">
      <alignment horizontal="left"/>
    </xf>
    <xf numFmtId="0" fontId="37" fillId="5" borderId="0" xfId="0" applyFont="1" applyFill="1" applyAlignment="1">
      <alignment horizontal="left"/>
    </xf>
    <xf numFmtId="0" fontId="38" fillId="6" borderId="0" xfId="0" applyFont="1" applyFill="1" applyAlignment="1">
      <alignment horizontal="left"/>
    </xf>
    <xf numFmtId="0" fontId="23" fillId="7" borderId="10" xfId="0" applyFont="1" applyFill="1" applyBorder="1" applyAlignment="1">
      <alignment horizontal="left"/>
    </xf>
    <xf numFmtId="0" fontId="15" fillId="8" borderId="58" xfId="0" applyFont="1" applyFill="1" applyBorder="1" applyAlignment="1">
      <alignment horizontal="center" vertical="center"/>
    </xf>
    <xf numFmtId="0" fontId="15" fillId="8" borderId="59" xfId="0" applyFont="1" applyFill="1" applyBorder="1" applyAlignment="1">
      <alignment horizontal="center" vertical="center" wrapText="1"/>
    </xf>
    <xf numFmtId="1" fontId="24" fillId="4" borderId="15" xfId="0" applyNumberFormat="1" applyFont="1" applyFill="1" applyBorder="1" applyAlignment="1">
      <alignment horizontal="right" vertical="center"/>
    </xf>
    <xf numFmtId="0" fontId="22" fillId="3" borderId="34" xfId="0" applyFont="1" applyFill="1" applyBorder="1" applyAlignment="1">
      <alignment horizontal="center" vertical="center"/>
    </xf>
    <xf numFmtId="0" fontId="22" fillId="3" borderId="27" xfId="0" applyFont="1" applyFill="1" applyBorder="1" applyAlignment="1">
      <alignment horizontal="center" vertical="center"/>
    </xf>
    <xf numFmtId="0" fontId="23" fillId="11" borderId="0" xfId="0" applyFont="1" applyFill="1" applyAlignment="1">
      <alignment horizontal="left"/>
    </xf>
    <xf numFmtId="0" fontId="41" fillId="9" borderId="27" xfId="0" applyFont="1" applyFill="1" applyBorder="1" applyAlignment="1">
      <alignment horizontal="center" vertical="center"/>
    </xf>
    <xf numFmtId="0" fontId="41" fillId="9" borderId="10" xfId="0" applyFont="1" applyFill="1" applyBorder="1" applyAlignment="1">
      <alignment horizontal="center" vertical="center"/>
    </xf>
    <xf numFmtId="0" fontId="42" fillId="9" borderId="47" xfId="0" applyFont="1" applyFill="1" applyBorder="1" applyAlignment="1">
      <alignment horizontal="center" vertical="center" wrapText="1"/>
    </xf>
    <xf numFmtId="0" fontId="41" fillId="9" borderId="10" xfId="0" applyFont="1" applyFill="1" applyBorder="1" applyAlignment="1">
      <alignment horizontal="center" vertical="center" wrapText="1"/>
    </xf>
    <xf numFmtId="1" fontId="41" fillId="9" borderId="10" xfId="0" applyNumberFormat="1" applyFont="1" applyFill="1" applyBorder="1" applyAlignment="1">
      <alignment horizontal="center" vertical="center" wrapText="1"/>
    </xf>
    <xf numFmtId="1" fontId="41" fillId="9" borderId="27" xfId="0" applyNumberFormat="1" applyFont="1" applyFill="1" applyBorder="1" applyAlignment="1">
      <alignment horizontal="center" vertical="center" wrapText="1"/>
    </xf>
    <xf numFmtId="0" fontId="41" fillId="9" borderId="10" xfId="0" applyFont="1" applyFill="1" applyBorder="1" applyAlignment="1">
      <alignment horizontal="center" wrapText="1"/>
    </xf>
    <xf numFmtId="1" fontId="41" fillId="9" borderId="10" xfId="0" applyNumberFormat="1" applyFont="1" applyFill="1" applyBorder="1" applyAlignment="1">
      <alignment horizontal="center"/>
    </xf>
    <xf numFmtId="0" fontId="22" fillId="3" borderId="10" xfId="0" applyFont="1" applyFill="1" applyBorder="1" applyAlignment="1">
      <alignment horizontal="center" vertical="center" wrapText="1"/>
    </xf>
    <xf numFmtId="0" fontId="41" fillId="9" borderId="27" xfId="0" applyFont="1" applyFill="1" applyBorder="1" applyAlignment="1">
      <alignment horizontal="center" vertical="center" wrapText="1"/>
    </xf>
    <xf numFmtId="0" fontId="41" fillId="9" borderId="27" xfId="0" applyFont="1" applyFill="1" applyBorder="1" applyAlignment="1">
      <alignment horizontal="center" wrapText="1"/>
    </xf>
    <xf numFmtId="0" fontId="23" fillId="8" borderId="18" xfId="0" applyFont="1" applyFill="1" applyBorder="1" applyAlignment="1">
      <alignment horizontal="center" vertical="center"/>
    </xf>
    <xf numFmtId="0" fontId="41" fillId="0" borderId="0" xfId="0" applyFont="1"/>
    <xf numFmtId="0" fontId="23" fillId="3" borderId="27"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3" fillId="3" borderId="30" xfId="0" applyFont="1" applyFill="1" applyBorder="1" applyAlignment="1">
      <alignment horizontal="center" vertical="center" wrapText="1"/>
    </xf>
    <xf numFmtId="0" fontId="36" fillId="0" borderId="35" xfId="0" applyFont="1" applyBorder="1" applyAlignment="1">
      <alignment horizontal="center"/>
    </xf>
    <xf numFmtId="0" fontId="37" fillId="5" borderId="0" xfId="0" applyFont="1" applyFill="1"/>
    <xf numFmtId="0" fontId="38" fillId="6" borderId="0" xfId="0" applyFont="1" applyFill="1" applyAlignment="1">
      <alignment wrapText="1"/>
    </xf>
    <xf numFmtId="0" fontId="23" fillId="8" borderId="16" xfId="0" applyFont="1" applyFill="1" applyBorder="1" applyAlignment="1">
      <alignment horizontal="center" vertical="center"/>
    </xf>
    <xf numFmtId="0" fontId="23" fillId="8" borderId="17" xfId="0" applyFont="1" applyFill="1" applyBorder="1" applyAlignment="1">
      <alignment horizontal="center" vertical="center"/>
    </xf>
    <xf numFmtId="0" fontId="43" fillId="0" borderId="31" xfId="0" applyFont="1" applyBorder="1" applyAlignment="1">
      <alignment horizontal="center" vertical="center"/>
    </xf>
    <xf numFmtId="0" fontId="41" fillId="0" borderId="5" xfId="0" applyFont="1" applyBorder="1"/>
    <xf numFmtId="0" fontId="22" fillId="8" borderId="12" xfId="0" applyFont="1" applyFill="1" applyBorder="1" applyAlignment="1">
      <alignment horizontal="center" vertical="center" wrapText="1"/>
    </xf>
    <xf numFmtId="0" fontId="22" fillId="8" borderId="21" xfId="0" applyFont="1" applyFill="1" applyBorder="1" applyAlignment="1">
      <alignment horizontal="center" vertical="center" wrapText="1"/>
    </xf>
    <xf numFmtId="0" fontId="22" fillId="8" borderId="20" xfId="0" applyFont="1" applyFill="1" applyBorder="1" applyAlignment="1">
      <alignment horizontal="center" vertical="center" wrapText="1"/>
    </xf>
    <xf numFmtId="1" fontId="24" fillId="4" borderId="38" xfId="0" applyNumberFormat="1" applyFont="1" applyFill="1" applyBorder="1" applyAlignment="1">
      <alignment horizontal="right" vertical="center"/>
    </xf>
    <xf numFmtId="1" fontId="24" fillId="4" borderId="21" xfId="0" applyNumberFormat="1" applyFont="1" applyFill="1" applyBorder="1" applyAlignment="1">
      <alignment horizontal="right" vertical="center"/>
    </xf>
    <xf numFmtId="1" fontId="24" fillId="4" borderId="20" xfId="0" applyNumberFormat="1" applyFont="1" applyFill="1" applyBorder="1" applyAlignment="1">
      <alignment horizontal="right" vertical="center"/>
    </xf>
    <xf numFmtId="164" fontId="24" fillId="4" borderId="15" xfId="0" applyNumberFormat="1" applyFont="1" applyFill="1" applyBorder="1" applyAlignment="1">
      <alignment horizontal="right" vertical="center"/>
    </xf>
    <xf numFmtId="0" fontId="23" fillId="11" borderId="64" xfId="0" applyFont="1" applyFill="1" applyBorder="1" applyAlignment="1">
      <alignment horizontal="center" vertical="center"/>
    </xf>
    <xf numFmtId="0" fontId="23" fillId="11" borderId="65" xfId="0" applyFont="1" applyFill="1" applyBorder="1" applyAlignment="1">
      <alignment horizontal="center" vertical="center"/>
    </xf>
    <xf numFmtId="0" fontId="23" fillId="11" borderId="66" xfId="0" applyFont="1" applyFill="1" applyBorder="1" applyAlignment="1">
      <alignment horizontal="center" vertical="center"/>
    </xf>
    <xf numFmtId="0" fontId="23" fillId="3" borderId="15" xfId="0" applyFont="1" applyFill="1" applyBorder="1" applyAlignment="1">
      <alignment horizontal="center" vertical="center" wrapText="1"/>
    </xf>
    <xf numFmtId="0" fontId="23" fillId="3" borderId="25" xfId="0" applyFont="1" applyFill="1" applyBorder="1" applyAlignment="1">
      <alignment horizontal="center" vertical="center" wrapText="1"/>
    </xf>
    <xf numFmtId="0" fontId="30" fillId="0" borderId="0" xfId="0" applyFont="1"/>
    <xf numFmtId="0" fontId="45" fillId="0" borderId="0" xfId="0" applyFont="1"/>
    <xf numFmtId="0" fontId="46" fillId="0" borderId="0" xfId="0" applyFont="1" applyAlignment="1">
      <alignment wrapText="1"/>
    </xf>
    <xf numFmtId="0" fontId="48" fillId="0" borderId="0" xfId="0" applyFont="1" applyAlignment="1">
      <alignment wrapText="1"/>
    </xf>
    <xf numFmtId="0" fontId="48" fillId="0" borderId="0" xfId="0" quotePrefix="1" applyFont="1" applyAlignment="1">
      <alignment wrapText="1"/>
    </xf>
    <xf numFmtId="0" fontId="41" fillId="0" borderId="0" xfId="0" applyFont="1" applyAlignment="1">
      <alignment wrapText="1"/>
    </xf>
    <xf numFmtId="0" fontId="41" fillId="0" borderId="8" xfId="0" applyFont="1" applyBorder="1"/>
    <xf numFmtId="0" fontId="41" fillId="0" borderId="6" xfId="0" applyFont="1" applyBorder="1"/>
    <xf numFmtId="0" fontId="41" fillId="0" borderId="9" xfId="0" applyFont="1" applyBorder="1"/>
    <xf numFmtId="0" fontId="41" fillId="0" borderId="7" xfId="0" applyFont="1" applyBorder="1"/>
    <xf numFmtId="0" fontId="31" fillId="9" borderId="15" xfId="0" applyFont="1" applyFill="1" applyBorder="1"/>
    <xf numFmtId="0" fontId="31" fillId="9" borderId="25" xfId="0" applyFont="1" applyFill="1" applyBorder="1"/>
    <xf numFmtId="0" fontId="31" fillId="9" borderId="27" xfId="0" applyFont="1" applyFill="1" applyBorder="1"/>
    <xf numFmtId="0" fontId="31" fillId="9" borderId="10" xfId="0" applyFont="1" applyFill="1" applyBorder="1"/>
    <xf numFmtId="0" fontId="31" fillId="9" borderId="14" xfId="0" applyFont="1" applyFill="1" applyBorder="1"/>
    <xf numFmtId="0" fontId="31" fillId="9" borderId="30" xfId="0" applyFont="1" applyFill="1" applyBorder="1"/>
    <xf numFmtId="0" fontId="23" fillId="11" borderId="13" xfId="0" applyFont="1" applyFill="1" applyBorder="1" applyAlignment="1">
      <alignment horizontal="center" vertical="center"/>
    </xf>
    <xf numFmtId="0" fontId="23" fillId="11" borderId="0" xfId="0" applyFont="1" applyFill="1"/>
    <xf numFmtId="0" fontId="23" fillId="3" borderId="12" xfId="0" applyFont="1" applyFill="1" applyBorder="1"/>
    <xf numFmtId="0" fontId="23" fillId="3" borderId="21" xfId="0" applyFont="1" applyFill="1" applyBorder="1"/>
    <xf numFmtId="0" fontId="23" fillId="3" borderId="20" xfId="0" applyFont="1" applyFill="1" applyBorder="1"/>
    <xf numFmtId="0" fontId="46" fillId="9" borderId="0" xfId="0" applyFont="1" applyFill="1"/>
    <xf numFmtId="0" fontId="46" fillId="9" borderId="12" xfId="0" applyFont="1" applyFill="1" applyBorder="1"/>
    <xf numFmtId="0" fontId="31" fillId="4" borderId="50" xfId="0" applyFont="1" applyFill="1" applyBorder="1"/>
    <xf numFmtId="0" fontId="31" fillId="9" borderId="15" xfId="0" applyFont="1" applyFill="1" applyBorder="1" applyAlignment="1">
      <alignment horizontal="right"/>
    </xf>
    <xf numFmtId="0" fontId="31" fillId="9" borderId="25" xfId="0" applyFont="1" applyFill="1" applyBorder="1" applyAlignment="1">
      <alignment horizontal="right"/>
    </xf>
    <xf numFmtId="0" fontId="31" fillId="9" borderId="26" xfId="0" applyFont="1" applyFill="1" applyBorder="1" applyAlignment="1">
      <alignment horizontal="right"/>
    </xf>
    <xf numFmtId="0" fontId="31" fillId="9" borderId="27" xfId="0" applyFont="1" applyFill="1" applyBorder="1" applyAlignment="1">
      <alignment horizontal="right"/>
    </xf>
    <xf numFmtId="0" fontId="31" fillId="9" borderId="10" xfId="0" applyFont="1" applyFill="1" applyBorder="1" applyAlignment="1">
      <alignment horizontal="right"/>
    </xf>
    <xf numFmtId="0" fontId="31" fillId="9" borderId="18" xfId="0" applyFont="1" applyFill="1" applyBorder="1" applyAlignment="1">
      <alignment horizontal="right"/>
    </xf>
    <xf numFmtId="0" fontId="31" fillId="9" borderId="48" xfId="0" applyFont="1" applyFill="1" applyBorder="1" applyAlignment="1">
      <alignment horizontal="right"/>
    </xf>
    <xf numFmtId="0" fontId="31" fillId="9" borderId="47" xfId="0" applyFont="1" applyFill="1" applyBorder="1" applyAlignment="1">
      <alignment horizontal="right"/>
    </xf>
    <xf numFmtId="0" fontId="31" fillId="9" borderId="14" xfId="0" applyFont="1" applyFill="1" applyBorder="1" applyAlignment="1">
      <alignment horizontal="right"/>
    </xf>
    <xf numFmtId="0" fontId="31" fillId="9" borderId="30" xfId="0" applyFont="1" applyFill="1" applyBorder="1" applyAlignment="1">
      <alignment horizontal="right"/>
    </xf>
    <xf numFmtId="0" fontId="31" fillId="9" borderId="28" xfId="0" applyFont="1" applyFill="1" applyBorder="1" applyAlignment="1">
      <alignment horizontal="right"/>
    </xf>
    <xf numFmtId="0" fontId="31" fillId="4" borderId="67" xfId="0" applyFont="1" applyFill="1" applyBorder="1"/>
    <xf numFmtId="0" fontId="31" fillId="4" borderId="68" xfId="0" applyFont="1" applyFill="1" applyBorder="1"/>
    <xf numFmtId="0" fontId="31" fillId="4" borderId="72" xfId="0" applyFont="1" applyFill="1" applyBorder="1"/>
    <xf numFmtId="0" fontId="31" fillId="9" borderId="73" xfId="0" applyFont="1" applyFill="1" applyBorder="1" applyAlignment="1">
      <alignment horizontal="right"/>
    </xf>
    <xf numFmtId="0" fontId="31" fillId="9" borderId="74" xfId="0" applyFont="1" applyFill="1" applyBorder="1" applyAlignment="1">
      <alignment horizontal="right"/>
    </xf>
    <xf numFmtId="0" fontId="31" fillId="9" borderId="75" xfId="0" applyFont="1" applyFill="1" applyBorder="1" applyAlignment="1">
      <alignment horizontal="right"/>
    </xf>
    <xf numFmtId="0" fontId="31" fillId="9" borderId="76" xfId="0" applyFont="1" applyFill="1" applyBorder="1" applyAlignment="1">
      <alignment horizontal="right"/>
    </xf>
    <xf numFmtId="0" fontId="31" fillId="9" borderId="77" xfId="0" applyFont="1" applyFill="1" applyBorder="1" applyAlignment="1">
      <alignment horizontal="right"/>
    </xf>
    <xf numFmtId="0" fontId="23" fillId="11" borderId="24" xfId="0" applyFont="1" applyFill="1" applyBorder="1" applyAlignment="1">
      <alignment horizontal="center" vertical="center"/>
    </xf>
    <xf numFmtId="0" fontId="23" fillId="11" borderId="19" xfId="0" applyFont="1" applyFill="1" applyBorder="1" applyAlignment="1">
      <alignment horizontal="center" vertical="center"/>
    </xf>
    <xf numFmtId="0" fontId="47" fillId="11" borderId="13" xfId="0" applyFont="1" applyFill="1" applyBorder="1" applyAlignment="1">
      <alignment horizontal="center" vertical="center"/>
    </xf>
    <xf numFmtId="0" fontId="31" fillId="4" borderId="79" xfId="0" applyFont="1" applyFill="1" applyBorder="1"/>
    <xf numFmtId="0" fontId="31" fillId="9" borderId="61" xfId="0" applyFont="1" applyFill="1" applyBorder="1" applyAlignment="1">
      <alignment horizontal="right"/>
    </xf>
    <xf numFmtId="0" fontId="31" fillId="9" borderId="80" xfId="0" applyFont="1" applyFill="1" applyBorder="1" applyAlignment="1">
      <alignment horizontal="right"/>
    </xf>
    <xf numFmtId="0" fontId="31" fillId="9" borderId="81" xfId="0" applyFont="1" applyFill="1" applyBorder="1" applyAlignment="1">
      <alignment horizontal="right"/>
    </xf>
    <xf numFmtId="0" fontId="46" fillId="9" borderId="60" xfId="0" applyFont="1" applyFill="1" applyBorder="1"/>
    <xf numFmtId="0" fontId="23" fillId="3" borderId="82" xfId="0" applyFont="1" applyFill="1" applyBorder="1"/>
    <xf numFmtId="0" fontId="31" fillId="9" borderId="61" xfId="0" applyFont="1" applyFill="1" applyBorder="1"/>
    <xf numFmtId="0" fontId="31" fillId="9" borderId="80" xfId="0" applyFont="1" applyFill="1" applyBorder="1"/>
    <xf numFmtId="0" fontId="23" fillId="3" borderId="83" xfId="0" applyFont="1" applyFill="1" applyBorder="1"/>
    <xf numFmtId="0" fontId="31" fillId="9" borderId="73" xfId="0" applyFont="1" applyFill="1" applyBorder="1"/>
    <xf numFmtId="0" fontId="31" fillId="9" borderId="74" xfId="0" applyFont="1" applyFill="1" applyBorder="1"/>
    <xf numFmtId="0" fontId="31" fillId="0" borderId="84" xfId="0" applyFont="1" applyBorder="1"/>
    <xf numFmtId="0" fontId="31" fillId="9" borderId="85" xfId="0" applyFont="1" applyFill="1" applyBorder="1"/>
    <xf numFmtId="0" fontId="31" fillId="9" borderId="86" xfId="0" applyFont="1" applyFill="1" applyBorder="1"/>
    <xf numFmtId="0" fontId="31" fillId="9" borderId="87" xfId="0" applyFont="1" applyFill="1" applyBorder="1"/>
    <xf numFmtId="0" fontId="46" fillId="9" borderId="84" xfId="0" applyFont="1" applyFill="1" applyBorder="1"/>
    <xf numFmtId="0" fontId="44" fillId="0" borderId="0" xfId="0" applyFont="1"/>
    <xf numFmtId="0" fontId="22" fillId="3" borderId="24" xfId="0" applyFont="1" applyFill="1" applyBorder="1" applyAlignment="1">
      <alignment horizontal="center" vertical="center"/>
    </xf>
    <xf numFmtId="0" fontId="26" fillId="0" borderId="0" xfId="0" applyFont="1" applyAlignment="1">
      <alignment vertical="center"/>
    </xf>
    <xf numFmtId="0" fontId="26" fillId="0" borderId="0" xfId="0" applyFont="1" applyAlignment="1">
      <alignment vertical="center" wrapText="1"/>
    </xf>
    <xf numFmtId="0" fontId="26" fillId="0" borderId="0" xfId="0" applyFont="1" applyAlignment="1">
      <alignment horizontal="center" vertical="center"/>
    </xf>
    <xf numFmtId="10" fontId="26" fillId="0" borderId="0" xfId="0" applyNumberFormat="1" applyFont="1" applyAlignment="1">
      <alignment vertical="center"/>
    </xf>
    <xf numFmtId="0" fontId="40" fillId="4" borderId="27" xfId="0" applyFont="1" applyFill="1" applyBorder="1" applyAlignment="1">
      <alignment vertical="center"/>
    </xf>
    <xf numFmtId="0" fontId="40" fillId="9" borderId="10" xfId="0" applyFont="1" applyFill="1" applyBorder="1" applyAlignment="1">
      <alignment vertical="center"/>
    </xf>
    <xf numFmtId="0" fontId="40" fillId="9" borderId="18" xfId="0" applyFont="1" applyFill="1" applyBorder="1" applyAlignment="1">
      <alignment vertical="center"/>
    </xf>
    <xf numFmtId="0" fontId="40" fillId="9" borderId="10" xfId="0" applyFont="1" applyFill="1" applyBorder="1" applyAlignment="1">
      <alignment vertical="center" wrapText="1"/>
    </xf>
    <xf numFmtId="9" fontId="40" fillId="9" borderId="10" xfId="0" applyNumberFormat="1" applyFont="1" applyFill="1" applyBorder="1" applyAlignment="1">
      <alignment vertical="center"/>
    </xf>
    <xf numFmtId="0" fontId="40" fillId="9" borderId="30" xfId="0" applyFont="1" applyFill="1" applyBorder="1" applyAlignment="1">
      <alignment vertical="center"/>
    </xf>
    <xf numFmtId="0" fontId="40" fillId="4" borderId="14" xfId="0" applyFont="1" applyFill="1" applyBorder="1" applyAlignment="1">
      <alignment vertical="center"/>
    </xf>
    <xf numFmtId="0" fontId="40" fillId="9" borderId="28" xfId="0" applyFont="1" applyFill="1" applyBorder="1" applyAlignment="1">
      <alignment vertical="center"/>
    </xf>
    <xf numFmtId="0" fontId="40" fillId="9" borderId="30" xfId="0" applyFont="1" applyFill="1" applyBorder="1" applyAlignment="1">
      <alignment vertical="center" wrapText="1"/>
    </xf>
    <xf numFmtId="9" fontId="40" fillId="9" borderId="30" xfId="0" applyNumberFormat="1" applyFont="1" applyFill="1" applyBorder="1" applyAlignment="1">
      <alignment vertical="center"/>
    </xf>
    <xf numFmtId="0" fontId="40" fillId="9" borderId="15" xfId="0" applyFont="1" applyFill="1" applyBorder="1" applyAlignment="1">
      <alignment horizontal="left" vertical="center" wrapText="1"/>
    </xf>
    <xf numFmtId="0" fontId="40" fillId="9" borderId="25" xfId="0" applyFont="1" applyFill="1" applyBorder="1" applyAlignment="1">
      <alignment horizontal="center" vertical="center" wrapText="1"/>
    </xf>
    <xf numFmtId="0" fontId="40" fillId="9" borderId="88" xfId="0" applyFont="1" applyFill="1" applyBorder="1" applyAlignment="1">
      <alignment horizontal="center" vertical="center" wrapText="1"/>
    </xf>
    <xf numFmtId="1" fontId="40" fillId="9" borderId="27" xfId="0" applyNumberFormat="1" applyFont="1" applyFill="1" applyBorder="1" applyAlignment="1">
      <alignment wrapText="1"/>
    </xf>
    <xf numFmtId="0" fontId="40" fillId="9" borderId="27" xfId="0" applyFont="1" applyFill="1" applyBorder="1" applyAlignment="1">
      <alignment horizontal="center" vertical="center" wrapText="1"/>
    </xf>
    <xf numFmtId="0" fontId="40" fillId="9" borderId="10" xfId="0" applyFont="1" applyFill="1" applyBorder="1" applyAlignment="1">
      <alignment horizontal="center" vertical="center" wrapText="1"/>
    </xf>
    <xf numFmtId="0" fontId="40" fillId="9" borderId="89" xfId="0" applyFont="1" applyFill="1" applyBorder="1" applyAlignment="1">
      <alignment horizontal="center" vertical="center" wrapText="1"/>
    </xf>
    <xf numFmtId="0" fontId="40" fillId="9" borderId="27" xfId="0" applyFont="1" applyFill="1" applyBorder="1"/>
    <xf numFmtId="0" fontId="40" fillId="9" borderId="10" xfId="0" applyFont="1" applyFill="1" applyBorder="1"/>
    <xf numFmtId="0" fontId="40" fillId="9" borderId="89" xfId="0" applyFont="1" applyFill="1" applyBorder="1"/>
    <xf numFmtId="1" fontId="40" fillId="4" borderId="27" xfId="0" applyNumberFormat="1" applyFont="1" applyFill="1" applyBorder="1"/>
    <xf numFmtId="1" fontId="40" fillId="4" borderId="10" xfId="0" applyNumberFormat="1" applyFont="1" applyFill="1" applyBorder="1"/>
    <xf numFmtId="10" fontId="40" fillId="4" borderId="10" xfId="0" applyNumberFormat="1" applyFont="1" applyFill="1" applyBorder="1"/>
    <xf numFmtId="0" fontId="40" fillId="9" borderId="27" xfId="0" applyFont="1" applyFill="1" applyBorder="1" applyAlignment="1">
      <alignment horizontal="left" vertical="center" wrapText="1"/>
    </xf>
    <xf numFmtId="1" fontId="40" fillId="4" borderId="51" xfId="0" applyNumberFormat="1" applyFont="1" applyFill="1" applyBorder="1"/>
    <xf numFmtId="1" fontId="40" fillId="4" borderId="54" xfId="0" applyNumberFormat="1" applyFont="1" applyFill="1" applyBorder="1"/>
    <xf numFmtId="0" fontId="40" fillId="9" borderId="25" xfId="0" applyFont="1" applyFill="1" applyBorder="1"/>
    <xf numFmtId="0" fontId="40" fillId="9" borderId="88" xfId="0" applyFont="1" applyFill="1" applyBorder="1"/>
    <xf numFmtId="1" fontId="40" fillId="9" borderId="15" xfId="0" applyNumberFormat="1" applyFont="1" applyFill="1" applyBorder="1" applyAlignment="1">
      <alignment wrapText="1"/>
    </xf>
    <xf numFmtId="0" fontId="40" fillId="9" borderId="27" xfId="0" applyFont="1" applyFill="1" applyBorder="1" applyAlignment="1">
      <alignment horizontal="left" vertical="center"/>
    </xf>
    <xf numFmtId="0" fontId="40" fillId="4" borderId="27" xfId="0" applyFont="1" applyFill="1" applyBorder="1"/>
    <xf numFmtId="0" fontId="40" fillId="4" borderId="10" xfId="0" applyFont="1" applyFill="1" applyBorder="1"/>
    <xf numFmtId="0" fontId="40" fillId="4" borderId="90" xfId="0" applyFont="1" applyFill="1" applyBorder="1"/>
    <xf numFmtId="1" fontId="40" fillId="9" borderId="15" xfId="0" applyNumberFormat="1" applyFont="1" applyFill="1" applyBorder="1"/>
    <xf numFmtId="1" fontId="40" fillId="9" borderId="25" xfId="0" applyNumberFormat="1" applyFont="1" applyFill="1" applyBorder="1"/>
    <xf numFmtId="10" fontId="40" fillId="9" borderId="25" xfId="0" applyNumberFormat="1" applyFont="1" applyFill="1" applyBorder="1"/>
    <xf numFmtId="1" fontId="40" fillId="9" borderId="27" xfId="0" applyNumberFormat="1" applyFont="1" applyFill="1" applyBorder="1"/>
    <xf numFmtId="1" fontId="40" fillId="9" borderId="10" xfId="0" applyNumberFormat="1" applyFont="1" applyFill="1" applyBorder="1"/>
    <xf numFmtId="10" fontId="40" fillId="9" borderId="10" xfId="0" applyNumberFormat="1" applyFont="1" applyFill="1" applyBorder="1"/>
    <xf numFmtId="0" fontId="40" fillId="4" borderId="91" xfId="0" applyFont="1" applyFill="1" applyBorder="1"/>
    <xf numFmtId="0" fontId="49" fillId="0" borderId="0" xfId="0" applyFont="1"/>
    <xf numFmtId="0" fontId="17" fillId="9" borderId="10" xfId="0" applyFont="1" applyFill="1" applyBorder="1"/>
    <xf numFmtId="0" fontId="22" fillId="8" borderId="15" xfId="0" applyFont="1" applyFill="1" applyBorder="1" applyAlignment="1">
      <alignment horizontal="center" vertical="center"/>
    </xf>
    <xf numFmtId="0" fontId="22" fillId="3" borderId="92" xfId="0" applyFont="1" applyFill="1" applyBorder="1" applyAlignment="1">
      <alignment horizontal="center" vertical="center" wrapText="1"/>
    </xf>
    <xf numFmtId="0" fontId="22" fillId="3" borderId="24" xfId="0" applyFont="1" applyFill="1" applyBorder="1" applyAlignment="1">
      <alignment horizontal="center" vertical="center" wrapText="1"/>
    </xf>
    <xf numFmtId="0" fontId="22" fillId="3" borderId="19" xfId="0" applyFont="1" applyFill="1" applyBorder="1" applyAlignment="1">
      <alignment horizontal="center" vertical="center" wrapText="1"/>
    </xf>
    <xf numFmtId="0" fontId="3" fillId="11" borderId="13" xfId="0" applyFont="1" applyFill="1" applyBorder="1" applyAlignment="1">
      <alignment horizontal="center" vertical="center"/>
    </xf>
    <xf numFmtId="0" fontId="3" fillId="11" borderId="24" xfId="0" applyFont="1" applyFill="1" applyBorder="1" applyAlignment="1">
      <alignment horizontal="center" vertical="center"/>
    </xf>
    <xf numFmtId="0" fontId="3" fillId="11" borderId="19" xfId="0" applyFont="1" applyFill="1" applyBorder="1"/>
    <xf numFmtId="0" fontId="17" fillId="4" borderId="25" xfId="0" applyFont="1" applyFill="1" applyBorder="1" applyAlignment="1">
      <alignment horizontal="left" vertical="center"/>
    </xf>
    <xf numFmtId="0" fontId="17" fillId="9" borderId="25" xfId="0" applyFont="1" applyFill="1" applyBorder="1" applyAlignment="1">
      <alignment horizontal="left" vertical="center"/>
    </xf>
    <xf numFmtId="0" fontId="17" fillId="9" borderId="26" xfId="0" applyFont="1" applyFill="1" applyBorder="1"/>
    <xf numFmtId="0" fontId="17" fillId="4" borderId="10" xfId="0" applyFont="1" applyFill="1" applyBorder="1"/>
    <xf numFmtId="0" fontId="17" fillId="9" borderId="18" xfId="0" applyFont="1" applyFill="1" applyBorder="1"/>
    <xf numFmtId="0" fontId="17" fillId="4" borderId="30" xfId="0" applyFont="1" applyFill="1" applyBorder="1"/>
    <xf numFmtId="0" fontId="17" fillId="9" borderId="30" xfId="0" applyFont="1" applyFill="1" applyBorder="1"/>
    <xf numFmtId="0" fontId="17" fillId="9" borderId="28" xfId="0" applyFont="1" applyFill="1" applyBorder="1"/>
    <xf numFmtId="0" fontId="2" fillId="3" borderId="15" xfId="0" applyFont="1" applyFill="1" applyBorder="1" applyAlignment="1">
      <alignment horizontal="center" vertical="center"/>
    </xf>
    <xf numFmtId="0" fontId="3" fillId="3" borderId="27" xfId="0" applyFont="1" applyFill="1" applyBorder="1"/>
    <xf numFmtId="0" fontId="3" fillId="3" borderId="14" xfId="0" applyFont="1" applyFill="1" applyBorder="1"/>
    <xf numFmtId="0" fontId="39" fillId="11" borderId="13" xfId="0" applyFont="1" applyFill="1" applyBorder="1"/>
    <xf numFmtId="0" fontId="39" fillId="11" borderId="24" xfId="0" applyFont="1" applyFill="1" applyBorder="1"/>
    <xf numFmtId="0" fontId="50" fillId="11" borderId="24" xfId="0" applyFont="1" applyFill="1" applyBorder="1" applyAlignment="1">
      <alignment horizontal="center" vertical="center"/>
    </xf>
    <xf numFmtId="0" fontId="40" fillId="9" borderId="25" xfId="0" applyFont="1" applyFill="1" applyBorder="1" applyAlignment="1">
      <alignment wrapText="1"/>
    </xf>
    <xf numFmtId="0" fontId="40" fillId="9" borderId="74" xfId="0" applyFont="1" applyFill="1" applyBorder="1"/>
    <xf numFmtId="0" fontId="39" fillId="11" borderId="13" xfId="0" applyFont="1" applyFill="1" applyBorder="1" applyAlignment="1">
      <alignment horizontal="center" vertical="center"/>
    </xf>
    <xf numFmtId="0" fontId="39" fillId="11" borderId="24" xfId="0" applyFont="1" applyFill="1" applyBorder="1" applyAlignment="1">
      <alignment horizontal="center" vertical="center"/>
    </xf>
    <xf numFmtId="0" fontId="39" fillId="11" borderId="19" xfId="0" applyFont="1" applyFill="1" applyBorder="1" applyAlignment="1">
      <alignment horizontal="center" vertical="center"/>
    </xf>
    <xf numFmtId="0" fontId="50" fillId="11" borderId="13" xfId="0" applyFont="1" applyFill="1" applyBorder="1" applyAlignment="1">
      <alignment horizontal="center" vertical="center"/>
    </xf>
    <xf numFmtId="0" fontId="50" fillId="11" borderId="19" xfId="0" applyFont="1" applyFill="1" applyBorder="1" applyAlignment="1">
      <alignment horizontal="center" vertical="center"/>
    </xf>
    <xf numFmtId="0" fontId="40" fillId="9" borderId="25" xfId="0" applyFont="1" applyFill="1" applyBorder="1" applyAlignment="1">
      <alignment horizontal="center"/>
    </xf>
    <xf numFmtId="0" fontId="40" fillId="9" borderId="25" xfId="0" applyFont="1" applyFill="1" applyBorder="1" applyAlignment="1">
      <alignment horizontal="center" wrapText="1"/>
    </xf>
    <xf numFmtId="0" fontId="40" fillId="9" borderId="26" xfId="0" applyFont="1" applyFill="1" applyBorder="1" applyAlignment="1">
      <alignment horizontal="center" wrapText="1"/>
    </xf>
    <xf numFmtId="0" fontId="40" fillId="9" borderId="10" xfId="0" applyFont="1" applyFill="1" applyBorder="1" applyAlignment="1">
      <alignment horizontal="center" wrapText="1"/>
    </xf>
    <xf numFmtId="0" fontId="40" fillId="9" borderId="18" xfId="0" applyFont="1" applyFill="1" applyBorder="1" applyAlignment="1">
      <alignment horizontal="center" wrapText="1"/>
    </xf>
    <xf numFmtId="0" fontId="40" fillId="9" borderId="10" xfId="0" applyFont="1" applyFill="1" applyBorder="1" applyAlignment="1">
      <alignment horizontal="center"/>
    </xf>
    <xf numFmtId="0" fontId="40" fillId="9" borderId="52" xfId="0" applyFont="1" applyFill="1" applyBorder="1" applyAlignment="1">
      <alignment horizontal="center"/>
    </xf>
    <xf numFmtId="0" fontId="40" fillId="9" borderId="52" xfId="0" applyFont="1" applyFill="1" applyBorder="1" applyAlignment="1">
      <alignment horizontal="center" wrapText="1"/>
    </xf>
    <xf numFmtId="0" fontId="40" fillId="9" borderId="53" xfId="0" applyFont="1" applyFill="1" applyBorder="1" applyAlignment="1">
      <alignment horizontal="center" wrapText="1"/>
    </xf>
    <xf numFmtId="0" fontId="40" fillId="9" borderId="30" xfId="0" applyFont="1" applyFill="1" applyBorder="1" applyAlignment="1">
      <alignment horizontal="center"/>
    </xf>
    <xf numFmtId="0" fontId="40" fillId="9" borderId="30" xfId="0" applyFont="1" applyFill="1" applyBorder="1" applyAlignment="1">
      <alignment horizontal="center" wrapText="1"/>
    </xf>
    <xf numFmtId="0" fontId="40" fillId="9" borderId="28" xfId="0" applyFont="1" applyFill="1" applyBorder="1" applyAlignment="1">
      <alignment horizontal="center" wrapText="1"/>
    </xf>
    <xf numFmtId="0" fontId="40" fillId="4" borderId="15" xfId="0" applyFont="1" applyFill="1" applyBorder="1" applyAlignment="1">
      <alignment horizontal="center"/>
    </xf>
    <xf numFmtId="0" fontId="40" fillId="4" borderId="27" xfId="0" applyFont="1" applyFill="1" applyBorder="1" applyAlignment="1">
      <alignment horizontal="center"/>
    </xf>
    <xf numFmtId="0" fontId="40" fillId="4" borderId="14" xfId="0" applyFont="1" applyFill="1" applyBorder="1" applyAlignment="1">
      <alignment horizontal="center"/>
    </xf>
    <xf numFmtId="0" fontId="40" fillId="9" borderId="30" xfId="0" applyFont="1" applyFill="1" applyBorder="1"/>
    <xf numFmtId="0" fontId="40" fillId="4" borderId="51" xfId="0" applyFont="1" applyFill="1" applyBorder="1" applyAlignment="1">
      <alignment horizontal="center"/>
    </xf>
    <xf numFmtId="0" fontId="40" fillId="9" borderId="54" xfId="0" applyFont="1" applyFill="1" applyBorder="1"/>
    <xf numFmtId="0" fontId="0" fillId="9" borderId="0" xfId="0" applyFill="1"/>
    <xf numFmtId="0" fontId="0" fillId="9" borderId="0" xfId="0" applyFill="1" applyAlignment="1">
      <alignment wrapText="1"/>
    </xf>
    <xf numFmtId="0" fontId="17" fillId="4" borderId="13" xfId="0" applyFont="1" applyFill="1" applyBorder="1"/>
    <xf numFmtId="0" fontId="17" fillId="4" borderId="24" xfId="0" applyFont="1" applyFill="1" applyBorder="1"/>
    <xf numFmtId="0" fontId="17" fillId="4" borderId="19" xfId="0" applyFont="1" applyFill="1" applyBorder="1"/>
    <xf numFmtId="0" fontId="17" fillId="9" borderId="15" xfId="0" applyFont="1" applyFill="1" applyBorder="1"/>
    <xf numFmtId="0" fontId="17" fillId="9" borderId="25" xfId="0" applyFont="1" applyFill="1" applyBorder="1"/>
    <xf numFmtId="0" fontId="17" fillId="9" borderId="27" xfId="0" applyFont="1" applyFill="1" applyBorder="1"/>
    <xf numFmtId="0" fontId="17" fillId="9" borderId="14" xfId="0" applyFont="1" applyFill="1" applyBorder="1"/>
    <xf numFmtId="0" fontId="17" fillId="9" borderId="27" xfId="0" applyFont="1" applyFill="1" applyBorder="1" applyAlignment="1">
      <alignment wrapText="1"/>
    </xf>
    <xf numFmtId="0" fontId="3" fillId="3" borderId="12" xfId="0" applyFont="1" applyFill="1" applyBorder="1"/>
    <xf numFmtId="0" fontId="3" fillId="3" borderId="21" xfId="0" applyFont="1" applyFill="1" applyBorder="1"/>
    <xf numFmtId="0" fontId="3" fillId="3" borderId="20" xfId="0" applyFont="1" applyFill="1" applyBorder="1"/>
    <xf numFmtId="0" fontId="17" fillId="4" borderId="12" xfId="0" applyFont="1" applyFill="1" applyBorder="1"/>
    <xf numFmtId="0" fontId="17" fillId="4" borderId="21" xfId="0" applyFont="1" applyFill="1" applyBorder="1"/>
    <xf numFmtId="0" fontId="17" fillId="4" borderId="20" xfId="0" applyFont="1" applyFill="1" applyBorder="1"/>
    <xf numFmtId="0" fontId="17" fillId="9" borderId="14" xfId="0" applyFont="1" applyFill="1" applyBorder="1" applyAlignment="1">
      <alignment wrapText="1"/>
    </xf>
    <xf numFmtId="0" fontId="22" fillId="8" borderId="25" xfId="0" applyFont="1" applyFill="1" applyBorder="1" applyAlignment="1">
      <alignment horizontal="center" vertical="center"/>
    </xf>
    <xf numFmtId="0" fontId="22" fillId="8" borderId="26" xfId="0" applyFont="1" applyFill="1" applyBorder="1" applyAlignment="1">
      <alignment horizontal="center" vertical="center"/>
    </xf>
    <xf numFmtId="0" fontId="17" fillId="4" borderId="27" xfId="0" applyFont="1" applyFill="1" applyBorder="1"/>
    <xf numFmtId="0" fontId="17" fillId="4" borderId="14" xfId="0" applyFont="1" applyFill="1" applyBorder="1"/>
    <xf numFmtId="0" fontId="17" fillId="9" borderId="21" xfId="0" applyFont="1" applyFill="1" applyBorder="1"/>
    <xf numFmtId="0" fontId="22" fillId="8" borderId="5" xfId="0" applyFont="1" applyFill="1" applyBorder="1"/>
    <xf numFmtId="0" fontId="53" fillId="0" borderId="5" xfId="0" applyFont="1" applyBorder="1"/>
    <xf numFmtId="0" fontId="18" fillId="4" borderId="15" xfId="0" applyFont="1" applyFill="1" applyBorder="1"/>
    <xf numFmtId="0" fontId="18" fillId="9" borderId="26" xfId="0" applyFont="1" applyFill="1" applyBorder="1" applyAlignment="1">
      <alignment wrapText="1"/>
    </xf>
    <xf numFmtId="0" fontId="18" fillId="4" borderId="27" xfId="0" applyFont="1" applyFill="1" applyBorder="1"/>
    <xf numFmtId="0" fontId="18" fillId="9" borderId="18" xfId="0" applyFont="1" applyFill="1" applyBorder="1" applyAlignment="1">
      <alignment wrapText="1"/>
    </xf>
    <xf numFmtId="0" fontId="18" fillId="4" borderId="14" xfId="0" applyFont="1" applyFill="1" applyBorder="1"/>
    <xf numFmtId="0" fontId="18" fillId="9" borderId="28" xfId="0" applyFont="1" applyFill="1" applyBorder="1" applyAlignment="1">
      <alignment wrapText="1"/>
    </xf>
    <xf numFmtId="9" fontId="26" fillId="0" borderId="0" xfId="0" applyNumberFormat="1" applyFont="1"/>
    <xf numFmtId="0" fontId="21" fillId="8" borderId="0" xfId="0" applyFont="1" applyFill="1" applyAlignment="1">
      <alignment horizontal="center" vertical="center" wrapText="1"/>
    </xf>
    <xf numFmtId="0" fontId="39" fillId="3" borderId="15" xfId="0" applyFont="1" applyFill="1" applyBorder="1"/>
    <xf numFmtId="0" fontId="40" fillId="4" borderId="25" xfId="0" applyFont="1" applyFill="1" applyBorder="1"/>
    <xf numFmtId="0" fontId="40" fillId="9" borderId="18" xfId="0" applyFont="1" applyFill="1" applyBorder="1"/>
    <xf numFmtId="0" fontId="39" fillId="3" borderId="27" xfId="0" applyFont="1" applyFill="1" applyBorder="1"/>
    <xf numFmtId="9" fontId="40" fillId="9" borderId="10" xfId="0" applyNumberFormat="1" applyFont="1" applyFill="1" applyBorder="1"/>
    <xf numFmtId="0" fontId="39" fillId="3" borderId="14" xfId="0" applyFont="1" applyFill="1" applyBorder="1"/>
    <xf numFmtId="0" fontId="40" fillId="4" borderId="30" xfId="0" applyFont="1" applyFill="1" applyBorder="1"/>
    <xf numFmtId="0" fontId="40" fillId="9" borderId="28" xfId="0" applyFont="1" applyFill="1" applyBorder="1"/>
    <xf numFmtId="0" fontId="39" fillId="8" borderId="5" xfId="0" applyFont="1" applyFill="1" applyBorder="1"/>
    <xf numFmtId="0" fontId="40" fillId="9" borderId="12" xfId="0" applyFont="1" applyFill="1" applyBorder="1"/>
    <xf numFmtId="0" fontId="40" fillId="9" borderId="26" xfId="0" applyFont="1" applyFill="1" applyBorder="1" applyAlignment="1">
      <alignment wrapText="1"/>
    </xf>
    <xf numFmtId="0" fontId="40" fillId="9" borderId="18" xfId="0" applyFont="1" applyFill="1" applyBorder="1" applyAlignment="1">
      <alignment wrapText="1"/>
    </xf>
    <xf numFmtId="0" fontId="40" fillId="9" borderId="28" xfId="0" applyFont="1" applyFill="1" applyBorder="1" applyAlignment="1">
      <alignment wrapText="1"/>
    </xf>
    <xf numFmtId="0" fontId="41" fillId="0" borderId="0" xfId="0" applyFont="1" applyAlignment="1">
      <alignment vertical="center"/>
    </xf>
    <xf numFmtId="0" fontId="40" fillId="4" borderId="15" xfId="0" applyFont="1" applyFill="1" applyBorder="1"/>
    <xf numFmtId="9" fontId="40" fillId="9" borderId="25" xfId="0" applyNumberFormat="1" applyFont="1" applyFill="1" applyBorder="1"/>
    <xf numFmtId="0" fontId="40" fillId="9" borderId="12" xfId="0" applyFont="1" applyFill="1" applyBorder="1" applyAlignment="1">
      <alignment wrapText="1"/>
    </xf>
    <xf numFmtId="0" fontId="40" fillId="9" borderId="10" xfId="0" applyFont="1" applyFill="1" applyBorder="1" applyAlignment="1">
      <alignment wrapText="1"/>
    </xf>
    <xf numFmtId="0" fontId="40" fillId="9" borderId="21" xfId="0" applyFont="1" applyFill="1" applyBorder="1" applyAlignment="1">
      <alignment wrapText="1"/>
    </xf>
    <xf numFmtId="0" fontId="40" fillId="9" borderId="21" xfId="0" applyFont="1" applyFill="1" applyBorder="1"/>
    <xf numFmtId="0" fontId="39" fillId="11" borderId="0" xfId="0" applyFont="1" applyFill="1" applyAlignment="1">
      <alignment horizontal="center" vertical="center" wrapText="1"/>
    </xf>
    <xf numFmtId="0" fontId="22" fillId="8" borderId="0" xfId="0" applyFont="1" applyFill="1" applyAlignment="1">
      <alignment horizontal="center" vertical="center"/>
    </xf>
    <xf numFmtId="0" fontId="22" fillId="8" borderId="24" xfId="0" applyFont="1" applyFill="1" applyBorder="1" applyAlignment="1">
      <alignment vertical="center"/>
    </xf>
    <xf numFmtId="0" fontId="17" fillId="9" borderId="20" xfId="0" applyFont="1" applyFill="1" applyBorder="1"/>
    <xf numFmtId="0" fontId="23" fillId="8" borderId="0" xfId="0" applyFont="1" applyFill="1" applyBorder="1"/>
    <xf numFmtId="0" fontId="40" fillId="9" borderId="93" xfId="0" applyFont="1" applyFill="1" applyBorder="1"/>
    <xf numFmtId="0" fontId="23" fillId="8" borderId="0" xfId="0" applyFont="1" applyFill="1" applyAlignment="1">
      <alignment horizontal="left" vertical="center"/>
    </xf>
    <xf numFmtId="0" fontId="23" fillId="8" borderId="0" xfId="0" applyFont="1" applyFill="1" applyAlignment="1">
      <alignment horizontal="left" vertical="center" wrapText="1"/>
    </xf>
    <xf numFmtId="0" fontId="23" fillId="8" borderId="0" xfId="0" applyFont="1" applyFill="1" applyAlignment="1">
      <alignment vertical="center"/>
    </xf>
    <xf numFmtId="0" fontId="39" fillId="3" borderId="15" xfId="0" applyFont="1" applyFill="1" applyBorder="1" applyAlignment="1">
      <alignment vertical="center"/>
    </xf>
    <xf numFmtId="0" fontId="40" fillId="4" borderId="25" xfId="0" applyFont="1" applyFill="1" applyBorder="1" applyAlignment="1">
      <alignment vertical="center"/>
    </xf>
    <xf numFmtId="0" fontId="40" fillId="9" borderId="25" xfId="0" applyFont="1" applyFill="1" applyBorder="1" applyAlignment="1">
      <alignment vertical="center"/>
    </xf>
    <xf numFmtId="0" fontId="40" fillId="9" borderId="26" xfId="0" applyFont="1" applyFill="1" applyBorder="1" applyAlignment="1">
      <alignment vertical="center" wrapText="1"/>
    </xf>
    <xf numFmtId="0" fontId="40" fillId="9" borderId="26" xfId="0" applyFont="1" applyFill="1" applyBorder="1" applyAlignment="1">
      <alignment vertical="center"/>
    </xf>
    <xf numFmtId="0" fontId="39" fillId="3" borderId="27" xfId="0" applyFont="1" applyFill="1" applyBorder="1" applyAlignment="1">
      <alignment vertical="center"/>
    </xf>
    <xf numFmtId="0" fontId="40" fillId="4" borderId="10" xfId="0" applyFont="1" applyFill="1" applyBorder="1" applyAlignment="1">
      <alignment vertical="center"/>
    </xf>
    <xf numFmtId="0" fontId="40" fillId="9" borderId="18" xfId="0" applyFont="1" applyFill="1" applyBorder="1" applyAlignment="1">
      <alignment vertical="center" wrapText="1"/>
    </xf>
    <xf numFmtId="0" fontId="54" fillId="9" borderId="18" xfId="0" applyFont="1" applyFill="1" applyBorder="1" applyAlignment="1">
      <alignment vertical="center" wrapText="1"/>
    </xf>
    <xf numFmtId="0" fontId="52" fillId="13" borderId="0" xfId="2" applyAlignment="1">
      <alignment vertical="center"/>
    </xf>
    <xf numFmtId="0" fontId="51" fillId="12" borderId="0" xfId="1" applyAlignment="1">
      <alignment vertical="center"/>
    </xf>
    <xf numFmtId="0" fontId="40" fillId="9" borderId="61" xfId="0" applyFont="1" applyFill="1" applyBorder="1"/>
    <xf numFmtId="0" fontId="40" fillId="9" borderId="80" xfId="0" applyFont="1" applyFill="1" applyBorder="1"/>
    <xf numFmtId="9" fontId="40" fillId="9" borderId="80" xfId="0" applyNumberFormat="1" applyFont="1" applyFill="1" applyBorder="1"/>
    <xf numFmtId="0" fontId="40" fillId="9" borderId="81" xfId="0" applyFont="1" applyFill="1" applyBorder="1"/>
    <xf numFmtId="0" fontId="39" fillId="11" borderId="96" xfId="0" applyFont="1" applyFill="1" applyBorder="1" applyAlignment="1">
      <alignment horizontal="center"/>
    </xf>
    <xf numFmtId="0" fontId="39" fillId="11" borderId="97" xfId="0" applyFont="1" applyFill="1" applyBorder="1" applyAlignment="1">
      <alignment horizontal="center"/>
    </xf>
    <xf numFmtId="0" fontId="39" fillId="11" borderId="98" xfId="0" applyFont="1" applyFill="1" applyBorder="1" applyAlignment="1">
      <alignment horizontal="center"/>
    </xf>
    <xf numFmtId="0" fontId="40" fillId="4" borderId="62" xfId="0" applyFont="1" applyFill="1" applyBorder="1"/>
    <xf numFmtId="0" fontId="53" fillId="0" borderId="0" xfId="0" applyFont="1"/>
    <xf numFmtId="0" fontId="26" fillId="0" borderId="0" xfId="0" applyFont="1" applyAlignment="1">
      <alignment wrapText="1"/>
    </xf>
    <xf numFmtId="0" fontId="39" fillId="8" borderId="0" xfId="0" applyFont="1" applyFill="1"/>
    <xf numFmtId="0" fontId="12" fillId="8" borderId="0" xfId="0" applyFont="1" applyFill="1" applyBorder="1" applyAlignment="1">
      <alignment horizontal="center" vertical="center"/>
    </xf>
    <xf numFmtId="0" fontId="3" fillId="8" borderId="36" xfId="0" applyFont="1" applyFill="1" applyBorder="1"/>
    <xf numFmtId="0" fontId="56" fillId="8" borderId="56" xfId="0" applyFont="1" applyFill="1" applyBorder="1"/>
    <xf numFmtId="0" fontId="56" fillId="8" borderId="57" xfId="0" applyFont="1" applyFill="1" applyBorder="1"/>
    <xf numFmtId="0" fontId="3" fillId="8" borderId="15" xfId="0" applyFont="1" applyFill="1" applyBorder="1"/>
    <xf numFmtId="0" fontId="3" fillId="8" borderId="25" xfId="0" applyFont="1" applyFill="1" applyBorder="1"/>
    <xf numFmtId="0" fontId="3" fillId="8" borderId="26" xfId="0" applyFont="1" applyFill="1" applyBorder="1"/>
    <xf numFmtId="0" fontId="17" fillId="4" borderId="34" xfId="0" applyFont="1" applyFill="1" applyBorder="1" applyAlignment="1">
      <alignment vertical="center"/>
    </xf>
    <xf numFmtId="0" fontId="17" fillId="4" borderId="34" xfId="0" applyFont="1" applyFill="1" applyBorder="1"/>
    <xf numFmtId="0" fontId="17" fillId="9" borderId="10" xfId="0" applyFont="1" applyFill="1" applyBorder="1" applyAlignment="1">
      <alignment horizontal="right"/>
    </xf>
    <xf numFmtId="0" fontId="17" fillId="9" borderId="18" xfId="0" applyFont="1" applyFill="1" applyBorder="1" applyAlignment="1">
      <alignment horizontal="right"/>
    </xf>
    <xf numFmtId="0" fontId="17" fillId="4" borderId="55" xfId="0" applyFont="1" applyFill="1" applyBorder="1"/>
    <xf numFmtId="0" fontId="57" fillId="0" borderId="0" xfId="0" applyFont="1"/>
    <xf numFmtId="0" fontId="58" fillId="0" borderId="0" xfId="0" applyFont="1"/>
    <xf numFmtId="0" fontId="58" fillId="0" borderId="0" xfId="0" applyFont="1" applyAlignment="1">
      <alignment wrapText="1"/>
    </xf>
    <xf numFmtId="0" fontId="59" fillId="0" borderId="22" xfId="0" applyFont="1" applyBorder="1"/>
    <xf numFmtId="0" fontId="44" fillId="0" borderId="3" xfId="0" applyFont="1" applyBorder="1" applyAlignment="1">
      <alignment wrapText="1"/>
    </xf>
    <xf numFmtId="0" fontId="58" fillId="0" borderId="23" xfId="0" applyFont="1" applyBorder="1"/>
    <xf numFmtId="0" fontId="60" fillId="0" borderId="0" xfId="0" applyFont="1"/>
    <xf numFmtId="0" fontId="23" fillId="14" borderId="0" xfId="0" applyFont="1" applyFill="1"/>
    <xf numFmtId="0" fontId="39" fillId="3" borderId="24" xfId="0" applyFont="1" applyFill="1" applyBorder="1" applyAlignment="1">
      <alignment horizontal="center" vertical="center"/>
    </xf>
    <xf numFmtId="0" fontId="39" fillId="3" borderId="0" xfId="0" applyFont="1" applyFill="1" applyAlignment="1">
      <alignment vertical="center"/>
    </xf>
    <xf numFmtId="1" fontId="40" fillId="9" borderId="13" xfId="0" applyNumberFormat="1" applyFont="1" applyFill="1" applyBorder="1" applyAlignment="1">
      <alignment horizontal="center"/>
    </xf>
    <xf numFmtId="0" fontId="39" fillId="3" borderId="0" xfId="0" applyFont="1" applyFill="1" applyAlignment="1">
      <alignment horizontal="center" vertical="center"/>
    </xf>
    <xf numFmtId="0" fontId="39" fillId="3" borderId="19" xfId="0" applyFont="1" applyFill="1" applyBorder="1" applyAlignment="1">
      <alignment horizontal="center" vertical="center"/>
    </xf>
    <xf numFmtId="10" fontId="40" fillId="9" borderId="24" xfId="0" applyNumberFormat="1" applyFont="1" applyFill="1" applyBorder="1" applyAlignment="1">
      <alignment horizontal="center" vertical="center"/>
    </xf>
    <xf numFmtId="10" fontId="40" fillId="9" borderId="19" xfId="0" applyNumberFormat="1" applyFont="1" applyFill="1" applyBorder="1" applyAlignment="1">
      <alignment horizontal="center" vertical="center"/>
    </xf>
    <xf numFmtId="0" fontId="39" fillId="3" borderId="19" xfId="0" applyFont="1" applyFill="1" applyBorder="1" applyAlignment="1">
      <alignment vertical="center"/>
    </xf>
    <xf numFmtId="0" fontId="40" fillId="9" borderId="13" xfId="0" applyFont="1" applyFill="1" applyBorder="1" applyAlignment="1">
      <alignment vertical="center"/>
    </xf>
    <xf numFmtId="0" fontId="40" fillId="9" borderId="24" xfId="0" applyFont="1" applyFill="1" applyBorder="1" applyAlignment="1">
      <alignment vertical="center"/>
    </xf>
    <xf numFmtId="0" fontId="40" fillId="9" borderId="19" xfId="0" applyFont="1" applyFill="1" applyBorder="1" applyAlignment="1">
      <alignment vertical="center"/>
    </xf>
    <xf numFmtId="0" fontId="40" fillId="9" borderId="0" xfId="0" applyFont="1" applyFill="1" applyBorder="1" applyAlignment="1">
      <alignment vertical="center"/>
    </xf>
    <xf numFmtId="0" fontId="39" fillId="3" borderId="24" xfId="0" applyFont="1" applyFill="1" applyBorder="1" applyAlignment="1">
      <alignment vertical="center"/>
    </xf>
    <xf numFmtId="0" fontId="40" fillId="9" borderId="13" xfId="0" applyFont="1" applyFill="1" applyBorder="1" applyAlignment="1">
      <alignment horizontal="center" vertical="center"/>
    </xf>
    <xf numFmtId="165" fontId="40" fillId="9" borderId="24" xfId="0" applyNumberFormat="1" applyFont="1" applyFill="1" applyBorder="1" applyAlignment="1">
      <alignment horizontal="center" vertical="center" wrapText="1"/>
    </xf>
    <xf numFmtId="0" fontId="40" fillId="9" borderId="19" xfId="0" applyFont="1" applyFill="1" applyBorder="1" applyAlignment="1">
      <alignment horizontal="center" vertical="center"/>
    </xf>
    <xf numFmtId="0" fontId="39" fillId="3" borderId="25" xfId="0" applyFont="1" applyFill="1" applyBorder="1" applyAlignment="1">
      <alignment horizontal="center" vertical="center"/>
    </xf>
    <xf numFmtId="0" fontId="39" fillId="3" borderId="26" xfId="0" applyFont="1" applyFill="1" applyBorder="1" applyAlignment="1">
      <alignment vertical="center"/>
    </xf>
    <xf numFmtId="0" fontId="40" fillId="9" borderId="0" xfId="0" applyFont="1" applyFill="1" applyAlignment="1">
      <alignment vertical="center"/>
    </xf>
    <xf numFmtId="0" fontId="40" fillId="9" borderId="24" xfId="0" applyFont="1" applyFill="1" applyBorder="1" applyAlignment="1">
      <alignment vertical="center" wrapText="1"/>
    </xf>
    <xf numFmtId="2" fontId="40" fillId="9" borderId="24" xfId="0" applyNumberFormat="1" applyFont="1" applyFill="1" applyBorder="1" applyAlignment="1">
      <alignment vertical="center" wrapText="1"/>
    </xf>
    <xf numFmtId="0" fontId="40" fillId="9" borderId="19" xfId="0" applyFont="1" applyFill="1" applyBorder="1" applyAlignment="1">
      <alignment vertical="center" wrapText="1"/>
    </xf>
    <xf numFmtId="0" fontId="40" fillId="9" borderId="20" xfId="0" applyFont="1" applyFill="1" applyBorder="1"/>
    <xf numFmtId="1" fontId="61" fillId="9" borderId="18" xfId="0" applyNumberFormat="1" applyFont="1" applyFill="1" applyBorder="1" applyAlignment="1">
      <alignment horizontal="right" vertical="center" wrapText="1"/>
    </xf>
    <xf numFmtId="1" fontId="61" fillId="9" borderId="18" xfId="0" applyNumberFormat="1" applyFont="1" applyFill="1" applyBorder="1" applyAlignment="1">
      <alignment horizontal="right" vertical="center"/>
    </xf>
    <xf numFmtId="0" fontId="40" fillId="4" borderId="14" xfId="0" applyFont="1" applyFill="1" applyBorder="1"/>
    <xf numFmtId="1" fontId="61" fillId="9" borderId="10" xfId="0" applyNumberFormat="1" applyFont="1" applyFill="1" applyBorder="1" applyAlignment="1">
      <alignment horizontal="right" vertical="center"/>
    </xf>
    <xf numFmtId="0" fontId="23" fillId="14" borderId="0" xfId="0" applyFont="1" applyFill="1" applyAlignment="1">
      <alignment vertical="center"/>
    </xf>
    <xf numFmtId="0" fontId="39" fillId="11" borderId="0" xfId="0" applyFont="1" applyFill="1" applyAlignment="1">
      <alignment vertical="center"/>
    </xf>
    <xf numFmtId="0" fontId="40" fillId="4" borderId="15" xfId="0" applyFont="1" applyFill="1" applyBorder="1" applyAlignment="1">
      <alignment vertical="center"/>
    </xf>
    <xf numFmtId="0" fontId="58" fillId="0" borderId="0" xfId="0" applyFont="1" applyAlignment="1">
      <alignment vertical="center"/>
    </xf>
    <xf numFmtId="0" fontId="59" fillId="0" borderId="7" xfId="0" applyFont="1" applyBorder="1" applyAlignment="1">
      <alignment vertical="center"/>
    </xf>
    <xf numFmtId="0" fontId="59" fillId="0" borderId="2" xfId="0" applyFont="1" applyBorder="1" applyAlignment="1">
      <alignment vertical="center"/>
    </xf>
    <xf numFmtId="0" fontId="44" fillId="0" borderId="33" xfId="0" applyFont="1" applyBorder="1" applyAlignment="1">
      <alignment vertical="center"/>
    </xf>
    <xf numFmtId="0" fontId="44" fillId="0" borderId="1" xfId="0" applyFont="1" applyBorder="1" applyAlignment="1">
      <alignment vertical="center" wrapText="1"/>
    </xf>
    <xf numFmtId="0" fontId="58" fillId="0" borderId="6" xfId="0" applyFont="1" applyBorder="1" applyAlignment="1">
      <alignment vertical="center"/>
    </xf>
    <xf numFmtId="0" fontId="58" fillId="0" borderId="4" xfId="0" applyFont="1" applyBorder="1" applyAlignment="1">
      <alignment vertical="center"/>
    </xf>
    <xf numFmtId="0" fontId="40" fillId="9" borderId="0" xfId="0" applyFont="1" applyFill="1" applyAlignment="1">
      <alignment horizontal="center" vertical="center"/>
    </xf>
    <xf numFmtId="0" fontId="40" fillId="4" borderId="27" xfId="0" quotePrefix="1" applyFont="1" applyFill="1" applyBorder="1" applyAlignment="1">
      <alignment vertical="center"/>
    </xf>
    <xf numFmtId="0" fontId="40" fillId="4" borderId="14" xfId="0" quotePrefix="1" applyFont="1" applyFill="1" applyBorder="1" applyAlignment="1">
      <alignment vertical="center"/>
    </xf>
    <xf numFmtId="0" fontId="22" fillId="3" borderId="13" xfId="0" applyFont="1" applyFill="1" applyBorder="1" applyAlignment="1">
      <alignment horizontal="center" vertical="center"/>
    </xf>
    <xf numFmtId="0" fontId="49" fillId="9" borderId="30" xfId="0" applyFont="1" applyFill="1" applyBorder="1"/>
    <xf numFmtId="0" fontId="22" fillId="2" borderId="3" xfId="0" applyFont="1" applyFill="1" applyBorder="1" applyAlignment="1">
      <alignment horizontal="center" vertical="center"/>
    </xf>
    <xf numFmtId="0" fontId="39" fillId="3" borderId="101" xfId="0" applyFont="1" applyFill="1" applyBorder="1" applyAlignment="1">
      <alignment horizontal="center" vertical="center"/>
    </xf>
    <xf numFmtId="0" fontId="23" fillId="8" borderId="0" xfId="0" applyFont="1" applyFill="1" applyAlignment="1">
      <alignment horizontal="center" vertical="center" wrapText="1"/>
    </xf>
    <xf numFmtId="0" fontId="24" fillId="4" borderId="47" xfId="0" applyFont="1" applyFill="1" applyBorder="1" applyAlignment="1">
      <alignment horizontal="center" vertical="center"/>
      <extLst>
        <ext xmlns:xfpb="http://schemas.microsoft.com/office/spreadsheetml/2022/featurepropertybag" uri="{C7286773-470A-42A8-94C5-96B5CB345126}">
          <xfpb:xfComplement i="0"/>
        </ext>
      </extLst>
    </xf>
    <xf numFmtId="0" fontId="62" fillId="4" borderId="27" xfId="0" applyFont="1" applyFill="1" applyBorder="1" applyAlignment="1">
      <alignment horizontal="center" vertical="center"/>
    </xf>
    <xf numFmtId="0" fontId="62" fillId="4" borderId="10" xfId="0" applyFont="1" applyFill="1" applyBorder="1" applyAlignment="1">
      <alignment horizontal="center" vertical="center"/>
    </xf>
    <xf numFmtId="0" fontId="62" fillId="4" borderId="18" xfId="0" applyFont="1" applyFill="1" applyBorder="1" applyAlignment="1">
      <alignment horizontal="center" vertical="center"/>
    </xf>
    <xf numFmtId="0" fontId="62" fillId="4" borderId="28" xfId="0" applyFont="1" applyFill="1" applyBorder="1" applyAlignment="1">
      <alignment horizontal="center" vertical="center"/>
    </xf>
    <xf numFmtId="0" fontId="62" fillId="4" borderId="10" xfId="0" applyFont="1" applyFill="1" applyBorder="1">
      <extLst>
        <ext xmlns:xfpb="http://schemas.microsoft.com/office/spreadsheetml/2022/featurepropertybag" uri="{C7286773-470A-42A8-94C5-96B5CB345126}">
          <xfpb:xfComplement i="0"/>
        </ext>
      </extLst>
    </xf>
    <xf numFmtId="0" fontId="24" fillId="4" borderId="18" xfId="0" quotePrefix="1" applyFont="1" applyFill="1" applyBorder="1" applyAlignment="1">
      <alignment horizontal="center" vertical="center"/>
    </xf>
    <xf numFmtId="0" fontId="24" fillId="4" borderId="18" xfId="0" applyFont="1" applyFill="1" applyBorder="1" applyAlignment="1">
      <alignment horizontal="center" vertical="center"/>
      <extLst>
        <ext xmlns:xfpb="http://schemas.microsoft.com/office/spreadsheetml/2022/featurepropertybag" uri="{C7286773-470A-42A8-94C5-96B5CB345126}">
          <xfpb:xfComplement i="0"/>
        </ext>
      </extLst>
    </xf>
    <xf numFmtId="0" fontId="24" fillId="4" borderId="18" xfId="0" applyFont="1" applyFill="1" applyBorder="1">
      <extLst>
        <ext xmlns:xfpb="http://schemas.microsoft.com/office/spreadsheetml/2022/featurepropertybag" uri="{C7286773-470A-42A8-94C5-96B5CB345126}">
          <xfpb:xfComplement i="0"/>
        </ext>
      </extLst>
    </xf>
    <xf numFmtId="0" fontId="24" fillId="4" borderId="28" xfId="0" applyFont="1" applyFill="1" applyBorder="1" applyAlignment="1">
      <alignment horizontal="center" vertical="center"/>
    </xf>
    <xf numFmtId="0" fontId="24" fillId="4" borderId="0" xfId="0" applyFont="1" applyFill="1" applyAlignment="1">
      <alignment horizontal="left"/>
    </xf>
    <xf numFmtId="0" fontId="39" fillId="8" borderId="18" xfId="0" applyFont="1" applyFill="1" applyBorder="1" applyAlignment="1">
      <alignment horizontal="center" vertical="center"/>
    </xf>
    <xf numFmtId="0" fontId="26" fillId="9" borderId="18" xfId="0" applyFont="1" applyFill="1" applyBorder="1"/>
    <xf numFmtId="0" fontId="22" fillId="0" borderId="0" xfId="0" applyFont="1" applyAlignment="1">
      <alignment horizontal="center"/>
    </xf>
    <xf numFmtId="0" fontId="24" fillId="4" borderId="25" xfId="0" applyFont="1" applyFill="1" applyBorder="1" applyAlignment="1">
      <alignment horizontal="center" vertical="center"/>
    </xf>
    <xf numFmtId="0" fontId="24" fillId="4" borderId="10" xfId="0" applyFont="1" applyFill="1" applyBorder="1" applyAlignment="1">
      <alignment horizontal="center" vertical="center"/>
    </xf>
    <xf numFmtId="0" fontId="24" fillId="4" borderId="10" xfId="0" applyFont="1" applyFill="1" applyBorder="1" applyAlignment="1">
      <alignment horizontal="center" vertical="center" wrapText="1"/>
    </xf>
    <xf numFmtId="0" fontId="24" fillId="4" borderId="30" xfId="0" applyFont="1" applyFill="1" applyBorder="1" applyAlignment="1">
      <alignment horizontal="center" vertical="center"/>
    </xf>
    <xf numFmtId="0" fontId="24" fillId="4" borderId="26" xfId="0" applyFont="1" applyFill="1" applyBorder="1" applyAlignment="1">
      <alignment horizontal="center" vertical="center"/>
    </xf>
    <xf numFmtId="0" fontId="24" fillId="4" borderId="18" xfId="0" applyFont="1" applyFill="1" applyBorder="1" applyAlignment="1">
      <alignment horizontal="center" vertical="center"/>
    </xf>
    <xf numFmtId="0" fontId="31" fillId="9" borderId="25" xfId="0" applyFont="1" applyFill="1" applyBorder="1" applyAlignment="1">
      <alignment vertical="center" wrapText="1"/>
    </xf>
    <xf numFmtId="0" fontId="31" fillId="9" borderId="10" xfId="0" applyFont="1" applyFill="1" applyBorder="1" applyAlignment="1">
      <alignment vertical="center" wrapText="1"/>
    </xf>
    <xf numFmtId="0" fontId="31" fillId="9" borderId="30" xfId="0" applyFont="1" applyFill="1" applyBorder="1" applyAlignment="1">
      <alignment vertical="center" wrapText="1"/>
    </xf>
    <xf numFmtId="9" fontId="27" fillId="9" borderId="47" xfId="0" applyNumberFormat="1" applyFont="1" applyFill="1" applyBorder="1" applyAlignment="1">
      <alignment horizontal="center" vertical="center" wrapText="1"/>
    </xf>
    <xf numFmtId="0" fontId="27" fillId="9" borderId="47" xfId="0" applyFont="1" applyFill="1" applyBorder="1" applyAlignment="1">
      <alignment vertical="center"/>
    </xf>
    <xf numFmtId="0" fontId="19" fillId="9" borderId="47" xfId="0" applyFont="1" applyFill="1" applyBorder="1" applyAlignment="1">
      <alignment horizontal="center" vertical="center"/>
    </xf>
    <xf numFmtId="0" fontId="62" fillId="4" borderId="18" xfId="0" applyFont="1" applyFill="1" applyBorder="1" applyAlignment="1">
      <alignment horizontal="left"/>
    </xf>
    <xf numFmtId="0" fontId="22" fillId="3" borderId="102" xfId="0" applyFont="1" applyFill="1" applyBorder="1" applyAlignment="1">
      <alignment horizontal="center" vertical="center"/>
    </xf>
    <xf numFmtId="0" fontId="62" fillId="4" borderId="28" xfId="0" applyFont="1" applyFill="1" applyBorder="1" applyAlignment="1">
      <alignment horizontal="left"/>
    </xf>
    <xf numFmtId="0" fontId="62" fillId="4" borderId="10" xfId="0" applyFont="1" applyFill="1" applyBorder="1" applyAlignment="1">
      <alignment horizontal="center" vertical="center"/>
      <extLst>
        <ext xmlns:xfpb="http://schemas.microsoft.com/office/spreadsheetml/2022/featurepropertybag" uri="{C7286773-470A-42A8-94C5-96B5CB345126}">
          <xfpb:xfComplement i="0"/>
        </ext>
      </extLst>
    </xf>
    <xf numFmtId="0" fontId="22" fillId="14" borderId="103" xfId="0" applyFont="1" applyFill="1" applyBorder="1" applyAlignment="1">
      <alignment horizontal="center" vertical="center"/>
    </xf>
    <xf numFmtId="0" fontId="22" fillId="3" borderId="14" xfId="0" applyFont="1" applyFill="1" applyBorder="1" applyAlignment="1">
      <alignment horizontal="center" vertical="center"/>
    </xf>
    <xf numFmtId="0" fontId="62" fillId="4" borderId="81" xfId="0" applyFont="1" applyFill="1" applyBorder="1" applyAlignment="1">
      <alignment horizontal="left"/>
    </xf>
    <xf numFmtId="0" fontId="24" fillId="4" borderId="25" xfId="0" applyFont="1" applyFill="1" applyBorder="1" applyAlignment="1">
      <alignment horizontal="center" vertical="center" wrapText="1"/>
    </xf>
    <xf numFmtId="0" fontId="24" fillId="4" borderId="30" xfId="0" applyFont="1" applyFill="1" applyBorder="1" applyAlignment="1">
      <alignment horizontal="center" vertical="center" wrapText="1"/>
    </xf>
    <xf numFmtId="0" fontId="46" fillId="9" borderId="18" xfId="0" applyFont="1" applyFill="1" applyBorder="1" applyAlignment="1">
      <alignment wrapText="1"/>
    </xf>
    <xf numFmtId="0" fontId="46" fillId="9" borderId="26" xfId="0" applyFont="1" applyFill="1" applyBorder="1" applyAlignment="1">
      <alignment wrapText="1"/>
    </xf>
    <xf numFmtId="0" fontId="39" fillId="3" borderId="14" xfId="0" applyFont="1" applyFill="1" applyBorder="1" applyAlignment="1">
      <alignment horizontal="center" vertical="center"/>
    </xf>
    <xf numFmtId="0" fontId="22" fillId="8" borderId="0" xfId="0" applyFont="1" applyFill="1"/>
    <xf numFmtId="0" fontId="49" fillId="9" borderId="18" xfId="0" applyFont="1" applyFill="1" applyBorder="1"/>
    <xf numFmtId="0" fontId="49" fillId="9" borderId="12" xfId="0" applyFont="1" applyFill="1" applyBorder="1"/>
    <xf numFmtId="0" fontId="22" fillId="8" borderId="0" xfId="0" applyFont="1" applyFill="1" applyAlignment="1">
      <alignment horizontal="center"/>
    </xf>
    <xf numFmtId="0" fontId="40" fillId="9" borderId="10" xfId="0" applyFont="1" applyFill="1" applyBorder="1" applyAlignment="1">
      <alignment horizontal="left" vertical="center"/>
    </xf>
    <xf numFmtId="0" fontId="40" fillId="9" borderId="30" xfId="0" applyFont="1" applyFill="1" applyBorder="1" applyAlignment="1">
      <alignment horizontal="left" vertical="center"/>
    </xf>
    <xf numFmtId="0" fontId="26" fillId="9" borderId="12" xfId="0" applyFont="1" applyFill="1" applyBorder="1"/>
    <xf numFmtId="0" fontId="26" fillId="9" borderId="21" xfId="0" applyFont="1" applyFill="1" applyBorder="1"/>
    <xf numFmtId="0" fontId="26" fillId="9" borderId="20" xfId="0" applyFont="1" applyFill="1" applyBorder="1"/>
    <xf numFmtId="1" fontId="64" fillId="9" borderId="8" xfId="0" applyNumberFormat="1" applyFont="1" applyFill="1" applyBorder="1" applyAlignment="1">
      <alignment horizontal="right" vertical="center"/>
    </xf>
    <xf numFmtId="1" fontId="64" fillId="9" borderId="18" xfId="0" applyNumberFormat="1" applyFont="1" applyFill="1" applyBorder="1" applyAlignment="1">
      <alignment horizontal="right" vertical="center" wrapText="1"/>
    </xf>
    <xf numFmtId="1" fontId="64" fillId="9" borderId="18" xfId="0" applyNumberFormat="1" applyFont="1" applyFill="1" applyBorder="1" applyAlignment="1">
      <alignment horizontal="right" vertical="center"/>
    </xf>
    <xf numFmtId="1" fontId="64" fillId="9" borderId="10" xfId="0" applyNumberFormat="1" applyFont="1" applyFill="1" applyBorder="1" applyAlignment="1">
      <alignment horizontal="right" vertical="center" wrapText="1"/>
    </xf>
    <xf numFmtId="1" fontId="64" fillId="9" borderId="10" xfId="0" applyNumberFormat="1" applyFont="1" applyFill="1" applyBorder="1" applyAlignment="1">
      <alignment horizontal="right" vertical="center"/>
    </xf>
    <xf numFmtId="1" fontId="64" fillId="9" borderId="11" xfId="0" applyNumberFormat="1" applyFont="1" applyFill="1" applyBorder="1" applyAlignment="1">
      <alignment horizontal="right" vertical="center"/>
    </xf>
    <xf numFmtId="1" fontId="64" fillId="9" borderId="15" xfId="0" applyNumberFormat="1" applyFont="1" applyFill="1" applyBorder="1" applyAlignment="1">
      <alignment horizontal="right" vertical="center"/>
    </xf>
    <xf numFmtId="1" fontId="64" fillId="9" borderId="15" xfId="0" applyNumberFormat="1" applyFont="1" applyFill="1" applyBorder="1" applyAlignment="1">
      <alignment wrapText="1"/>
    </xf>
    <xf numFmtId="164" fontId="64" fillId="9" borderId="10" xfId="0" applyNumberFormat="1" applyFont="1" applyFill="1" applyBorder="1" applyAlignment="1">
      <alignment horizontal="right" vertical="center" wrapText="1"/>
    </xf>
    <xf numFmtId="164" fontId="64" fillId="9" borderId="10" xfId="0" applyNumberFormat="1" applyFont="1" applyFill="1" applyBorder="1" applyAlignment="1">
      <alignment horizontal="right" vertical="center"/>
    </xf>
    <xf numFmtId="164" fontId="64" fillId="9" borderId="11" xfId="0" applyNumberFormat="1" applyFont="1" applyFill="1" applyBorder="1" applyAlignment="1">
      <alignment horizontal="right" vertical="center"/>
    </xf>
    <xf numFmtId="0" fontId="22" fillId="11" borderId="107" xfId="0" applyFont="1" applyFill="1" applyBorder="1" applyAlignment="1">
      <alignment horizontal="center" vertical="center"/>
    </xf>
    <xf numFmtId="0" fontId="22" fillId="11" borderId="108" xfId="0" applyFont="1" applyFill="1" applyBorder="1" applyAlignment="1">
      <alignment horizontal="center" vertical="center"/>
    </xf>
    <xf numFmtId="0" fontId="22" fillId="11" borderId="109" xfId="0" applyFont="1" applyFill="1" applyBorder="1" applyAlignment="1">
      <alignment horizontal="center" vertical="center"/>
    </xf>
    <xf numFmtId="0" fontId="22" fillId="11" borderId="104" xfId="0" applyFont="1" applyFill="1" applyBorder="1" applyAlignment="1">
      <alignment horizontal="center" vertical="center"/>
    </xf>
    <xf numFmtId="0" fontId="22" fillId="11" borderId="105" xfId="0" applyFont="1" applyFill="1" applyBorder="1" applyAlignment="1">
      <alignment horizontal="center" vertical="center"/>
    </xf>
    <xf numFmtId="0" fontId="22" fillId="11" borderId="105" xfId="0" applyFont="1" applyFill="1" applyBorder="1" applyAlignment="1">
      <alignment horizontal="center" vertical="center" wrapText="1"/>
    </xf>
    <xf numFmtId="0" fontId="22" fillId="11" borderId="106" xfId="0" applyFont="1" applyFill="1" applyBorder="1" applyAlignment="1">
      <alignment horizontal="center" vertical="center"/>
    </xf>
    <xf numFmtId="0" fontId="34" fillId="11" borderId="105" xfId="0" applyFont="1" applyFill="1" applyBorder="1" applyAlignment="1">
      <alignment horizontal="center" vertical="center" wrapText="1"/>
    </xf>
    <xf numFmtId="0" fontId="34" fillId="11" borderId="108" xfId="0" applyFont="1" applyFill="1" applyBorder="1" applyAlignment="1">
      <alignment horizontal="center" vertical="center" wrapText="1"/>
    </xf>
    <xf numFmtId="10" fontId="40" fillId="4" borderId="27" xfId="0" applyNumberFormat="1" applyFont="1" applyFill="1" applyBorder="1"/>
    <xf numFmtId="1" fontId="40" fillId="4" borderId="114" xfId="0" applyNumberFormat="1" applyFont="1" applyFill="1" applyBorder="1"/>
    <xf numFmtId="10" fontId="40" fillId="4" borderId="114" xfId="0" applyNumberFormat="1" applyFont="1" applyFill="1" applyBorder="1"/>
    <xf numFmtId="10" fontId="40" fillId="4" borderId="115" xfId="0" applyNumberFormat="1" applyFont="1" applyFill="1" applyBorder="1"/>
    <xf numFmtId="0" fontId="49" fillId="9" borderId="14" xfId="0" applyFont="1" applyFill="1" applyBorder="1"/>
    <xf numFmtId="0" fontId="40" fillId="4" borderId="117" xfId="0" applyFont="1" applyFill="1" applyBorder="1"/>
    <xf numFmtId="0" fontId="39" fillId="3" borderId="118" xfId="0" applyFont="1" applyFill="1" applyBorder="1"/>
    <xf numFmtId="10" fontId="40" fillId="9" borderId="119" xfId="0" applyNumberFormat="1" applyFont="1" applyFill="1" applyBorder="1"/>
    <xf numFmtId="10" fontId="40" fillId="9" borderId="120" xfId="0" applyNumberFormat="1" applyFont="1" applyFill="1" applyBorder="1"/>
    <xf numFmtId="0" fontId="26" fillId="9" borderId="30" xfId="0" applyFont="1" applyFill="1" applyBorder="1"/>
    <xf numFmtId="0" fontId="26" fillId="9" borderId="28" xfId="0" applyFont="1" applyFill="1" applyBorder="1"/>
    <xf numFmtId="0" fontId="65" fillId="4" borderId="121" xfId="0" applyFont="1" applyFill="1" applyBorder="1" applyAlignment="1">
      <alignment horizontal="center" vertical="center"/>
    </xf>
    <xf numFmtId="0" fontId="65" fillId="4" borderId="122" xfId="0" applyFont="1" applyFill="1" applyBorder="1" applyAlignment="1">
      <alignment horizontal="center" vertical="center" wrapText="1"/>
    </xf>
    <xf numFmtId="0" fontId="22" fillId="3" borderId="123" xfId="0" applyFont="1" applyFill="1" applyBorder="1" applyAlignment="1">
      <alignment horizontal="center" vertical="center"/>
    </xf>
    <xf numFmtId="0" fontId="62" fillId="4" borderId="124" xfId="0" applyFont="1" applyFill="1" applyBorder="1" applyAlignment="1">
      <alignment horizontal="center" vertical="center"/>
    </xf>
    <xf numFmtId="0" fontId="22" fillId="3" borderId="121" xfId="0" applyFont="1" applyFill="1" applyBorder="1" applyAlignment="1">
      <alignment horizontal="center" vertical="center"/>
    </xf>
    <xf numFmtId="0" fontId="62" fillId="4" borderId="122" xfId="0" applyFont="1" applyFill="1" applyBorder="1" applyAlignment="1">
      <alignment horizontal="center" vertical="center"/>
    </xf>
    <xf numFmtId="0" fontId="22" fillId="3" borderId="127" xfId="0" applyFont="1" applyFill="1" applyBorder="1" applyAlignment="1">
      <alignment horizontal="center" vertical="center"/>
    </xf>
    <xf numFmtId="0" fontId="62" fillId="4" borderId="123" xfId="0" applyFont="1" applyFill="1" applyBorder="1" applyAlignment="1">
      <alignment horizontal="center" vertical="center"/>
    </xf>
    <xf numFmtId="0" fontId="26" fillId="9" borderId="15" xfId="0" applyFont="1" applyFill="1" applyBorder="1"/>
    <xf numFmtId="0" fontId="26" fillId="9" borderId="25" xfId="0" applyFont="1" applyFill="1" applyBorder="1"/>
    <xf numFmtId="0" fontId="26" fillId="9" borderId="26" xfId="0" applyFont="1" applyFill="1" applyBorder="1"/>
    <xf numFmtId="0" fontId="26" fillId="9" borderId="14" xfId="0" applyFont="1" applyFill="1" applyBorder="1"/>
    <xf numFmtId="1" fontId="26" fillId="9" borderId="30" xfId="0" applyNumberFormat="1" applyFont="1" applyFill="1" applyBorder="1"/>
    <xf numFmtId="0" fontId="40" fillId="9" borderId="12" xfId="0" applyFont="1" applyFill="1" applyBorder="1" applyAlignment="1">
      <alignment vertical="center"/>
    </xf>
    <xf numFmtId="0" fontId="66" fillId="0" borderId="0" xfId="0" quotePrefix="1" applyFont="1"/>
    <xf numFmtId="0" fontId="62" fillId="4" borderId="27" xfId="0" applyFont="1" applyFill="1" applyBorder="1" applyAlignment="1">
      <alignment horizontal="center" vertical="center" wrapText="1"/>
    </xf>
    <xf numFmtId="0" fontId="22" fillId="8" borderId="19" xfId="0" applyFont="1" applyFill="1" applyBorder="1" applyAlignment="1">
      <alignment horizontal="center" vertical="center"/>
    </xf>
    <xf numFmtId="0" fontId="22" fillId="8" borderId="13" xfId="0" applyFont="1" applyFill="1" applyBorder="1" applyAlignment="1">
      <alignment horizontal="center" vertical="center"/>
    </xf>
    <xf numFmtId="0" fontId="23" fillId="8" borderId="25" xfId="0" applyFont="1" applyFill="1" applyBorder="1" applyAlignment="1">
      <alignment horizontal="center" vertical="center"/>
    </xf>
    <xf numFmtId="0" fontId="23" fillId="8" borderId="26" xfId="0" applyFont="1" applyFill="1" applyBorder="1" applyAlignment="1">
      <alignment horizontal="center" vertical="center"/>
    </xf>
    <xf numFmtId="0" fontId="23" fillId="3" borderId="27" xfId="0" applyFont="1" applyFill="1" applyBorder="1" applyAlignment="1">
      <alignment horizontal="center" vertical="center"/>
    </xf>
    <xf numFmtId="0" fontId="21" fillId="8" borderId="0" xfId="0" applyFont="1" applyFill="1" applyAlignment="1">
      <alignment horizontal="center" vertical="center"/>
    </xf>
    <xf numFmtId="0" fontId="40" fillId="9" borderId="24" xfId="0" applyFont="1" applyFill="1" applyBorder="1" applyAlignment="1">
      <alignment horizontal="center" vertical="center"/>
    </xf>
    <xf numFmtId="0" fontId="39" fillId="3" borderId="13" xfId="0" applyFont="1" applyFill="1" applyBorder="1" applyAlignment="1">
      <alignment horizontal="center" vertical="center"/>
    </xf>
    <xf numFmtId="0" fontId="23" fillId="3" borderId="15" xfId="0" applyFont="1" applyFill="1" applyBorder="1" applyAlignment="1">
      <alignment horizontal="center" vertical="center"/>
    </xf>
    <xf numFmtId="0" fontId="23" fillId="3" borderId="27" xfId="0" applyFont="1" applyFill="1" applyBorder="1" applyAlignment="1">
      <alignment horizontal="center" vertical="center"/>
    </xf>
    <xf numFmtId="0" fontId="23" fillId="3" borderId="14" xfId="0" applyFont="1" applyFill="1" applyBorder="1" applyAlignment="1">
      <alignment horizontal="center" vertical="center"/>
    </xf>
    <xf numFmtId="0" fontId="23" fillId="8" borderId="0" xfId="0" applyFont="1" applyFill="1" applyBorder="1" applyAlignment="1">
      <alignment horizontal="center" vertical="center"/>
    </xf>
    <xf numFmtId="0" fontId="23" fillId="3" borderId="70" xfId="0" applyFont="1" applyFill="1" applyBorder="1" applyAlignment="1">
      <alignment horizontal="center" vertical="center"/>
    </xf>
    <xf numFmtId="0" fontId="23" fillId="3" borderId="49" xfId="0" applyFont="1" applyFill="1" applyBorder="1" applyAlignment="1">
      <alignment horizontal="center" vertical="center"/>
    </xf>
    <xf numFmtId="0" fontId="23" fillId="3" borderId="71" xfId="0" applyFont="1" applyFill="1" applyBorder="1" applyAlignment="1">
      <alignment horizontal="center" vertical="center"/>
    </xf>
    <xf numFmtId="0" fontId="22" fillId="8" borderId="0" xfId="0" applyFont="1" applyFill="1" applyBorder="1" applyAlignment="1">
      <alignment horizontal="center" vertical="center"/>
    </xf>
    <xf numFmtId="0" fontId="23" fillId="3" borderId="78" xfId="0" applyFont="1" applyFill="1" applyBorder="1" applyAlignment="1">
      <alignment horizontal="center" vertical="center"/>
    </xf>
    <xf numFmtId="0" fontId="23" fillId="3" borderId="69" xfId="0" applyFont="1" applyFill="1" applyBorder="1" applyAlignment="1">
      <alignment horizontal="center" vertical="center"/>
    </xf>
    <xf numFmtId="0" fontId="31" fillId="9" borderId="27" xfId="0" applyFont="1" applyFill="1" applyBorder="1" applyAlignment="1">
      <alignment horizontal="center"/>
    </xf>
    <xf numFmtId="0" fontId="31" fillId="9" borderId="10" xfId="0" applyFont="1" applyFill="1" applyBorder="1" applyAlignment="1">
      <alignment horizontal="center"/>
    </xf>
    <xf numFmtId="0" fontId="16" fillId="10" borderId="12" xfId="0" applyFont="1" applyFill="1" applyBorder="1" applyAlignment="1">
      <alignment horizontal="center" vertical="center"/>
    </xf>
    <xf numFmtId="0" fontId="16" fillId="10" borderId="11" xfId="0" applyFont="1" applyFill="1" applyBorder="1" applyAlignment="1">
      <alignment horizontal="center" vertical="center"/>
    </xf>
    <xf numFmtId="0" fontId="62" fillId="4" borderId="21" xfId="0" applyFont="1" applyFill="1" applyBorder="1" applyAlignment="1">
      <alignment horizontal="center" vertical="center" wrapText="1"/>
    </xf>
    <xf numFmtId="0" fontId="62" fillId="4" borderId="27" xfId="0" applyFont="1" applyFill="1" applyBorder="1" applyAlignment="1">
      <alignment horizontal="center" vertical="center" wrapText="1"/>
    </xf>
    <xf numFmtId="0" fontId="16" fillId="10" borderId="29" xfId="0" applyFont="1" applyFill="1" applyBorder="1" applyAlignment="1">
      <alignment horizontal="center" vertical="center"/>
    </xf>
    <xf numFmtId="0" fontId="16" fillId="10" borderId="13" xfId="0" applyFont="1" applyFill="1" applyBorder="1" applyAlignment="1">
      <alignment horizontal="center" vertical="center"/>
    </xf>
    <xf numFmtId="0" fontId="62" fillId="4" borderId="126" xfId="0" applyFont="1" applyFill="1" applyBorder="1" applyAlignment="1">
      <alignment horizontal="center"/>
    </xf>
    <xf numFmtId="0" fontId="62" fillId="4" borderId="123" xfId="0" applyFont="1" applyFill="1" applyBorder="1" applyAlignment="1">
      <alignment horizontal="center"/>
    </xf>
    <xf numFmtId="0" fontId="62" fillId="4" borderId="125" xfId="0" applyFont="1" applyFill="1" applyBorder="1" applyAlignment="1">
      <alignment horizontal="center" vertical="center" wrapText="1"/>
    </xf>
    <xf numFmtId="0" fontId="62" fillId="4" borderId="123" xfId="0" applyFont="1" applyFill="1" applyBorder="1" applyAlignment="1">
      <alignment horizontal="center" vertical="center" wrapText="1"/>
    </xf>
    <xf numFmtId="0" fontId="62" fillId="4" borderId="125" xfId="0" applyFont="1" applyFill="1" applyBorder="1" applyAlignment="1">
      <alignment horizontal="center"/>
    </xf>
    <xf numFmtId="0" fontId="16" fillId="8" borderId="13" xfId="0" applyFont="1" applyFill="1" applyBorder="1" applyAlignment="1">
      <alignment horizontal="center" vertical="center"/>
    </xf>
    <xf numFmtId="0" fontId="16" fillId="8" borderId="24" xfId="0" applyFont="1" applyFill="1" applyBorder="1" applyAlignment="1">
      <alignment horizontal="center" vertical="center"/>
    </xf>
    <xf numFmtId="0" fontId="62" fillId="4" borderId="37" xfId="0" applyFont="1" applyFill="1" applyBorder="1" applyAlignment="1">
      <alignment horizontal="center"/>
    </xf>
    <xf numFmtId="0" fontId="62" fillId="4" borderId="27" xfId="0" applyFont="1" applyFill="1" applyBorder="1" applyAlignment="1">
      <alignment horizontal="center"/>
    </xf>
    <xf numFmtId="0" fontId="13" fillId="10" borderId="19" xfId="0" applyFont="1" applyFill="1" applyBorder="1" applyAlignment="1">
      <alignment horizontal="center" vertical="center"/>
    </xf>
    <xf numFmtId="0" fontId="13" fillId="10" borderId="0" xfId="0" applyFont="1" applyFill="1" applyBorder="1" applyAlignment="1">
      <alignment horizontal="center" vertical="center"/>
    </xf>
    <xf numFmtId="0" fontId="16" fillId="10" borderId="0" xfId="0" applyFont="1" applyFill="1" applyBorder="1" applyAlignment="1">
      <alignment horizontal="center" vertical="center"/>
    </xf>
    <xf numFmtId="0" fontId="62" fillId="4" borderId="21" xfId="0" applyFont="1" applyFill="1" applyBorder="1" applyAlignment="1">
      <alignment horizontal="center"/>
    </xf>
    <xf numFmtId="0" fontId="21" fillId="8" borderId="13" xfId="0" applyFont="1" applyFill="1" applyBorder="1" applyAlignment="1">
      <alignment horizontal="center" vertical="center"/>
    </xf>
    <xf numFmtId="0" fontId="21" fillId="8" borderId="24" xfId="0" applyFont="1" applyFill="1" applyBorder="1" applyAlignment="1">
      <alignment horizontal="center" vertical="center"/>
    </xf>
    <xf numFmtId="0" fontId="21" fillId="8" borderId="19" xfId="0" applyFont="1" applyFill="1" applyBorder="1" applyAlignment="1">
      <alignment horizontal="center" vertical="center"/>
    </xf>
    <xf numFmtId="0" fontId="21" fillId="8" borderId="0" xfId="0" applyFont="1" applyFill="1" applyBorder="1" applyAlignment="1">
      <alignment horizontal="center" vertical="center"/>
    </xf>
    <xf numFmtId="0" fontId="22" fillId="3" borderId="116" xfId="0" applyFont="1" applyFill="1" applyBorder="1" applyAlignment="1">
      <alignment horizontal="center" vertical="center"/>
    </xf>
    <xf numFmtId="0" fontId="22" fillId="3" borderId="99" xfId="0" applyFont="1" applyFill="1" applyBorder="1" applyAlignment="1">
      <alignment horizontal="center" vertical="center"/>
    </xf>
    <xf numFmtId="0" fontId="22" fillId="3" borderId="100" xfId="0" applyFont="1" applyFill="1" applyBorder="1" applyAlignment="1">
      <alignment horizontal="center" vertical="center"/>
    </xf>
    <xf numFmtId="0" fontId="22" fillId="3" borderId="20" xfId="0" applyFont="1" applyFill="1" applyBorder="1" applyAlignment="1">
      <alignment horizontal="center" vertical="center"/>
    </xf>
    <xf numFmtId="0" fontId="22" fillId="3" borderId="0" xfId="0" applyFont="1" applyFill="1" applyBorder="1" applyAlignment="1">
      <alignment horizontal="center" vertical="center"/>
    </xf>
    <xf numFmtId="0" fontId="22" fillId="3" borderId="12" xfId="0" applyFont="1" applyFill="1" applyBorder="1" applyAlignment="1">
      <alignment horizontal="center" vertical="center"/>
    </xf>
    <xf numFmtId="0" fontId="22" fillId="3" borderId="0"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20" xfId="0" applyFont="1" applyFill="1" applyBorder="1" applyAlignment="1">
      <alignment horizontal="center" vertical="center" wrapText="1"/>
    </xf>
    <xf numFmtId="0" fontId="18" fillId="4" borderId="21" xfId="0" applyFont="1" applyFill="1" applyBorder="1" applyAlignment="1">
      <alignment horizontal="right" vertical="center"/>
    </xf>
    <xf numFmtId="0" fontId="18" fillId="4" borderId="90" xfId="0" applyFont="1" applyFill="1" applyBorder="1" applyAlignment="1">
      <alignment horizontal="right" vertical="center"/>
    </xf>
    <xf numFmtId="0" fontId="18" fillId="4" borderId="112" xfId="0" applyFont="1" applyFill="1" applyBorder="1" applyAlignment="1">
      <alignment horizontal="right" vertical="center"/>
    </xf>
    <xf numFmtId="0" fontId="18" fillId="4" borderId="113" xfId="0" applyFont="1" applyFill="1" applyBorder="1" applyAlignment="1">
      <alignment horizontal="right" vertical="center"/>
    </xf>
    <xf numFmtId="0" fontId="14" fillId="8" borderId="110" xfId="0" applyFont="1" applyFill="1" applyBorder="1" applyAlignment="1">
      <alignment horizontal="center" vertical="center" wrapText="1"/>
    </xf>
    <xf numFmtId="0" fontId="14" fillId="8" borderId="111" xfId="0" applyFont="1" applyFill="1" applyBorder="1" applyAlignment="1">
      <alignment horizontal="center" vertical="center" wrapText="1"/>
    </xf>
    <xf numFmtId="0" fontId="21" fillId="8" borderId="8" xfId="0" applyFont="1" applyFill="1" applyBorder="1" applyAlignment="1">
      <alignment horizontal="center" vertical="center" textRotation="45"/>
    </xf>
    <xf numFmtId="0" fontId="21" fillId="8" borderId="0" xfId="0" applyFont="1" applyFill="1" applyBorder="1" applyAlignment="1">
      <alignment horizontal="center" vertical="center" textRotation="45"/>
    </xf>
    <xf numFmtId="0" fontId="21" fillId="8" borderId="9" xfId="0" applyFont="1" applyFill="1" applyBorder="1" applyAlignment="1">
      <alignment horizontal="center" vertical="center" textRotation="45"/>
    </xf>
    <xf numFmtId="0" fontId="21" fillId="8" borderId="20" xfId="0" applyFont="1" applyFill="1" applyBorder="1" applyAlignment="1">
      <alignment horizontal="center" vertical="center" textRotation="45"/>
    </xf>
    <xf numFmtId="0" fontId="22" fillId="8" borderId="24" xfId="0" applyFont="1" applyFill="1" applyBorder="1" applyAlignment="1">
      <alignment horizontal="center" vertical="center"/>
    </xf>
    <xf numFmtId="0" fontId="22" fillId="8" borderId="19" xfId="0" applyFont="1" applyFill="1" applyBorder="1" applyAlignment="1">
      <alignment horizontal="center" vertical="center"/>
    </xf>
    <xf numFmtId="0" fontId="22" fillId="8" borderId="13" xfId="0" applyFont="1" applyFill="1" applyBorder="1" applyAlignment="1">
      <alignment horizontal="center" vertical="center"/>
    </xf>
    <xf numFmtId="0" fontId="23" fillId="8" borderId="15" xfId="0" applyFont="1" applyFill="1" applyBorder="1" applyAlignment="1">
      <alignment horizontal="center" vertical="center"/>
    </xf>
    <xf numFmtId="0" fontId="23" fillId="8" borderId="14" xfId="0" applyFont="1" applyFill="1" applyBorder="1" applyAlignment="1">
      <alignment horizontal="center" vertical="center"/>
    </xf>
    <xf numFmtId="0" fontId="23" fillId="8" borderId="25" xfId="0" applyFont="1" applyFill="1" applyBorder="1" applyAlignment="1">
      <alignment horizontal="center" vertical="center"/>
    </xf>
    <xf numFmtId="0" fontId="23" fillId="8" borderId="30" xfId="0" applyFont="1" applyFill="1" applyBorder="1" applyAlignment="1">
      <alignment horizontal="center" vertical="center"/>
    </xf>
    <xf numFmtId="0" fontId="23" fillId="8" borderId="26" xfId="0" applyFont="1" applyFill="1" applyBorder="1" applyAlignment="1">
      <alignment horizontal="center" vertical="center"/>
    </xf>
    <xf numFmtId="0" fontId="23" fillId="8" borderId="28" xfId="0" applyFont="1" applyFill="1" applyBorder="1" applyAlignment="1">
      <alignment horizontal="center" vertical="center"/>
    </xf>
    <xf numFmtId="0" fontId="23" fillId="8" borderId="0" xfId="0" applyFont="1" applyFill="1" applyAlignment="1">
      <alignment horizontal="center" vertical="center"/>
    </xf>
    <xf numFmtId="0" fontId="21" fillId="8" borderId="0" xfId="0" applyFont="1" applyFill="1" applyAlignment="1">
      <alignment horizontal="center" vertical="center"/>
    </xf>
    <xf numFmtId="0" fontId="23" fillId="14" borderId="0" xfId="0" applyFont="1" applyFill="1" applyAlignment="1">
      <alignment horizontal="center" vertical="center"/>
    </xf>
    <xf numFmtId="0" fontId="23" fillId="14" borderId="13" xfId="0" applyFont="1" applyFill="1" applyBorder="1" applyAlignment="1">
      <alignment horizontal="center" vertical="center"/>
    </xf>
    <xf numFmtId="0" fontId="23" fillId="14" borderId="24" xfId="0" applyFont="1" applyFill="1" applyBorder="1" applyAlignment="1">
      <alignment horizontal="center" vertical="center"/>
    </xf>
    <xf numFmtId="0" fontId="23" fillId="14" borderId="19" xfId="0" applyFont="1" applyFill="1" applyBorder="1" applyAlignment="1">
      <alignment horizontal="center" vertical="center"/>
    </xf>
    <xf numFmtId="0" fontId="39" fillId="11" borderId="0" xfId="0" applyFont="1" applyFill="1" applyAlignment="1">
      <alignment horizontal="center" vertical="center"/>
    </xf>
    <xf numFmtId="0" fontId="23" fillId="8" borderId="0" xfId="0" applyFont="1" applyFill="1" applyAlignment="1">
      <alignment horizontal="center"/>
    </xf>
    <xf numFmtId="0" fontId="39" fillId="3" borderId="15" xfId="0" applyFont="1" applyFill="1" applyBorder="1" applyAlignment="1">
      <alignment horizontal="center" vertical="center" wrapText="1"/>
    </xf>
    <xf numFmtId="0" fontId="39" fillId="3" borderId="27" xfId="0" applyFont="1" applyFill="1" applyBorder="1" applyAlignment="1">
      <alignment horizontal="center" vertical="center" wrapText="1"/>
    </xf>
    <xf numFmtId="0" fontId="39" fillId="3" borderId="14" xfId="0" applyFont="1" applyFill="1" applyBorder="1" applyAlignment="1">
      <alignment horizontal="center" vertical="center" wrapText="1"/>
    </xf>
    <xf numFmtId="0" fontId="40" fillId="4" borderId="24" xfId="0" applyFont="1" applyFill="1" applyBorder="1" applyAlignment="1">
      <alignment horizontal="center" vertical="center" wrapText="1"/>
    </xf>
    <xf numFmtId="0" fontId="40" fillId="4" borderId="25" xfId="0" applyFont="1" applyFill="1" applyBorder="1" applyAlignment="1">
      <alignment horizontal="center" vertical="center" wrapText="1"/>
    </xf>
    <xf numFmtId="0" fontId="3" fillId="8" borderId="0" xfId="0" applyFont="1" applyFill="1" applyAlignment="1">
      <alignment horizontal="center" vertical="center"/>
    </xf>
    <xf numFmtId="0" fontId="3" fillId="3" borderId="0" xfId="0" applyFont="1" applyFill="1" applyAlignment="1">
      <alignment horizontal="center"/>
    </xf>
    <xf numFmtId="0" fontId="39" fillId="3" borderId="51" xfId="0" applyFont="1" applyFill="1" applyBorder="1" applyAlignment="1">
      <alignment horizontal="center" vertical="center" wrapText="1"/>
    </xf>
    <xf numFmtId="0" fontId="3" fillId="11" borderId="20" xfId="0" applyFont="1" applyFill="1" applyBorder="1" applyAlignment="1">
      <alignment horizontal="center" vertical="center"/>
    </xf>
    <xf numFmtId="0" fontId="39" fillId="3" borderId="13" xfId="0" applyFont="1" applyFill="1" applyBorder="1" applyAlignment="1">
      <alignment horizontal="center" vertical="center"/>
    </xf>
    <xf numFmtId="0" fontId="39" fillId="3" borderId="85" xfId="0" applyFont="1" applyFill="1" applyBorder="1" applyAlignment="1">
      <alignment horizontal="center" vertical="center"/>
    </xf>
    <xf numFmtId="0" fontId="39" fillId="3" borderId="15" xfId="0" applyFont="1" applyFill="1" applyBorder="1" applyAlignment="1">
      <alignment horizontal="center" vertical="center"/>
    </xf>
    <xf numFmtId="0" fontId="40" fillId="4" borderId="86" xfId="0" applyFont="1" applyFill="1" applyBorder="1" applyAlignment="1">
      <alignment horizontal="center" vertical="center" wrapText="1"/>
    </xf>
    <xf numFmtId="0" fontId="3" fillId="3" borderId="20" xfId="0" applyFont="1" applyFill="1" applyBorder="1" applyAlignment="1">
      <alignment horizontal="center"/>
    </xf>
    <xf numFmtId="0" fontId="3" fillId="11" borderId="0" xfId="0" applyFont="1" applyFill="1" applyAlignment="1">
      <alignment horizontal="center" vertical="center"/>
    </xf>
    <xf numFmtId="0" fontId="40" fillId="9" borderId="24" xfId="0" applyFont="1" applyFill="1" applyBorder="1" applyAlignment="1">
      <alignment horizontal="center" vertical="center"/>
    </xf>
    <xf numFmtId="0" fontId="40" fillId="9" borderId="86" xfId="0" applyFont="1" applyFill="1" applyBorder="1" applyAlignment="1">
      <alignment horizontal="center" vertical="center"/>
    </xf>
    <xf numFmtId="0" fontId="40" fillId="9" borderId="25" xfId="0" applyFont="1" applyFill="1" applyBorder="1" applyAlignment="1">
      <alignment horizontal="center" vertical="center"/>
    </xf>
    <xf numFmtId="0" fontId="55" fillId="8" borderId="0" xfId="0" applyFont="1" applyFill="1" applyAlignment="1">
      <alignment horizontal="center" vertical="center"/>
    </xf>
    <xf numFmtId="0" fontId="55" fillId="8" borderId="0" xfId="0" applyFont="1" applyFill="1" applyBorder="1" applyAlignment="1">
      <alignment horizontal="center" vertical="center"/>
    </xf>
    <xf numFmtId="0" fontId="40" fillId="4" borderId="10" xfId="0" applyFont="1" applyFill="1" applyBorder="1" applyAlignment="1">
      <alignment horizontal="center"/>
    </xf>
    <xf numFmtId="0" fontId="23" fillId="8" borderId="63" xfId="0" applyFont="1" applyFill="1" applyBorder="1" applyAlignment="1">
      <alignment horizontal="center" vertical="center"/>
    </xf>
    <xf numFmtId="0" fontId="23" fillId="8" borderId="94" xfId="0" applyFont="1" applyFill="1" applyBorder="1" applyAlignment="1">
      <alignment horizontal="center" vertical="center"/>
    </xf>
    <xf numFmtId="0" fontId="23" fillId="8" borderId="95" xfId="0" applyFont="1" applyFill="1" applyBorder="1" applyAlignment="1">
      <alignment horizontal="center" vertical="center"/>
    </xf>
    <xf numFmtId="0" fontId="23" fillId="8" borderId="25" xfId="0" applyFont="1" applyFill="1" applyBorder="1" applyAlignment="1">
      <alignment horizontal="center" vertical="center" wrapText="1"/>
    </xf>
    <xf numFmtId="0" fontId="23" fillId="8" borderId="94" xfId="0" applyFont="1" applyFill="1" applyBorder="1" applyAlignment="1">
      <alignment horizontal="center" vertical="center" wrapText="1"/>
    </xf>
    <xf numFmtId="0" fontId="12" fillId="8" borderId="0" xfId="0" applyFont="1" applyFill="1" applyAlignment="1">
      <alignment horizontal="center" vertical="center"/>
    </xf>
    <xf numFmtId="0" fontId="12" fillId="8" borderId="12" xfId="0" applyFont="1" applyFill="1" applyBorder="1" applyAlignment="1">
      <alignment horizontal="center" vertical="center"/>
    </xf>
    <xf numFmtId="0" fontId="16" fillId="10" borderId="30" xfId="0" applyFont="1" applyFill="1" applyBorder="1" applyAlignment="1">
      <alignment horizontal="center" vertical="center"/>
    </xf>
    <xf numFmtId="0" fontId="16" fillId="10" borderId="28" xfId="0" applyFont="1" applyFill="1" applyBorder="1" applyAlignment="1">
      <alignment horizontal="center" vertical="center"/>
    </xf>
    <xf numFmtId="0" fontId="63" fillId="9" borderId="10" xfId="0" applyFont="1" applyFill="1" applyBorder="1" applyAlignment="1">
      <alignment horizontal="center"/>
    </xf>
    <xf numFmtId="0" fontId="63" fillId="9" borderId="18" xfId="0" applyFont="1" applyFill="1" applyBorder="1" applyAlignment="1">
      <alignment horizontal="center"/>
    </xf>
    <xf numFmtId="0" fontId="16" fillId="10" borderId="20" xfId="0" applyFont="1" applyFill="1" applyBorder="1" applyAlignment="1">
      <alignment horizontal="center" vertical="center"/>
    </xf>
    <xf numFmtId="0" fontId="16" fillId="10" borderId="14" xfId="0" applyFont="1" applyFill="1" applyBorder="1" applyAlignment="1">
      <alignment horizontal="center" vertical="center"/>
    </xf>
    <xf numFmtId="0" fontId="63" fillId="9" borderId="30" xfId="0" applyFont="1" applyFill="1" applyBorder="1" applyAlignment="1">
      <alignment horizontal="center"/>
    </xf>
    <xf numFmtId="0" fontId="63" fillId="9" borderId="28" xfId="0" applyFont="1" applyFill="1" applyBorder="1" applyAlignment="1">
      <alignment horizontal="center"/>
    </xf>
  </cellXfs>
  <cellStyles count="3">
    <cellStyle name="Good" xfId="1" builtinId="26"/>
    <cellStyle name="Neutral" xfId="2" builtinId="28"/>
    <cellStyle name="Normal" xfId="0" builtinId="0"/>
  </cellStyles>
  <dxfs count="166">
    <dxf>
      <fill>
        <patternFill patternType="solid">
          <bgColor rgb="FFFFFAD1"/>
        </patternFill>
      </fill>
      <border>
        <top style="thin">
          <color theme="2" tint="-0.249977111117893"/>
        </top>
        <bottom style="thin">
          <color theme="2" tint="-0.249977111117893"/>
        </bottom>
      </border>
    </dxf>
    <dxf>
      <fill>
        <patternFill patternType="solid">
          <bgColor rgb="FFFFFAD1"/>
        </patternFill>
      </fill>
      <border>
        <top style="thin">
          <color theme="2" tint="-0.249977111117893"/>
        </top>
        <bottom style="thin">
          <color theme="2" tint="-0.249977111117893"/>
        </bottom>
      </border>
    </dxf>
    <dxf>
      <fill>
        <patternFill patternType="solid">
          <bgColor rgb="FFFFFAD1"/>
        </patternFill>
      </fill>
      <border>
        <top style="thin">
          <color theme="2" tint="-0.249977111117893"/>
        </top>
        <bottom style="thin">
          <color theme="2" tint="-0.249977111117893"/>
        </bottom>
      </border>
    </dxf>
    <dxf>
      <fill>
        <patternFill patternType="solid">
          <bgColor rgb="FFFFFAD1"/>
        </patternFill>
      </fill>
      <border>
        <top style="thin">
          <color theme="2" tint="-0.249977111117893"/>
        </top>
        <bottom style="thin">
          <color theme="2" tint="-0.249977111117893"/>
        </bottom>
      </border>
    </dxf>
    <dxf>
      <fill>
        <patternFill patternType="solid">
          <bgColor rgb="FFFFFAD1"/>
        </patternFill>
      </fill>
      <border>
        <top style="thin">
          <color theme="2" tint="-0.249977111117893"/>
        </top>
        <bottom style="thin">
          <color theme="2" tint="-0.249977111117893"/>
        </bottom>
      </border>
    </dxf>
    <dxf>
      <fill>
        <patternFill patternType="solid">
          <bgColor rgb="FFFFFAD1"/>
        </patternFill>
      </fill>
      <border>
        <top style="thin">
          <color theme="2" tint="-0.249977111117893"/>
        </top>
        <bottom style="thin">
          <color theme="2" tint="-0.249977111117893"/>
        </bottom>
      </border>
    </dxf>
    <dxf>
      <fill>
        <patternFill patternType="solid">
          <bgColor rgb="FFFFFAD1"/>
        </patternFill>
      </fill>
      <border>
        <top style="thin">
          <color theme="2" tint="-0.249977111117893"/>
        </top>
        <bottom style="thin">
          <color theme="2" tint="-0.249977111117893"/>
        </bottom>
      </border>
    </dxf>
    <dxf>
      <fill>
        <patternFill patternType="solid">
          <bgColor rgb="FFFFFAD1"/>
        </patternFill>
      </fill>
      <border>
        <top style="thin">
          <color theme="2" tint="-0.249977111117893"/>
        </top>
        <bottom style="thin">
          <color theme="2" tint="-0.249977111117893"/>
        </bottom>
      </border>
    </dxf>
    <dxf>
      <fill>
        <patternFill patternType="solid">
          <bgColor rgb="FFFFFAD1"/>
        </patternFill>
      </fill>
      <border>
        <top style="thin">
          <color rgb="FFADADAD"/>
        </top>
        <bottom style="thin">
          <color rgb="FFADADAD"/>
        </bottom>
      </border>
    </dxf>
    <dxf>
      <font>
        <color theme="1" tint="4.9989318521683403E-2"/>
      </font>
      <fill>
        <patternFill patternType="solid">
          <bgColor rgb="FFFFFDED"/>
        </patternFill>
      </fill>
      <border>
        <top style="thin">
          <color theme="2" tint="-0.249977111117893"/>
        </top>
        <bottom style="thin">
          <color theme="2" tint="-0.249977111117893"/>
        </bottom>
      </border>
    </dxf>
    <dxf>
      <font>
        <color theme="1"/>
      </font>
      <fill>
        <patternFill patternType="solid">
          <bgColor rgb="FFFFFDED"/>
        </patternFill>
      </fill>
      <border>
        <top style="thin">
          <color theme="2" tint="-0.249977111117893"/>
        </top>
        <bottom style="thin">
          <color theme="2" tint="-0.249977111117893"/>
        </bottom>
      </border>
    </dxf>
    <dxf>
      <font>
        <color theme="1"/>
      </font>
      <fill>
        <patternFill patternType="solid">
          <bgColor rgb="FFFFFDED"/>
        </patternFill>
      </fill>
      <border>
        <top style="thin">
          <color theme="2" tint="-0.249977111117893"/>
        </top>
        <bottom style="thin">
          <color theme="2" tint="-0.249977111117893"/>
        </bottom>
      </border>
    </dxf>
    <dxf>
      <font>
        <color theme="1"/>
      </font>
      <fill>
        <patternFill patternType="solid">
          <bgColor rgb="FFFFFDED"/>
        </patternFill>
      </fill>
      <border>
        <top style="thin">
          <color theme="2" tint="-0.249977111117893"/>
        </top>
        <bottom style="thin">
          <color theme="2" tint="-0.249977111117893"/>
        </bottom>
      </border>
    </dxf>
    <dxf>
      <font>
        <color theme="2" tint="-0.89999084444715716"/>
      </font>
      <fill>
        <patternFill patternType="solid">
          <bgColor rgb="FFFFFEE0"/>
        </patternFill>
      </fill>
      <border>
        <top style="thin">
          <color rgb="FF161616"/>
        </top>
        <bottom style="thin">
          <color rgb="FF161616"/>
        </bottom>
      </border>
    </dxf>
    <dxf>
      <font>
        <color theme="2" tint="-0.89999084444715716"/>
      </font>
      <fill>
        <patternFill patternType="solid">
          <bgColor rgb="FFFFFEE0"/>
        </patternFill>
      </fill>
      <border>
        <top style="thin">
          <color rgb="FF161616"/>
        </top>
        <bottom style="thin">
          <color rgb="FF161616"/>
        </bottom>
      </border>
    </dxf>
    <dxf>
      <font>
        <color theme="2" tint="-0.89999084444715716"/>
      </font>
      <fill>
        <patternFill patternType="solid">
          <bgColor rgb="FFFFFEE0"/>
        </patternFill>
      </fill>
      <border>
        <top style="thin">
          <color rgb="FF161616"/>
        </top>
        <bottom style="thin">
          <color rgb="FF161616"/>
        </bottom>
      </border>
    </dxf>
    <dxf>
      <font>
        <color theme="2" tint="-0.89999084444715716"/>
      </font>
      <fill>
        <patternFill patternType="solid">
          <bgColor rgb="FFFFFEE0"/>
        </patternFill>
      </fill>
      <border>
        <top style="thin">
          <color rgb="FF161616"/>
        </top>
        <bottom style="thin">
          <color rgb="FF161616"/>
        </bottom>
      </border>
    </dxf>
    <dxf>
      <font>
        <color theme="2" tint="-0.89999084444715716"/>
      </font>
      <fill>
        <patternFill patternType="solid">
          <bgColor rgb="FFFFFEE0"/>
        </patternFill>
      </fill>
      <border>
        <top style="thin">
          <color rgb="FF161616"/>
        </top>
        <bottom style="thin">
          <color rgb="FF161616"/>
        </bottom>
      </border>
    </dxf>
    <dxf>
      <fill>
        <patternFill patternType="solid">
          <bgColor rgb="FFFFFAD1"/>
        </patternFill>
      </fill>
      <border>
        <top style="thin">
          <color rgb="FF000000"/>
        </top>
        <bottom style="thin">
          <color rgb="FF000000"/>
        </bottom>
      </border>
    </dxf>
    <dxf>
      <fill>
        <patternFill patternType="solid">
          <bgColor rgb="FFFFFAD1"/>
        </patternFill>
      </fill>
      <border>
        <top style="thin">
          <color rgb="FF000000"/>
        </top>
        <bottom style="thin">
          <color rgb="FF000000"/>
        </bottom>
      </border>
    </dxf>
    <dxf>
      <fill>
        <patternFill patternType="solid">
          <bgColor rgb="FFFFFAD1"/>
        </patternFill>
      </fill>
      <border>
        <top style="thin">
          <color rgb="FF000000"/>
        </top>
        <bottom style="thin">
          <color rgb="FF000000"/>
        </bottom>
      </border>
    </dxf>
    <dxf>
      <fill>
        <patternFill patternType="solid">
          <bgColor rgb="FFFFFAD1"/>
        </patternFill>
      </fill>
      <border>
        <top style="thin">
          <color rgb="FF000000"/>
        </top>
        <bottom style="thin">
          <color rgb="FF000000"/>
        </bottom>
      </border>
    </dxf>
    <dxf>
      <fill>
        <patternFill patternType="solid">
          <bgColor rgb="FFFFFAD1"/>
        </patternFill>
      </fill>
      <border>
        <top style="thin">
          <color rgb="FF000000"/>
        </top>
        <bottom style="thin">
          <color rgb="FF000000"/>
        </bottom>
      </border>
    </dxf>
    <dxf>
      <fill>
        <patternFill patternType="solid">
          <bgColor rgb="FFFFFAD1"/>
        </patternFill>
      </fill>
      <border>
        <top style="thin">
          <color rgb="FF000000"/>
        </top>
        <bottom style="thin">
          <color rgb="FF000000"/>
        </bottom>
      </border>
    </dxf>
    <dxf>
      <font>
        <color rgb="FF9C0006"/>
      </font>
      <fill>
        <patternFill>
          <bgColor rgb="FFFFC7CE"/>
        </patternFill>
      </fill>
    </dxf>
    <dxf>
      <font>
        <color rgb="FF9C0006"/>
      </font>
      <fill>
        <patternFill>
          <bgColor rgb="FFFFC7CE"/>
        </patternFill>
      </fill>
    </dxf>
    <dxf>
      <font>
        <sz val="9"/>
        <color theme="4" tint="-0.499984740745262"/>
        <name val="Verdana"/>
      </font>
      <fill>
        <patternFill patternType="solid">
          <fgColor indexed="64"/>
          <bgColor theme="3" tint="0.89999084444715716"/>
        </patternFill>
      </fill>
      <alignment vertical="center"/>
      <border>
        <left style="thin">
          <color theme="0"/>
        </left>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89999084444715716"/>
        </patternFill>
      </fill>
      <alignment vertical="center"/>
      <border>
        <left style="thin">
          <color theme="0"/>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89999084444715716"/>
        </patternFill>
      </fill>
      <alignment vertical="center"/>
      <border>
        <left style="thin">
          <color theme="0"/>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89999084444715716"/>
        </patternFill>
      </fill>
      <alignment horizontal="general" vertical="center" textRotation="0" wrapText="0" indent="0" justifyLastLine="0" shrinkToFit="0" readingOrder="0"/>
      <border diagonalUp="0" diagonalDown="0">
        <left style="thin">
          <color theme="0"/>
        </left>
        <right style="thin">
          <color theme="0"/>
        </right>
        <top style="thin">
          <color theme="0"/>
        </top>
        <bottom/>
        <vertical/>
        <horizontal/>
      </border>
    </dxf>
    <dxf>
      <font>
        <sz val="9"/>
        <color theme="4" tint="-0.499984740745262"/>
        <name val="Verdana"/>
      </font>
      <fill>
        <patternFill patternType="solid">
          <fgColor indexed="64"/>
          <bgColor theme="3" tint="0.89999084444715716"/>
        </patternFill>
      </fill>
      <alignment horizontal="general" vertical="center" textRotation="0" wrapText="0" indent="0" justifyLastLine="0" shrinkToFit="0" readingOrder="0"/>
      <border diagonalUp="0" diagonalDown="0">
        <left style="thin">
          <color theme="0"/>
        </left>
        <right style="thin">
          <color theme="0"/>
        </right>
        <top style="thin">
          <color theme="0"/>
        </top>
        <bottom/>
        <vertical/>
        <horizontal/>
      </border>
    </dxf>
    <dxf>
      <font>
        <sz val="9"/>
        <color theme="4" tint="-0.499984740745262"/>
        <name val="Verdana"/>
      </font>
      <fill>
        <patternFill patternType="solid">
          <fgColor indexed="64"/>
          <bgColor theme="3" tint="0.89999084444715716"/>
        </patternFill>
      </fill>
      <alignment horizontal="general" vertical="center" textRotation="0" wrapText="0" indent="0" justifyLastLine="0" shrinkToFit="0" readingOrder="0"/>
      <border diagonalUp="0" diagonalDown="0">
        <left style="thin">
          <color theme="0"/>
        </left>
        <right style="thin">
          <color theme="0"/>
        </right>
        <top style="thin">
          <color theme="0"/>
        </top>
        <bottom/>
        <vertical/>
        <horizontal/>
      </border>
    </dxf>
    <dxf>
      <font>
        <sz val="9"/>
        <color theme="4" tint="-0.499984740745262"/>
        <name val="Verdana"/>
      </font>
      <fill>
        <patternFill patternType="solid">
          <fgColor indexed="64"/>
          <bgColor theme="3" tint="0.89999084444715716"/>
        </patternFill>
      </fill>
      <alignment vertical="center"/>
      <border>
        <left style="thin">
          <color theme="0"/>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89999084444715716"/>
        </patternFill>
      </fill>
      <alignment horizontal="left" vertical="center"/>
      <border>
        <left style="thin">
          <color theme="0"/>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89999084444715716"/>
        </patternFill>
      </fill>
      <alignment vertical="center"/>
      <border>
        <left style="thin">
          <color theme="0"/>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89999084444715716"/>
        </patternFill>
      </fill>
      <alignment vertical="center"/>
      <border>
        <left style="thin">
          <color theme="0"/>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89999084444715716"/>
        </patternFill>
      </fill>
      <alignment vertical="center"/>
      <border>
        <left style="thin">
          <color theme="0"/>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89999084444715716"/>
        </patternFill>
      </fill>
      <alignment vertical="center"/>
      <border>
        <left style="thin">
          <color theme="0"/>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theme="3" tint="0.749992370372631"/>
        </patternFill>
      </fill>
      <alignment vertical="center"/>
      <border>
        <left/>
        <right style="thin">
          <color theme="0"/>
        </right>
        <top style="thin">
          <color theme="0"/>
        </top>
        <bottom style="thin">
          <color theme="0"/>
        </bottom>
        <vertical style="thin">
          <color theme="0"/>
        </vertical>
        <horizontal style="thin">
          <color theme="0"/>
        </horizontal>
      </border>
    </dxf>
    <dxf>
      <font>
        <sz val="9"/>
        <color theme="4" tint="-0.499984740745262"/>
        <name val="Verdana"/>
      </font>
      <fill>
        <patternFill patternType="solid">
          <fgColor indexed="64"/>
          <bgColor rgb="FFFCF1E8"/>
        </patternFill>
      </fill>
      <alignment vertical="center"/>
    </dxf>
    <dxf>
      <font>
        <b val="0"/>
        <i val="0"/>
        <strike val="0"/>
        <condense val="0"/>
        <extend val="0"/>
        <outline val="0"/>
        <shadow val="0"/>
        <u val="none"/>
        <vertAlign val="baseline"/>
        <sz val="11"/>
        <color theme="0"/>
        <name val="Verdana"/>
        <scheme val="minor"/>
      </font>
      <fill>
        <patternFill patternType="solid">
          <fgColor indexed="64"/>
          <bgColor theme="3" tint="0.499984740745262"/>
        </patternFill>
      </fill>
      <alignment horizontal="center" vertical="center"/>
      <border>
        <left style="thin">
          <color theme="0"/>
        </left>
        <right style="thin">
          <color theme="0"/>
        </right>
        <top/>
        <bottom/>
        <vertical style="thin">
          <color theme="0"/>
        </vertical>
        <horizontal style="thin">
          <color theme="0"/>
        </horizontal>
      </border>
    </dxf>
    <dxf>
      <font>
        <color theme="1"/>
      </font>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ill>
        <patternFill patternType="solid">
          <bgColor rgb="FFFFFDED"/>
        </patternFill>
      </fill>
      <border>
        <top style="thin">
          <color rgb="FF000000"/>
        </top>
        <bottom style="thin">
          <color rgb="FF000000"/>
        </bottom>
      </bord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FFFFFF"/>
      </font>
      <fill>
        <patternFill patternType="solid">
          <bgColor rgb="FFFF4F4F"/>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rgb="FFFFFFFF"/>
        </left>
        <right style="thin">
          <color rgb="FFFFFFFF"/>
        </right>
        <top style="thin">
          <color rgb="FFFFFFFF"/>
        </top>
        <bottom style="thin">
          <color rgb="FFFFFFFF"/>
        </bottom>
      </border>
    </dxf>
    <dxf>
      <font>
        <color rgb="FFFFFFFF"/>
      </font>
      <fill>
        <patternFill patternType="solid">
          <bgColor rgb="FFC00000"/>
        </patternFill>
      </fill>
      <border>
        <left style="thin">
          <color theme="0"/>
        </left>
        <right style="thin">
          <color theme="0"/>
        </right>
        <top style="thin">
          <color theme="0"/>
        </top>
        <bottom style="thin">
          <color theme="0"/>
        </bottom>
      </border>
    </dxf>
    <dxf>
      <font>
        <color theme="0"/>
      </font>
      <fill>
        <patternFill patternType="solid">
          <bgColor rgb="FFC00000"/>
        </patternFill>
      </fill>
      <border>
        <left style="thin">
          <color theme="0"/>
        </left>
        <right style="thin">
          <color theme="0"/>
        </right>
        <top style="thin">
          <color theme="0"/>
        </top>
        <bottom style="thin">
          <color theme="0"/>
        </bottom>
      </border>
    </dxf>
  </dxfs>
  <tableStyles count="0" defaultTableStyle="TableStyleMedium2" defaultPivotStyle="PivotStyleMedium9"/>
  <colors>
    <mruColors>
      <color rgb="FFA53DFF"/>
      <color rgb="FF5802A3"/>
      <color rgb="FF8800FF"/>
      <color rgb="FFB35CFF"/>
      <color rgb="FF9232E6"/>
      <color rgb="FF1649A1"/>
      <color rgb="FF6D12FF"/>
      <color rgb="FF42A116"/>
      <color rgb="FF93A116"/>
      <color rgb="FFE9FF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65E6BE-E098-4F11-A4AB-87D31E4C6730}" name="TraitStatsTable" displayName="TraitStatsTable" ref="A1:M209" totalsRowShown="0" headerRowDxfId="40" dataDxfId="39">
  <autoFilter ref="A1:M209" xr:uid="{1065E6BE-E098-4F11-A4AB-87D31E4C673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sortState xmlns:xlrd2="http://schemas.microsoft.com/office/spreadsheetml/2017/richdata2" ref="A2:M209">
    <sortCondition ref="B1:B209"/>
  </sortState>
  <tableColumns count="13">
    <tableColumn id="1" xr3:uid="{BF59F473-98D5-4289-9ACD-C54C3881EB32}" name="Name" dataDxfId="38"/>
    <tableColumn id="2" xr3:uid="{A230106B-2B29-4496-B933-C1E763AD7E9D}" name="Class" dataDxfId="37"/>
    <tableColumn id="3" xr3:uid="{C8AA6AA1-7138-46EB-BCB1-9619619B9940}" name="Specialisation" dataDxfId="36"/>
    <tableColumn id="4" xr3:uid="{E674E37A-74A7-4CFC-833A-DE2B2BE03D41}" name="Tier" dataDxfId="35"/>
    <tableColumn id="5" xr3:uid="{D8E566EA-897C-40A3-BC4B-0D80E224D724}" name="Stat" dataDxfId="34"/>
    <tableColumn id="6" xr3:uid="{F1B2B019-2936-4FDE-AFED-95EA8B6C698B}" name="Amount" dataDxfId="33"/>
    <tableColumn id="7" xr3:uid="{F40E540D-5F7E-4640-A52E-212CBB7241A5}" name="Type 1" dataDxfId="32"/>
    <tableColumn id="13" xr3:uid="{FB021041-0773-4A31-A457-1DCD88747B6A}" name="Type 2" dataDxfId="31"/>
    <tableColumn id="10" xr3:uid="{092458FA-9558-4B9D-AB61-75FB8A8E7A56}" name="Conditional?" dataDxfId="30"/>
    <tableColumn id="12" xr3:uid="{4A930770-4E98-4BA7-81E7-DB2D52A9BE9A}" name="Condition" dataDxfId="29"/>
    <tableColumn id="8" xr3:uid="{7F010F68-1AF6-4D40-BB21-C3D7AFFB61AF}" name="Affecting Stat/Boon" dataDxfId="28"/>
    <tableColumn id="9" xr3:uid="{681672A6-751F-446C-A315-1EE4239B1A38}" name="Note" dataDxfId="27"/>
    <tableColumn id="11" xr3:uid="{8EE2B26E-BC4B-470C-AB67-689A616542C1}" name="Max Stacks" dataDxfId="2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3"/>
  <sheetViews>
    <sheetView topLeftCell="A32" zoomScale="85" zoomScaleNormal="85" workbookViewId="0">
      <selection activeCell="C51" sqref="C51"/>
    </sheetView>
  </sheetViews>
  <sheetFormatPr defaultRowHeight="14.25"/>
  <cols>
    <col min="1" max="1" width="36.5703125" style="28" bestFit="1" customWidth="1"/>
    <col min="2" max="2" width="37.140625" style="28" customWidth="1"/>
    <col min="3" max="13" width="16.7109375" style="28" customWidth="1"/>
    <col min="14" max="14" width="30.42578125" style="28" bestFit="1" customWidth="1"/>
    <col min="15" max="15" width="25.28515625" style="28" bestFit="1" customWidth="1"/>
    <col min="16" max="16384" width="9.140625" style="28"/>
  </cols>
  <sheetData>
    <row r="1" spans="1:14" ht="30.75" customHeight="1">
      <c r="A1" s="67" t="s">
        <v>0</v>
      </c>
      <c r="B1" s="68" t="s">
        <v>1</v>
      </c>
      <c r="C1" s="542" t="s">
        <v>2</v>
      </c>
      <c r="D1" s="543"/>
      <c r="E1" s="543"/>
      <c r="F1" s="543"/>
      <c r="G1" s="543"/>
      <c r="H1" s="543"/>
      <c r="I1" s="543"/>
      <c r="J1" s="543"/>
      <c r="K1" s="543"/>
      <c r="L1" s="543"/>
      <c r="M1" s="27"/>
    </row>
    <row r="2" spans="1:14" ht="26.25" customHeight="1">
      <c r="A2" s="491" t="s">
        <v>3</v>
      </c>
      <c r="B2" s="492" t="s">
        <v>4</v>
      </c>
      <c r="C2" s="542"/>
      <c r="D2" s="543"/>
      <c r="E2" s="543"/>
      <c r="F2" s="543"/>
      <c r="G2" s="543"/>
      <c r="H2" s="543"/>
      <c r="I2" s="543"/>
      <c r="J2" s="543"/>
      <c r="K2" s="543"/>
      <c r="L2" s="543"/>
      <c r="M2" s="27"/>
    </row>
    <row r="3" spans="1:14" ht="39.75" customHeight="1">
      <c r="A3" s="544" t="s">
        <v>5</v>
      </c>
      <c r="B3" s="532"/>
      <c r="C3" s="474" t="s">
        <v>6</v>
      </c>
      <c r="D3" s="475" t="s">
        <v>7</v>
      </c>
      <c r="E3" s="475" t="s">
        <v>8</v>
      </c>
      <c r="F3" s="475" t="s">
        <v>9</v>
      </c>
      <c r="G3" s="475" t="s">
        <v>10</v>
      </c>
      <c r="H3" s="478" t="s">
        <v>11</v>
      </c>
      <c r="I3" s="475" t="s">
        <v>12</v>
      </c>
      <c r="J3" s="475" t="s">
        <v>13</v>
      </c>
      <c r="K3" s="476" t="s">
        <v>14</v>
      </c>
      <c r="L3" s="477" t="s">
        <v>15</v>
      </c>
      <c r="M3" s="30"/>
    </row>
    <row r="4" spans="1:14" ht="15.75" customHeight="1">
      <c r="A4" s="443" t="s">
        <v>16</v>
      </c>
      <c r="B4" s="441" t="s">
        <v>17</v>
      </c>
      <c r="C4" s="79" t="str" cm="1">
        <f t="array" ref="C4">_xlfn.LET(_xlpm.amount,'Conditionals Helper'!P128,IF(_xlpm.amount=0,"",_xlpm.amount))</f>
        <v/>
      </c>
      <c r="D4" s="79" t="str" cm="1">
        <f t="array" ref="D4">_xlfn.LET(_xlpm.amount,'Conditionals Helper'!Q128,IF(_xlpm.amount=0,"",_xlpm.amount))</f>
        <v/>
      </c>
      <c r="E4" s="79" t="str" cm="1">
        <f t="array" ref="E4">_xlfn.LET(_xlpm.amount,'Conditionals Helper'!R128,IF(_xlpm.amount=0,"",_xlpm.amount))</f>
        <v/>
      </c>
      <c r="F4" s="79" t="str" cm="1">
        <f t="array" ref="F4">_xlfn.LET(_xlpm.amount,'Conditionals Helper'!S128,IF(_xlpm.amount=0,"",_xlpm.amount))</f>
        <v/>
      </c>
      <c r="G4" s="79" t="str" cm="1">
        <f t="array" ref="G4">_xlfn.LET(_xlpm.amount,'Conditionals Helper'!T128,IF(_xlpm.amount=0,"",_xlpm.amount))</f>
        <v/>
      </c>
      <c r="H4" s="79" cm="1">
        <f t="array" ref="H4">_xlfn.LET(_xlpm.amount,'Conditionals Helper'!U128,IF(_xlpm.amount=0,"",_xlpm.amount))</f>
        <v>9.6</v>
      </c>
      <c r="I4" s="79" t="str" cm="1">
        <f t="array" ref="I4">_xlfn.LET(_xlpm.amount,'Conditionals Helper'!V128,IF(_xlpm.amount=0,"",_xlpm.amount))</f>
        <v/>
      </c>
      <c r="J4" s="79" t="str" cm="1">
        <f t="array" ref="J4">_xlfn.LET(_xlpm.amount,'Conditionals Helper'!W128,IF(_xlpm.amount=0,"",_xlpm.amount))</f>
        <v/>
      </c>
      <c r="K4" s="79" t="str" cm="1">
        <f t="array" ref="K4">_xlfn.LET(_xlpm.amount,'Conditionals Helper'!X128,IF(_xlpm.amount=0,"",_xlpm.amount))</f>
        <v/>
      </c>
      <c r="L4" s="425"/>
      <c r="M4" s="34"/>
      <c r="N4" s="61" t="s">
        <v>18</v>
      </c>
    </row>
    <row r="5" spans="1:14" ht="15.75" customHeight="1">
      <c r="A5" s="71" t="s">
        <v>19</v>
      </c>
      <c r="B5" s="416" t="s">
        <v>20</v>
      </c>
      <c r="C5" s="80" t="str" cm="1">
        <f t="array" ref="C5">_xlfn.LET(_xlpm.amount,'Conditionals Helper'!P$14,IF(_xlpm.amount=0,"",_xlpm.amount))</f>
        <v/>
      </c>
      <c r="D5" s="80" t="str" cm="1">
        <f t="array" ref="D5">_xlfn.LET(_xlpm.amount,'Conditionals Helper'!Q$14,IF(_xlpm.amount=0,"",_xlpm.amount))</f>
        <v/>
      </c>
      <c r="E5" s="80" t="str" cm="1">
        <f t="array" ref="E5">_xlfn.LET(_xlpm.amount,'Conditionals Helper'!R$14,IF(_xlpm.amount=0,"",_xlpm.amount))</f>
        <v/>
      </c>
      <c r="F5" s="80" t="str" cm="1">
        <f t="array" ref="F5">_xlfn.LET(_xlpm.amount,'Conditionals Helper'!S$14,IF(_xlpm.amount=0,"",_xlpm.amount))</f>
        <v/>
      </c>
      <c r="G5" s="80" t="str" cm="1">
        <f t="array" ref="G5">_xlfn.LET(_xlpm.amount,'Conditionals Helper'!T$14,IF(_xlpm.amount=0,"",_xlpm.amount))</f>
        <v/>
      </c>
      <c r="H5" s="80" t="str" cm="1">
        <f t="array" ref="H5">_xlfn.LET(_xlpm.amount,'Conditionals Helper'!U$14,IF(_xlpm.amount=0,"",_xlpm.amount))</f>
        <v/>
      </c>
      <c r="I5" s="80" t="str" cm="1">
        <f t="array" ref="I5">_xlfn.LET(_xlpm.amount,'Conditionals Helper'!V$14,IF(_xlpm.amount=0,"",_xlpm.amount))</f>
        <v/>
      </c>
      <c r="J5" s="80" t="str" cm="1">
        <f t="array" ref="J5">_xlfn.LET(_xlpm.amount,'Conditionals Helper'!W$14,IF(_xlpm.amount=0,"",_xlpm.amount))</f>
        <v/>
      </c>
      <c r="K5" s="80" t="str" cm="1">
        <f t="array" ref="K5">_xlfn.LET(_xlpm.amount,'Conditionals Helper'!X$14,IF(_xlpm.amount=0,"",_xlpm.amount))</f>
        <v/>
      </c>
      <c r="L5" s="425"/>
      <c r="M5" s="36"/>
      <c r="N5" s="62" t="s">
        <v>21</v>
      </c>
    </row>
    <row r="6" spans="1:14" ht="15.75" customHeight="1">
      <c r="A6" s="71" t="s">
        <v>22</v>
      </c>
      <c r="B6" s="416" t="s">
        <v>4</v>
      </c>
      <c r="C6" s="80" t="str" cm="1">
        <f t="array" ref="C6">_xlfn.LET(_xlpm.amount,'Conditionals Helper'!P$28,IF(_xlpm.amount=0,"",_xlpm.amount))</f>
        <v/>
      </c>
      <c r="D6" s="80" t="str" cm="1">
        <f t="array" ref="D6">_xlfn.LET(_xlpm.amount,'Conditionals Helper'!Q$28,IF(_xlpm.amount=0,"",_xlpm.amount))</f>
        <v/>
      </c>
      <c r="E6" s="80" t="str" cm="1">
        <f t="array" ref="E6">_xlfn.LET(_xlpm.amount,'Conditionals Helper'!R$28,IF(_xlpm.amount=0,"",_xlpm.amount))</f>
        <v/>
      </c>
      <c r="F6" s="80" t="str" cm="1">
        <f t="array" ref="F6">_xlfn.LET(_xlpm.amount,'Conditionals Helper'!S$28,IF(_xlpm.amount=0,"",_xlpm.amount))</f>
        <v/>
      </c>
      <c r="G6" s="80" t="str" cm="1">
        <f t="array" ref="G6">_xlfn.LET(_xlpm.amount,'Conditionals Helper'!T$28,IF(_xlpm.amount=0,"",_xlpm.amount))</f>
        <v/>
      </c>
      <c r="H6" s="80" t="str" cm="1">
        <f t="array" ref="H6">_xlfn.LET(_xlpm.amount,'Conditionals Helper'!U$28,IF(_xlpm.amount=0,"",_xlpm.amount))</f>
        <v/>
      </c>
      <c r="I6" s="80" t="str" cm="1">
        <f t="array" ref="I6">_xlfn.LET(_xlpm.amount,'Conditionals Helper'!V$28,IF(_xlpm.amount=0,"",_xlpm.amount))</f>
        <v/>
      </c>
      <c r="J6" s="80" t="str" cm="1">
        <f t="array" ref="J6">_xlfn.LET(_xlpm.amount,'Conditionals Helper'!W$28,IF(_xlpm.amount=0,"",_xlpm.amount))</f>
        <v/>
      </c>
      <c r="K6" s="80" t="str" cm="1">
        <f t="array" ref="K6">_xlfn.LET(_xlpm.amount,'Conditionals Helper'!X$28,IF(_xlpm.amount=0,"",_xlpm.amount))</f>
        <v/>
      </c>
      <c r="L6" s="425"/>
      <c r="M6" s="36"/>
      <c r="N6" s="72" t="s">
        <v>23</v>
      </c>
    </row>
    <row r="7" spans="1:14" ht="15.75" customHeight="1">
      <c r="A7" s="444" t="s">
        <v>24</v>
      </c>
      <c r="B7" s="417" t="s">
        <v>4</v>
      </c>
      <c r="C7" s="80" t="str" cm="1">
        <f t="array" ref="C7">_xlfn.LET(_xlpm.amount,'Conditionals Helper'!P$42,IF(_xlpm.amount=0,"",_xlpm.amount))</f>
        <v/>
      </c>
      <c r="D7" s="80" t="str" cm="1">
        <f t="array" ref="D7">_xlfn.LET(_xlpm.amount,'Conditionals Helper'!Q$42,IF(_xlpm.amount=0,"",_xlpm.amount))</f>
        <v/>
      </c>
      <c r="E7" s="80" t="str" cm="1">
        <f t="array" ref="E7">_xlfn.LET(_xlpm.amount,'Conditionals Helper'!R$42,IF(_xlpm.amount=0,"",_xlpm.amount))</f>
        <v/>
      </c>
      <c r="F7" s="80" t="str" cm="1">
        <f t="array" ref="F7">_xlfn.LET(_xlpm.amount,'Conditionals Helper'!S$42,IF(_xlpm.amount=0,"",_xlpm.amount))</f>
        <v/>
      </c>
      <c r="G7" s="80" t="str" cm="1">
        <f t="array" ref="G7">_xlfn.LET(_xlpm.amount,'Conditionals Helper'!T$42,IF(_xlpm.amount=0,"",_xlpm.amount))</f>
        <v/>
      </c>
      <c r="H7" s="80" t="str" cm="1">
        <f t="array" ref="H7">_xlfn.LET(_xlpm.amount,'Conditionals Helper'!U$42,IF(_xlpm.amount=0,"",_xlpm.amount))</f>
        <v/>
      </c>
      <c r="I7" s="80" t="str" cm="1">
        <f t="array" ref="I7">_xlfn.LET(_xlpm.amount,'Conditionals Helper'!V$42,IF(_xlpm.amount=0,"",_xlpm.amount))</f>
        <v/>
      </c>
      <c r="J7" s="80" t="str" cm="1">
        <f t="array" ref="J7">_xlfn.LET(_xlpm.amount,'Conditionals Helper'!W$42,IF(_xlpm.amount=0,"",_xlpm.amount))</f>
        <v/>
      </c>
      <c r="K7" s="80" t="str" cm="1">
        <f t="array" ref="K7">_xlfn.LET(_xlpm.amount,'Conditionals Helper'!X$42,IF(_xlpm.amount=0,"",_xlpm.amount))</f>
        <v/>
      </c>
      <c r="L7" s="425"/>
      <c r="M7" s="36"/>
      <c r="N7" s="63" t="s">
        <v>25</v>
      </c>
    </row>
    <row r="8" spans="1:14" ht="15.75" customHeight="1">
      <c r="A8" s="443" t="s">
        <v>26</v>
      </c>
      <c r="B8" s="445" t="s">
        <v>27</v>
      </c>
      <c r="C8" s="79" t="str" cm="1">
        <f t="array" ref="C8">_xlfn.LET(_xlpm.amount,'Conditionals Helper'!P129,IF(_xlpm.amount=0,"",_xlpm.amount))</f>
        <v/>
      </c>
      <c r="D8" s="79" t="str" cm="1">
        <f t="array" ref="D8">_xlfn.LET(_xlpm.amount,'Conditionals Helper'!Q129,IF(_xlpm.amount=0,"",_xlpm.amount))</f>
        <v/>
      </c>
      <c r="E8" s="79" t="str" cm="1">
        <f t="array" ref="E8">_xlfn.LET(_xlpm.amount,'Conditionals Helper'!R129,IF(_xlpm.amount=0,"",_xlpm.amount))</f>
        <v/>
      </c>
      <c r="F8" s="79" t="str" cm="1">
        <f t="array" ref="F8">_xlfn.LET(_xlpm.amount,'Conditionals Helper'!S129,IF(_xlpm.amount=0,"",_xlpm.amount))</f>
        <v/>
      </c>
      <c r="G8" s="79" t="str" cm="1">
        <f t="array" ref="G8">_xlfn.LET(_xlpm.amount,'Conditionals Helper'!T129,IF(_xlpm.amount=0,"",_xlpm.amount))</f>
        <v/>
      </c>
      <c r="H8" s="79" t="str" cm="1">
        <f t="array" ref="H8">_xlfn.LET(_xlpm.amount,'Conditionals Helper'!U129,IF(_xlpm.amount=0,"",_xlpm.amount))</f>
        <v/>
      </c>
      <c r="I8" s="79" t="str" cm="1">
        <f t="array" ref="I8">_xlfn.LET(_xlpm.amount,'Conditionals Helper'!V129,IF(_xlpm.amount=0,"",_xlpm.amount))</f>
        <v/>
      </c>
      <c r="J8" s="79" t="str" cm="1">
        <f t="array" ref="J8">_xlfn.LET(_xlpm.amount,'Conditionals Helper'!W129,IF(_xlpm.amount=0,"",_xlpm.amount))</f>
        <v/>
      </c>
      <c r="K8" s="79" t="str" cm="1">
        <f t="array" ref="K8">_xlfn.LET(_xlpm.amount,'Conditionals Helper'!X129,IF(_xlpm.amount=0,"",_xlpm.amount))</f>
        <v/>
      </c>
      <c r="L8" s="425"/>
      <c r="M8" s="36"/>
      <c r="N8" s="423" t="s">
        <v>28</v>
      </c>
    </row>
    <row r="9" spans="1:14" ht="15.75" customHeight="1">
      <c r="A9" s="71" t="s">
        <v>19</v>
      </c>
      <c r="B9" s="416" t="s">
        <v>4</v>
      </c>
      <c r="C9" s="80" t="str" cm="1">
        <f t="array" ref="C9">_xlfn.LET(_xlpm.amount,'Conditionals Helper'!P$56,IF(_xlpm.amount=0,"",_xlpm.amount))</f>
        <v/>
      </c>
      <c r="D9" s="80" t="str" cm="1">
        <f t="array" ref="D9">_xlfn.LET(_xlpm.amount,'Conditionals Helper'!Q$56,IF(_xlpm.amount=0,"",_xlpm.amount))</f>
        <v/>
      </c>
      <c r="E9" s="80" t="str" cm="1">
        <f t="array" ref="E9">_xlfn.LET(_xlpm.amount,'Conditionals Helper'!R$56,IF(_xlpm.amount=0,"",_xlpm.amount))</f>
        <v/>
      </c>
      <c r="F9" s="80" t="str" cm="1">
        <f t="array" ref="F9">_xlfn.LET(_xlpm.amount,'Conditionals Helper'!S$56,IF(_xlpm.amount=0,"",_xlpm.amount))</f>
        <v/>
      </c>
      <c r="G9" s="80" t="str" cm="1">
        <f t="array" ref="G9">_xlfn.LET(_xlpm.amount,'Conditionals Helper'!T$56,IF(_xlpm.amount=0,"",_xlpm.amount))</f>
        <v/>
      </c>
      <c r="H9" s="80" t="str" cm="1">
        <f t="array" ref="H9">_xlfn.LET(_xlpm.amount,'Conditionals Helper'!U$56,IF(_xlpm.amount=0,"",_xlpm.amount))</f>
        <v/>
      </c>
      <c r="I9" s="80" t="str" cm="1">
        <f t="array" ref="I9">_xlfn.LET(_xlpm.amount,'Conditionals Helper'!V$56,IF(_xlpm.amount=0,"",_xlpm.amount))</f>
        <v/>
      </c>
      <c r="J9" s="80" t="str" cm="1">
        <f t="array" ref="J9">_xlfn.LET(_xlpm.amount,'Conditionals Helper'!W$56,IF(_xlpm.amount=0,"",_xlpm.amount))</f>
        <v/>
      </c>
      <c r="K9" s="80" t="str" cm="1">
        <f t="array" ref="K9">_xlfn.LET(_xlpm.amount,'Conditionals Helper'!X$56,IF(_xlpm.amount=0,"",_xlpm.amount))</f>
        <v/>
      </c>
      <c r="L9" s="425"/>
      <c r="M9" s="36"/>
      <c r="N9" s="64" t="s">
        <v>29</v>
      </c>
    </row>
    <row r="10" spans="1:14" ht="15.75" customHeight="1">
      <c r="A10" s="71" t="s">
        <v>22</v>
      </c>
      <c r="B10" s="416" t="s">
        <v>30</v>
      </c>
      <c r="C10" s="80" t="str" cm="1">
        <f t="array" ref="C10">_xlfn.LET(_xlpm.amount,'Conditionals Helper'!P$70,IF(_xlpm.amount=0,"",_xlpm.amount))</f>
        <v/>
      </c>
      <c r="D10" s="80" t="str" cm="1">
        <f t="array" ref="D10">_xlfn.LET(_xlpm.amount,'Conditionals Helper'!Q$70,IF(_xlpm.amount=0,"",_xlpm.amount))</f>
        <v/>
      </c>
      <c r="E10" s="80" t="str" cm="1">
        <f t="array" ref="E10">_xlfn.LET(_xlpm.amount,'Conditionals Helper'!R$70,IF(_xlpm.amount=0,"",_xlpm.amount))</f>
        <v/>
      </c>
      <c r="F10" s="80" t="str" cm="1">
        <f t="array" ref="F10">_xlfn.LET(_xlpm.amount,'Conditionals Helper'!S$70,IF(_xlpm.amount=0,"",_xlpm.amount))</f>
        <v/>
      </c>
      <c r="G10" s="80" t="str" cm="1">
        <f t="array" ref="G10">_xlfn.LET(_xlpm.amount,'Conditionals Helper'!T$70,IF(_xlpm.amount=0,"",_xlpm.amount))</f>
        <v/>
      </c>
      <c r="H10" s="80" t="str" cm="1">
        <f t="array" ref="H10">_xlfn.LET(_xlpm.amount,'Conditionals Helper'!U$70,IF(_xlpm.amount=0,"",_xlpm.amount))</f>
        <v/>
      </c>
      <c r="I10" s="80" t="str" cm="1">
        <f t="array" ref="I10">_xlfn.LET(_xlpm.amount,'Conditionals Helper'!V$70,IF(_xlpm.amount=0,"",_xlpm.amount))</f>
        <v/>
      </c>
      <c r="J10" s="80" t="str" cm="1">
        <f t="array" ref="J10">_xlfn.LET(_xlpm.amount,'Conditionals Helper'!W$70,IF(_xlpm.amount=0,"",_xlpm.amount))</f>
        <v/>
      </c>
      <c r="K10" s="80" t="str" cm="1">
        <f t="array" ref="K10">_xlfn.LET(_xlpm.amount,'Conditionals Helper'!X$70,IF(_xlpm.amount=0,"",_xlpm.amount))</f>
        <v/>
      </c>
      <c r="L10" s="425"/>
      <c r="M10" s="36"/>
      <c r="N10" s="65" t="s">
        <v>31</v>
      </c>
    </row>
    <row r="11" spans="1:14" ht="15.75" customHeight="1">
      <c r="A11" s="444" t="s">
        <v>24</v>
      </c>
      <c r="B11" s="416" t="s">
        <v>4</v>
      </c>
      <c r="C11" s="80" t="str" cm="1">
        <f t="array" ref="C11">_xlfn.LET(_xlpm.amount,'Conditionals Helper'!P$84,IF(_xlpm.amount=0,"",_xlpm.amount))</f>
        <v/>
      </c>
      <c r="D11" s="80" t="str" cm="1">
        <f t="array" ref="D11">_xlfn.LET(_xlpm.amount,'Conditionals Helper'!Q$84,IF(_xlpm.amount=0,"",_xlpm.amount))</f>
        <v/>
      </c>
      <c r="E11" s="80" t="str" cm="1">
        <f t="array" ref="E11">_xlfn.LET(_xlpm.amount,'Conditionals Helper'!R$84,IF(_xlpm.amount=0,"",_xlpm.amount))</f>
        <v/>
      </c>
      <c r="F11" s="80" t="str" cm="1">
        <f t="array" ref="F11">_xlfn.LET(_xlpm.amount,'Conditionals Helper'!S$84,IF(_xlpm.amount=0,"",_xlpm.amount))</f>
        <v/>
      </c>
      <c r="G11" s="80" t="str" cm="1">
        <f t="array" ref="G11">_xlfn.LET(_xlpm.amount,'Conditionals Helper'!T$84,IF(_xlpm.amount=0,"",_xlpm.amount))</f>
        <v/>
      </c>
      <c r="H11" s="80" t="str" cm="1">
        <f t="array" ref="H11">_xlfn.LET(_xlpm.amount,'Conditionals Helper'!U$84,IF(_xlpm.amount=0,"",_xlpm.amount))</f>
        <v/>
      </c>
      <c r="I11" s="80" t="str" cm="1">
        <f t="array" ref="I11">_xlfn.LET(_xlpm.amount,'Conditionals Helper'!V$84,IF(_xlpm.amount=0,"",_xlpm.amount))</f>
        <v/>
      </c>
      <c r="J11" s="80" t="str" cm="1">
        <f t="array" ref="J11">_xlfn.LET(_xlpm.amount,'Conditionals Helper'!W$84,IF(_xlpm.amount=0,"",_xlpm.amount))</f>
        <v/>
      </c>
      <c r="K11" s="80" t="str" cm="1">
        <f t="array" ref="K11">_xlfn.LET(_xlpm.amount,'Conditionals Helper'!X$84,IF(_xlpm.amount=0,"",_xlpm.amount))</f>
        <v/>
      </c>
      <c r="L11" s="425"/>
      <c r="M11" s="36"/>
      <c r="N11" s="66" t="s">
        <v>32</v>
      </c>
    </row>
    <row r="12" spans="1:14" ht="15.75" customHeight="1">
      <c r="A12" s="443" t="s">
        <v>33</v>
      </c>
      <c r="B12" s="439" t="s">
        <v>34</v>
      </c>
      <c r="C12" s="79" t="str" cm="1">
        <f t="array" ref="C12">_xlfn.LET(_xlpm.amount,'Conditionals Helper'!P130,IF(_xlpm.amount=0,"",_xlpm.amount))</f>
        <v/>
      </c>
      <c r="D12" s="79" t="str" cm="1">
        <f t="array" ref="D12">_xlfn.LET(_xlpm.amount,'Conditionals Helper'!Q130,IF(_xlpm.amount=0,"",_xlpm.amount))</f>
        <v/>
      </c>
      <c r="E12" s="79" t="str" cm="1">
        <f t="array" ref="E12">_xlfn.LET(_xlpm.amount,'Conditionals Helper'!R130,IF(_xlpm.amount=0,"",_xlpm.amount))</f>
        <v/>
      </c>
      <c r="F12" s="79" t="str" cm="1">
        <f t="array" ref="F12">_xlfn.LET(_xlpm.amount,'Conditionals Helper'!S130,IF(_xlpm.amount=0,"",_xlpm.amount))</f>
        <v/>
      </c>
      <c r="G12" s="79" t="str" cm="1">
        <f t="array" ref="G12">_xlfn.LET(_xlpm.amount,'Conditionals Helper'!T130,IF(_xlpm.amount=0,"",_xlpm.amount))</f>
        <v/>
      </c>
      <c r="H12" s="79" cm="1">
        <f t="array" ref="H12">_xlfn.LET(_xlpm.amount,'Conditionals Helper'!U130,IF(_xlpm.amount=0,"",_xlpm.amount))</f>
        <v>62.4</v>
      </c>
      <c r="I12" s="79" t="str" cm="1">
        <f t="array" ref="I12">_xlfn.LET(_xlpm.amount,'Conditionals Helper'!V130,IF(_xlpm.amount=0,"",_xlpm.amount))</f>
        <v/>
      </c>
      <c r="J12" s="79" t="str" cm="1">
        <f t="array" ref="J12">_xlfn.LET(_xlpm.amount,'Conditionals Helper'!W130,IF(_xlpm.amount=0,"",_xlpm.amount))</f>
        <v/>
      </c>
      <c r="K12" s="79" t="str" cm="1">
        <f t="array" ref="K12">_xlfn.LET(_xlpm.amount,'Conditionals Helper'!X130,IF(_xlpm.amount=0,"",_xlpm.amount))</f>
        <v/>
      </c>
      <c r="L12" s="425"/>
      <c r="M12" s="32"/>
    </row>
    <row r="13" spans="1:14" ht="15.75" customHeight="1">
      <c r="A13" s="71" t="s">
        <v>19</v>
      </c>
      <c r="B13" s="416" t="s">
        <v>35</v>
      </c>
      <c r="C13" s="80" t="str" cm="1">
        <f t="array" ref="C13">_xlfn.LET(_xlpm.amount,'Conditionals Helper'!P$98,IF(_xlpm.amount=0,"",_xlpm.amount))</f>
        <v/>
      </c>
      <c r="D13" s="80" t="str" cm="1">
        <f t="array" ref="D13">_xlfn.LET(_xlpm.amount,'Conditionals Helper'!Q$98,IF(_xlpm.amount=0,"",_xlpm.amount))</f>
        <v/>
      </c>
      <c r="E13" s="80" t="str" cm="1">
        <f t="array" ref="E13">_xlfn.LET(_xlpm.amount,'Conditionals Helper'!R$98,IF(_xlpm.amount=0,"",_xlpm.amount))</f>
        <v/>
      </c>
      <c r="F13" s="80" t="str" cm="1">
        <f t="array" ref="F13">_xlfn.LET(_xlpm.amount,'Conditionals Helper'!S$98,IF(_xlpm.amount=0,"",_xlpm.amount))</f>
        <v/>
      </c>
      <c r="G13" s="80" t="str" cm="1">
        <f t="array" ref="G13">_xlfn.LET(_xlpm.amount,'Conditionals Helper'!T$98,IF(_xlpm.amount=0,"",_xlpm.amount))</f>
        <v/>
      </c>
      <c r="H13" s="80" t="str" cm="1">
        <f t="array" ref="H13">_xlfn.LET(_xlpm.amount,'Conditionals Helper'!U$98,IF(_xlpm.amount=0,"",_xlpm.amount))</f>
        <v/>
      </c>
      <c r="I13" s="80" t="str" cm="1">
        <f t="array" ref="I13">_xlfn.LET(_xlpm.amount,'Conditionals Helper'!V$98,IF(_xlpm.amount=0,"",_xlpm.amount))</f>
        <v/>
      </c>
      <c r="J13" s="80" t="str" cm="1">
        <f t="array" ref="J13">_xlfn.LET(_xlpm.amount,'Conditionals Helper'!W$98,IF(_xlpm.amount=0,"",_xlpm.amount))</f>
        <v/>
      </c>
      <c r="K13" s="80" t="str" cm="1">
        <f t="array" ref="K13">_xlfn.LET(_xlpm.amount,'Conditionals Helper'!X$98,IF(_xlpm.amount=0,"",_xlpm.amount))</f>
        <v/>
      </c>
      <c r="L13" s="425"/>
      <c r="M13" s="31"/>
    </row>
    <row r="14" spans="1:14" ht="15.75" customHeight="1">
      <c r="A14" s="71" t="s">
        <v>22</v>
      </c>
      <c r="B14" s="416" t="s">
        <v>4</v>
      </c>
      <c r="C14" s="80" t="str" cm="1">
        <f t="array" ref="C14">_xlfn.LET(_xlpm.amount,'Conditionals Helper'!P$112,IF(_xlpm.amount=0,"",_xlpm.amount))</f>
        <v/>
      </c>
      <c r="D14" s="80" t="str" cm="1">
        <f t="array" ref="D14">_xlfn.LET(_xlpm.amount,'Conditionals Helper'!Q$112,IF(_xlpm.amount=0,"",_xlpm.amount))</f>
        <v/>
      </c>
      <c r="E14" s="80" t="str" cm="1">
        <f t="array" ref="E14">_xlfn.LET(_xlpm.amount,'Conditionals Helper'!R$112,IF(_xlpm.amount=0,"",_xlpm.amount))</f>
        <v/>
      </c>
      <c r="F14" s="80" t="str" cm="1">
        <f t="array" ref="F14">_xlfn.LET(_xlpm.amount,'Conditionals Helper'!S$112,IF(_xlpm.amount=0,"",_xlpm.amount))</f>
        <v/>
      </c>
      <c r="G14" s="80" t="str" cm="1">
        <f t="array" ref="G14">_xlfn.LET(_xlpm.amount,'Conditionals Helper'!T$112,IF(_xlpm.amount=0,"",_xlpm.amount))</f>
        <v/>
      </c>
      <c r="H14" s="80" t="str" cm="1">
        <f t="array" ref="H14">_xlfn.LET(_xlpm.amount,'Conditionals Helper'!U$112,IF(_xlpm.amount=0,"",_xlpm.amount))</f>
        <v/>
      </c>
      <c r="I14" s="80" t="str" cm="1">
        <f t="array" ref="I14">_xlfn.LET(_xlpm.amount,'Conditionals Helper'!V$112,IF(_xlpm.amount=0,"",_xlpm.amount))</f>
        <v/>
      </c>
      <c r="J14" s="80" t="str" cm="1">
        <f t="array" ref="J14">_xlfn.LET(_xlpm.amount,'Conditionals Helper'!W$112,IF(_xlpm.amount=0,"",_xlpm.amount))</f>
        <v/>
      </c>
      <c r="K14" s="80" t="str" cm="1">
        <f t="array" ref="K14">_xlfn.LET(_xlpm.amount,'Conditionals Helper'!X$112,IF(_xlpm.amount=0,"",_xlpm.amount))</f>
        <v/>
      </c>
      <c r="L14" s="425"/>
      <c r="M14" s="31"/>
    </row>
    <row r="15" spans="1:14" ht="15.75" customHeight="1">
      <c r="A15" s="493" t="s">
        <v>24</v>
      </c>
      <c r="B15" s="494" t="s">
        <v>4</v>
      </c>
      <c r="C15" s="80" t="str" cm="1">
        <f t="array" ref="C15">_xlfn.LET(_xlpm.amount,'Conditionals Helper'!P$126,IF(_xlpm.amount=0,"",_xlpm.amount))</f>
        <v/>
      </c>
      <c r="D15" s="80" t="str" cm="1">
        <f t="array" ref="D15">_xlfn.LET(_xlpm.amount,'Conditionals Helper'!Q$126,IF(_xlpm.amount=0,"",_xlpm.amount))</f>
        <v/>
      </c>
      <c r="E15" s="80" t="str" cm="1">
        <f t="array" ref="E15">_xlfn.LET(_xlpm.amount,'Conditionals Helper'!R$126,IF(_xlpm.amount=0,"",_xlpm.amount))</f>
        <v/>
      </c>
      <c r="F15" s="80" t="str" cm="1">
        <f t="array" ref="F15">_xlfn.LET(_xlpm.amount,'Conditionals Helper'!S$126,IF(_xlpm.amount=0,"",_xlpm.amount))</f>
        <v/>
      </c>
      <c r="G15" s="80" t="str" cm="1">
        <f t="array" ref="G15">_xlfn.LET(_xlpm.amount,'Conditionals Helper'!T$126,IF(_xlpm.amount=0,"",_xlpm.amount))</f>
        <v/>
      </c>
      <c r="H15" s="80" t="str" cm="1">
        <f t="array" ref="H15">_xlfn.LET(_xlpm.amount,'Conditionals Helper'!U$126,IF(_xlpm.amount=0,"",_xlpm.amount))</f>
        <v/>
      </c>
      <c r="I15" s="80" t="str" cm="1">
        <f t="array" ref="I15">_xlfn.LET(_xlpm.amount,'Conditionals Helper'!V$126,IF(_xlpm.amount=0,"",_xlpm.amount))</f>
        <v/>
      </c>
      <c r="J15" s="80" t="str" cm="1">
        <f t="array" ref="J15">_xlfn.LET(_xlpm.amount,'Conditionals Helper'!W$126,IF(_xlpm.amount=0,"",_xlpm.amount))</f>
        <v/>
      </c>
      <c r="K15" s="80" t="str" cm="1">
        <f t="array" ref="K15">_xlfn.LET(_xlpm.amount,'Conditionals Helper'!X$126,IF(_xlpm.amount=0,"",_xlpm.amount))</f>
        <v/>
      </c>
      <c r="L15" s="425"/>
      <c r="M15" s="31"/>
    </row>
    <row r="16" spans="1:14" ht="39.75" customHeight="1">
      <c r="A16" s="539" t="s">
        <v>36</v>
      </c>
      <c r="B16" s="539"/>
      <c r="C16" s="471" t="s">
        <v>6</v>
      </c>
      <c r="D16" s="472" t="s">
        <v>7</v>
      </c>
      <c r="E16" s="472" t="s">
        <v>8</v>
      </c>
      <c r="F16" s="472" t="s">
        <v>9</v>
      </c>
      <c r="G16" s="472" t="s">
        <v>10</v>
      </c>
      <c r="H16" s="479" t="s">
        <v>11</v>
      </c>
      <c r="I16" s="472" t="s">
        <v>12</v>
      </c>
      <c r="J16" s="472" t="s">
        <v>13</v>
      </c>
      <c r="K16" s="472" t="s">
        <v>14</v>
      </c>
      <c r="L16" s="473" t="s">
        <v>15</v>
      </c>
      <c r="M16" s="31"/>
    </row>
    <row r="17" spans="1:15" ht="15.75" customHeight="1">
      <c r="A17" s="70" t="s">
        <v>37</v>
      </c>
      <c r="B17" s="415" t="s">
        <v>38</v>
      </c>
      <c r="C17" s="73">
        <f>IF(AND(COUNTBLANK($B17)=0,NOT($B17="(Select)")), VLOOKUP(_xlfn.CONCAT($B17, $A17), GearValues, 4, 0), " ")</f>
        <v>85</v>
      </c>
      <c r="D17" s="74">
        <f>IF(AND(COUNTBLANK($B17)=0,NOT($B17="(Select)")), VLOOKUP(_xlfn.CONCAT($B17, $A17), GearValues, 5, 0), " ")</f>
        <v>120</v>
      </c>
      <c r="E17" s="74" t="str">
        <f>IF(AND(COUNTBLANK($B17)=0,NOT($B17="(Select)")), VLOOKUP(_xlfn.CONCAT($B17, $A17), GearValues, 6, 0), " ")</f>
        <v/>
      </c>
      <c r="F17" s="74" t="str">
        <f>IF(AND(COUNTBLANK($B17)=0,NOT($B17="(Select)")), VLOOKUP(_xlfn.CONCAT($B17, $A17), GearValues, 7, 0), " ")</f>
        <v/>
      </c>
      <c r="G17" s="74" t="str">
        <f>IF(AND(COUNTBLANK($B17)=0,NOT($B17="(Select)")), VLOOKUP(_xlfn.CONCAT($B17, $A17), GearValues, 8, 0), " ")</f>
        <v/>
      </c>
      <c r="H17" s="74" t="str">
        <f>IF(AND(COUNTBLANK($B17)=0,NOT($B17="(Select)")), VLOOKUP(_xlfn.CONCAT($B17, $A17), GearValues, 9, 0), " ")</f>
        <v/>
      </c>
      <c r="I17" s="74" t="str">
        <f>IF(AND(COUNTBLANK($B17)=0,NOT($B17="(Select)")), VLOOKUP(_xlfn.CONCAT($B17, $A17), GearValues, 10, 0), " ")</f>
        <v/>
      </c>
      <c r="J17" s="74">
        <f>IF(AND(COUNTBLANK($B17)=0,NOT($B17="(Select)")), VLOOKUP(_xlfn.CONCAT($B17, $A17), GearValues, 11, 0), " ")</f>
        <v>85</v>
      </c>
      <c r="K17" s="74" t="str">
        <f>IF(AND(COUNTBLANK($B17)=0,NOT($B17="(Select)")), VLOOKUP(_xlfn.CONCAT($B17, $A17), GearValues, 12, 0), " ")</f>
        <v/>
      </c>
      <c r="L17" s="75"/>
      <c r="M17" s="32"/>
    </row>
    <row r="18" spans="1:15" ht="15.75" customHeight="1">
      <c r="A18" s="70" t="s">
        <v>37</v>
      </c>
      <c r="B18" s="414" t="s">
        <v>38</v>
      </c>
      <c r="C18" s="73">
        <f>IF(AND(COUNTBLANK($B18)=0,NOT($B18="(Select)")), VLOOKUP(_xlfn.CONCAT($B18, $A18), GearValues, 4, 0), " ")</f>
        <v>85</v>
      </c>
      <c r="D18" s="74">
        <f>IF(AND(COUNTBLANK($B18)=0,NOT($B18="(Select)")), VLOOKUP(_xlfn.CONCAT($B18, $A18), GearValues, 5, 0), " ")</f>
        <v>120</v>
      </c>
      <c r="E18" s="74" t="str">
        <f>IF(AND(COUNTBLANK($B18)=0,NOT($B18="(Select)")), VLOOKUP(_xlfn.CONCAT($B18, $A18), GearValues, 6, 0), " ")</f>
        <v/>
      </c>
      <c r="F18" s="74" t="str">
        <f>IF(AND(COUNTBLANK($B18)=0,NOT($B18="(Select)")), VLOOKUP(_xlfn.CONCAT($B18, $A18), GearValues, 7, 0), " ")</f>
        <v/>
      </c>
      <c r="G18" s="74" t="str">
        <f>IF(AND(COUNTBLANK($B18)=0,NOT($B18="(Select)")), VLOOKUP(_xlfn.CONCAT($B18, $A18), GearValues, 8, 0), " ")</f>
        <v/>
      </c>
      <c r="H18" s="74" t="str">
        <f>IF(AND(COUNTBLANK($B18)=0,NOT($B18="(Select)")), VLOOKUP(_xlfn.CONCAT($B18, $A18), GearValues, 9, 0), " ")</f>
        <v/>
      </c>
      <c r="I18" s="74" t="str">
        <f>IF(AND(COUNTBLANK($B18)=0,NOT($B18="(Select)")), VLOOKUP(_xlfn.CONCAT($B18, $A18), GearValues, 10, 0), " ")</f>
        <v/>
      </c>
      <c r="J18" s="74">
        <f>IF(AND(COUNTBLANK($B18)=0,NOT($B18="(Select)")), VLOOKUP(_xlfn.CONCAT($B18, $A18), GearValues, 11, 0), " ")</f>
        <v>85</v>
      </c>
      <c r="K18" s="74" t="str">
        <f>IF(AND(COUNTBLANK($B18)=0,NOT($B18="(Select)")), VLOOKUP(_xlfn.CONCAT($B18, $A18), GearValues, 12, 0), " ")</f>
        <v/>
      </c>
      <c r="L18" s="75"/>
      <c r="M18" s="10"/>
      <c r="N18" s="33"/>
      <c r="O18" s="34"/>
    </row>
    <row r="19" spans="1:15" ht="15.75" customHeight="1">
      <c r="A19" s="70" t="s">
        <v>39</v>
      </c>
      <c r="B19" s="414" t="s">
        <v>4</v>
      </c>
      <c r="C19" s="73" t="str">
        <f>IF(AND(COUNTBLANK($B19)=0,NOT($B19="(Select)")), VLOOKUP(_xlfn.CONCAT($B19, $A19), GearValues, 4, 0), " ")</f>
        <v xml:space="preserve"> </v>
      </c>
      <c r="D19" s="74" t="str">
        <f>IF(AND(COUNTBLANK($B19)=0,NOT($B19="(Select)")), VLOOKUP(_xlfn.CONCAT($B19, $A19), GearValues, 5, 0), " ")</f>
        <v xml:space="preserve"> </v>
      </c>
      <c r="E19" s="74" t="str">
        <f>IF(AND(COUNTBLANK($B19)=0,NOT($B19="(Select)")), VLOOKUP(_xlfn.CONCAT($B19, $A19), GearValues, 6, 0), " ")</f>
        <v xml:space="preserve"> </v>
      </c>
      <c r="F19" s="74" t="str">
        <f>IF(AND(COUNTBLANK($B19)=0,NOT($B19="(Select)")), VLOOKUP(_xlfn.CONCAT($B19, $A19), GearValues, 7, 0), " ")</f>
        <v xml:space="preserve"> </v>
      </c>
      <c r="G19" s="74" t="str">
        <f>IF(AND(COUNTBLANK($B19)=0,NOT($B19="(Select)")), VLOOKUP(_xlfn.CONCAT($B19, $A19), GearValues, 8, 0), " ")</f>
        <v xml:space="preserve"> </v>
      </c>
      <c r="H19" s="74" t="str">
        <f>IF(AND(COUNTBLANK($B19)=0,NOT($B19="(Select)")), VLOOKUP(_xlfn.CONCAT($B19, $A19), GearValues, 9, 0), " ")</f>
        <v xml:space="preserve"> </v>
      </c>
      <c r="I19" s="74" t="str">
        <f>IF(AND(COUNTBLANK($B19)=0,NOT($B19="(Select)")), VLOOKUP(_xlfn.CONCAT($B19, $A19), GearValues, 10, 0), " ")</f>
        <v xml:space="preserve"> </v>
      </c>
      <c r="J19" s="74" t="str">
        <f>IF(AND(COUNTBLANK($B19)=0,NOT($B19="(Select)")), VLOOKUP(_xlfn.CONCAT($B19, $A19), GearValues, 11, 0), " ")</f>
        <v xml:space="preserve"> </v>
      </c>
      <c r="K19" s="74" t="str">
        <f>IF(AND(COUNTBLANK($B19)=0,NOT($B19="(Select)")), VLOOKUP(_xlfn.CONCAT($B19, $A19), GearValues, 12, 0), " ")</f>
        <v xml:space="preserve"> </v>
      </c>
      <c r="L19" s="75"/>
      <c r="M19" s="13"/>
      <c r="N19" s="35"/>
      <c r="O19" s="36"/>
    </row>
    <row r="20" spans="1:15" ht="15.75" customHeight="1">
      <c r="A20" s="70" t="s">
        <v>40</v>
      </c>
      <c r="B20" s="414" t="s">
        <v>41</v>
      </c>
      <c r="C20" s="73">
        <f>IF(AND(COUNTBLANK($B20)=0,NOT($B20="(Select)")), VLOOKUP(_xlfn.CONCAT($B20, $A20), GearValues, 4, 0), " ")</f>
        <v>43</v>
      </c>
      <c r="D20" s="74">
        <f>IF(AND(COUNTBLANK($B20)=0,NOT($B20="(Select)")), VLOOKUP(_xlfn.CONCAT($B20, $A20), GearValues, 5, 0), " ")</f>
        <v>60</v>
      </c>
      <c r="E20" s="74">
        <f>IF(AND(COUNTBLANK($B20)=0,NOT($B20="(Select)")), VLOOKUP(_xlfn.CONCAT($B20, $A20), GearValues, 6, 0), " ")</f>
        <v>43</v>
      </c>
      <c r="F20" s="74" t="str">
        <f>IF(AND(COUNTBLANK($B20)=0,NOT($B20="(Select)")), VLOOKUP(_xlfn.CONCAT($B20, $A20), GearValues, 7, 0), " ")</f>
        <v/>
      </c>
      <c r="G20" s="74" t="str">
        <f>IF(AND(COUNTBLANK($B20)=0,NOT($B20="(Select)")), VLOOKUP(_xlfn.CONCAT($B20, $A20), GearValues, 8, 0), " ")</f>
        <v/>
      </c>
      <c r="H20" s="74" t="str">
        <f>IF(AND(COUNTBLANK($B20)=0,NOT($B20="(Select)")), VLOOKUP(_xlfn.CONCAT($B20, $A20), GearValues, 9, 0), " ")</f>
        <v/>
      </c>
      <c r="I20" s="74" t="str">
        <f>IF(AND(COUNTBLANK($B20)=0,NOT($B20="(Select)")), VLOOKUP(_xlfn.CONCAT($B20, $A20), GearValues, 10, 0), " ")</f>
        <v/>
      </c>
      <c r="J20" s="74" t="str">
        <f>IF(AND(COUNTBLANK($B20)=0,NOT($B20="(Select)")), VLOOKUP(_xlfn.CONCAT($B20, $A20), GearValues, 11, 0), " ")</f>
        <v/>
      </c>
      <c r="K20" s="74" t="str">
        <f>IF(AND(COUNTBLANK($B20)=0,NOT($B20="(Select)")), VLOOKUP(_xlfn.CONCAT($B20, $A20), GearValues, 12, 0), " ")</f>
        <v/>
      </c>
      <c r="L20" s="75">
        <f>IF(AND(COUNTBLANK($B20)=0,NOT($B20="(Select)")),VLOOKUP($A20,'Gear Values'!$A$17:$D$23,MATCH(ArmourType,'Gear Values'!$A$16:$D$16,0),0),"")</f>
        <v>97</v>
      </c>
      <c r="M20" s="37"/>
      <c r="N20" s="35"/>
      <c r="O20" s="36"/>
    </row>
    <row r="21" spans="1:15" ht="15.75" customHeight="1">
      <c r="A21" s="70" t="s">
        <v>42</v>
      </c>
      <c r="B21" s="414" t="s">
        <v>43</v>
      </c>
      <c r="C21" s="73" t="str">
        <f>IF(AND(COUNTBLANK($B21)=0,NOT($B21="(Select)")), VLOOKUP(_xlfn.CONCAT($B21, $A21), GearValues, 4, 0), " ")</f>
        <v/>
      </c>
      <c r="D21" s="74" t="str">
        <f>IF(AND(COUNTBLANK($B21)=0,NOT($B21="(Select)")), VLOOKUP(_xlfn.CONCAT($B21, $A21), GearValues, 5, 0), " ")</f>
        <v/>
      </c>
      <c r="E21" s="74">
        <f>IF(AND(COUNTBLANK($B21)=0,NOT($B21="(Select)")), VLOOKUP(_xlfn.CONCAT($B21, $A21), GearValues, 6, 0), " ")</f>
        <v>32</v>
      </c>
      <c r="F21" s="74" t="str">
        <f>IF(AND(COUNTBLANK($B21)=0,NOT($B21="(Select)")), VLOOKUP(_xlfn.CONCAT($B21, $A21), GearValues, 7, 0), " ")</f>
        <v/>
      </c>
      <c r="G21" s="74" t="str">
        <f>IF(AND(COUNTBLANK($B21)=0,NOT($B21="(Select)")), VLOOKUP(_xlfn.CONCAT($B21, $A21), GearValues, 8, 0), " ")</f>
        <v/>
      </c>
      <c r="H21" s="74">
        <f>IF(AND(COUNTBLANK($B21)=0,NOT($B21="(Select)")), VLOOKUP(_xlfn.CONCAT($B21, $A21), GearValues, 9, 0), " ")</f>
        <v>45</v>
      </c>
      <c r="I21" s="74" t="str">
        <f>IF(AND(COUNTBLANK($B21)=0,NOT($B21="(Select)")), VLOOKUP(_xlfn.CONCAT($B21, $A21), GearValues, 10, 0), " ")</f>
        <v/>
      </c>
      <c r="J21" s="74" t="str">
        <f>IF(AND(COUNTBLANK($B21)=0,NOT($B21="(Select)")), VLOOKUP(_xlfn.CONCAT($B21, $A21), GearValues, 11, 0), " ")</f>
        <v/>
      </c>
      <c r="K21" s="74">
        <f>IF(AND(COUNTBLANK($B21)=0,NOT($B21="(Select)")), VLOOKUP(_xlfn.CONCAT($B21, $A21), GearValues, 12, 0), " ")</f>
        <v>32</v>
      </c>
      <c r="L21" s="75">
        <f>IF(AND(COUNTBLANK($B21)=0,NOT($B21="(Select)")),VLOOKUP($A21,'Gear Values'!$A$17:$D$23,MATCH(ArmourType,'Gear Values'!$A$16:$D$16,0),0),"")</f>
        <v>97</v>
      </c>
      <c r="M21" s="38"/>
      <c r="N21" s="35"/>
      <c r="O21" s="36"/>
    </row>
    <row r="22" spans="1:15" ht="15.75" customHeight="1">
      <c r="A22" s="70" t="s">
        <v>44</v>
      </c>
      <c r="B22" s="414" t="s">
        <v>41</v>
      </c>
      <c r="C22" s="73">
        <f>IF(AND(COUNTBLANK($B22)=0,NOT($B22="(Select)")), VLOOKUP(_xlfn.CONCAT($B22, $A22), GearValues, 4, 0), " ")</f>
        <v>96</v>
      </c>
      <c r="D22" s="74">
        <f>IF(AND(COUNTBLANK($B22)=0,NOT($B22="(Select)")), VLOOKUP(_xlfn.CONCAT($B22, $A22), GearValues, 5, 0), " ")</f>
        <v>134</v>
      </c>
      <c r="E22" s="74">
        <f>IF(AND(COUNTBLANK($B22)=0,NOT($B22="(Select)")), VLOOKUP(_xlfn.CONCAT($B22, $A22), GearValues, 6, 0), " ")</f>
        <v>96</v>
      </c>
      <c r="F22" s="74" t="str">
        <f>IF(AND(COUNTBLANK($B22)=0,NOT($B22="(Select)")), VLOOKUP(_xlfn.CONCAT($B22, $A22), GearValues, 7, 0), " ")</f>
        <v/>
      </c>
      <c r="G22" s="74" t="str">
        <f>IF(AND(COUNTBLANK($B22)=0,NOT($B22="(Select)")), VLOOKUP(_xlfn.CONCAT($B22, $A22), GearValues, 8, 0), " ")</f>
        <v/>
      </c>
      <c r="H22" s="74" t="str">
        <f>IF(AND(COUNTBLANK($B22)=0,NOT($B22="(Select)")), VLOOKUP(_xlfn.CONCAT($B22, $A22), GearValues, 9, 0), " ")</f>
        <v/>
      </c>
      <c r="I22" s="74" t="str">
        <f>IF(AND(COUNTBLANK($B22)=0,NOT($B22="(Select)")), VLOOKUP(_xlfn.CONCAT($B22, $A22), GearValues, 10, 0), " ")</f>
        <v/>
      </c>
      <c r="J22" s="74" t="str">
        <f>IF(AND(COUNTBLANK($B22)=0,NOT($B22="(Select)")), VLOOKUP(_xlfn.CONCAT($B22, $A22), GearValues, 11, 0), " ")</f>
        <v/>
      </c>
      <c r="K22" s="74" t="str">
        <f>IF(AND(COUNTBLANK($B22)=0,NOT($B22="(Select)")), VLOOKUP(_xlfn.CONCAT($B22, $A22), GearValues, 12, 0), " ")</f>
        <v/>
      </c>
      <c r="L22" s="75">
        <f>IF(AND(COUNTBLANK($B22)=0,NOT($B22="(Select)")),VLOOKUP($A22,'Gear Values'!$A$17:$D$23,MATCH(ArmourType,'Gear Values'!$A$16:$D$16,0),0),"")</f>
        <v>338</v>
      </c>
      <c r="M22" s="38"/>
      <c r="N22" s="35"/>
      <c r="O22" s="36"/>
    </row>
    <row r="23" spans="1:15" ht="15.75" customHeight="1">
      <c r="A23" s="70" t="s">
        <v>45</v>
      </c>
      <c r="B23" s="414" t="s">
        <v>46</v>
      </c>
      <c r="C23" s="73">
        <f>IF(AND(COUNTBLANK($B23)=0,NOT($B23="(Select)")), VLOOKUP(_xlfn.CONCAT($B23, $A23), GearValues, 4, 0), " ")</f>
        <v>38</v>
      </c>
      <c r="D23" s="74">
        <f>IF(AND(COUNTBLANK($B23)=0,NOT($B23="(Select)")), VLOOKUP(_xlfn.CONCAT($B23, $A23), GearValues, 5, 0), " ")</f>
        <v>38</v>
      </c>
      <c r="E23" s="74" t="str">
        <f>IF(AND(COUNTBLANK($B23)=0,NOT($B23="(Select)")), VLOOKUP(_xlfn.CONCAT($B23, $A23), GearValues, 6, 0), " ")</f>
        <v/>
      </c>
      <c r="F23" s="74">
        <f>IF(AND(COUNTBLANK($B23)=0,NOT($B23="(Select)")), VLOOKUP(_xlfn.CONCAT($B23, $A23), GearValues, 7, 0), " ")</f>
        <v>21</v>
      </c>
      <c r="G23" s="74" t="str">
        <f>IF(AND(COUNTBLANK($B23)=0,NOT($B23="(Select)")), VLOOKUP(_xlfn.CONCAT($B23, $A23), GearValues, 8, 0), " ")</f>
        <v/>
      </c>
      <c r="H23" s="74" t="str">
        <f>IF(AND(COUNTBLANK($B23)=0,NOT($B23="(Select)")), VLOOKUP(_xlfn.CONCAT($B23, $A23), GearValues, 9, 0), " ")</f>
        <v/>
      </c>
      <c r="I23" s="74" t="str">
        <f>IF(AND(COUNTBLANK($B23)=0,NOT($B23="(Select)")), VLOOKUP(_xlfn.CONCAT($B23, $A23), GearValues, 10, 0), " ")</f>
        <v/>
      </c>
      <c r="J23" s="74">
        <f>IF(AND(COUNTBLANK($B23)=0,NOT($B23="(Select)")), VLOOKUP(_xlfn.CONCAT($B23, $A23), GearValues, 11, 0), " ")</f>
        <v>21</v>
      </c>
      <c r="K23" s="74" t="str">
        <f>IF(AND(COUNTBLANK($B23)=0,NOT($B23="(Select)")), VLOOKUP(_xlfn.CONCAT($B23, $A23), GearValues, 12, 0), " ")</f>
        <v/>
      </c>
      <c r="L23" s="75">
        <f>IF(AND(COUNTBLANK($B23)=0,NOT($B23="(Select)")),VLOOKUP($A23,'Gear Values'!$A$17:$D$23,MATCH(ArmourType,'Gear Values'!$A$16:$D$16,0),0),"")</f>
        <v>157</v>
      </c>
      <c r="M23" s="38"/>
      <c r="N23" s="35"/>
      <c r="O23" s="36"/>
    </row>
    <row r="24" spans="1:15" ht="15.75" customHeight="1">
      <c r="A24" s="70" t="s">
        <v>47</v>
      </c>
      <c r="B24" s="414" t="s">
        <v>46</v>
      </c>
      <c r="C24" s="73">
        <f>IF(AND(COUNTBLANK($B24)=0,NOT($B24="(Select)")), VLOOKUP(_xlfn.CONCAT($B24, $A24), GearValues, 4, 0), " ")</f>
        <v>77</v>
      </c>
      <c r="D24" s="74">
        <f>IF(AND(COUNTBLANK($B24)=0,NOT($B24="(Select)")), VLOOKUP(_xlfn.CONCAT($B24, $A24), GearValues, 5, 0), " ")</f>
        <v>77</v>
      </c>
      <c r="E24" s="74" t="str">
        <f>IF(AND(COUNTBLANK($B24)=0,NOT($B24="(Select)")), VLOOKUP(_xlfn.CONCAT($B24, $A24), GearValues, 6, 0), " ")</f>
        <v/>
      </c>
      <c r="F24" s="74">
        <f>IF(AND(COUNTBLANK($B24)=0,NOT($B24="(Select)")), VLOOKUP(_xlfn.CONCAT($B24, $A24), GearValues, 7, 0), " ")</f>
        <v>42</v>
      </c>
      <c r="G24" s="74" t="str">
        <f>IF(AND(COUNTBLANK($B24)=0,NOT($B24="(Select)")), VLOOKUP(_xlfn.CONCAT($B24, $A24), GearValues, 8, 0), " ")</f>
        <v/>
      </c>
      <c r="H24" s="74" t="str">
        <f>IF(AND(COUNTBLANK($B24)=0,NOT($B24="(Select)")), VLOOKUP(_xlfn.CONCAT($B24, $A24), GearValues, 9, 0), " ")</f>
        <v/>
      </c>
      <c r="I24" s="74" t="str">
        <f>IF(AND(COUNTBLANK($B24)=0,NOT($B24="(Select)")), VLOOKUP(_xlfn.CONCAT($B24, $A24), GearValues, 10, 0), " ")</f>
        <v/>
      </c>
      <c r="J24" s="74">
        <f>IF(AND(COUNTBLANK($B24)=0,NOT($B24="(Select)")), VLOOKUP(_xlfn.CONCAT($B24, $A24), GearValues, 11, 0), " ")</f>
        <v>42</v>
      </c>
      <c r="K24" s="74" t="str">
        <f>IF(AND(COUNTBLANK($B24)=0,NOT($B24="(Select)")), VLOOKUP(_xlfn.CONCAT($B24, $A24), GearValues, 12, 0), " ")</f>
        <v/>
      </c>
      <c r="L24" s="75">
        <f>IF(AND(COUNTBLANK($B24)=0,NOT($B24="(Select)")),VLOOKUP($A24,'Gear Values'!$A$17:$D$23,MATCH(ArmourType,'Gear Values'!$A$16:$D$16,0),0),"")</f>
        <v>218</v>
      </c>
      <c r="M24" s="38"/>
      <c r="N24" s="35"/>
      <c r="O24" s="36"/>
    </row>
    <row r="25" spans="1:15" ht="15.75" customHeight="1">
      <c r="A25" s="70" t="s">
        <v>48</v>
      </c>
      <c r="B25" s="414" t="s">
        <v>4</v>
      </c>
      <c r="C25" s="73" t="str">
        <f>IF(AND(COUNTBLANK($B25)=0,NOT($B25="(Select)")), VLOOKUP(_xlfn.CONCAT($B25, $A25), GearValues, 4, 0), " ")</f>
        <v xml:space="preserve"> </v>
      </c>
      <c r="D25" s="74" t="str">
        <f>IF(AND(COUNTBLANK($B25)=0,NOT($B25="(Select)")), VLOOKUP(_xlfn.CONCAT($B25, $A25), GearValues, 5, 0), " ")</f>
        <v xml:space="preserve"> </v>
      </c>
      <c r="E25" s="74" t="str">
        <f>IF(AND(COUNTBLANK($B25)=0,NOT($B25="(Select)")), VLOOKUP(_xlfn.CONCAT($B25, $A25), GearValues, 6, 0), " ")</f>
        <v xml:space="preserve"> </v>
      </c>
      <c r="F25" s="74" t="str">
        <f>IF(AND(COUNTBLANK($B25)=0,NOT($B25="(Select)")), VLOOKUP(_xlfn.CONCAT($B25, $A25), GearValues, 7, 0), " ")</f>
        <v xml:space="preserve"> </v>
      </c>
      <c r="G25" s="74" t="str">
        <f>IF(AND(COUNTBLANK($B25)=0,NOT($B25="(Select)")), VLOOKUP(_xlfn.CONCAT($B25, $A25), GearValues, 8, 0), " ")</f>
        <v xml:space="preserve"> </v>
      </c>
      <c r="H25" s="74" t="str">
        <f>IF(AND(COUNTBLANK($B25)=0,NOT($B25="(Select)")), VLOOKUP(_xlfn.CONCAT($B25, $A25), GearValues, 9, 0), " ")</f>
        <v xml:space="preserve"> </v>
      </c>
      <c r="I25" s="74" t="str">
        <f>IF(AND(COUNTBLANK($B25)=0,NOT($B25="(Select)")), VLOOKUP(_xlfn.CONCAT($B25, $A25), GearValues, 10, 0), " ")</f>
        <v xml:space="preserve"> </v>
      </c>
      <c r="J25" s="74" t="str">
        <f>IF(AND(COUNTBLANK($B25)=0,NOT($B25="(Select)")), VLOOKUP(_xlfn.CONCAT($B25, $A25), GearValues, 11, 0), " ")</f>
        <v xml:space="preserve"> </v>
      </c>
      <c r="K25" s="74" t="str">
        <f>IF(AND(COUNTBLANK($B25)=0,NOT($B25="(Select)")), VLOOKUP(_xlfn.CONCAT($B25, $A25), GearValues, 12, 0), " ")</f>
        <v xml:space="preserve"> </v>
      </c>
      <c r="L25" s="75" t="str">
        <f>IF(AND(COUNTBLANK($B25)=0,NOT($B25="(Select)")),VLOOKUP($A25,'Gear Values'!$A$17:$D$23,MATCH(ArmourType,'Gear Values'!$A$16:$D$16,0),0),"")</f>
        <v/>
      </c>
      <c r="M25" s="38"/>
      <c r="N25" s="35"/>
      <c r="O25" s="36"/>
    </row>
    <row r="26" spans="1:15" ht="15.75" customHeight="1">
      <c r="A26" s="70" t="s">
        <v>49</v>
      </c>
      <c r="B26" s="414" t="s">
        <v>4</v>
      </c>
      <c r="C26" s="73" t="str">
        <f>IF(AND(COUNTBLANK($B26)=0,NOT($B26="(Select)")), VLOOKUP(_xlfn.CONCAT($B26, $A26), GearValues, 4, 0), " ")</f>
        <v xml:space="preserve"> </v>
      </c>
      <c r="D26" s="74" t="str">
        <f>IF(AND(COUNTBLANK($B26)=0,NOT($B26="(Select)")), VLOOKUP(_xlfn.CONCAT($B26, $A26), GearValues, 5, 0), " ")</f>
        <v xml:space="preserve"> </v>
      </c>
      <c r="E26" s="74" t="str">
        <f>IF(AND(COUNTBLANK($B26)=0,NOT($B26="(Select)")), VLOOKUP(_xlfn.CONCAT($B26, $A26), GearValues, 6, 0), " ")</f>
        <v xml:space="preserve"> </v>
      </c>
      <c r="F26" s="74" t="str">
        <f>IF(AND(COUNTBLANK($B26)=0,NOT($B26="(Select)")), VLOOKUP(_xlfn.CONCAT($B26, $A26), GearValues, 7, 0), " ")</f>
        <v xml:space="preserve"> </v>
      </c>
      <c r="G26" s="74" t="str">
        <f>IF(AND(COUNTBLANK($B26)=0,NOT($B26="(Select)")), VLOOKUP(_xlfn.CONCAT($B26, $A26), GearValues, 8, 0), " ")</f>
        <v xml:space="preserve"> </v>
      </c>
      <c r="H26" s="74" t="str">
        <f>IF(AND(COUNTBLANK($B26)=0,NOT($B26="(Select)")), VLOOKUP(_xlfn.CONCAT($B26, $A26), GearValues, 9, 0), " ")</f>
        <v xml:space="preserve"> </v>
      </c>
      <c r="I26" s="74" t="str">
        <f>IF(AND(COUNTBLANK($B26)=0,NOT($B26="(Select)")), VLOOKUP(_xlfn.CONCAT($B26, $A26), GearValues, 10, 0), " ")</f>
        <v xml:space="preserve"> </v>
      </c>
      <c r="J26" s="74" t="str">
        <f>IF(AND(COUNTBLANK($B26)=0,NOT($B26="(Select)")), VLOOKUP(_xlfn.CONCAT($B26, $A26), GearValues, 11, 0), " ")</f>
        <v xml:space="preserve"> </v>
      </c>
      <c r="K26" s="74" t="str">
        <f>IF(AND(COUNTBLANK($B26)=0,NOT($B26="(Select)")), VLOOKUP(_xlfn.CONCAT($B26, $A26), GearValues, 12, 0), " ")</f>
        <v xml:space="preserve"> </v>
      </c>
      <c r="L26" s="75"/>
      <c r="M26" s="38"/>
      <c r="N26" s="35"/>
      <c r="O26" s="36"/>
    </row>
    <row r="27" spans="1:15" ht="15.75" customHeight="1">
      <c r="A27" s="70" t="s">
        <v>49</v>
      </c>
      <c r="B27" s="414" t="s">
        <v>50</v>
      </c>
      <c r="C27" s="73">
        <f>IF(AND(COUNTBLANK($B27)=0,NOT($B27="(Select)")), VLOOKUP(_xlfn.CONCAT($B27, $A27), GearValues, 4, 0), " ")</f>
        <v>53</v>
      </c>
      <c r="D27" s="74" t="str">
        <f>IF(AND(COUNTBLANK($B27)=0,NOT($B27="(Select)")), VLOOKUP(_xlfn.CONCAT($B27, $A27), GearValues, 5, 0), " ")</f>
        <v/>
      </c>
      <c r="E27" s="74" t="str">
        <f>IF(AND(COUNTBLANK($B27)=0,NOT($B27="(Select)")), VLOOKUP(_xlfn.CONCAT($B27, $A27), GearValues, 6, 0), " ")</f>
        <v/>
      </c>
      <c r="F27" s="74">
        <f>IF(AND(COUNTBLANK($B27)=0,NOT($B27="(Select)")), VLOOKUP(_xlfn.CONCAT($B27, $A27), GearValues, 7, 0), " ")</f>
        <v>53</v>
      </c>
      <c r="G27" s="74" t="str">
        <f>IF(AND(COUNTBLANK($B27)=0,NOT($B27="(Select)")), VLOOKUP(_xlfn.CONCAT($B27, $A27), GearValues, 8, 0), " ")</f>
        <v/>
      </c>
      <c r="H27" s="74">
        <f>IF(AND(COUNTBLANK($B27)=0,NOT($B27="(Select)")), VLOOKUP(_xlfn.CONCAT($B27, $A27), GearValues, 9, 0), " ")</f>
        <v>75</v>
      </c>
      <c r="I27" s="74" t="str">
        <f>IF(AND(COUNTBLANK($B27)=0,NOT($B27="(Select)")), VLOOKUP(_xlfn.CONCAT($B27, $A27), GearValues, 10, 0), " ")</f>
        <v/>
      </c>
      <c r="J27" s="74" t="str">
        <f>IF(AND(COUNTBLANK($B27)=0,NOT($B27="(Select)")), VLOOKUP(_xlfn.CONCAT($B27, $A27), GearValues, 11, 0), " ")</f>
        <v/>
      </c>
      <c r="K27" s="74" t="str">
        <f>IF(AND(COUNTBLANK($B27)=0,NOT($B27="(Select)")), VLOOKUP(_xlfn.CONCAT($B27, $A27), GearValues, 12, 0), " ")</f>
        <v/>
      </c>
      <c r="L27" s="75"/>
      <c r="M27" s="38"/>
      <c r="N27" s="35"/>
      <c r="O27" s="36"/>
    </row>
    <row r="28" spans="1:15" ht="15.75" customHeight="1">
      <c r="A28" s="70" t="s">
        <v>51</v>
      </c>
      <c r="B28" s="414" t="s">
        <v>4</v>
      </c>
      <c r="C28" s="73" t="str">
        <f>IF(AND(COUNTBLANK($B28)=0,NOT($B28="(Select)")), VLOOKUP(_xlfn.CONCAT($B28, $A28), GearValues, 4, 0), " ")</f>
        <v xml:space="preserve"> </v>
      </c>
      <c r="D28" s="74" t="str">
        <f>IF(AND(COUNTBLANK($B28)=0,NOT($B28="(Select)")), VLOOKUP(_xlfn.CONCAT($B28, $A28), GearValues, 5, 0), " ")</f>
        <v xml:space="preserve"> </v>
      </c>
      <c r="E28" s="74" t="str">
        <f>IF(AND(COUNTBLANK($B28)=0,NOT($B28="(Select)")), VLOOKUP(_xlfn.CONCAT($B28, $A28), GearValues, 6, 0), " ")</f>
        <v xml:space="preserve"> </v>
      </c>
      <c r="F28" s="74" t="str">
        <f>IF(AND(COUNTBLANK($B28)=0,NOT($B28="(Select)")), VLOOKUP(_xlfn.CONCAT($B28, $A28), GearValues, 7, 0), " ")</f>
        <v xml:space="preserve"> </v>
      </c>
      <c r="G28" s="74" t="str">
        <f>IF(AND(COUNTBLANK($B28)=0,NOT($B28="(Select)")), VLOOKUP(_xlfn.CONCAT($B28, $A28), GearValues, 8, 0), " ")</f>
        <v xml:space="preserve"> </v>
      </c>
      <c r="H28" s="74" t="str">
        <f>IF(AND(COUNTBLANK($B28)=0,NOT($B28="(Select)")), VLOOKUP(_xlfn.CONCAT($B28, $A28), GearValues, 9, 0), " ")</f>
        <v xml:space="preserve"> </v>
      </c>
      <c r="I28" s="74" t="str">
        <f>IF(AND(COUNTBLANK($B28)=0,NOT($B28="(Select)")), VLOOKUP(_xlfn.CONCAT($B28, $A28), GearValues, 10, 0), " ")</f>
        <v xml:space="preserve"> </v>
      </c>
      <c r="J28" s="74" t="str">
        <f>IF(AND(COUNTBLANK($B28)=0,NOT($B28="(Select)")), VLOOKUP(_xlfn.CONCAT($B28, $A28), GearValues, 11, 0), " ")</f>
        <v xml:space="preserve"> </v>
      </c>
      <c r="K28" s="74" t="str">
        <f>IF(AND(COUNTBLANK($B28)=0,NOT($B28="(Select)")), VLOOKUP(_xlfn.CONCAT($B28, $A28), GearValues, 12, 0), " ")</f>
        <v xml:space="preserve"> </v>
      </c>
      <c r="L28" s="75"/>
      <c r="M28" s="37"/>
      <c r="N28" s="35"/>
      <c r="O28" s="36"/>
    </row>
    <row r="29" spans="1:15" ht="15.75" customHeight="1">
      <c r="A29" s="70" t="s">
        <v>51</v>
      </c>
      <c r="B29" s="414" t="s">
        <v>4</v>
      </c>
      <c r="C29" s="73" t="str">
        <f>IF(AND(COUNTBLANK($B29)=0,NOT($B29="(Select)")), VLOOKUP(_xlfn.CONCAT($B29, $A29), GearValues, 4, 0), " ")</f>
        <v xml:space="preserve"> </v>
      </c>
      <c r="D29" s="74" t="str">
        <f>IF(AND(COUNTBLANK($B29)=0,NOT($B29="(Select)")), VLOOKUP(_xlfn.CONCAT($B29, $A29), GearValues, 5, 0), " ")</f>
        <v xml:space="preserve"> </v>
      </c>
      <c r="E29" s="74" t="str">
        <f>IF(AND(COUNTBLANK($B29)=0,NOT($B29="(Select)")), VLOOKUP(_xlfn.CONCAT($B29, $A29), GearValues, 6, 0), " ")</f>
        <v xml:space="preserve"> </v>
      </c>
      <c r="F29" s="74" t="str">
        <f>IF(AND(COUNTBLANK($B29)=0,NOT($B29="(Select)")), VLOOKUP(_xlfn.CONCAT($B29, $A29), GearValues, 7, 0), " ")</f>
        <v xml:space="preserve"> </v>
      </c>
      <c r="G29" s="74" t="str">
        <f>IF(AND(COUNTBLANK($B29)=0,NOT($B29="(Select)")), VLOOKUP(_xlfn.CONCAT($B29, $A29), GearValues, 8, 0), " ")</f>
        <v xml:space="preserve"> </v>
      </c>
      <c r="H29" s="74" t="str">
        <f>IF(AND(COUNTBLANK($B29)=0,NOT($B29="(Select)")), VLOOKUP(_xlfn.CONCAT($B29, $A29), GearValues, 9, 0), " ")</f>
        <v xml:space="preserve"> </v>
      </c>
      <c r="I29" s="74" t="str">
        <f>IF(AND(COUNTBLANK($B29)=0,NOT($B29="(Select)")), VLOOKUP(_xlfn.CONCAT($B29, $A29), GearValues, 10, 0), " ")</f>
        <v xml:space="preserve"> </v>
      </c>
      <c r="J29" s="74" t="str">
        <f>IF(AND(COUNTBLANK($B29)=0,NOT($B29="(Select)")), VLOOKUP(_xlfn.CONCAT($B29, $A29), GearValues, 11, 0), " ")</f>
        <v xml:space="preserve"> </v>
      </c>
      <c r="K29" s="74" t="str">
        <f>IF(AND(COUNTBLANK($B29)=0,NOT($B29="(Select)")), VLOOKUP(_xlfn.CONCAT($B29, $A29), GearValues, 12, 0), " ")</f>
        <v xml:space="preserve"> </v>
      </c>
      <c r="L29" s="75"/>
      <c r="M29" s="37"/>
      <c r="N29" s="35"/>
    </row>
    <row r="30" spans="1:15" ht="15.75" customHeight="1">
      <c r="A30" s="70" t="s">
        <v>52</v>
      </c>
      <c r="B30" s="415" t="s">
        <v>4</v>
      </c>
      <c r="C30" s="73" t="str">
        <f>IF(AND(COUNTBLANK($B30)=0,NOT($B30="(Select)")), VLOOKUP(_xlfn.CONCAT($B30, $A30), GearValues, 4, 0), " ")</f>
        <v xml:space="preserve"> </v>
      </c>
      <c r="D30" s="74" t="str">
        <f>IF(AND(COUNTBLANK($B30)=0,NOT($B30="(Select)")), VLOOKUP(_xlfn.CONCAT($B30, $A30), GearValues, 5, 0), " ")</f>
        <v xml:space="preserve"> </v>
      </c>
      <c r="E30" s="74" t="str">
        <f>IF(AND(COUNTBLANK($B30)=0,NOT($B30="(Select)")), VLOOKUP(_xlfn.CONCAT($B30, $A30), GearValues, 6, 0), " ")</f>
        <v xml:space="preserve"> </v>
      </c>
      <c r="F30" s="74" t="str">
        <f>IF(AND(COUNTBLANK($B30)=0,NOT($B30="(Select)")), VLOOKUP(_xlfn.CONCAT($B30, $A30), GearValues, 7, 0), " ")</f>
        <v xml:space="preserve"> </v>
      </c>
      <c r="G30" s="74" t="str">
        <f>IF(AND(COUNTBLANK($B30)=0,NOT($B30="(Select)")), VLOOKUP(_xlfn.CONCAT($B30, $A30), GearValues, 8, 0), " ")</f>
        <v xml:space="preserve"> </v>
      </c>
      <c r="H30" s="74" t="str">
        <f>IF(AND(COUNTBLANK($B30)=0,NOT($B30="(Select)")), VLOOKUP(_xlfn.CONCAT($B30, $A30), GearValues, 9, 0), " ")</f>
        <v xml:space="preserve"> </v>
      </c>
      <c r="I30" s="74" t="str">
        <f>IF(AND(COUNTBLANK($B30)=0,NOT($B30="(Select)")), VLOOKUP(_xlfn.CONCAT($B30, $A30), GearValues, 10, 0), " ")</f>
        <v xml:space="preserve"> </v>
      </c>
      <c r="J30" s="74" t="str">
        <f>IF(AND(COUNTBLANK($B30)=0,NOT($B30="(Select)")), VLOOKUP(_xlfn.CONCAT($B30, $A30), GearValues, 11, 0), " ")</f>
        <v xml:space="preserve"> </v>
      </c>
      <c r="K30" s="74" t="str">
        <f>IF(AND(COUNTBLANK($B30)=0,NOT($B30="(Select)")), VLOOKUP(_xlfn.CONCAT($B30, $A30), GearValues, 12, 0), " ")</f>
        <v xml:space="preserve"> </v>
      </c>
      <c r="L30" s="75"/>
      <c r="M30" s="39"/>
      <c r="N30" s="40"/>
    </row>
    <row r="31" spans="1:15" ht="15.75" customHeight="1">
      <c r="A31" s="495" t="s">
        <v>53</v>
      </c>
      <c r="B31" s="496" t="s">
        <v>4</v>
      </c>
      <c r="C31" s="73" t="str">
        <f>IF(AND(COUNTBLANK($B31)=0,NOT($B31="(Select)")), VLOOKUP(_xlfn.CONCAT($B31, $A31), GearValues, 4, 0), " ")</f>
        <v xml:space="preserve"> </v>
      </c>
      <c r="D31" s="74" t="str">
        <f>IF(AND(COUNTBLANK($B31)=0,NOT($B31="(Select)")), VLOOKUP(_xlfn.CONCAT($B31, $A31), GearValues, 5, 0), " ")</f>
        <v xml:space="preserve"> </v>
      </c>
      <c r="E31" s="74" t="str">
        <f>IF(AND(COUNTBLANK($B31)=0,NOT($B31="(Select)")), VLOOKUP(_xlfn.CONCAT($B31, $A31), GearValues, 6, 0), " ")</f>
        <v xml:space="preserve"> </v>
      </c>
      <c r="F31" s="74" t="str">
        <f>IF(AND(COUNTBLANK($B31)=0,NOT($B31="(Select)")), VLOOKUP(_xlfn.CONCAT($B31, $A31), GearValues, 7, 0), " ")</f>
        <v xml:space="preserve"> </v>
      </c>
      <c r="G31" s="74" t="str">
        <f>IF(AND(COUNTBLANK($B31)=0,NOT($B31="(Select)")), VLOOKUP(_xlfn.CONCAT($B31, $A31), GearValues, 8, 0), " ")</f>
        <v xml:space="preserve"> </v>
      </c>
      <c r="H31" s="74" t="str">
        <f>IF(AND(COUNTBLANK($B31)=0,NOT($B31="(Select)")), VLOOKUP(_xlfn.CONCAT($B31, $A31), GearValues, 9, 0), " ")</f>
        <v xml:space="preserve"> </v>
      </c>
      <c r="I31" s="74" t="str">
        <f>IF(AND(COUNTBLANK($B31)=0,NOT($B31="(Select)")), VLOOKUP(_xlfn.CONCAT($B31, $A31), GearValues, 10, 0), " ")</f>
        <v xml:space="preserve"> </v>
      </c>
      <c r="J31" s="74" t="str">
        <f>IF(AND(COUNTBLANK($B31)=0,NOT($B31="(Select)")), VLOOKUP(_xlfn.CONCAT($B31, $A31), GearValues, 11, 0), " ")</f>
        <v xml:space="preserve"> </v>
      </c>
      <c r="K31" s="74" t="str">
        <f>IF(AND(COUNTBLANK($B31)=0,NOT($B31="(Select)")), VLOOKUP(_xlfn.CONCAT($B31, $A31), GearValues, 12, 0), " ")</f>
        <v xml:space="preserve"> </v>
      </c>
      <c r="L31" s="75"/>
      <c r="M31" s="41"/>
      <c r="N31" s="27"/>
    </row>
    <row r="32" spans="1:15" ht="39.75" customHeight="1">
      <c r="A32" s="531" t="s">
        <v>54</v>
      </c>
      <c r="B32" s="532"/>
      <c r="C32" s="471" t="s">
        <v>6</v>
      </c>
      <c r="D32" s="472" t="s">
        <v>7</v>
      </c>
      <c r="E32" s="472" t="s">
        <v>8</v>
      </c>
      <c r="F32" s="472" t="s">
        <v>9</v>
      </c>
      <c r="G32" s="472" t="s">
        <v>10</v>
      </c>
      <c r="H32" s="479" t="s">
        <v>11</v>
      </c>
      <c r="I32" s="472" t="s">
        <v>12</v>
      </c>
      <c r="J32" s="472" t="s">
        <v>13</v>
      </c>
      <c r="K32" s="472" t="s">
        <v>14</v>
      </c>
      <c r="L32" s="473" t="s">
        <v>15</v>
      </c>
      <c r="M32" s="41"/>
      <c r="N32" s="27"/>
    </row>
    <row r="33" spans="1:17" ht="15.75" customHeight="1">
      <c r="A33" s="529" t="s">
        <v>55</v>
      </c>
      <c r="B33" s="530"/>
      <c r="C33" s="83">
        <f>IF(OR(Rune1Stat=C$3,Rune1Stat="to All Stats"),Rune1Bonus,"")</f>
        <v>25</v>
      </c>
      <c r="D33" s="83" t="str">
        <f>IF(OR(Rune1Stat=D$3,Rune1Stat="to All Stats"),Rune1Bonus,"")</f>
        <v/>
      </c>
      <c r="E33" s="83" t="str">
        <f>IF(OR(Rune1Stat=E$3,Rune1Stat="to All Stats"),Rune1Bonus,"")</f>
        <v/>
      </c>
      <c r="F33" s="83" t="str">
        <f>IF(OR(Rune1Stat=F$3,Rune1Stat="to All Stats"),Rune1Bonus,"")</f>
        <v/>
      </c>
      <c r="G33" s="83" t="str">
        <f>IF(OR(Rune1Stat=G$3,Rune1Stat="to All Stats"),Rune1Bonus,"")</f>
        <v/>
      </c>
      <c r="H33" s="83" t="str">
        <f>IF(OR(Rune1Stat=H$3,Rune1Stat="to All Stats"),Rune1Bonus,"")</f>
        <v/>
      </c>
      <c r="I33" s="83" t="str">
        <f>IF(OR(Rune1Stat=I$3,Rune1Stat="to All Stats"),Rune1Bonus,"")</f>
        <v/>
      </c>
      <c r="J33" s="83" t="str">
        <f>IF(OR(Rune1Stat=J$3,Rune1Stat="to All Stats"),Rune1Bonus,"")</f>
        <v/>
      </c>
      <c r="K33" s="83" t="str">
        <f>IF(OR(Rune1Stat=K$3,Rune1Stat="to All Stats"),Rune1Bonus,"")</f>
        <v/>
      </c>
      <c r="L33" s="438"/>
      <c r="M33" s="41"/>
      <c r="N33" s="27"/>
    </row>
    <row r="34" spans="1:17" ht="15.75" customHeight="1">
      <c r="A34" s="529" t="s">
        <v>56</v>
      </c>
      <c r="B34" s="530"/>
      <c r="C34" s="83">
        <f>IF(OR(Rune2Stat=C$3,Rune2Stat="to All Stats"),Rune2Bonus,"")</f>
        <v>25</v>
      </c>
      <c r="D34" s="83" t="str">
        <f>IF(OR(Rune2Stat=D$3,Rune2Stat="to All Stats"),Rune2Bonus,"")</f>
        <v/>
      </c>
      <c r="E34" s="83" t="str">
        <f>IF(OR(Rune2Stat=E$3,Rune2Stat="to All Stats"),Rune2Bonus,"")</f>
        <v/>
      </c>
      <c r="F34" s="83" t="str">
        <f>IF(OR(Rune2Stat=F$3,Rune2Stat="to All Stats"),Rune2Bonus,"")</f>
        <v/>
      </c>
      <c r="G34" s="83" t="str">
        <f>IF(OR(Rune2Stat=G$3,Rune2Stat="to All Stats"),Rune2Bonus,"")</f>
        <v/>
      </c>
      <c r="H34" s="83" t="str">
        <f>IF(OR(Rune2Stat=H$3,Rune2Stat="to All Stats"),Rune2Bonus,"")</f>
        <v/>
      </c>
      <c r="I34" s="83" t="str">
        <f>IF(OR(Rune2Stat=I$3,Rune2Stat="to All Stats"),Rune2Bonus,"")</f>
        <v/>
      </c>
      <c r="J34" s="83" t="str">
        <f>IF(OR(Rune2Stat=J$3,Rune2Stat="to All Stats"),Rune2Bonus,"")</f>
        <v/>
      </c>
      <c r="K34" s="83" t="str">
        <f>IF(OR(Rune2Stat=K$3,Rune2Stat="to All Stats"),Rune2Bonus,"")</f>
        <v/>
      </c>
      <c r="L34" s="83" t="str">
        <f>IF(OR(Rune2Stat=L$3,Rune2Stat="to All Stats"),Rune2Bonus,"")</f>
        <v/>
      </c>
      <c r="M34" s="41"/>
      <c r="N34" s="27"/>
    </row>
    <row r="35" spans="1:17" ht="15.75" customHeight="1">
      <c r="A35" s="529" t="s">
        <v>56</v>
      </c>
      <c r="B35" s="530"/>
      <c r="C35" s="83" t="str">
        <f>IF(OR(Rune3Stat=C$3,Rune3Stat="to All Stats"),Rune3Bonus,"")</f>
        <v/>
      </c>
      <c r="D35" s="83" t="str">
        <f>IF(OR(Rune3Stat=D$3,Rune3Stat="to All Stats"),Rune3Bonus,"")</f>
        <v/>
      </c>
      <c r="E35" s="83" t="str">
        <f>IF(OR(Rune3Stat=E$3,Rune3Stat="to All Stats"),Rune3Bonus,"")</f>
        <v/>
      </c>
      <c r="F35" s="83" t="str">
        <f>IF(OR(Rune3Stat=F$3,Rune3Stat="to All Stats"),Rune3Bonus,"")</f>
        <v/>
      </c>
      <c r="G35" s="83" t="str">
        <f>IF(OR(Rune3Stat=G$3,Rune3Stat="to All Stats"),Rune3Bonus,"")</f>
        <v/>
      </c>
      <c r="H35" s="83" t="str">
        <f>IF(OR(Rune3Stat=H$3,Rune3Stat="to All Stats"),Rune3Bonus,"")</f>
        <v/>
      </c>
      <c r="I35" s="83" t="str">
        <f>IF(OR(Rune3Stat=I$3,Rune3Stat="to All Stats"),Rune3Bonus,"")</f>
        <v/>
      </c>
      <c r="J35" s="83" t="str">
        <f>IF(OR(Rune3Stat=J$3,Rune3Stat="to All Stats"),Rune3Bonus,"")</f>
        <v/>
      </c>
      <c r="K35" s="83" t="str">
        <f>IF(OR(Rune3Stat=K$3,Rune3Stat="to All Stats"),Rune3Bonus,"")</f>
        <v/>
      </c>
      <c r="L35" s="83" t="str">
        <f>IF(OR(Rune3Stat=L$3,Rune3Stat="to All Stats"),Rune3Bonus,"")</f>
        <v/>
      </c>
      <c r="M35" s="39"/>
      <c r="N35" s="42"/>
      <c r="Q35" s="27"/>
    </row>
    <row r="36" spans="1:17" ht="15.75" customHeight="1">
      <c r="A36" s="529" t="s">
        <v>56</v>
      </c>
      <c r="B36" s="530"/>
      <c r="C36" s="83">
        <f>IF(OR(Rune4Stat=C$3,Rune4Stat="to All Stats"),Rune4Bonus,"")</f>
        <v>50</v>
      </c>
      <c r="D36" s="83" t="str">
        <f>IF(OR(Rune4Stat=D$3,Rune4Stat="to All Stats"),Rune4Bonus,"")</f>
        <v/>
      </c>
      <c r="E36" s="83" t="str">
        <f>IF(OR(Rune4Stat=E$3,Rune4Stat="to All Stats"),Rune4Bonus,"")</f>
        <v/>
      </c>
      <c r="F36" s="83" t="str">
        <f>IF(OR(Rune4Stat=F$3,Rune4Stat="to All Stats"),Rune4Bonus,"")</f>
        <v/>
      </c>
      <c r="G36" s="83" t="str">
        <f>IF(OR(Rune4Stat=G$3,Rune4Stat="to All Stats"),Rune4Bonus,"")</f>
        <v/>
      </c>
      <c r="H36" s="83" t="str">
        <f>IF(OR(Rune4Stat=H$3,Rune4Stat="to All Stats"),Rune4Bonus,"")</f>
        <v/>
      </c>
      <c r="I36" s="83" t="str">
        <f>IF(OR(Rune4Stat=I$3,Rune4Stat="to All Stats"),Rune4Bonus,"")</f>
        <v/>
      </c>
      <c r="J36" s="83" t="str">
        <f>IF(OR(Rune4Stat=J$3,Rune4Stat="to All Stats"),Rune4Bonus,"")</f>
        <v/>
      </c>
      <c r="K36" s="83" t="str">
        <f>IF(OR(Rune4Stat=K$3,Rune4Stat="to All Stats"),Rune4Bonus,"")</f>
        <v/>
      </c>
      <c r="L36" s="83" t="str">
        <f>IF(OR(Rune4Stat=L$3,Rune4Stat="to All Stats"),Rune4Bonus,"")</f>
        <v/>
      </c>
      <c r="M36" s="37"/>
      <c r="N36" s="31"/>
    </row>
    <row r="37" spans="1:17" ht="15.75" customHeight="1">
      <c r="A37" s="529" t="s">
        <v>56</v>
      </c>
      <c r="B37" s="530"/>
      <c r="C37" s="83" t="str">
        <f>IF(OR(Rune5Stat=C$3,Rune5Stat="to All Stats"),Rune5Bonus,"")</f>
        <v/>
      </c>
      <c r="D37" s="83" t="str">
        <f>IF(OR(Rune5Stat=D$3,Rune5Stat="to All Stats"),Rune5Bonus,"")</f>
        <v/>
      </c>
      <c r="E37" s="83" t="str">
        <f>IF(OR(Rune5Stat=E$3,Rune5Stat="to All Stats"),Rune5Bonus,"")</f>
        <v/>
      </c>
      <c r="F37" s="83" t="str">
        <f>IF(OR(Rune5Stat=F$3,Rune5Stat="to All Stats"),Rune5Bonus,"")</f>
        <v/>
      </c>
      <c r="G37" s="83" t="str">
        <f>IF(OR(Rune5Stat=G$3,Rune5Stat="to All Stats"),Rune5Bonus,"")</f>
        <v/>
      </c>
      <c r="H37" s="83" t="str">
        <f>IF(OR(Rune5Stat=H$3,Rune5Stat="to All Stats"),Rune5Bonus,"")</f>
        <v/>
      </c>
      <c r="I37" s="83" t="str">
        <f>IF(OR(Rune5Stat=I$3,Rune5Stat="to All Stats"),Rune5Bonus,"")</f>
        <v/>
      </c>
      <c r="J37" s="83" t="str">
        <f>IF(OR(Rune5Stat=J$3,Rune5Stat="to All Stats"),Rune5Bonus,"")</f>
        <v/>
      </c>
      <c r="K37" s="83" t="str">
        <f>IF(OR(Rune5Stat=K$3,Rune5Stat="to All Stats"),Rune5Bonus,"")</f>
        <v/>
      </c>
      <c r="L37" s="83" t="str">
        <f>IF(OR(Rune5Stat=L$3,Rune5Stat="to All Stats"),Rune5Bonus,"")</f>
        <v/>
      </c>
      <c r="M37" s="37"/>
      <c r="N37" s="31"/>
    </row>
    <row r="38" spans="1:17" ht="15.75" customHeight="1">
      <c r="A38" s="535" t="s">
        <v>4</v>
      </c>
      <c r="B38" s="536"/>
      <c r="C38" s="83" t="str">
        <f>IF(OR(Rune6Stat=C$3,Rune6Stat="to All Stats"),Rune6Bonus,"")</f>
        <v/>
      </c>
      <c r="D38" s="83" t="str">
        <f>IF(OR(Rune6Stat=D$3,Rune6Stat="to All Stats"),Rune6Bonus,"")</f>
        <v/>
      </c>
      <c r="E38" s="83" t="str">
        <f>IF(OR(Rune6Stat=E$3,Rune6Stat="to All Stats"),Rune6Bonus,"")</f>
        <v/>
      </c>
      <c r="F38" s="83" t="str">
        <f>IF(OR(Rune6Stat=F$3,Rune6Stat="to All Stats"),Rune6Bonus,"")</f>
        <v/>
      </c>
      <c r="G38" s="83" t="str">
        <f>IF(OR(Rune6Stat=G$3,Rune6Stat="to All Stats"),Rune6Bonus,"")</f>
        <v/>
      </c>
      <c r="H38" s="83" t="str">
        <f>IF(OR(Rune6Stat=H$3,Rune6Stat="to All Stats"),Rune6Bonus,"")</f>
        <v/>
      </c>
      <c r="I38" s="83" t="str">
        <f>IF(OR(Rune6Stat=I$3,Rune6Stat="to All Stats"),Rune6Bonus,"")</f>
        <v/>
      </c>
      <c r="J38" s="83" t="str">
        <f>IF(OR(Rune6Stat=J$3,Rune6Stat="to All Stats"),Rune6Bonus,"")</f>
        <v/>
      </c>
      <c r="K38" s="83" t="str">
        <f>IF(OR(Rune6Stat=K$3,Rune6Stat="to All Stats"),Rune6Bonus,"")</f>
        <v/>
      </c>
      <c r="L38" s="83" t="str">
        <f>IF(OR(Rune6Stat=L$3,Rune6Stat="to All Stats"),Rune6Bonus,"")</f>
        <v/>
      </c>
      <c r="M38" s="37"/>
      <c r="N38" s="31"/>
    </row>
    <row r="39" spans="1:17" ht="39.75" customHeight="1">
      <c r="A39" s="531" t="s">
        <v>57</v>
      </c>
      <c r="B39" s="532"/>
      <c r="C39" s="471" t="s">
        <v>6</v>
      </c>
      <c r="D39" s="472" t="s">
        <v>7</v>
      </c>
      <c r="E39" s="472" t="s">
        <v>8</v>
      </c>
      <c r="F39" s="472" t="s">
        <v>9</v>
      </c>
      <c r="G39" s="472" t="s">
        <v>10</v>
      </c>
      <c r="H39" s="479" t="s">
        <v>11</v>
      </c>
      <c r="I39" s="472" t="s">
        <v>12</v>
      </c>
      <c r="J39" s="472" t="s">
        <v>13</v>
      </c>
      <c r="K39" s="472" t="s">
        <v>14</v>
      </c>
      <c r="L39" s="473" t="s">
        <v>15</v>
      </c>
      <c r="M39" s="37"/>
      <c r="N39" s="31"/>
    </row>
    <row r="40" spans="1:17" ht="15.75" customHeight="1">
      <c r="A40" s="540" t="s">
        <v>58</v>
      </c>
      <c r="B40" s="541"/>
      <c r="C40" s="78" cm="1">
        <f t="array" ref="C40">_xlfn.LET(_xlpm.check,VLOOKUP($A40,Jewels!$A$1:$N$27,6,0),IF(AND(COUNTBLANK($A40)=0,NOT($A40="(Select)")),IF(_xlpm.check="","",_xlpm.check),""))</f>
        <v>15</v>
      </c>
      <c r="D40" s="77" t="str" cm="1">
        <f t="array" ref="D40">_xlfn.LET(_xlpm.check,VLOOKUP($A40,Jewels!$A$1:$N$27,7,0),IF(AND(COUNTBLANK($A40)=0,NOT($A40="(Select)")),IF(_xlpm.check="","",_xlpm.check),""))</f>
        <v/>
      </c>
      <c r="E40" s="77" cm="1">
        <f t="array" ref="E40">_xlfn.LET(_xlpm.check,VLOOKUP($A40,Jewels!$A$1:$N$27,8,0),IF(AND(COUNTBLANK($A40)=0,NOT($A40="(Select)")),IF(_xlpm.check="","",_xlpm.check),""))</f>
        <v>15</v>
      </c>
      <c r="F40" s="77" cm="1">
        <f t="array" ref="F40">_xlfn.LET(_xlpm.check,VLOOKUP($A40,Jewels!$A$1:$N$27,9,0),IF(AND(COUNTBLANK($A40)=0,NOT($A40="(Select)")),IF(_xlpm.check="","",_xlpm.check),""))</f>
        <v>25</v>
      </c>
      <c r="G40" s="77" t="str" cm="1">
        <f t="array" ref="G40">_xlfn.LET(_xlpm.check,VLOOKUP($A40,Jewels!$A$1:$N$27,10,0),IF(AND(COUNTBLANK($A40)=0,NOT($A40="(Select)")),IF(_xlpm.check="","",_xlpm.check),""))</f>
        <v/>
      </c>
      <c r="H40" s="77" t="str" cm="1">
        <f t="array" ref="H40">_xlfn.LET(_xlpm.check,VLOOKUP($A40,Jewels!$A$1:$N$27,11,0),IF(AND(COUNTBLANK($A40)=0,NOT($A40="(Select)")),IF(_xlpm.check="","",_xlpm.check),""))</f>
        <v/>
      </c>
      <c r="I40" s="77" t="str" cm="1">
        <f t="array" ref="I40">_xlfn.LET(_xlpm.check,VLOOKUP($A40,Jewels!$A$1:$N$27,12,0),IF(AND(COUNTBLANK($A40)=0,NOT($A40="(Select)")),IF(_xlpm.check="","",_xlpm.check),""))</f>
        <v/>
      </c>
      <c r="J40" s="77" t="str" cm="1">
        <f t="array" ref="J40">_xlfn.LET(_xlpm.check,VLOOKUP($A40,Jewels!$A$1:$N$27,13,0),IF(AND(COUNTBLANK($A40)=0,NOT($A40="(Select)")),IF(_xlpm.check="","",_xlpm.check),""))</f>
        <v/>
      </c>
      <c r="K40" s="77" t="str" cm="1">
        <f t="array" ref="K40">_xlfn.LET(_xlpm.check,VLOOKUP($A40,Jewels!$A$1:$N$27,14,0),IF(AND(COUNTBLANK($A40)=0,NOT($A40="(Select)")),IF(_xlpm.check="","",_xlpm.check),""))</f>
        <v/>
      </c>
      <c r="L40" s="438"/>
      <c r="M40" s="37"/>
      <c r="N40" s="31"/>
    </row>
    <row r="41" spans="1:17" ht="15.75" customHeight="1">
      <c r="A41" s="540" t="s">
        <v>59</v>
      </c>
      <c r="B41" s="541"/>
      <c r="C41" s="78" cm="1">
        <f t="array" ref="C41">_xlfn.LET(_xlpm.check,VLOOKUP($A41,Jewels!$A$1:$N$27,6,0),IF(AND(COUNTBLANK($A41)=0,NOT($A41="(Select)")),IF(_xlpm.check="","",_xlpm.check),""))</f>
        <v>20</v>
      </c>
      <c r="D41" s="77" cm="1">
        <f t="array" ref="D41">_xlfn.LET(_xlpm.check,VLOOKUP($A41,Jewels!$A$1:$N$27,7,0),IF(AND(COUNTBLANK($A41)=0,NOT($A41="(Select)")),IF(_xlpm.check="","",_xlpm.check),""))</f>
        <v>10</v>
      </c>
      <c r="E41" s="77" t="str" cm="1">
        <f t="array" ref="E41">_xlfn.LET(_xlpm.check,VLOOKUP($A41,Jewels!$A$1:$N$27,8,0),IF(AND(COUNTBLANK($A41)=0,NOT($A41="(Select)")),IF(_xlpm.check="","",_xlpm.check),""))</f>
        <v/>
      </c>
      <c r="F41" s="77" t="str" cm="1">
        <f t="array" ref="F41">_xlfn.LET(_xlpm.check,VLOOKUP($A41,Jewels!$A$1:$N$27,9,0),IF(AND(COUNTBLANK($A41)=0,NOT($A41="(Select)")),IF(_xlpm.check="","",_xlpm.check),""))</f>
        <v/>
      </c>
      <c r="G41" s="77" t="str" cm="1">
        <f t="array" ref="G41">_xlfn.LET(_xlpm.check,VLOOKUP($A41,Jewels!$A$1:$N$27,10,0),IF(AND(COUNTBLANK($A41)=0,NOT($A41="(Select)")),IF(_xlpm.check="","",_xlpm.check),""))</f>
        <v/>
      </c>
      <c r="H41" s="77" cm="1">
        <f t="array" ref="H41">_xlfn.LET(_xlpm.check,VLOOKUP($A41,Jewels!$A$1:$N$27,11,0),IF(AND(COUNTBLANK($A41)=0,NOT($A41="(Select)")),IF(_xlpm.check="","",_xlpm.check),""))</f>
        <v>20</v>
      </c>
      <c r="I41" s="77" cm="1">
        <f t="array" ref="I41">_xlfn.LET(_xlpm.check,VLOOKUP($A41,Jewels!$A$1:$N$27,12,0),IF(AND(COUNTBLANK($A41)=0,NOT($A41="(Select)")),IF(_xlpm.check="","",_xlpm.check),""))</f>
        <v>10</v>
      </c>
      <c r="J41" s="77" t="str" cm="1">
        <f t="array" ref="J41">_xlfn.LET(_xlpm.check,VLOOKUP($A41,Jewels!$A$1:$N$27,13,0),IF(AND(COUNTBLANK($A41)=0,NOT($A41="(Select)")),IF(_xlpm.check="","",_xlpm.check),""))</f>
        <v/>
      </c>
      <c r="K41" s="77" t="str" cm="1">
        <f t="array" ref="K41">_xlfn.LET(_xlpm.check,VLOOKUP($A41,Jewels!$A$1:$N$27,14,0),IF(AND(COUNTBLANK($A41)=0,NOT($A41="(Select)")),IF(_xlpm.check="","",_xlpm.check),""))</f>
        <v/>
      </c>
      <c r="L41" s="438"/>
      <c r="M41" s="37"/>
      <c r="N41" s="31"/>
    </row>
    <row r="42" spans="1:17" ht="15.75" customHeight="1">
      <c r="A42" s="540" t="s">
        <v>60</v>
      </c>
      <c r="B42" s="541"/>
      <c r="C42" s="78" t="str" cm="1">
        <f t="array" ref="C42">_xlfn.LET(_xlpm.check,VLOOKUP($A42,Jewels!$A$1:$N$27,6,0),IF(AND(COUNTBLANK($A42)=0,NOT($A42="(Select)")),IF(_xlpm.check="","",_xlpm.check),""))</f>
        <v/>
      </c>
      <c r="D42" s="77" t="str" cm="1">
        <f t="array" ref="D42">_xlfn.LET(_xlpm.check,VLOOKUP($A42,Jewels!$A$1:$N$27,7,0),IF(AND(COUNTBLANK($A42)=0,NOT($A42="(Select)")),IF(_xlpm.check="","",_xlpm.check),""))</f>
        <v/>
      </c>
      <c r="E42" s="77" cm="1">
        <f t="array" ref="E42">_xlfn.LET(_xlpm.check,VLOOKUP($A42,Jewels!$A$1:$N$27,8,0),IF(AND(COUNTBLANK($A42)=0,NOT($A42="(Select)")),IF(_xlpm.check="","",_xlpm.check),""))</f>
        <v>25</v>
      </c>
      <c r="F42" s="77" cm="1">
        <f t="array" ref="F42">_xlfn.LET(_xlpm.check,VLOOKUP($A42,Jewels!$A$1:$N$27,9,0),IF(AND(COUNTBLANK($A42)=0,NOT($A42="(Select)")),IF(_xlpm.check="","",_xlpm.check),""))</f>
        <v>15</v>
      </c>
      <c r="G42" s="77" t="str" cm="1">
        <f t="array" ref="G42">_xlfn.LET(_xlpm.check,VLOOKUP($A42,Jewels!$A$1:$N$27,10,0),IF(AND(COUNTBLANK($A42)=0,NOT($A42="(Select)")),IF(_xlpm.check="","",_xlpm.check),""))</f>
        <v/>
      </c>
      <c r="H42" s="77" t="str" cm="1">
        <f t="array" ref="H42">_xlfn.LET(_xlpm.check,VLOOKUP($A42,Jewels!$A$1:$N$27,11,0),IF(AND(COUNTBLANK($A42)=0,NOT($A42="(Select)")),IF(_xlpm.check="","",_xlpm.check),""))</f>
        <v/>
      </c>
      <c r="I42" s="77" t="str" cm="1">
        <f t="array" ref="I42">_xlfn.LET(_xlpm.check,VLOOKUP($A42,Jewels!$A$1:$N$27,12,0),IF(AND(COUNTBLANK($A42)=0,NOT($A42="(Select)")),IF(_xlpm.check="","",_xlpm.check),""))</f>
        <v/>
      </c>
      <c r="J42" s="77" t="str" cm="1">
        <f t="array" ref="J42">_xlfn.LET(_xlpm.check,VLOOKUP($A42,Jewels!$A$1:$N$27,13,0),IF(AND(COUNTBLANK($A42)=0,NOT($A42="(Select)")),IF(_xlpm.check="","",_xlpm.check),""))</f>
        <v/>
      </c>
      <c r="K42" s="77" cm="1">
        <f t="array" ref="K42">_xlfn.LET(_xlpm.check,VLOOKUP($A42,Jewels!$A$1:$N$27,14,0),IF(AND(COUNTBLANK($A42)=0,NOT($A42="(Select)")),IF(_xlpm.check="","",_xlpm.check),""))</f>
        <v>15</v>
      </c>
      <c r="L42" s="438"/>
      <c r="M42" s="37"/>
      <c r="N42" s="31"/>
      <c r="O42" s="27"/>
      <c r="P42" s="27"/>
      <c r="Q42" s="27"/>
    </row>
    <row r="43" spans="1:17" ht="15.75" customHeight="1">
      <c r="A43" s="540" t="s">
        <v>61</v>
      </c>
      <c r="B43" s="541"/>
      <c r="C43" s="78" cm="1">
        <f t="array" ref="C43">_xlfn.LET(_xlpm.check,VLOOKUP($A43,Jewels!$A$1:$N$27,6,0),IF(AND(COUNTBLANK($A43)=0,NOT($A43="(Select)")),IF(_xlpm.check="","",_xlpm.check),""))</f>
        <v>20</v>
      </c>
      <c r="D43" s="77" cm="1">
        <f t="array" ref="D43">_xlfn.LET(_xlpm.check,VLOOKUP($A43,Jewels!$A$1:$N$27,7,0),IF(AND(COUNTBLANK($A43)=0,NOT($A43="(Select)")),IF(_xlpm.check="","",_xlpm.check),""))</f>
        <v>20</v>
      </c>
      <c r="E43" s="77" cm="1">
        <f t="array" ref="E43">_xlfn.LET(_xlpm.check,VLOOKUP($A43,Jewels!$A$1:$N$27,8,0),IF(AND(COUNTBLANK($A43)=0,NOT($A43="(Select)")),IF(_xlpm.check="","",_xlpm.check),""))</f>
        <v>10</v>
      </c>
      <c r="F43" s="77" t="str" cm="1">
        <f t="array" ref="F43">_xlfn.LET(_xlpm.check,VLOOKUP($A43,Jewels!$A$1:$N$27,9,0),IF(AND(COUNTBLANK($A43)=0,NOT($A43="(Select)")),IF(_xlpm.check="","",_xlpm.check),""))</f>
        <v/>
      </c>
      <c r="G43" s="77" cm="1">
        <f t="array" ref="G43">_xlfn.LET(_xlpm.check,VLOOKUP($A43,Jewels!$A$1:$N$27,10,0),IF(AND(COUNTBLANK($A43)=0,NOT($A43="(Select)")),IF(_xlpm.check="","",_xlpm.check),""))</f>
        <v>10</v>
      </c>
      <c r="H43" s="77" t="str" cm="1">
        <f t="array" ref="H43">_xlfn.LET(_xlpm.check,VLOOKUP($A43,Jewels!$A$1:$N$27,11,0),IF(AND(COUNTBLANK($A43)=0,NOT($A43="(Select)")),IF(_xlpm.check="","",_xlpm.check),""))</f>
        <v/>
      </c>
      <c r="I43" s="77" t="str" cm="1">
        <f t="array" ref="I43">_xlfn.LET(_xlpm.check,VLOOKUP($A43,Jewels!$A$1:$N$27,12,0),IF(AND(COUNTBLANK($A43)=0,NOT($A43="(Select)")),IF(_xlpm.check="","",_xlpm.check),""))</f>
        <v/>
      </c>
      <c r="J43" s="77" t="str" cm="1">
        <f t="array" ref="J43">_xlfn.LET(_xlpm.check,VLOOKUP($A43,Jewels!$A$1:$N$27,13,0),IF(AND(COUNTBLANK($A43)=0,NOT($A43="(Select)")),IF(_xlpm.check="","",_xlpm.check),""))</f>
        <v/>
      </c>
      <c r="K43" s="77" t="str" cm="1">
        <f t="array" ref="K43">_xlfn.LET(_xlpm.check,VLOOKUP($A43,Jewels!$A$1:$N$27,14,0),IF(AND(COUNTBLANK($A43)=0,NOT($A43="(Select)")),IF(_xlpm.check="","",_xlpm.check),""))</f>
        <v/>
      </c>
      <c r="L43" s="438"/>
      <c r="M43" s="37"/>
      <c r="N43" s="31"/>
      <c r="O43" s="27"/>
      <c r="P43" s="27"/>
      <c r="Q43" s="27"/>
    </row>
    <row r="44" spans="1:17" ht="15.75" customHeight="1">
      <c r="A44" s="533" t="s">
        <v>62</v>
      </c>
      <c r="B44" s="534"/>
      <c r="C44" s="78" cm="1">
        <f t="array" ref="C44">_xlfn.LET(_xlpm.check,VLOOKUP($A44,Jewels!$A$1:$N$27,6,0),IF(AND(COUNTBLANK($A44)=0,NOT($A44="(Select)")),IF(_xlpm.check="","",_xlpm.check),""))</f>
        <v>25</v>
      </c>
      <c r="D44" s="77" cm="1">
        <f t="array" ref="D44">_xlfn.LET(_xlpm.check,VLOOKUP($A44,Jewels!$A$1:$N$27,7,0),IF(AND(COUNTBLANK($A44)=0,NOT($A44="(Select)")),IF(_xlpm.check="","",_xlpm.check),""))</f>
        <v>15</v>
      </c>
      <c r="E44" s="77" t="str" cm="1">
        <f t="array" ref="E44">_xlfn.LET(_xlpm.check,VLOOKUP($A44,Jewels!$A$1:$N$27,8,0),IF(AND(COUNTBLANK($A44)=0,NOT($A44="(Select)")),IF(_xlpm.check="","",_xlpm.check),""))</f>
        <v/>
      </c>
      <c r="F44" s="77" t="str" cm="1">
        <f t="array" ref="F44">_xlfn.LET(_xlpm.check,VLOOKUP($A44,Jewels!$A$1:$N$27,9,0),IF(AND(COUNTBLANK($A44)=0,NOT($A44="(Select)")),IF(_xlpm.check="","",_xlpm.check),""))</f>
        <v/>
      </c>
      <c r="G44" s="77" t="str" cm="1">
        <f t="array" ref="G44">_xlfn.LET(_xlpm.check,VLOOKUP($A44,Jewels!$A$1:$N$27,10,0),IF(AND(COUNTBLANK($A44)=0,NOT($A44="(Select)")),IF(_xlpm.check="","",_xlpm.check),""))</f>
        <v/>
      </c>
      <c r="H44" s="77" t="str" cm="1">
        <f t="array" ref="H44">_xlfn.LET(_xlpm.check,VLOOKUP($A44,Jewels!$A$1:$N$27,11,0),IF(AND(COUNTBLANK($A44)=0,NOT($A44="(Select)")),IF(_xlpm.check="","",_xlpm.check),""))</f>
        <v/>
      </c>
      <c r="I44" s="77" t="str" cm="1">
        <f t="array" ref="I44">_xlfn.LET(_xlpm.check,VLOOKUP($A44,Jewels!$A$1:$N$27,12,0),IF(AND(COUNTBLANK($A44)=0,NOT($A44="(Select)")),IF(_xlpm.check="","",_xlpm.check),""))</f>
        <v/>
      </c>
      <c r="J44" s="77" cm="1">
        <f t="array" ref="J44">_xlfn.LET(_xlpm.check,VLOOKUP($A44,Jewels!$A$1:$N$27,13,0),IF(AND(COUNTBLANK($A44)=0,NOT($A44="(Select)")),IF(_xlpm.check="","",_xlpm.check),""))</f>
        <v>15</v>
      </c>
      <c r="K44" s="77" t="str" cm="1">
        <f t="array" ref="K44">_xlfn.LET(_xlpm.check,VLOOKUP($A44,Jewels!$A$1:$N$27,14,0),IF(AND(COUNTBLANK($A44)=0,NOT($A44="(Select)")),IF(_xlpm.check="","",_xlpm.check),""))</f>
        <v/>
      </c>
      <c r="L44" s="438"/>
      <c r="M44" s="43"/>
      <c r="N44" s="31"/>
      <c r="O44" s="27"/>
      <c r="P44" s="27"/>
      <c r="Q44" s="27"/>
    </row>
    <row r="45" spans="1:17" ht="39.75" customHeight="1">
      <c r="A45" s="544" t="s">
        <v>63</v>
      </c>
      <c r="B45" s="532"/>
      <c r="C45" s="471" t="s">
        <v>6</v>
      </c>
      <c r="D45" s="472" t="s">
        <v>7</v>
      </c>
      <c r="E45" s="472" t="s">
        <v>8</v>
      </c>
      <c r="F45" s="472" t="s">
        <v>9</v>
      </c>
      <c r="G45" s="472" t="s">
        <v>10</v>
      </c>
      <c r="H45" s="479" t="s">
        <v>11</v>
      </c>
      <c r="I45" s="472" t="s">
        <v>12</v>
      </c>
      <c r="J45" s="472" t="s">
        <v>13</v>
      </c>
      <c r="K45" s="472" t="s">
        <v>14</v>
      </c>
      <c r="L45" s="473" t="s">
        <v>15</v>
      </c>
      <c r="M45" s="43"/>
      <c r="N45" s="31"/>
      <c r="O45" s="27"/>
      <c r="P45" s="27"/>
      <c r="Q45" s="27"/>
    </row>
    <row r="46" spans="1:17" ht="15.75" customHeight="1">
      <c r="A46" s="545" t="s">
        <v>64</v>
      </c>
      <c r="B46" s="541"/>
      <c r="C46" s="76" t="str">
        <f>IF(C$3=Signet1Stat,Signet1Bonus,"")</f>
        <v/>
      </c>
      <c r="D46" s="76" t="str">
        <f>IF(D$3=Signet1Stat,Signet1Bonus,"")</f>
        <v/>
      </c>
      <c r="E46" s="76" t="str">
        <f>IF(E$3=Signet1Stat,Signet1Bonus,"")</f>
        <v/>
      </c>
      <c r="F46" s="76" t="str">
        <f>IF(F$3=Signet1Stat,Signet1Bonus,"")</f>
        <v/>
      </c>
      <c r="G46" s="76" t="str">
        <f>IF(G$3=Signet1Stat,Signet1Bonus,"")</f>
        <v/>
      </c>
      <c r="H46" s="76">
        <f>IF(H$3=Signet1Stat,Signet1Bonus,"")</f>
        <v>31.200000000000003</v>
      </c>
      <c r="I46" s="76" t="str">
        <f>IF(I$3=Signet1Stat,Signet1Bonus,"")</f>
        <v/>
      </c>
      <c r="J46" s="76" t="str">
        <f>IF(J$3=Signet1Stat,Signet1Bonus,"")</f>
        <v/>
      </c>
      <c r="K46" s="76" t="str">
        <f>IF(K$3=Signet1Stat,Signet1Bonus,"")</f>
        <v/>
      </c>
      <c r="L46" s="425"/>
      <c r="M46" s="40"/>
      <c r="N46" s="44"/>
      <c r="O46" s="27"/>
      <c r="P46" s="27"/>
      <c r="Q46" s="27"/>
    </row>
    <row r="47" spans="1:17" ht="15.75" customHeight="1">
      <c r="A47" s="545" t="s">
        <v>65</v>
      </c>
      <c r="B47" s="541"/>
      <c r="C47" s="76" t="str">
        <f>IF(C$3=Signet2Stat,Signet2Bonus,"")</f>
        <v/>
      </c>
      <c r="D47" s="76" t="str">
        <f>IF(D$3=Signet2Stat,Signet2Bonus,"")</f>
        <v/>
      </c>
      <c r="E47" s="76" t="str">
        <f>IF(E$3=Signet2Stat,Signet2Bonus,"")</f>
        <v/>
      </c>
      <c r="F47" s="76" t="str">
        <f>IF(F$3=Signet2Stat,Signet2Bonus,"")</f>
        <v/>
      </c>
      <c r="G47" s="76" t="str">
        <f>IF(G$3=Signet2Stat,Signet2Bonus,"")</f>
        <v/>
      </c>
      <c r="H47" s="76" t="str">
        <f>IF(H$3=Signet2Stat,Signet2Bonus,"")</f>
        <v/>
      </c>
      <c r="I47" s="76">
        <f>IF(I$3=Signet2Stat,Signet2Bonus,"")</f>
        <v>180</v>
      </c>
      <c r="J47" s="76" t="str">
        <f>IF(J$3=Signet2Stat,Signet2Bonus,"")</f>
        <v/>
      </c>
      <c r="K47" s="76" t="str">
        <f>IF(K$3=Signet2Stat,Signet2Bonus,"")</f>
        <v/>
      </c>
      <c r="L47" s="425"/>
      <c r="M47" s="27"/>
      <c r="N47" s="27"/>
      <c r="O47" s="27"/>
      <c r="P47" s="27"/>
      <c r="Q47" s="27"/>
    </row>
    <row r="48" spans="1:17" ht="15.75" customHeight="1">
      <c r="A48" s="537" t="s">
        <v>4</v>
      </c>
      <c r="B48" s="534"/>
      <c r="C48" s="76" t="str">
        <f>IF(C$3=Signet3Stat,Signet3Bonus,"")</f>
        <v/>
      </c>
      <c r="D48" s="76" t="str">
        <f>IF(D$3=Signet3Stat,Signet3Bonus,"")</f>
        <v/>
      </c>
      <c r="E48" s="76" t="str">
        <f>IF(E$3=Signet3Stat,Signet3Bonus,"")</f>
        <v/>
      </c>
      <c r="F48" s="76" t="str">
        <f>IF(F$3=Signet3Stat,Signet3Bonus,"")</f>
        <v/>
      </c>
      <c r="G48" s="76" t="str">
        <f>IF(G$3=Signet3Stat,Signet3Bonus,"")</f>
        <v/>
      </c>
      <c r="H48" s="76" t="str">
        <f>IF(H$3=Signet3Stat,Signet3Bonus,"")</f>
        <v/>
      </c>
      <c r="I48" s="76" t="str">
        <f>IF(I$3=Signet3Stat,Signet3Bonus,"")</f>
        <v/>
      </c>
      <c r="J48" s="76" t="str">
        <f>IF(J$3=Signet3Stat,Signet3Bonus,"")</f>
        <v/>
      </c>
      <c r="K48" s="76" t="str">
        <f>IF(K$3=Signet3Stat,Signet3Bonus,"")</f>
        <v/>
      </c>
      <c r="L48" s="425"/>
      <c r="P48" s="27"/>
      <c r="Q48" s="27"/>
    </row>
    <row r="49" spans="1:17" ht="39.75" customHeight="1">
      <c r="A49" s="538" t="s">
        <v>66</v>
      </c>
      <c r="B49" s="539"/>
      <c r="C49" s="471" t="s">
        <v>6</v>
      </c>
      <c r="D49" s="472" t="s">
        <v>7</v>
      </c>
      <c r="E49" s="472" t="s">
        <v>8</v>
      </c>
      <c r="F49" s="472" t="s">
        <v>9</v>
      </c>
      <c r="G49" s="472" t="s">
        <v>10</v>
      </c>
      <c r="H49" s="479" t="s">
        <v>11</v>
      </c>
      <c r="I49" s="472" t="s">
        <v>12</v>
      </c>
      <c r="J49" s="472" t="s">
        <v>13</v>
      </c>
      <c r="K49" s="472" t="s">
        <v>14</v>
      </c>
      <c r="L49" s="473" t="s">
        <v>15</v>
      </c>
      <c r="Q49" s="27"/>
    </row>
    <row r="50" spans="1:17" ht="15.75" customHeight="1">
      <c r="A50" s="440" t="s">
        <v>67</v>
      </c>
      <c r="B50" s="506" t="s">
        <v>68</v>
      </c>
      <c r="C50" s="82" t="str">
        <f>IF(AND(COUNTBLANK($B$50)=0,NOT(B50="(Select)")),  IF(VLOOKUP($B$50, Food!$A$3:$J$611, 2, 0)="","",VLOOKUP($B$50, Food!$A$3:$J$611, 2, 0)),"")</f>
        <v/>
      </c>
      <c r="D50" s="76" t="str">
        <f>IF(AND(COUNTBLANK($B$50)=0,NOT($B$50="(Select)")),  IF(VLOOKUP($B$50, Food!$A$3:$J$611, 3, 0)="","",VLOOKUP($B$50, Food!$A$3:$J$611, 3, 0)),"")</f>
        <v/>
      </c>
      <c r="E50" s="76" t="str">
        <f>IF(AND(COUNTBLANK($B$50)=0,NOT($B$50="(Select)")),  IF(VLOOKUP($B$50, Food!$A$3:$J$611, 4, 0)="","",VLOOKUP($B$50, Food!$A$3:$J$611, 4, 0)),"")</f>
        <v/>
      </c>
      <c r="F50" s="76" t="str">
        <f>IF(AND(COUNTBLANK($B$50)=0,NOT($B$50="(Select)")),  IF(VLOOKUP($B$50, Food!$A$3:$J$611, 5, 0)="","",VLOOKUP($B$50, Food!$A$3:$J$611, 5, 0)),"")</f>
        <v/>
      </c>
      <c r="G50" s="76" t="str">
        <f>IF(AND(COUNTBLANK($B$50)=0,NOT($B$50="(Select)")),  IF(VLOOKUP($B$50, Food!$A$3:$J$611, 6, 0)="","",VLOOKUP($B$50, Food!$A$3:$J$611, 6, 0)),"")</f>
        <v/>
      </c>
      <c r="H50" s="76">
        <f>IF(AND(COUNTBLANK($B$50)=0,NOT($B$50="(Select)")),  IF(VLOOKUP($B$50, Food!$A$3:$J$611, 7, 0)="","",VLOOKUP($B$50, Food!$A$3:$J$611, 7, 0)),"")</f>
        <v>100</v>
      </c>
      <c r="I50" s="76">
        <f>IF(AND(COUNTBLANK($B$50)=0,NOT($B$50="(Select)")),  IF(VLOOKUP($B$50, Food!$A$3:$J$611, 8, 0)="","",VLOOKUP($B$50, Food!$A$3:$J$611, 8, 0)),"")</f>
        <v>70</v>
      </c>
      <c r="J50" s="76" t="str">
        <f>IF(AND(COUNTBLANK($B$50)=0,NOT($B$50="(Select)")),  IF(VLOOKUP($B$50, Food!$A$3:$J$611, 9, 0)="","",VLOOKUP($B$50, Food!$A$3:$J$611, 9, 0)),"")</f>
        <v/>
      </c>
      <c r="K50" s="76" t="str">
        <f>IF(AND(COUNTBLANK($B$50)=0,NOT($B$50="(Select)")),  IF(VLOOKUP($B$50, Food!$A$3:$J$611, 10, 0)="","",VLOOKUP($B$50, Food!$A$3:$J$611, 10, 0)),"")</f>
        <v/>
      </c>
      <c r="L50" s="436"/>
      <c r="P50" s="27"/>
      <c r="Q50" s="27"/>
    </row>
    <row r="51" spans="1:17" ht="15.75" customHeight="1">
      <c r="A51" s="497" t="s">
        <v>69</v>
      </c>
      <c r="B51" s="498" t="s">
        <v>70</v>
      </c>
      <c r="C51" s="78" cm="1">
        <f t="array" ref="C51">_xlfn.LET(_xlpm.val,IFERROR(IF(AND(COUNTBLANK($B$51)=0,NOT($B$51="(Select)")),_xlfn.IFS(UtilBonusType="Derived",_xlfn.IFS(AND(C$3=DerivedGain1,C$3=DerivedGain2),DerivedResult1+DerivedResult2,C$3=DerivedGain1,DerivedResult1,C$3=DerivedGain2,DerivedResult2),UtilBonusType="Healthy",IF(HealthyGain=C$3,HealthyResult),UtilBonusType="Flat",IF(C$3=FlatGain,FlatResult)),""),""),IF(OR(_xlpm.val=FALSE,_xlpm.val=""),"",_xlpm.val))</f>
        <v>15.94</v>
      </c>
      <c r="D51" s="78" t="str" cm="1">
        <f t="array" ref="D51">_xlfn.LET(_xlpm.val,IFERROR(IF(AND(COUNTBLANK($B$51)=0,NOT($B$51="(Select)")),_xlfn.IFS(UtilBonusType="Derived",_xlfn.IFS(AND(D$3=DerivedGain1,D$3=DerivedGain2),DerivedResult1+DerivedResult2,D$3=DerivedGain1,DerivedResult1,D$3=DerivedGain2,DerivedResult2),UtilBonusType="Healthy",IF(HealthyGain=D$3,HealthyResult),UtilBonusType="Flat",IF(D$3=FlatGain,FlatResult)),""),""),IF(OR(_xlpm.val=FALSE,_xlpm.val=""),"",_xlpm.val))</f>
        <v/>
      </c>
      <c r="E51" s="78" t="str" cm="1">
        <f t="array" ref="E51">_xlfn.LET(_xlpm.val,IFERROR(IF(AND(COUNTBLANK($B$51)=0,NOT($B$51="(Select)")),_xlfn.IFS(UtilBonusType="Derived",_xlfn.IFS(AND(E$3=DerivedGain1,E$3=DerivedGain2),DerivedResult1+DerivedResult2,E$3=DerivedGain1,DerivedResult1,E$3=DerivedGain2,DerivedResult2),UtilBonusType="Healthy",IF(HealthyGain=E$3,HealthyResult),UtilBonusType="Flat",IF(E$3=FlatGain,FlatResult)),""),""),IF(OR(_xlpm.val=FALSE,_xlpm.val=""),"",_xlpm.val))</f>
        <v/>
      </c>
      <c r="F51" s="78" t="str" cm="1">
        <f t="array" ref="F51">_xlfn.LET(_xlpm.val,IFERROR(IF(AND(COUNTBLANK($B$51)=0,NOT($B$51="(Select)")),_xlfn.IFS(UtilBonusType="Derived",_xlfn.IFS(AND(F$3=DerivedGain1,F$3=DerivedGain2),DerivedResult1+DerivedResult2,F$3=DerivedGain1,DerivedResult1,F$3=DerivedGain2,DerivedResult2),UtilBonusType="Healthy",IF(HealthyGain=F$3,HealthyResult),UtilBonusType="Flat",IF(F$3=FlatGain,FlatResult)),""),""),IF(OR(_xlpm.val=FALSE,_xlpm.val=""),"",_xlpm.val))</f>
        <v/>
      </c>
      <c r="G51" s="78" t="str" cm="1">
        <f t="array" ref="G51">_xlfn.LET(_xlpm.val,IFERROR(IF(AND(COUNTBLANK($B$51)=0,NOT($B$51="(Select)")),_xlfn.IFS(UtilBonusType="Derived",_xlfn.IFS(AND(G$3=DerivedGain1,G$3=DerivedGain2),DerivedResult1+DerivedResult2,G$3=DerivedGain1,DerivedResult1,G$3=DerivedGain2,DerivedResult2),UtilBonusType="Healthy",IF(HealthyGain=G$3,HealthyResult),UtilBonusType="Flat",IF(G$3=FlatGain,FlatResult)),""),""),IF(OR(_xlpm.val=FALSE,_xlpm.val=""),"",_xlpm.val))</f>
        <v/>
      </c>
      <c r="H51" s="78" t="str" cm="1">
        <f t="array" ref="H51">_xlfn.LET(_xlpm.val,IFERROR(IF(AND(COUNTBLANK($B$51)=0,NOT($B$51="(Select)")),_xlfn.IFS(UtilBonusType="Derived",_xlfn.IFS(AND(H$3=DerivedGain1,H$3=DerivedGain2),DerivedResult1+DerivedResult2,H$3=DerivedGain1,DerivedResult1,H$3=DerivedGain2,DerivedResult2),UtilBonusType="Healthy",IF(HealthyGain=H$3,HealthyResult),UtilBonusType="Flat",IF(H$3=FlatGain,FlatResult)),""),""),IF(OR(_xlpm.val=FALSE,_xlpm.val=""),"",_xlpm.val))</f>
        <v/>
      </c>
      <c r="I51" s="78" t="str" cm="1">
        <f t="array" ref="I51">_xlfn.LET(_xlpm.val,IFERROR(IF(AND(COUNTBLANK($B$51)=0,NOT($B$51="(Select)")),_xlfn.IFS(UtilBonusType="Derived",_xlfn.IFS(AND(I$3=DerivedGain1,I$3=DerivedGain2),DerivedResult1+DerivedResult2,I$3=DerivedGain1,DerivedResult1,I$3=DerivedGain2,DerivedResult2),UtilBonusType="Healthy",IF(HealthyGain=I$3,HealthyResult),UtilBonusType="Flat",IF(I$3=FlatGain,FlatResult)),""),""),IF(OR(_xlpm.val=FALSE,_xlpm.val=""),"",_xlpm.val))</f>
        <v/>
      </c>
      <c r="J51" s="78" t="str" cm="1">
        <f t="array" ref="J51">_xlfn.LET(_xlpm.val,IFERROR(IF(AND(COUNTBLANK($B$51)=0,NOT($B$51="(Select)")),_xlfn.IFS(UtilBonusType="Derived",_xlfn.IFS(AND(J$3=DerivedGain1,J$3=DerivedGain2),DerivedResult1+DerivedResult2,J$3=DerivedGain1,DerivedResult1,J$3=DerivedGain2,DerivedResult2),UtilBonusType="Healthy",IF(HealthyGain=J$3,HealthyResult),UtilBonusType="Flat",IF(J$3=FlatGain,FlatResult)),""),""),IF(OR(_xlpm.val=FALSE,_xlpm.val=""),"",_xlpm.val))</f>
        <v/>
      </c>
      <c r="K51" s="78" t="str" cm="1">
        <f t="array" ref="K51">_xlfn.LET(_xlpm.val,IFERROR(IF(AND(COUNTBLANK($B$51)=0,NOT($B$51="(Select)")),_xlfn.IFS(UtilBonusType="Derived",_xlfn.IFS(AND(K$3=DerivedGain1,K$3=DerivedGain2),DerivedResult1+DerivedResult2,K$3=DerivedGain1,DerivedResult1,K$3=DerivedGain2,DerivedResult2),UtilBonusType="Healthy",IF(HealthyGain=K$3,HealthyResult),UtilBonusType="Flat",IF(K$3=FlatGain,FlatResult)),""),""),IF(OR(_xlpm.val=FALSE,_xlpm.val=""),"",_xlpm.val))</f>
        <v/>
      </c>
      <c r="L51" s="437" t="str">
        <f>IF(UtilBonusType="Healthy","*When above 90% Health","")</f>
        <v/>
      </c>
      <c r="M51" s="28" t="str">
        <f>IF(UtilBonusType="Healthy","*When above 90% Health","")</f>
        <v/>
      </c>
      <c r="P51" s="27"/>
      <c r="Q51" s="27"/>
    </row>
    <row r="52" spans="1:17" ht="39.75" customHeight="1">
      <c r="A52" s="527" t="s">
        <v>71</v>
      </c>
      <c r="B52" s="528"/>
      <c r="C52" s="471" t="s">
        <v>6</v>
      </c>
      <c r="D52" s="472" t="s">
        <v>7</v>
      </c>
      <c r="E52" s="472" t="s">
        <v>8</v>
      </c>
      <c r="F52" s="472" t="s">
        <v>9</v>
      </c>
      <c r="G52" s="472" t="s">
        <v>10</v>
      </c>
      <c r="H52" s="479" t="s">
        <v>11</v>
      </c>
      <c r="I52" s="472" t="s">
        <v>12</v>
      </c>
      <c r="J52" s="472" t="s">
        <v>13</v>
      </c>
      <c r="K52" s="472" t="s">
        <v>14</v>
      </c>
      <c r="L52" s="473" t="s">
        <v>15</v>
      </c>
      <c r="P52" s="27"/>
      <c r="Q52" s="27"/>
    </row>
    <row r="53" spans="1:17" ht="15.75" customHeight="1">
      <c r="A53" s="71" t="s">
        <v>72</v>
      </c>
      <c r="B53" s="442" t="b">
        <v>0</v>
      </c>
      <c r="C53" s="499"/>
      <c r="D53" s="500"/>
      <c r="E53" s="500"/>
      <c r="F53" s="500"/>
      <c r="G53" s="500"/>
      <c r="H53" s="500"/>
      <c r="I53" s="500"/>
      <c r="J53" s="500"/>
      <c r="K53" s="500"/>
      <c r="L53" s="501"/>
      <c r="P53" s="27"/>
      <c r="Q53" s="27"/>
    </row>
    <row r="54" spans="1:17" ht="15.75" customHeight="1">
      <c r="A54" s="81" t="s">
        <v>73</v>
      </c>
      <c r="B54" s="418" t="b">
        <v>0</v>
      </c>
      <c r="C54" s="502" t="str">
        <f>IF(AND(COUNTIF(A46:B48,"Assassin's Signet")&gt;0,$B$54=1),"540","")</f>
        <v/>
      </c>
      <c r="D54" s="489"/>
      <c r="E54" s="503"/>
      <c r="F54" s="489"/>
      <c r="G54" s="489"/>
      <c r="H54" s="489"/>
      <c r="I54" s="489"/>
      <c r="J54" s="489"/>
      <c r="K54" s="489"/>
      <c r="L54" s="490"/>
      <c r="P54" s="27"/>
      <c r="Q54" s="27"/>
    </row>
    <row r="55" spans="1:17" ht="36" customHeight="1">
      <c r="A55" s="426" t="s">
        <v>74</v>
      </c>
      <c r="B55" s="426"/>
      <c r="C55" s="426"/>
      <c r="D55" s="426"/>
      <c r="L55" s="27"/>
      <c r="P55" s="27"/>
      <c r="Q55" s="27"/>
    </row>
    <row r="56" spans="1:17" ht="15.75" customHeight="1">
      <c r="A56" s="93" t="s">
        <v>6</v>
      </c>
      <c r="B56" s="460">
        <f>SUM(C4:C54)+(G57*30)+1000</f>
        <v>1672.94</v>
      </c>
      <c r="C56" s="509" t="s">
        <v>75</v>
      </c>
      <c r="D56" s="466">
        <f>VLOOKUP(Class, Helpers!M23:N31, 2, 0)+10*B59</f>
        <v>17482</v>
      </c>
      <c r="F56" s="29" t="s">
        <v>76</v>
      </c>
      <c r="G56" s="26" t="s">
        <v>77</v>
      </c>
      <c r="H56" s="27"/>
      <c r="L56" s="27"/>
      <c r="P56" s="27"/>
      <c r="Q56" s="27"/>
    </row>
    <row r="57" spans="1:17" ht="15.75" customHeight="1">
      <c r="A57" s="84" t="s">
        <v>7</v>
      </c>
      <c r="B57" s="461" t="str">
        <f>_xlfn.CONCAT(TEXT(PrecisionTotal,0),"  (",TEXT((100%-D58)*100*21,0),")")</f>
        <v>1594  (876)</v>
      </c>
      <c r="C57" s="510" t="s">
        <v>78</v>
      </c>
      <c r="D57" s="467" cm="1">
        <f t="array" ref="D57">_xlfn.LET(_xlpm.sum,SUM(L20:L25)+B58,IF(B53=TRUE,_xlpm.sum+61,_xlpm.sum))</f>
        <v>2128</v>
      </c>
      <c r="F57" s="511" t="s">
        <v>79</v>
      </c>
      <c r="G57" s="419">
        <v>0</v>
      </c>
      <c r="H57" s="27"/>
      <c r="P57" s="27"/>
      <c r="Q57" s="27"/>
    </row>
    <row r="58" spans="1:17" ht="15.75" customHeight="1">
      <c r="A58" s="84" t="s">
        <v>8</v>
      </c>
      <c r="B58" s="462">
        <f>SUM(E4:E54)+(G63*20)+1000</f>
        <v>1221</v>
      </c>
      <c r="C58" s="84" t="s">
        <v>80</v>
      </c>
      <c r="D58" s="468">
        <f>((PrecisionTotal-1000)/21+5)/100+IF(G58=TRUE,0.25,0)+TraitCritChanceTotal</f>
        <v>0.58285714285714285</v>
      </c>
      <c r="E58" s="45" t="str">
        <f>IF(D58&gt;100%, "Cap exceeded!","")</f>
        <v/>
      </c>
      <c r="F58" s="511" t="s">
        <v>81</v>
      </c>
      <c r="G58" s="413" t="b">
        <v>1</v>
      </c>
      <c r="H58" s="27"/>
      <c r="L58" s="27"/>
      <c r="M58" s="27"/>
      <c r="N58" s="27"/>
      <c r="O58" s="27"/>
      <c r="P58" s="27"/>
      <c r="Q58" s="27"/>
    </row>
    <row r="59" spans="1:17" ht="15.75" customHeight="1">
      <c r="A59" s="84" t="s">
        <v>9</v>
      </c>
      <c r="B59" s="462">
        <f>SUM(F4:F54)+1000</f>
        <v>1156</v>
      </c>
      <c r="C59" s="84" t="s">
        <v>82</v>
      </c>
      <c r="D59" s="469">
        <f>B63/15/100+1.5+TraitCritDamageTotal</f>
        <v>1.6653333333333333</v>
      </c>
      <c r="F59" s="511" t="s">
        <v>83</v>
      </c>
      <c r="G59" s="420" t="b">
        <v>0</v>
      </c>
      <c r="L59" s="27"/>
      <c r="M59" s="27"/>
      <c r="N59" s="27"/>
      <c r="O59" s="27"/>
      <c r="P59" s="27"/>
      <c r="Q59" s="27"/>
    </row>
    <row r="60" spans="1:17" ht="15.75" customHeight="1">
      <c r="A60" s="84" t="s">
        <v>10</v>
      </c>
      <c r="B60" s="462" t="str">
        <f>_xlfn.CONCAT(TEXT(ConcentrationTotal,0),"  (",TEXT((100%-D60)*100*15,0),")")</f>
        <v>10  (1490)</v>
      </c>
      <c r="C60" s="509" t="s">
        <v>84</v>
      </c>
      <c r="D60" s="470">
        <f>ConcentrationTotal/15/100</f>
        <v>6.6666666666666662E-3</v>
      </c>
      <c r="E60" s="45" t="str">
        <f>IF(D60&gt;100%, "Cap exceeded!","")</f>
        <v/>
      </c>
      <c r="F60" s="511" t="s">
        <v>85</v>
      </c>
      <c r="G60" s="420" t="b">
        <v>0</v>
      </c>
      <c r="L60" s="27"/>
      <c r="P60" s="27"/>
      <c r="Q60" s="27"/>
    </row>
    <row r="61" spans="1:17" ht="15.75" customHeight="1">
      <c r="A61" s="84" t="s">
        <v>11</v>
      </c>
      <c r="B61" s="462">
        <f>SUM(H4:H54)+(G57*30)</f>
        <v>343.2</v>
      </c>
      <c r="C61" s="424" t="s">
        <v>86</v>
      </c>
      <c r="D61" s="469">
        <f>ExpertiseTotal/15/100+TraitConditionDurationTotal</f>
        <v>0.17333333333333331</v>
      </c>
      <c r="E61" s="45" t="str">
        <f>IF(D61&gt;100%, "Cap exceeded!","")</f>
        <v/>
      </c>
      <c r="F61" s="511" t="s">
        <v>87</v>
      </c>
      <c r="G61" s="420" t="b">
        <v>0</v>
      </c>
      <c r="L61" s="27"/>
      <c r="M61" s="27"/>
      <c r="N61" s="27"/>
      <c r="O61" s="27"/>
      <c r="P61" s="27"/>
      <c r="Q61" s="27"/>
    </row>
    <row r="62" spans="1:17" ht="15.75" customHeight="1">
      <c r="A62" s="84" t="s">
        <v>12</v>
      </c>
      <c r="B62" s="463" t="str">
        <f>_xlfn.CONCAT(TEXT(ExpertiseTotal,0),"  (",TEXT((100%-D61)*100*15,0),")")</f>
        <v>260  (1240)</v>
      </c>
      <c r="F62" s="511" t="s">
        <v>88</v>
      </c>
      <c r="G62" s="421" t="b">
        <v>0</v>
      </c>
      <c r="H62" s="46"/>
      <c r="L62" s="47"/>
      <c r="M62" s="27"/>
      <c r="N62" s="27"/>
      <c r="O62" s="27"/>
      <c r="P62" s="27"/>
      <c r="Q62" s="27"/>
    </row>
    <row r="63" spans="1:17" ht="15.75" customHeight="1">
      <c r="A63" s="84" t="s">
        <v>13</v>
      </c>
      <c r="B63" s="464">
        <f>SUM(J4:J54)</f>
        <v>248</v>
      </c>
      <c r="F63" s="450" t="s">
        <v>89</v>
      </c>
      <c r="G63" s="422">
        <v>0</v>
      </c>
      <c r="H63" s="27"/>
      <c r="J63" s="35"/>
      <c r="K63" s="35"/>
      <c r="L63" s="35"/>
      <c r="M63" s="27"/>
      <c r="N63" s="27"/>
      <c r="O63" s="27"/>
      <c r="P63" s="27"/>
      <c r="Q63" s="27"/>
    </row>
    <row r="64" spans="1:17" ht="15.75" customHeight="1">
      <c r="A64" s="94" t="s">
        <v>14</v>
      </c>
      <c r="B64" s="465">
        <f>SUM(K4:K54)</f>
        <v>47</v>
      </c>
      <c r="E64" s="48"/>
      <c r="F64" s="49"/>
      <c r="G64" s="50"/>
      <c r="H64" s="27"/>
      <c r="L64" s="35"/>
      <c r="M64" s="27"/>
      <c r="N64" s="27"/>
      <c r="O64" s="27"/>
      <c r="P64" s="27"/>
      <c r="Q64" s="27"/>
    </row>
    <row r="65" spans="1:17" ht="15.75" customHeight="1">
      <c r="M65" s="42"/>
      <c r="N65" s="27"/>
      <c r="O65" s="27"/>
      <c r="P65" s="27"/>
      <c r="Q65" s="27"/>
    </row>
    <row r="66" spans="1:17" ht="15.75" customHeight="1">
      <c r="M66" s="36"/>
      <c r="N66" s="27"/>
      <c r="O66" s="27"/>
      <c r="P66" s="27"/>
      <c r="Q66" s="27"/>
    </row>
    <row r="67" spans="1:17" ht="15.75" customHeight="1">
      <c r="M67" s="36"/>
      <c r="N67" s="27"/>
      <c r="O67" s="27"/>
    </row>
    <row r="68" spans="1:17" ht="15.75" customHeight="1">
      <c r="A68" s="51"/>
      <c r="B68" s="52"/>
      <c r="C68" s="53"/>
      <c r="D68" s="53"/>
      <c r="E68" s="54"/>
      <c r="F68" s="49"/>
      <c r="G68" s="50"/>
      <c r="H68" s="27"/>
      <c r="L68" s="35"/>
      <c r="M68" s="36"/>
      <c r="N68" s="27"/>
      <c r="O68" s="27"/>
    </row>
    <row r="69" spans="1:17" ht="15">
      <c r="B69" s="55"/>
      <c r="C69" s="56"/>
      <c r="D69" s="56"/>
      <c r="E69" s="57"/>
      <c r="L69" s="35"/>
      <c r="M69" s="36"/>
      <c r="N69" s="27"/>
      <c r="O69" s="27"/>
    </row>
    <row r="70" spans="1:17" ht="15">
      <c r="B70" s="55"/>
      <c r="C70" s="56"/>
      <c r="D70" s="56"/>
      <c r="E70" s="57"/>
      <c r="L70" s="35"/>
      <c r="M70" s="36"/>
      <c r="N70" s="27"/>
      <c r="O70" s="27"/>
    </row>
    <row r="71" spans="1:17" ht="15">
      <c r="B71" s="55"/>
      <c r="C71" s="56"/>
      <c r="D71" s="56"/>
      <c r="E71" s="57"/>
      <c r="L71" s="35"/>
      <c r="M71" s="36"/>
      <c r="N71" s="27"/>
      <c r="O71" s="27"/>
    </row>
    <row r="72" spans="1:17">
      <c r="B72" s="55"/>
      <c r="C72" s="58"/>
      <c r="D72" s="58"/>
      <c r="E72" s="57"/>
      <c r="L72" s="35"/>
      <c r="M72" s="36"/>
      <c r="N72" s="27"/>
      <c r="O72" s="27"/>
    </row>
    <row r="73" spans="1:17">
      <c r="B73" s="55"/>
      <c r="C73" s="58"/>
      <c r="D73" s="58"/>
      <c r="E73" s="57"/>
    </row>
    <row r="74" spans="1:17">
      <c r="B74" s="55"/>
      <c r="C74" s="58"/>
      <c r="D74" s="58"/>
      <c r="E74" s="57"/>
      <c r="J74" s="27"/>
      <c r="K74" s="27"/>
    </row>
    <row r="75" spans="1:17">
      <c r="B75" s="59"/>
      <c r="C75" s="58"/>
      <c r="D75" s="58"/>
      <c r="E75" s="60"/>
      <c r="J75" s="27"/>
      <c r="K75" s="27"/>
    </row>
    <row r="76" spans="1:17">
      <c r="C76" s="59"/>
      <c r="D76" s="60"/>
      <c r="J76" s="27"/>
      <c r="K76" s="27"/>
    </row>
    <row r="77" spans="1:17">
      <c r="J77" s="27"/>
      <c r="K77" s="27"/>
    </row>
    <row r="78" spans="1:17">
      <c r="J78" s="27"/>
      <c r="K78" s="27"/>
    </row>
    <row r="79" spans="1:17">
      <c r="J79" s="27"/>
      <c r="K79" s="27"/>
    </row>
    <row r="80" spans="1:17">
      <c r="J80" s="27"/>
      <c r="K80" s="27"/>
    </row>
    <row r="81" spans="10:13">
      <c r="J81" s="27"/>
      <c r="K81" s="27"/>
    </row>
    <row r="82" spans="10:13">
      <c r="J82" s="27"/>
      <c r="K82" s="27"/>
    </row>
    <row r="83" spans="10:13">
      <c r="J83" s="27"/>
      <c r="K83" s="27"/>
      <c r="L83" s="27"/>
      <c r="M83" s="27"/>
    </row>
  </sheetData>
  <sheetProtection sheet="1" objects="1" scenarios="1"/>
  <protectedRanges>
    <protectedRange sqref="A2:B2" name="Stat Filter"/>
    <protectedRange sqref="B17:B31" name="Gear Prefixes"/>
    <protectedRange sqref="B50:B51" name="Food Utils"/>
    <protectedRange sqref="A40:B44" name="Jewels"/>
    <protectedRange sqref="B4:B15" name="Specs Traits"/>
    <protectedRange sqref="A46:B48" name="Signets"/>
    <protectedRange sqref="B53:B54" name="Additional"/>
    <protectedRange sqref="G57:G63" name="Boons"/>
    <protectedRange sqref="A33:B38" name="Runes"/>
  </protectedRanges>
  <mergeCells count="22">
    <mergeCell ref="C1:L2"/>
    <mergeCell ref="A3:B3"/>
    <mergeCell ref="A45:B45"/>
    <mergeCell ref="A46:B46"/>
    <mergeCell ref="A47:B47"/>
    <mergeCell ref="A16:B16"/>
    <mergeCell ref="A52:B52"/>
    <mergeCell ref="A33:B33"/>
    <mergeCell ref="A32:B32"/>
    <mergeCell ref="A44:B44"/>
    <mergeCell ref="A38:B38"/>
    <mergeCell ref="A37:B37"/>
    <mergeCell ref="A36:B36"/>
    <mergeCell ref="A35:B35"/>
    <mergeCell ref="A34:B34"/>
    <mergeCell ref="A48:B48"/>
    <mergeCell ref="A49:B49"/>
    <mergeCell ref="A39:B39"/>
    <mergeCell ref="A40:B40"/>
    <mergeCell ref="A41:B41"/>
    <mergeCell ref="A42:B42"/>
    <mergeCell ref="A43:B43"/>
  </mergeCells>
  <conditionalFormatting sqref="A47">
    <cfRule type="expression" dxfId="165" priority="4">
      <formula>NOT(Signet2Check)</formula>
    </cfRule>
  </conditionalFormatting>
  <conditionalFormatting sqref="A48">
    <cfRule type="expression" dxfId="164" priority="3">
      <formula>NOT(Signet3Check)</formula>
    </cfRule>
  </conditionalFormatting>
  <conditionalFormatting sqref="A17:B19">
    <cfRule type="expression" dxfId="163" priority="17">
      <formula>AND(COUNTBLANK($B$17:$B$18)&lt;2,COUNTBLANK($B$19)=0,COUNTIF($B$17:$B$18,"None")&lt;2,NOT($B$19="(Select)"))</formula>
    </cfRule>
  </conditionalFormatting>
  <conditionalFormatting sqref="A46">
    <cfRule type="expression" dxfId="162" priority="5">
      <formula>NOT(Signet1Check)</formula>
    </cfRule>
  </conditionalFormatting>
  <conditionalFormatting sqref="B4">
    <cfRule type="expression" dxfId="161" priority="42">
      <formula>NOT(Spec1Valid)</formula>
    </cfRule>
  </conditionalFormatting>
  <conditionalFormatting sqref="B5">
    <cfRule type="expression" dxfId="160" priority="39">
      <formula>NOT(Spec1MajorAdeptValid)</formula>
    </cfRule>
  </conditionalFormatting>
  <conditionalFormatting sqref="B6">
    <cfRule type="expression" dxfId="159" priority="38">
      <formula>NOT(Spec1MajorMasterValid)</formula>
    </cfRule>
  </conditionalFormatting>
  <conditionalFormatting sqref="B7">
    <cfRule type="expression" dxfId="158" priority="37">
      <formula>NOT(Spec1MajorGrandmasterValid)</formula>
    </cfRule>
  </conditionalFormatting>
  <conditionalFormatting sqref="B8">
    <cfRule type="expression" dxfId="157" priority="41">
      <formula>NOT(Spec2Valid)</formula>
    </cfRule>
  </conditionalFormatting>
  <conditionalFormatting sqref="B9">
    <cfRule type="expression" dxfId="156" priority="35">
      <formula>NOT(Spec2MajorAdeptValid)</formula>
    </cfRule>
  </conditionalFormatting>
  <conditionalFormatting sqref="B10">
    <cfRule type="expression" dxfId="155" priority="34">
      <formula>NOT(Spec2MajorMasterValid)</formula>
    </cfRule>
  </conditionalFormatting>
  <conditionalFormatting sqref="B11">
    <cfRule type="expression" dxfId="154" priority="33">
      <formula>NOT(Spec2MajorGrandmasterValid)</formula>
    </cfRule>
  </conditionalFormatting>
  <conditionalFormatting sqref="B12">
    <cfRule type="expression" dxfId="153" priority="40">
      <formula>NOT(Spec3Valid)</formula>
    </cfRule>
  </conditionalFormatting>
  <conditionalFormatting sqref="B13">
    <cfRule type="expression" dxfId="152" priority="31">
      <formula>NOT(Spec3MajorAdeptValid)</formula>
    </cfRule>
  </conditionalFormatting>
  <conditionalFormatting sqref="B14">
    <cfRule type="expression" dxfId="151" priority="30">
      <formula>NOT(Spec3MajorMasterValid)</formula>
    </cfRule>
  </conditionalFormatting>
  <conditionalFormatting sqref="B15">
    <cfRule type="expression" dxfId="150" priority="29">
      <formula>NOT(Spec3MajorGrandmasterValid)</formula>
    </cfRule>
  </conditionalFormatting>
  <conditionalFormatting sqref="C17:K17">
    <cfRule type="top10" dxfId="149" priority="64" rank="1"/>
  </conditionalFormatting>
  <conditionalFormatting sqref="C17:K31 C40:K44 C34:L38 C33:K33 C50:K51">
    <cfRule type="notContainsBlanks" dxfId="148" priority="69">
      <formula>LEN(TRIM(C17))&gt;0</formula>
    </cfRule>
  </conditionalFormatting>
  <conditionalFormatting sqref="C18:K18">
    <cfRule type="top10" dxfId="147" priority="65" rank="1"/>
  </conditionalFormatting>
  <conditionalFormatting sqref="C19:K19">
    <cfRule type="top10" dxfId="146" priority="63" rank="1"/>
  </conditionalFormatting>
  <conditionalFormatting sqref="C20:K20">
    <cfRule type="top10" dxfId="145" priority="62" rank="1"/>
  </conditionalFormatting>
  <conditionalFormatting sqref="C21:K21">
    <cfRule type="top10" dxfId="144" priority="61" rank="1"/>
  </conditionalFormatting>
  <conditionalFormatting sqref="C22:K22">
    <cfRule type="top10" dxfId="143" priority="60" rank="1"/>
  </conditionalFormatting>
  <conditionalFormatting sqref="C23:K23">
    <cfRule type="top10" dxfId="142" priority="59" rank="1"/>
  </conditionalFormatting>
  <conditionalFormatting sqref="C24:K24">
    <cfRule type="top10" dxfId="141" priority="58" rank="1"/>
  </conditionalFormatting>
  <conditionalFormatting sqref="C25:K25">
    <cfRule type="top10" dxfId="140" priority="67" rank="1"/>
  </conditionalFormatting>
  <conditionalFormatting sqref="C26:K26">
    <cfRule type="top10" dxfId="139" priority="16" rank="1"/>
  </conditionalFormatting>
  <conditionalFormatting sqref="C27:K27">
    <cfRule type="top10" dxfId="138" priority="56" rank="1"/>
  </conditionalFormatting>
  <conditionalFormatting sqref="C28:K28">
    <cfRule type="top10" dxfId="137" priority="55" rank="1"/>
  </conditionalFormatting>
  <conditionalFormatting sqref="C29:K29">
    <cfRule type="top10" dxfId="136" priority="15" rank="1"/>
  </conditionalFormatting>
  <conditionalFormatting sqref="C30:K30">
    <cfRule type="top10" dxfId="135" priority="54" rank="1"/>
  </conditionalFormatting>
  <conditionalFormatting sqref="C31:K31">
    <cfRule type="top10" dxfId="134" priority="68" rank="1"/>
  </conditionalFormatting>
  <conditionalFormatting sqref="C50:K50">
    <cfRule type="top10" dxfId="133" priority="52" rank="1"/>
  </conditionalFormatting>
  <conditionalFormatting sqref="C40:K40">
    <cfRule type="top10" dxfId="132" priority="51" rank="1"/>
  </conditionalFormatting>
  <conditionalFormatting sqref="C41:K41">
    <cfRule type="top10" dxfId="131" priority="14" rank="1"/>
  </conditionalFormatting>
  <conditionalFormatting sqref="C42:K42">
    <cfRule type="top10" dxfId="130" priority="13" rank="1"/>
  </conditionalFormatting>
  <conditionalFormatting sqref="C43:K43">
    <cfRule type="top10" dxfId="129" priority="12" rank="1"/>
  </conditionalFormatting>
  <conditionalFormatting sqref="C44:K44">
    <cfRule type="top10" dxfId="128" priority="11" rank="1"/>
  </conditionalFormatting>
  <conditionalFormatting sqref="C33:K33 C34:L38">
    <cfRule type="notContainsBlanks" dxfId="127" priority="50">
      <formula>LEN(TRIM(C33))&gt;0</formula>
    </cfRule>
  </conditionalFormatting>
  <conditionalFormatting sqref="C4:K15">
    <cfRule type="notContainsBlanks" dxfId="126" priority="18">
      <formula>LEN(TRIM(C4))&gt;0</formula>
    </cfRule>
  </conditionalFormatting>
  <conditionalFormatting sqref="C46:K48">
    <cfRule type="notContainsBlanks" dxfId="125" priority="6">
      <formula>LEN(TRIM(C46))&gt;0</formula>
    </cfRule>
  </conditionalFormatting>
  <conditionalFormatting sqref="C4:K15">
    <cfRule type="cellIs" dxfId="124" priority="2" operator="lessThan">
      <formula>0</formula>
    </cfRule>
  </conditionalFormatting>
  <conditionalFormatting sqref="C51:K51">
    <cfRule type="top10" dxfId="123" priority="1" rank="1"/>
  </conditionalFormatting>
  <dataValidations count="35">
    <dataValidation allowBlank="1" showInputMessage="1" showErrorMessage="1" sqref="G58 A5:A7 A9:A11 A13:A15" xr:uid="{16C9F917-1443-41B6-9229-77858780B538}"/>
    <dataValidation type="list" allowBlank="1" showInputMessage="1" showErrorMessage="1" sqref="G57" xr:uid="{0A78BCF1-E469-49B1-A2EF-368547F6D5D3}">
      <formula1>"0,1,2,3,4,5,6,7,8,9,10,11,12,13,14,15,16,17,18,19,20,21,22,23,24,25"</formula1>
    </dataValidation>
    <dataValidation type="list" allowBlank="1" showInputMessage="1" showErrorMessage="1" sqref="G63" xr:uid="{0DA4A4D7-3C28-4105-AE54-C523CDC6E413}">
      <formula1>"0,1,2,3,4,5,6,7,8,9,10,11,12,13,14,15,16,17,18,19,20,21,22,23,24,25,26,27,28,29,30"</formula1>
    </dataValidation>
    <dataValidation allowBlank="1" showInputMessage="1" showErrorMessage="1" promptTitle="Base: 1000" prompt="Increases strike damage._x000a_Power is multiplied by weapon damage and skill coefficient and the result is divided by target's Armor to calculate damage dealt." sqref="A56" xr:uid="{1BE9C5B4-9D69-4DD3-8090-B74DE4F4E942}"/>
    <dataValidation allowBlank="1" showInputMessage="1" showErrorMessage="1" promptTitle="Base: 1000" prompt="Increases Critical Chance. 21 Precision = 1% Critical Chance._x000a_Brackets indicate remaining points required to reach hard cap." sqref="A57" xr:uid="{15801AF2-18DE-4ACD-8975-B01299F63D1E}"/>
    <dataValidation allowBlank="1" showInputMessage="1" showErrorMessage="1" promptTitle="Base: 30 per stack" prompt="Grants increased Power and Condition Damage per stack. Effects can be modified by some Traits." sqref="F57" xr:uid="{6CA973F4-2352-4967-8CF7-F9DAB89218B9}"/>
    <dataValidation allowBlank="1" showInputMessage="1" showErrorMessage="1" promptTitle="Base: 25%" prompt="Increases Critical Chance. Effects can be modified by some Traits." sqref="F58" xr:uid="{92CC41DC-68AA-420B-B49D-947FD3C6206D}"/>
    <dataValidation allowBlank="1" showInputMessage="1" showErrorMessage="1" promptTitle="Base: 50%" prompt="Increases skill and action activation speed. Effects can be modified by some Traits." sqref="F59" xr:uid="{7B4E4956-2A58-4C6D-B228-F069D64EE3AD}"/>
    <dataValidation allowBlank="1" showInputMessage="1" showErrorMessage="1" promptTitle="Base: 130 per second" prompt="Restores Health over time using the formula (130 + (0.125 * Healing Power)). Effects can be modified by some Traits." sqref="F60" xr:uid="{D3105664-59D1-43CA-9F05-8047346BC8E8}"/>
    <dataValidation allowBlank="1" showInputMessage="1" showErrorMessage="1" promptTitle="Base: 50%" prompt="Increases endurance regeneration rate. Effects can be modified by some Traits." sqref="F61" xr:uid="{8EAAB998-2AD1-4B3B-B355-D2E94A7E95FC}"/>
    <dataValidation allowBlank="1" showInputMessage="1" showErrorMessage="1" promptTitle="Base: 20" prompt="Exclusive to Necromancer's Death Magic Specialisation. Grants increased Toughness per stack. Effects can be modified by some Traits." sqref="F63" xr:uid="{F27EF196-58DF-4DAE-A842-855531FB9D90}"/>
    <dataValidation allowBlank="1" showInputMessage="1" showErrorMessage="1" promptTitle="Base: 25%" prompt="Increases skill recharge rate. Effects can be modified by some Traits." sqref="F62" xr:uid="{D510DA49-1120-4BC6-A6E2-3C159350E888}"/>
    <dataValidation allowBlank="1" showInputMessage="1" showErrorMessage="1" promptTitle="Base: 1000" prompt="Increases Health. 1 Vitality = 10 Health." sqref="A59" xr:uid="{D33D9CAC-8260-43AD-AB97-CD30549B54DC}"/>
    <dataValidation allowBlank="1" showInputMessage="1" showErrorMessage="1" promptTitle="Base: 1000" prompt="Increases Armor. 1 Toughness = 1 Armor." sqref="A58" xr:uid="{394C904A-9ED2-4367-81AA-0F7328533AA4}"/>
    <dataValidation allowBlank="1" showInputMessage="1" showErrorMessage="1" promptTitle="Base: 0" prompt="Increases Boon Duration. 15 Concentration  = 1% Boon Duration. Brackets indicate remaining points required to reach hard cap." sqref="A60" xr:uid="{94628517-98CA-4491-8A89-498AA2EF16EE}"/>
    <dataValidation allowBlank="1" showInputMessage="1" showErrorMessage="1" promptTitle="Base: 0" prompt="Increases damage dealt by Conditions. A Condition's base damage is added to its scaling coefficient multiplied by Condition Damage to calculate damage per tick." sqref="A61" xr:uid="{478A9DF9-7C12-41D5-A396-639AFF9138D3}"/>
    <dataValidation allowBlank="1" showInputMessage="1" showErrorMessage="1" promptTitle="Base: 0" prompt="Increases Condition Duration. 15 Expertise = 1% Condition Duration. Brackets indicate remaining points required to reach hard cap." sqref="A62" xr:uid="{C4D7E3C3-F9D6-47B3-8406-C6D479AC81B4}"/>
    <dataValidation allowBlank="1" showInputMessage="1" showErrorMessage="1" promptTitle="Base: 0" prompt="Increases Critical Damage. 15 Ferocity = 1% Critical Damage." sqref="A63" xr:uid="{F458FC6E-0324-4BAB-9F3F-A925A5280AE3}"/>
    <dataValidation allowBlank="1" showInputMessage="1" showErrorMessage="1" promptTitle="Base: 0" prompt="Increases all healing done. A skill's base healing is added to its scaling coefficient * Healing Power, and any additional healing multipliers (healing done or healing received) are applied to calculate its total healing on a target." sqref="A64" xr:uid="{48249EA4-D966-424B-9F29-6D894836C2D7}"/>
    <dataValidation allowBlank="1" showInputMessage="1" showErrorMessage="1" promptTitle="Base: Class-Dependent" prompt="Total points of damage player can sustain before death. Health is increased by Vitality and some Traits." sqref="C56" xr:uid="{56CAF562-56ED-4EFF-B74D-1EEF628E7870}"/>
    <dataValidation allowBlank="1" showInputMessage="1" showErrorMessage="1" promptTitle="Base: 0" prompt="Mitigates incoming strike damage. Damage from Conditions is unaffected. Armor is increased by Toughness and Defence. " sqref="C57" xr:uid="{443C21A6-CC5C-43CF-A874-6D891F6A35FC}"/>
    <dataValidation allowBlank="1" showInputMessage="1" showErrorMessage="1" promptTitle="Base: 5%" prompt="Chance to land a critical strike with a skill. Critical Chance is increased by Precision, as well as some Traits and Sigils. Some skills also have increased Critical Chance inherently. Total cannot exceed 100%." sqref="C58" xr:uid="{D6C650D4-A5E1-4E95-8972-5DD96ADD49AF}"/>
    <dataValidation allowBlank="1" showInputMessage="1" showErrorMessage="1" promptTitle="Base: 150%" prompt="How much damage a critical strike deals. Conditions cannot critically hit. Critical Damage is increased by Ferocity and some Traits." sqref="C59" xr:uid="{56A4D07B-059C-421A-8596-ADC185A4AD05}"/>
    <dataValidation allowBlank="1" showInputMessage="1" showErrorMessage="1" promptTitle="Base: 0%" prompt="Extends lifetime of Boons applied by the player. Does not affect Boons applied to player from other sources. Increased by Concentration as well as some gear upgrades, Traits and skills." sqref="C60" xr:uid="{9F4C9FD3-2057-48EE-932A-8F9450719E94}"/>
    <dataValidation allowBlank="1" showInputMessage="1" showErrorMessage="1" promptTitle="Base: 0" prompt="Extends lifetime of Conditions applied by the player. Does not affect Conditions applied to player from other sources. Increased by Expertise as well as some gear upgrades, Traits and skills." sqref="C61" xr:uid="{AA181052-563B-48A9-9838-2A98C3059F23}"/>
    <dataValidation allowBlank="1" showInputMessage="1" showErrorMessage="1" prompt="Filter options based on selected bonus attribute." sqref="B1" xr:uid="{5712DABC-6DFE-483D-8CD9-946993AE63C1}"/>
    <dataValidation allowBlank="1" showInputMessage="1" showErrorMessage="1" prompt="Affects Health, Defence and Armor, Specialisation and Trait options and Signet options." sqref="A1" xr:uid="{FFE9FD64-7AE8-4835-B7C5-FBBAB297D7D6}"/>
    <dataValidation allowBlank="1" showInputMessage="1" showErrorMessage="1" prompt="Items worn to improve character attributes. &quot;1H&quot; and &quot;2H&quot; refer to one-handed and two-handed weapons respectively. A character can not be holding a 1H and 2H weapon simultaneously." sqref="A16:B16" xr:uid="{A88D01A9-F211-496E-A0DF-0C9D889B6C8C}"/>
    <dataValidation allowBlank="1" showInputMessage="1" showErrorMessage="1" prompt="Provide temporary attribute bonuses and are lost upon use." sqref="A49:B49" xr:uid="{C921E0E8-43F9-4128-94EB-B96DEDEBDF3B}"/>
    <dataValidation allowBlank="1" showInputMessage="1" showErrorMessage="1" prompt="Provide gear with the appropriate upgrade slot further attribute bonuses." sqref="A39" xr:uid="{9C4AFC8F-A594-4727-BD96-F65200AA07E2}"/>
    <dataValidation allowBlank="1" showInputMessage="1" showErrorMessage="1" prompt="Provide gear with the appropriate upgrade slot increasing attribute bonuses and other effects for each instance of the same rune." sqref="A32" xr:uid="{27989797-828B-4C37-A583-CAE912F5DC88}"/>
    <dataValidation allowBlank="1" showInputMessage="1" showErrorMessage="1" prompt="Each Specialisation has three Trait tiers. Each tier has a further three Major Traits to choose from and a mandatory Minor Trait. Only one Elite Specialisation may be selected. See &quot;Trait Selection&quot; sheet for more information and Trait simulation. " sqref="A3" xr:uid="{87C70D75-8AD0-4EFB-83AF-802B9A81F24A}"/>
    <dataValidation allowBlank="1" showInputMessage="1" showErrorMessage="1" prompt="Provide passive attribute bonuses which are lost when the signet is activated, except for Assassin's Signet. To view Assassin's Signet's active effect, use the toggle in the &quot;Additional&quot; section." sqref="A45" xr:uid="{56BA210A-9AA8-4416-99C3-86A3A7AA836D}"/>
    <dataValidation allowBlank="1" showInputMessage="1" showErrorMessage="1" prompt="&quot;Offhand&quot; refers to the character's secondary 1H weapon slot." sqref="A53" xr:uid="{BBC285F2-8EEA-4296-8EA1-8549DAE24329}"/>
    <dataValidation allowBlank="1" showInputMessage="1" showErrorMessage="1" prompt="Temporary effects that provide attribute bonuses either inherently or in conjunction with certain Traits. Death's Carapace is exclusive to Necromancer's Death Magic Specialisation." sqref="F56" xr:uid="{8AF6EAA3-836E-4D37-A3B7-123B6E2607E6}"/>
  </dataValidations>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20">
        <x14:dataValidation type="list" allowBlank="1" showInputMessage="1" showErrorMessage="1" xr:uid="{C84400E4-C582-40F9-9DF6-36E453B59D9A}">
          <x14:formula1>
            <xm:f>Helpers!$A$34:$A$43</xm:f>
          </x14:formula1>
          <xm:sqref>B2</xm:sqref>
        </x14:dataValidation>
        <x14:dataValidation type="list" allowBlank="1" showInputMessage="1" showErrorMessage="1" xr:uid="{E18AA415-ABEA-4D68-9CBB-9FAAB6A6F820}">
          <x14:formula1>
            <xm:f>Utilities!$Y$2:$Y$122</xm:f>
          </x14:formula1>
          <xm:sqref>B51</xm:sqref>
        </x14:dataValidation>
        <x14:dataValidation type="list" allowBlank="1" showInputMessage="1" showErrorMessage="1" xr:uid="{B8278783-B818-4154-8C53-4DD1B803D6C0}">
          <x14:formula1>
            <xm:f>'Trait Filters &amp; Checks'!$C$3:$C$6</xm:f>
          </x14:formula1>
          <xm:sqref>B5</xm:sqref>
        </x14:dataValidation>
        <x14:dataValidation type="list" allowBlank="1" showInputMessage="1" showErrorMessage="1" xr:uid="{E0F42BA0-DD6E-42E4-9C8B-0504F1B7598B}">
          <x14:formula1>
            <xm:f>'Trait Filters &amp; Checks'!$E$3:$E$6</xm:f>
          </x14:formula1>
          <xm:sqref>B6</xm:sqref>
        </x14:dataValidation>
        <x14:dataValidation type="list" allowBlank="1" showInputMessage="1" showErrorMessage="1" xr:uid="{8D315EBA-BD41-46C2-A726-9841BF4A02B2}">
          <x14:formula1>
            <xm:f>'Trait Filters &amp; Checks'!$G$3:$G$6</xm:f>
          </x14:formula1>
          <xm:sqref>B7</xm:sqref>
        </x14:dataValidation>
        <x14:dataValidation type="list" allowBlank="1" showInputMessage="1" showErrorMessage="1" xr:uid="{324F3DD8-93C7-4A27-8913-0539EDCE88DA}">
          <x14:formula1>
            <xm:f>'Trait Filters &amp; Checks'!$C$7:$C$10</xm:f>
          </x14:formula1>
          <xm:sqref>B9</xm:sqref>
        </x14:dataValidation>
        <x14:dataValidation type="list" allowBlank="1" showInputMessage="1" showErrorMessage="1" xr:uid="{59BE0247-8E2F-41FF-950C-48A8982D447D}">
          <x14:formula1>
            <xm:f>'Trait Filters &amp; Checks'!$E$7:$E$10</xm:f>
          </x14:formula1>
          <xm:sqref>B10</xm:sqref>
        </x14:dataValidation>
        <x14:dataValidation type="list" allowBlank="1" showInputMessage="1" showErrorMessage="1" xr:uid="{2B505CC9-DFEE-4C6B-BB25-D5F12A14C88A}">
          <x14:formula1>
            <xm:f>'Trait Filters &amp; Checks'!$G$7:$G$10</xm:f>
          </x14:formula1>
          <xm:sqref>B11</xm:sqref>
        </x14:dataValidation>
        <x14:dataValidation type="list" allowBlank="1" showInputMessage="1" showErrorMessage="1" xr:uid="{67816A57-C51F-4650-B3E8-31DFE124FBD9}">
          <x14:formula1>
            <xm:f>'Trait Filters &amp; Checks'!$C$11:$C$14</xm:f>
          </x14:formula1>
          <xm:sqref>B13</xm:sqref>
        </x14:dataValidation>
        <x14:dataValidation type="list" allowBlank="1" showInputMessage="1" showErrorMessage="1" xr:uid="{F9044C22-12C5-43B6-94BE-64E6B7584232}">
          <x14:formula1>
            <xm:f>'Trait Filters &amp; Checks'!$E$11:$E$14</xm:f>
          </x14:formula1>
          <xm:sqref>B14</xm:sqref>
        </x14:dataValidation>
        <x14:dataValidation type="list" allowBlank="1" showInputMessage="1" showErrorMessage="1" xr:uid="{1B8418EA-DB66-4332-9700-78FF28783DC1}">
          <x14:formula1>
            <xm:f>'Trait Filters &amp; Checks'!$G$11:$G$14</xm:f>
          </x14:formula1>
          <xm:sqref>B15</xm:sqref>
        </x14:dataValidation>
        <x14:dataValidation type="list" allowBlank="1" showInputMessage="1" showErrorMessage="1" xr:uid="{824E98A5-EEDA-4FCE-BABE-94B60918319D}">
          <x14:formula1>
            <xm:f>Jewels!$O$2:$O$27</xm:f>
          </x14:formula1>
          <xm:sqref>A40:A44</xm:sqref>
        </x14:dataValidation>
        <x14:dataValidation type="list" allowBlank="1" showInputMessage="1" showErrorMessage="1" xr:uid="{52B026DE-33EB-42D6-8352-92E349F9A16F}">
          <x14:formula1>
            <xm:f>Signets!$E$2:$E$16</xm:f>
          </x14:formula1>
          <xm:sqref>A46:A48</xm:sqref>
        </x14:dataValidation>
        <x14:dataValidation type="list" allowBlank="1" showInputMessage="1" showErrorMessage="1" xr:uid="{796C110D-1BDA-49B1-B558-4EE81B6AE9C7}">
          <x14:formula1>
            <xm:f>'Attributes &amp; Prefixes'!$F$3:$F$53</xm:f>
          </x14:formula1>
          <xm:sqref>B31 B17:B25</xm:sqref>
        </x14:dataValidation>
        <x14:dataValidation type="list" allowBlank="1" showInputMessage="1" showErrorMessage="1" xr:uid="{CB60EEE9-28D0-41A7-A78D-5256D8A2EF76}">
          <x14:formula1>
            <xm:f>'Attributes &amp; Prefixes'!$F$54:$F$79</xm:f>
          </x14:formula1>
          <xm:sqref>B26:B29</xm:sqref>
        </x14:dataValidation>
        <x14:dataValidation type="list" allowBlank="1" showInputMessage="1" showErrorMessage="1" xr:uid="{A99D08EB-1FF0-42CF-B620-04E392A8E589}">
          <x14:formula1>
            <xm:f>Helpers!$M$23:$M$31</xm:f>
          </x14:formula1>
          <xm:sqref>A2</xm:sqref>
        </x14:dataValidation>
        <x14:dataValidation type="list" allowBlank="1" showInputMessage="1" showErrorMessage="1" xr:uid="{C6452FCC-DAEA-4FA2-A041-6793AE09E902}">
          <x14:formula1>
            <xm:f>Runes!$N$2:$N$101</xm:f>
          </x14:formula1>
          <xm:sqref>A33:B38</xm:sqref>
        </x14:dataValidation>
        <x14:dataValidation type="list" allowBlank="1" showInputMessage="1" showErrorMessage="1" xr:uid="{766FC195-E007-48C1-88E7-EE22918BFD3F}">
          <x14:formula1>
            <xm:f>'Trait Filters &amp; Checks'!$M$4:$M$85</xm:f>
          </x14:formula1>
          <xm:sqref>B12 B4 B8</xm:sqref>
        </x14:dataValidation>
        <x14:dataValidation type="list" allowBlank="1" showInputMessage="1" showErrorMessage="1" xr:uid="{9A78FAAA-59F9-4BA6-BB42-44B069F0F1F8}">
          <x14:formula1>
            <xm:f>Food!K2:K611</xm:f>
          </x14:formula1>
          <xm:sqref>B50</xm:sqref>
        </x14:dataValidation>
        <x14:dataValidation type="list" allowBlank="1" showInputMessage="1" showErrorMessage="1" xr:uid="{19B8E407-AA07-484D-B95E-EBCCFB9CFCB6}">
          <x14:formula1>
            <xm:f>'Attributes &amp; Prefixes'!$F$54:$F100</xm:f>
          </x14:formula1>
          <xm:sqref>B30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76D5E-7873-4D86-B799-EAE79A45E34E}">
  <dimension ref="A1:N21"/>
  <sheetViews>
    <sheetView topLeftCell="G4" workbookViewId="0">
      <selection activeCell="K5" sqref="K5"/>
    </sheetView>
  </sheetViews>
  <sheetFormatPr defaultRowHeight="15"/>
  <cols>
    <col min="1" max="2" width="20.7109375" customWidth="1"/>
    <col min="3" max="3" width="33.7109375" customWidth="1"/>
    <col min="4" max="4" width="16.7109375" customWidth="1"/>
    <col min="5" max="5" width="32.7109375" customWidth="1"/>
    <col min="6" max="6" width="20.7109375" customWidth="1"/>
    <col min="7" max="7" width="34.5703125" customWidth="1"/>
    <col min="8" max="8" width="16.7109375" customWidth="1"/>
    <col min="9" max="9" width="32.7109375" customWidth="1"/>
    <col min="10" max="10" width="20.7109375" customWidth="1"/>
    <col min="11" max="11" width="33.140625" customWidth="1"/>
    <col min="12" max="12" width="16.7109375" customWidth="1"/>
    <col min="13" max="13" width="32.7109375" customWidth="1"/>
    <col min="14" max="14" width="24.5703125" customWidth="1"/>
  </cols>
  <sheetData>
    <row r="1" spans="1:14" ht="32.25" customHeight="1">
      <c r="A1" s="85"/>
      <c r="B1" s="546" t="str">
        <f>Spec1</f>
        <v>Illusions</v>
      </c>
      <c r="C1" s="547"/>
      <c r="D1" s="547"/>
      <c r="E1" s="547"/>
      <c r="F1" s="548" t="str">
        <f>Spec2</f>
        <v>Inspiration</v>
      </c>
      <c r="G1" s="549"/>
      <c r="H1" s="549"/>
      <c r="I1" s="546"/>
      <c r="J1" s="547" t="str">
        <f>Spec3</f>
        <v>Troubadour</v>
      </c>
      <c r="K1" s="547"/>
      <c r="L1" s="547"/>
      <c r="M1" s="548"/>
      <c r="N1" s="85"/>
    </row>
    <row r="2" spans="1:14">
      <c r="A2" s="85"/>
      <c r="B2" s="104" t="s">
        <v>90</v>
      </c>
      <c r="C2" s="105" t="s">
        <v>91</v>
      </c>
      <c r="D2" s="105" t="s">
        <v>92</v>
      </c>
      <c r="E2" s="105" t="s">
        <v>93</v>
      </c>
      <c r="F2" s="105" t="s">
        <v>90</v>
      </c>
      <c r="G2" s="105" t="s">
        <v>91</v>
      </c>
      <c r="H2" s="105" t="s">
        <v>92</v>
      </c>
      <c r="I2" s="105" t="s">
        <v>93</v>
      </c>
      <c r="J2" s="105" t="s">
        <v>90</v>
      </c>
      <c r="K2" s="105" t="s">
        <v>91</v>
      </c>
      <c r="L2" s="106" t="s">
        <v>92</v>
      </c>
      <c r="M2" s="105" t="s">
        <v>93</v>
      </c>
      <c r="N2" s="85"/>
    </row>
    <row r="3" spans="1:14" ht="99.75" customHeight="1">
      <c r="A3" s="97" t="s">
        <v>94</v>
      </c>
      <c r="B3" s="107" t="str">
        <f>Spec1MinorAdept</f>
        <v>Cry of Pain</v>
      </c>
      <c r="C3" s="446" t="s">
        <v>4</v>
      </c>
      <c r="D3" s="427">
        <v>0</v>
      </c>
      <c r="E3" s="433" t="str" cm="1">
        <f t="array" ref="E3">_xlfn.LET(_xlpm.val,VLOOKUP(Spec1MinorAdept,TraitTable,5,0),IF(ISNA(_xlpm.val),"",_xlpm.val))</f>
        <v>Shatter skill 2 inflicts more stacks of confusion for an increased duration.</v>
      </c>
      <c r="F3" s="108" t="str">
        <f>Spec2MinorAdept</f>
        <v>Mender's Purity</v>
      </c>
      <c r="G3" s="446" t="s">
        <v>4</v>
      </c>
      <c r="H3" s="427">
        <v>0</v>
      </c>
      <c r="I3" s="433" t="str" cm="1">
        <f t="array" ref="I3">_xlfn.LET(_xlpm.val,VLOOKUP(Spec2MinorAdept,TraitTable,5,0),IF(ISNA(_xlpm.val),"",_xlpm.val))</f>
        <v>Cast Lesser Power Cleanse when you use a healing skill.</v>
      </c>
      <c r="J3" s="108" t="str">
        <f>Spec3MinorAdept</f>
        <v>Wandering Minstrel</v>
      </c>
      <c r="K3" s="446" t="s">
        <v>4</v>
      </c>
      <c r="L3" s="431">
        <v>0</v>
      </c>
      <c r="M3" s="433" t="str" cm="1">
        <f t="array" ref="M3">_xlfn.LET(_xlpm.val,VLOOKUP(Spec3MinorAdept,TraitTable,5,0),IF(ISNA(_xlpm.val),"",_xlpm.val))</f>
        <v>Build up notes instead of summoning illusions. Shatters are replaced by instrument skills, which consume notes to continue playing. Gain access to Tales. While out of combat, you will automatically stock a blade [ sic ] every 10 seconds.</v>
      </c>
      <c r="N3" s="85"/>
    </row>
    <row r="4" spans="1:14" ht="99.75" customHeight="1">
      <c r="A4" s="98" t="s">
        <v>19</v>
      </c>
      <c r="B4" s="86" t="str">
        <f>IF(Spec1MajorAdept=0,"",Spec1MajorAdept)</f>
        <v>Persistence of Memory</v>
      </c>
      <c r="C4" s="429" t="s">
        <v>4</v>
      </c>
      <c r="D4" s="428">
        <v>0</v>
      </c>
      <c r="E4" s="434" t="str" cm="1">
        <f t="array" ref="E4">_xlfn.LET(_xlpm.val,VLOOKUP(Spec1MajorAdept,TraitTable,5,0),IF(ISNA(_xlpm.val),"",_xlpm.val))</f>
        <v>When a phantasm becomes a clone, it transfers its boons to you.</v>
      </c>
      <c r="F4" s="87" t="str">
        <f>IF(Spec2MajorAdept=0,"",Spec2MajorAdept)</f>
        <v>(Select)</v>
      </c>
      <c r="G4" s="429" t="s">
        <v>4</v>
      </c>
      <c r="H4" s="428">
        <v>0</v>
      </c>
      <c r="I4" s="434" t="str" cm="1">
        <f t="array" ref="I4">_xlfn.LET(_xlpm.val,VLOOKUP(Spec2MajorAdept,TraitTable,5,0),IF(ISNA(_xlpm.val),"",_xlpm.val))</f>
        <v/>
      </c>
      <c r="J4" s="87" t="str">
        <f>IF(Spec3MajorAdept=0,"",Spec3MajorAdept)</f>
        <v>Illusionary Defense</v>
      </c>
      <c r="K4" s="429" t="s">
        <v>4</v>
      </c>
      <c r="L4" s="432">
        <v>0</v>
      </c>
      <c r="M4" s="434" t="str" cm="1">
        <f t="array" ref="M4">_xlfn.LET(_xlpm.val,VLOOKUP(Spec3MajorAdept,TraitTable,5,0),IF(ISNA(_xlpm.val),"",_xlpm.val))</f>
        <v>Grant protection to nearby allies when you use Shatter skill 2.</v>
      </c>
      <c r="N4" s="85"/>
    </row>
    <row r="5" spans="1:14" ht="99.75" customHeight="1">
      <c r="A5" s="98" t="s">
        <v>95</v>
      </c>
      <c r="B5" s="86" t="str">
        <f>Spec1MinorMaster</f>
        <v>Compounding Power</v>
      </c>
      <c r="C5" s="429" t="s">
        <v>96</v>
      </c>
      <c r="D5" s="428">
        <v>2</v>
      </c>
      <c r="E5" s="434" t="str" cm="1">
        <f t="array" ref="E5">_xlfn.LET(_xlpm.val,VLOOKUP(Spec1MinorMaster,TraitTable,5,0),IF(ISNA(_xlpm.val),"",_xlpm.val))</f>
        <v>Creating an illusion increases your outgoing damage and condition damage for a short duration. Virtuoso : Triggers when stocking a blade.</v>
      </c>
      <c r="F5" s="87" t="str">
        <f>Spec2MinorMaster</f>
        <v>Inspiring Distortion</v>
      </c>
      <c r="G5" s="429" t="s">
        <v>4</v>
      </c>
      <c r="H5" s="428">
        <v>0</v>
      </c>
      <c r="I5" s="434" t="str" cm="1">
        <f t="array" ref="I5">_xlfn.LET(_xlpm.val,VLOOKUP(Spec2MinorMaster,TraitTable,5,0),IF(ISNA(_xlpm.val),"",_xlpm.val))</f>
        <v>Grant aegis to other nearby allies whenever you give yourself distortion or use Shatter skill 4.</v>
      </c>
      <c r="J5" s="87" t="str">
        <f>Spec3MinorMaster</f>
        <v>Symphonic Resonance</v>
      </c>
      <c r="K5" s="429" t="s">
        <v>97</v>
      </c>
      <c r="L5" s="432">
        <v>0</v>
      </c>
      <c r="M5" s="434" t="str" cm="1">
        <f t="array" ref="M5">_xlfn.LET(_xlpm.val,VLOOKUP(Spec3MinorMaster,TraitTable,5,0),IF(ISNA(_xlpm.val),"",_xlpm.val))</f>
        <v>Instruments provide bonuses while playing in the background.</v>
      </c>
      <c r="N5" s="85"/>
    </row>
    <row r="6" spans="1:14" ht="99.75" customHeight="1">
      <c r="A6" s="98" t="s">
        <v>22</v>
      </c>
      <c r="B6" s="86" t="str">
        <f>IF(Spec1MajorMaster=0,"",Spec1MajorMaster)</f>
        <v>(Select)</v>
      </c>
      <c r="C6" s="429" t="s">
        <v>4</v>
      </c>
      <c r="D6" s="428">
        <v>0</v>
      </c>
      <c r="E6" s="434" t="str" cm="1">
        <f t="array" ref="E6">_xlfn.LET(_xlpm.val,VLOOKUP(Spec1MajorMaster,TraitTable,5,0),IF(ISNA(_xlpm.val),"",_xlpm.val))</f>
        <v/>
      </c>
      <c r="F6" s="87" t="str">
        <f>IF(Spec2MajorMaster=0,"",Spec2MajorMaster)</f>
        <v>Warden's Feedback</v>
      </c>
      <c r="G6" s="429" t="s">
        <v>4</v>
      </c>
      <c r="H6" s="428">
        <v>0</v>
      </c>
      <c r="I6" s="434" t="str" cm="1">
        <f t="array" ref="I6">_xlfn.LET(_xlpm.val,VLOOKUP(Spec2MajorMaster,TraitTable,5,0),IF(ISNA(_xlpm.val),"",_xlpm.val))</f>
        <v>Focus weapon skills reflect projectiles. Reduces recharge on focus weapon skills.</v>
      </c>
      <c r="J6" s="87" t="str">
        <f>IF(Spec3MajorMaster=0,"",Spec3MajorMaster)</f>
        <v>(Select)</v>
      </c>
      <c r="K6" s="429" t="s">
        <v>4</v>
      </c>
      <c r="L6" s="432">
        <v>0</v>
      </c>
      <c r="M6" s="434" t="str" cm="1">
        <f t="array" ref="M6">_xlfn.LET(_xlpm.val,VLOOKUP(Spec3MajorMaster,TraitTable,5,0),IF(ISNA(_xlpm.val),"",_xlpm.val))</f>
        <v/>
      </c>
      <c r="N6" s="85"/>
    </row>
    <row r="7" spans="1:14" ht="99.75" customHeight="1">
      <c r="A7" s="98" t="s">
        <v>98</v>
      </c>
      <c r="B7" s="86" t="str">
        <f>Spec1MinorGrandmaster</f>
        <v>Master of Misdirection</v>
      </c>
      <c r="C7" s="429" t="s">
        <v>4</v>
      </c>
      <c r="D7" s="428">
        <v>0</v>
      </c>
      <c r="E7" s="434" t="str" cm="1">
        <f t="array" ref="E7">_xlfn.LET(_xlpm.val,VLOOKUP(Spec1MinorGrandmaster,TraitTable,5,0),IF(ISNA(_xlpm.val),"",_xlpm.val))</f>
        <v>Shatter skills gain recharge reduction.</v>
      </c>
      <c r="F7" s="87" t="str">
        <f>Spec2MinorGrandmaster</f>
        <v>Illusionary Inspiration</v>
      </c>
      <c r="G7" s="429" t="s">
        <v>4</v>
      </c>
      <c r="H7" s="428">
        <v>0</v>
      </c>
      <c r="I7" s="434" t="str" cm="1">
        <f t="array" ref="I7">_xlfn.LET(_xlpm.val,VLOOKUP(Spec2MinorGrandmaster,TraitTable,5,0),IF(ISNA(_xlpm.val),"",_xlpm.val))</f>
        <v>Increase healing to other allies. Summoning an illusion heals all allies around you. Virtuoso : Triggers when stocking a blade.</v>
      </c>
      <c r="J7" s="87" t="str">
        <f>Spec3MinorGrandmaster</f>
        <v>Harmonize</v>
      </c>
      <c r="K7" s="429" t="s">
        <v>4</v>
      </c>
      <c r="L7" s="432">
        <v>0</v>
      </c>
      <c r="M7" s="434" t="str" cm="1">
        <f t="array" ref="M7">_xlfn.LET(_xlpm.val,VLOOKUP(Spec3MinorGrandmaster,TraitTable,5,0),IF(ISNA(_xlpm.val),"",_xlpm.val))</f>
        <v>Gain a note when you use a phantasm skill.</v>
      </c>
      <c r="N7" s="85"/>
    </row>
    <row r="8" spans="1:14" ht="99.75" customHeight="1">
      <c r="A8" s="99" t="s">
        <v>24</v>
      </c>
      <c r="B8" s="88" t="str">
        <f>IF(Spec1MajorGrandmaster=0,"",Spec1MajorGrandmaster)</f>
        <v>(Select)</v>
      </c>
      <c r="C8" s="447" t="s">
        <v>4</v>
      </c>
      <c r="D8" s="430">
        <v>0</v>
      </c>
      <c r="E8" s="435" t="str" cm="1">
        <f t="array" ref="E8">_xlfn.LET(_xlpm.val,VLOOKUP(Spec1MajorGrandmaster,TraitTable,5,0),IF(ISNA(_xlpm.val),"",_xlpm.val))</f>
        <v/>
      </c>
      <c r="F8" s="89" t="str">
        <f>IF(Spec2MajorGrandmaster=0,"",Spec2MajorGrandmaster)</f>
        <v>(Select)</v>
      </c>
      <c r="G8" s="447" t="s">
        <v>4</v>
      </c>
      <c r="H8" s="430">
        <v>0</v>
      </c>
      <c r="I8" s="435" t="str" cm="1">
        <f t="array" ref="I8">_xlfn.LET(_xlpm.val,VLOOKUP(Spec2MajorGrandmaster,TraitTable,5,0),IF(ISNA(_xlpm.val),"",_xlpm.val))</f>
        <v/>
      </c>
      <c r="J8" s="89" t="str">
        <f>IF(Spec3MajorGrandmaster=0,"",Spec3MajorGrandmaster)</f>
        <v>(Select)</v>
      </c>
      <c r="K8" s="447" t="s">
        <v>99</v>
      </c>
      <c r="L8" s="422">
        <v>0</v>
      </c>
      <c r="M8" s="435" t="str" cm="1">
        <f t="array" ref="M8">_xlfn.LET(_xlpm.val,VLOOKUP(Spec3MajorGrandmaster,TraitTable,5,0),IF(ISNA(_xlpm.val),"",_xlpm.val))</f>
        <v/>
      </c>
      <c r="N8" s="85"/>
    </row>
    <row r="9" spans="1:14">
      <c r="A9" s="85"/>
      <c r="B9" s="85"/>
      <c r="C9" s="85"/>
      <c r="D9" s="85"/>
      <c r="E9" s="85"/>
      <c r="F9" s="85"/>
      <c r="G9" s="85"/>
      <c r="H9" s="85"/>
      <c r="I9" s="85"/>
      <c r="J9" s="85"/>
      <c r="K9" s="85"/>
      <c r="L9" s="85"/>
      <c r="M9" s="85"/>
      <c r="N9" s="90" t="s">
        <v>18</v>
      </c>
    </row>
    <row r="10" spans="1:14">
      <c r="A10" s="85"/>
      <c r="B10" s="85"/>
      <c r="C10" s="85"/>
      <c r="D10" s="85"/>
      <c r="E10" s="85"/>
      <c r="F10" s="85"/>
      <c r="G10" s="85"/>
      <c r="H10" s="85"/>
      <c r="I10" s="85"/>
      <c r="J10" s="85"/>
      <c r="K10" s="85"/>
      <c r="L10" s="85"/>
      <c r="M10" s="85"/>
      <c r="N10" s="91" t="s">
        <v>100</v>
      </c>
    </row>
    <row r="11" spans="1:14" ht="25.5">
      <c r="A11" s="85"/>
      <c r="B11" s="85"/>
      <c r="C11" s="85"/>
      <c r="D11" s="85"/>
      <c r="E11" s="85"/>
      <c r="F11" s="85"/>
      <c r="G11" s="85"/>
      <c r="H11" s="85"/>
      <c r="I11" s="85"/>
      <c r="J11" s="85"/>
      <c r="K11" s="85"/>
      <c r="L11" s="85"/>
      <c r="M11" s="85"/>
      <c r="N11" s="92" t="s">
        <v>101</v>
      </c>
    </row>
    <row r="12" spans="1:14">
      <c r="A12" s="93" t="s">
        <v>6</v>
      </c>
      <c r="B12" s="100">
        <f>'Build &amp; Totals'!B56</f>
        <v>1672.94</v>
      </c>
      <c r="C12" s="509" t="s">
        <v>75</v>
      </c>
      <c r="D12" s="69">
        <f>'Build &amp; Totals'!D56</f>
        <v>17482</v>
      </c>
      <c r="E12" s="85"/>
      <c r="F12" s="85"/>
      <c r="J12" s="85"/>
      <c r="K12" s="85"/>
      <c r="L12" s="85"/>
      <c r="M12" s="85"/>
      <c r="N12" s="85"/>
    </row>
    <row r="13" spans="1:14">
      <c r="A13" s="84" t="s">
        <v>102</v>
      </c>
      <c r="B13" s="101" t="str">
        <f>'Build &amp; Totals'!B57</f>
        <v>1594  (876)</v>
      </c>
      <c r="C13" s="510" t="s">
        <v>78</v>
      </c>
      <c r="D13" s="69">
        <f>'Build &amp; Totals'!D57</f>
        <v>2128</v>
      </c>
      <c r="E13" s="85"/>
      <c r="F13" s="85"/>
      <c r="J13" s="85"/>
      <c r="K13" s="85"/>
      <c r="L13" s="85"/>
      <c r="M13" s="85"/>
      <c r="N13" s="85"/>
    </row>
    <row r="14" spans="1:14">
      <c r="A14" s="84" t="s">
        <v>8</v>
      </c>
      <c r="B14" s="101">
        <f>'Build &amp; Totals'!B58</f>
        <v>1221</v>
      </c>
      <c r="C14" s="84" t="s">
        <v>80</v>
      </c>
      <c r="D14" s="103">
        <f>'Build &amp; Totals'!D58</f>
        <v>0.58285714285714285</v>
      </c>
      <c r="E14" s="85"/>
      <c r="F14" s="85"/>
      <c r="J14" s="85"/>
      <c r="K14" s="85"/>
      <c r="L14" s="85"/>
      <c r="M14" s="85"/>
      <c r="N14" s="85"/>
    </row>
    <row r="15" spans="1:14">
      <c r="A15" s="84" t="s">
        <v>9</v>
      </c>
      <c r="B15" s="101">
        <f>'Build &amp; Totals'!B59</f>
        <v>1156</v>
      </c>
      <c r="C15" s="84" t="s">
        <v>82</v>
      </c>
      <c r="D15" s="103">
        <f>'Build &amp; Totals'!D59</f>
        <v>1.6653333333333333</v>
      </c>
      <c r="E15" s="85"/>
      <c r="F15" s="85"/>
      <c r="J15" s="85"/>
      <c r="K15" s="85"/>
      <c r="L15" s="85"/>
      <c r="M15" s="85"/>
      <c r="N15" s="85"/>
    </row>
    <row r="16" spans="1:14">
      <c r="A16" s="84" t="s">
        <v>10</v>
      </c>
      <c r="B16" s="101" t="str">
        <f>'Build &amp; Totals'!B60</f>
        <v>10  (1490)</v>
      </c>
      <c r="C16" s="509" t="s">
        <v>84</v>
      </c>
      <c r="D16" s="103">
        <f>'Build &amp; Totals'!D60</f>
        <v>6.6666666666666662E-3</v>
      </c>
      <c r="E16" s="85"/>
      <c r="F16" s="85"/>
      <c r="J16" s="85"/>
      <c r="K16" s="85"/>
      <c r="L16" s="85"/>
      <c r="M16" s="85"/>
      <c r="N16" s="85"/>
    </row>
    <row r="17" spans="1:14">
      <c r="A17" s="84" t="s">
        <v>11</v>
      </c>
      <c r="B17" s="101">
        <f>'Build &amp; Totals'!B61</f>
        <v>343.2</v>
      </c>
      <c r="C17" s="84" t="s">
        <v>86</v>
      </c>
      <c r="D17" s="103">
        <f>'Build &amp; Totals'!D61</f>
        <v>0.17333333333333331</v>
      </c>
      <c r="E17" s="85"/>
      <c r="F17" s="85"/>
      <c r="J17" s="85"/>
      <c r="K17" s="85"/>
      <c r="L17" s="85"/>
      <c r="M17" s="85"/>
      <c r="N17" s="85"/>
    </row>
    <row r="18" spans="1:14">
      <c r="A18" s="84" t="s">
        <v>12</v>
      </c>
      <c r="B18" s="101" t="str">
        <f>'Build &amp; Totals'!B62</f>
        <v>260  (1240)</v>
      </c>
      <c r="C18" s="85"/>
      <c r="D18" s="85"/>
      <c r="E18" s="85"/>
      <c r="F18" s="85"/>
      <c r="J18" s="85"/>
      <c r="K18" s="85"/>
      <c r="L18" s="85"/>
      <c r="M18" s="85"/>
      <c r="N18" s="85"/>
    </row>
    <row r="19" spans="1:14">
      <c r="A19" s="84" t="s">
        <v>13</v>
      </c>
      <c r="B19" s="101">
        <f>'Build &amp; Totals'!B63</f>
        <v>248</v>
      </c>
      <c r="C19" s="85"/>
      <c r="D19" s="85"/>
      <c r="E19" s="85"/>
      <c r="F19" s="85"/>
      <c r="G19" s="85"/>
      <c r="H19" s="85"/>
      <c r="I19" s="85"/>
      <c r="J19" s="85"/>
      <c r="K19" s="85"/>
      <c r="L19" s="85"/>
      <c r="M19" s="85"/>
      <c r="N19" s="85"/>
    </row>
    <row r="20" spans="1:14">
      <c r="A20" s="94" t="s">
        <v>14</v>
      </c>
      <c r="B20" s="102">
        <f>'Build &amp; Totals'!B64</f>
        <v>47</v>
      </c>
      <c r="C20" s="95"/>
      <c r="D20" s="96"/>
      <c r="E20" s="85"/>
      <c r="F20" s="85"/>
      <c r="G20" s="85"/>
      <c r="H20" s="85"/>
      <c r="I20" s="85"/>
      <c r="J20" s="85"/>
      <c r="K20" s="85"/>
      <c r="L20" s="85"/>
      <c r="M20" s="85"/>
      <c r="N20" s="85"/>
    </row>
    <row r="21" spans="1:14" ht="15.75">
      <c r="A21" s="9"/>
      <c r="B21" s="17"/>
    </row>
  </sheetData>
  <sheetProtection sheet="1" objects="1" scenarios="1"/>
  <protectedRanges>
    <protectedRange sqref="C3:D8 G3:H8 K3:L8" name="Conditions Stacks"/>
  </protectedRanges>
  <mergeCells count="3">
    <mergeCell ref="B1:E1"/>
    <mergeCell ref="F1:I1"/>
    <mergeCell ref="J1:M1"/>
  </mergeCells>
  <conditionalFormatting sqref="D3">
    <cfRule type="expression" dxfId="122" priority="31">
      <formula>AND(D3&gt;0,Spec1MinorAdeptStacking)</formula>
    </cfRule>
    <cfRule type="expression" dxfId="121" priority="55">
      <formula>AND(D3=0,Spec1MinorAdeptStacking)</formula>
    </cfRule>
  </conditionalFormatting>
  <conditionalFormatting sqref="D4">
    <cfRule type="expression" dxfId="120" priority="30">
      <formula>AND(D4&gt;0,Spec1MajorAdeptStacking)</formula>
    </cfRule>
    <cfRule type="expression" dxfId="119" priority="54">
      <formula>AND(D4=0,Spec1MajorAdeptStacking)</formula>
    </cfRule>
  </conditionalFormatting>
  <conditionalFormatting sqref="D5">
    <cfRule type="expression" dxfId="118" priority="29">
      <formula>AND(D5&gt;0,Spec1MinorMasterStacking)</formula>
    </cfRule>
    <cfRule type="expression" dxfId="117" priority="53">
      <formula>AND(D5=0,Spec1MinorMasterStacking)</formula>
    </cfRule>
  </conditionalFormatting>
  <conditionalFormatting sqref="D6">
    <cfRule type="expression" dxfId="116" priority="28">
      <formula>AND(D6&gt;0,Spec1MajorMasterStacking)</formula>
    </cfRule>
    <cfRule type="expression" dxfId="115" priority="52">
      <formula>AND(D6=0,Spec1MajorMasterStacking)</formula>
    </cfRule>
  </conditionalFormatting>
  <conditionalFormatting sqref="D7">
    <cfRule type="expression" dxfId="114" priority="27">
      <formula>AND(D7&gt;0,Spec1MinorGrandmasterStacking)</formula>
    </cfRule>
    <cfRule type="expression" dxfId="113" priority="51">
      <formula>AND(D7=0,Spec1MinorGrandmasterStacking)</formula>
    </cfRule>
  </conditionalFormatting>
  <conditionalFormatting sqref="D8">
    <cfRule type="expression" dxfId="112" priority="26">
      <formula>AND(D8&gt;0,Spec1MajorGrandmasterStacking)</formula>
    </cfRule>
    <cfRule type="expression" dxfId="111" priority="50">
      <formula>AND(D8=0,Spec1MajorGrandmasterStacking)</formula>
    </cfRule>
  </conditionalFormatting>
  <conditionalFormatting sqref="H3">
    <cfRule type="expression" dxfId="110" priority="25">
      <formula>AND(H3&gt;0,Spec2MinorAdeptStacking)</formula>
    </cfRule>
    <cfRule type="expression" dxfId="109" priority="49">
      <formula>AND(H3=0,Spec2MinorAdeptStacking)</formula>
    </cfRule>
  </conditionalFormatting>
  <conditionalFormatting sqref="H4">
    <cfRule type="expression" dxfId="108" priority="37">
      <formula>AND(Spec2MajorAdeptStacking,H4&gt;0)</formula>
    </cfRule>
    <cfRule type="expression" dxfId="107" priority="48">
      <formula>AND(Spec2MajorAdeptStacking,H4=0)</formula>
    </cfRule>
  </conditionalFormatting>
  <conditionalFormatting sqref="H5">
    <cfRule type="expression" dxfId="106" priority="35">
      <formula>AND(Spec2MinorMasterStacking,H5&gt;0)</formula>
    </cfRule>
    <cfRule type="expression" dxfId="105" priority="47">
      <formula>AND(Spec2MinorMasterStacking,H5=0)</formula>
    </cfRule>
  </conditionalFormatting>
  <conditionalFormatting sqref="H6">
    <cfRule type="expression" dxfId="104" priority="34">
      <formula>AND(H6&gt;0,Spec2MajorMasterStacking)</formula>
    </cfRule>
    <cfRule type="expression" dxfId="103" priority="46">
      <formula>AND(H6=0,Spec2MajorMasterStacking)</formula>
    </cfRule>
  </conditionalFormatting>
  <conditionalFormatting sqref="H7">
    <cfRule type="expression" dxfId="102" priority="33">
      <formula>AND(H7&gt;0,Spec2MinorGrandmasterStacking)</formula>
    </cfRule>
    <cfRule type="expression" dxfId="101" priority="45">
      <formula>AND(H7=0,Spec2MinorGrandmasterStacking)</formula>
    </cfRule>
  </conditionalFormatting>
  <conditionalFormatting sqref="H8">
    <cfRule type="expression" dxfId="100" priority="32">
      <formula>AND(H8&gt;0,Spec2MajorGrandmasterStacking)</formula>
    </cfRule>
    <cfRule type="expression" dxfId="99" priority="44">
      <formula>AND(H8=0,Spec2MajorGrandmasterStacking)</formula>
    </cfRule>
  </conditionalFormatting>
  <conditionalFormatting sqref="L3">
    <cfRule type="expression" dxfId="98" priority="24">
      <formula>AND(L3&gt;0,Spec3MinorAdeptStacking)</formula>
    </cfRule>
    <cfRule type="expression" dxfId="97" priority="43">
      <formula>AND(L3=0,Spec3MinorAdeptStacking)</formula>
    </cfRule>
  </conditionalFormatting>
  <conditionalFormatting sqref="L4">
    <cfRule type="expression" dxfId="96" priority="23">
      <formula>AND(L4&gt;0,Spec3MajorAdeptStacking)</formula>
    </cfRule>
    <cfRule type="expression" dxfId="95" priority="42">
      <formula>AND(L4=0,Spec3MajorAdeptStacking)</formula>
    </cfRule>
  </conditionalFormatting>
  <conditionalFormatting sqref="L5">
    <cfRule type="expression" dxfId="94" priority="22">
      <formula>AND(L5&gt;0,Spec3MinorMasterStacking)</formula>
    </cfRule>
    <cfRule type="expression" dxfId="93" priority="41">
      <formula>AND(L5=0,Spec3MinorMasterStacking)</formula>
    </cfRule>
  </conditionalFormatting>
  <conditionalFormatting sqref="L6">
    <cfRule type="expression" dxfId="92" priority="21">
      <formula>AND(L6&gt;0,Spec3MajorMasterStacking)</formula>
    </cfRule>
    <cfRule type="expression" dxfId="91" priority="40">
      <formula>AND(L6=0,Spec3MajorMasterStacking)</formula>
    </cfRule>
  </conditionalFormatting>
  <conditionalFormatting sqref="L7">
    <cfRule type="expression" dxfId="90" priority="20">
      <formula>AND(L7&gt;0,Spec3MinorGrandmasterStacking)</formula>
    </cfRule>
    <cfRule type="expression" dxfId="89" priority="39">
      <formula>AND(L7=0,Spec3MinorGrandmasterStacking)</formula>
    </cfRule>
  </conditionalFormatting>
  <conditionalFormatting sqref="L8">
    <cfRule type="expression" dxfId="88" priority="19">
      <formula>AND(L8&gt;0,Spec3MajorGrandmasterStacking)</formula>
    </cfRule>
    <cfRule type="expression" dxfId="87" priority="38">
      <formula>AND(L8=0,Spec3MajorGrandmasterStacking)</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82" id="{9602A37A-F78E-4733-8FE6-A9D9832E3B3E}">
            <xm:f>AND(NOT(OR(C3=0,C3="(Select)")),'Trait Filters &amp; Checks'!$F$18=1)</xm:f>
            <x14:dxf>
              <font>
                <color rgb="FF006100"/>
              </font>
              <fill>
                <patternFill>
                  <bgColor rgb="FFC6EFCE"/>
                </patternFill>
              </fill>
            </x14:dxf>
          </x14:cfRule>
          <x14:cfRule type="expression" priority="383" id="{C5276A21-7994-4B19-ABDB-5F246BB35AFC}">
            <xm:f>AND(OR(C3=0,C3="(Select)"),'Trait Filters &amp; Checks'!$F$18=1)</xm:f>
            <x14:dxf>
              <font>
                <color rgb="FF9C5700"/>
              </font>
              <fill>
                <patternFill>
                  <bgColor rgb="FFFFEB9C"/>
                </patternFill>
              </fill>
            </x14:dxf>
          </x14:cfRule>
          <xm:sqref>C3</xm:sqref>
        </x14:conditionalFormatting>
        <x14:conditionalFormatting xmlns:xm="http://schemas.microsoft.com/office/excel/2006/main">
          <x14:cfRule type="expression" priority="384" id="{CEBCF0EE-5CB9-4EBD-82EC-78E81F98B14C}">
            <xm:f>AND(NOT(OR(C4=0,C4="(Select)")),'Trait Filters &amp; Checks'!$F$19=1)</xm:f>
            <x14:dxf>
              <font>
                <color rgb="FF006100"/>
              </font>
              <fill>
                <patternFill>
                  <bgColor rgb="FFC6EFCE"/>
                </patternFill>
              </fill>
            </x14:dxf>
          </x14:cfRule>
          <x14:cfRule type="expression" priority="385" id="{C46995E7-C6B0-40B9-BCF1-40E117482430}">
            <xm:f>AND(OR(C4=0,C4="(Select)"),'Trait Filters &amp; Checks'!$F$19=1)</xm:f>
            <x14:dxf>
              <font>
                <color rgb="FF9C5700"/>
              </font>
              <fill>
                <patternFill>
                  <bgColor rgb="FFFFEB9C"/>
                </patternFill>
              </fill>
            </x14:dxf>
          </x14:cfRule>
          <xm:sqref>C4</xm:sqref>
        </x14:conditionalFormatting>
        <x14:conditionalFormatting xmlns:xm="http://schemas.microsoft.com/office/excel/2006/main">
          <x14:cfRule type="expression" priority="386" id="{CFE9B108-1BC1-4BE3-B0DE-44406842866C}">
            <xm:f>AND(NOT(OR(C5=0,C5="(Select)")),'Trait Filters &amp; Checks'!$F$20=1)</xm:f>
            <x14:dxf>
              <font>
                <color rgb="FF006100"/>
              </font>
              <fill>
                <patternFill>
                  <bgColor rgb="FFC6EFCE"/>
                </patternFill>
              </fill>
            </x14:dxf>
          </x14:cfRule>
          <x14:cfRule type="expression" priority="387" id="{E5769834-21EA-43E3-A718-843E75CACFDF}">
            <xm:f>AND(OR(C5=0,C5="(Select)"),'Trait Filters &amp; Checks'!$F$20=1)</xm:f>
            <x14:dxf>
              <font>
                <color rgb="FF9C5700"/>
              </font>
              <fill>
                <patternFill>
                  <bgColor rgb="FFFFEB9C"/>
                </patternFill>
              </fill>
            </x14:dxf>
          </x14:cfRule>
          <xm:sqref>C5</xm:sqref>
        </x14:conditionalFormatting>
        <x14:conditionalFormatting xmlns:xm="http://schemas.microsoft.com/office/excel/2006/main">
          <x14:cfRule type="expression" priority="388" id="{36408A22-76A5-48B4-B46A-90F3363545F4}">
            <xm:f>AND(NOT(OR(C6=0,C6="(Select)")),'Trait Filters &amp; Checks'!$F$21=1)</xm:f>
            <x14:dxf>
              <font>
                <color rgb="FF006100"/>
              </font>
              <fill>
                <patternFill>
                  <bgColor rgb="FFC6EFCE"/>
                </patternFill>
              </fill>
            </x14:dxf>
          </x14:cfRule>
          <x14:cfRule type="expression" priority="389" id="{8F8672B9-0B5F-4048-9868-276AD3DAE678}">
            <xm:f>AND(OR(C6=0,C6="(Select)"),'Trait Filters &amp; Checks'!$F$21=1)</xm:f>
            <x14:dxf>
              <font>
                <color rgb="FF9C5700"/>
              </font>
              <fill>
                <patternFill>
                  <bgColor rgb="FFFFEB9C"/>
                </patternFill>
              </fill>
            </x14:dxf>
          </x14:cfRule>
          <xm:sqref>C6</xm:sqref>
        </x14:conditionalFormatting>
        <x14:conditionalFormatting xmlns:xm="http://schemas.microsoft.com/office/excel/2006/main">
          <x14:cfRule type="expression" priority="8" id="{469C1780-942B-460A-9180-46BD6CF45FD2}">
            <xm:f>AND(NOT(OR(C7=0,C7="(Select)")),'Trait Filters &amp; Checks'!$F$22=1)</xm:f>
            <x14:dxf>
              <font>
                <color rgb="FF006100"/>
              </font>
              <fill>
                <patternFill>
                  <bgColor rgb="FFC6EFCE"/>
                </patternFill>
              </fill>
            </x14:dxf>
          </x14:cfRule>
          <x14:cfRule type="expression" priority="9" id="{E30F4642-894C-4F72-AE0B-76D71E558FA4}">
            <xm:f>AND(OR(C7=0,C7="(Select)"),'Trait Filters &amp; Checks'!$F$22=1)</xm:f>
            <x14:dxf>
              <font>
                <color rgb="FF9C5700"/>
              </font>
              <fill>
                <patternFill>
                  <bgColor rgb="FFFFEB9C"/>
                </patternFill>
              </fill>
            </x14:dxf>
          </x14:cfRule>
          <xm:sqref>C7</xm:sqref>
        </x14:conditionalFormatting>
        <x14:conditionalFormatting xmlns:xm="http://schemas.microsoft.com/office/excel/2006/main">
          <x14:cfRule type="expression" priority="6" id="{A126B1E5-21D7-4AC5-A374-DC355F1B940A}">
            <xm:f>AND(NOT(OR(C8=0,C8="(Select)")),'Trait Filters &amp; Checks'!$F$23=1)</xm:f>
            <x14:dxf>
              <font>
                <color rgb="FF006100"/>
              </font>
              <fill>
                <patternFill>
                  <bgColor rgb="FFC6EFCE"/>
                </patternFill>
              </fill>
            </x14:dxf>
          </x14:cfRule>
          <x14:cfRule type="expression" priority="7" id="{CD784999-7D9D-449D-8A7B-3B2B396A2580}">
            <xm:f>AND(OR(C8=0,C8="(Select)"),'Trait Filters &amp; Checks'!$F$23=1)</xm:f>
            <x14:dxf>
              <font>
                <color rgb="FF9C5700"/>
              </font>
              <fill>
                <patternFill>
                  <bgColor rgb="FFFFEB9C"/>
                </patternFill>
              </fill>
            </x14:dxf>
          </x14:cfRule>
          <xm:sqref>C8</xm:sqref>
        </x14:conditionalFormatting>
        <x14:conditionalFormatting xmlns:xm="http://schemas.microsoft.com/office/excel/2006/main">
          <x14:cfRule type="expression" priority="398" id="{71E3886E-B176-4EF1-97E6-16C8BAA26ED8}">
            <xm:f>AND(OR($G3=0,$G3="(Select)"),'Trait Filters &amp; Checks'!$F24=1)</xm:f>
            <x14:dxf>
              <font>
                <color rgb="FF9C5700"/>
              </font>
              <fill>
                <patternFill>
                  <bgColor rgb="FFFFEB9C"/>
                </patternFill>
              </fill>
            </x14:dxf>
          </x14:cfRule>
          <x14:cfRule type="expression" priority="399" id="{05E74FD0-BF85-406E-8BCC-ED120C808F99}">
            <xm:f>AND(NOT(OR($G3=0,$G3="(Select)")),'Trait Filters &amp; Checks'!$F24=1)</xm:f>
            <x14:dxf>
              <font>
                <color rgb="FF006100"/>
              </font>
              <fill>
                <patternFill>
                  <bgColor rgb="FFC6EFCE"/>
                </patternFill>
              </fill>
            </x14:dxf>
          </x14:cfRule>
          <xm:sqref>G3:G8</xm:sqref>
        </x14:conditionalFormatting>
        <x14:conditionalFormatting xmlns:xm="http://schemas.microsoft.com/office/excel/2006/main">
          <x14:cfRule type="expression" priority="400" id="{08D2B4F6-00F4-4533-BC26-30499AAA5402}">
            <xm:f>AND(NOT(OR($K3=0,$K3="(Select)")),'Trait Filters &amp; Checks'!$F30=1)</xm:f>
            <x14:dxf>
              <font>
                <color rgb="FF006100"/>
              </font>
              <fill>
                <patternFill>
                  <bgColor rgb="FFC6EFCE"/>
                </patternFill>
              </fill>
            </x14:dxf>
          </x14:cfRule>
          <x14:cfRule type="expression" priority="401" id="{57688FA5-3F85-46AF-9DC5-1B2E9EFE69CA}">
            <xm:f>AND(OR($K3=0,$K3="(Select)"),'Trait Filters &amp; Checks'!$F30=1)</xm:f>
            <x14:dxf>
              <font>
                <color rgb="FF9C5700"/>
              </font>
              <fill>
                <patternFill>
                  <bgColor rgb="FFFFEB9C"/>
                </patternFill>
              </fill>
            </x14:dxf>
          </x14:cfRule>
          <xm:sqref>K3:K8</xm:sqref>
        </x14:conditionalFormatting>
      </x14:conditionalFormattings>
    </ext>
    <ext xmlns:x14="http://schemas.microsoft.com/office/spreadsheetml/2009/9/main" uri="{CCE6A557-97BC-4b89-ADB6-D9C93CAAB3DF}">
      <x14:dataValidations xmlns:xm="http://schemas.microsoft.com/office/excel/2006/main" count="36">
        <x14:dataValidation type="list" allowBlank="1" showInputMessage="1" showErrorMessage="1" xr:uid="{DF570664-C60C-41D9-82BD-9534F0257D97}">
          <x14:formula1>
            <xm:f>'Trait Filters &amp; Checks'!$T$28:$T$37</xm:f>
          </x14:formula1>
          <xm:sqref>K6</xm:sqref>
        </x14:dataValidation>
        <x14:dataValidation type="list" allowBlank="1" showInputMessage="1" showErrorMessage="1" xr:uid="{A3CCF2B9-8542-4450-BC50-40AABDCE6257}">
          <x14:formula1>
            <xm:f>'Trait Filters &amp; Checks'!$S$28:$S$37</xm:f>
          </x14:formula1>
          <xm:sqref>K5</xm:sqref>
        </x14:dataValidation>
        <x14:dataValidation type="list" allowBlank="1" showInputMessage="1" showErrorMessage="1" xr:uid="{941B524F-8429-42F6-805A-AD6F96F94F0F}">
          <x14:formula1>
            <xm:f>'Trait Filters &amp; Checks'!$Q$28:$Q$37</xm:f>
          </x14:formula1>
          <xm:sqref>K3</xm:sqref>
        </x14:dataValidation>
        <x14:dataValidation type="list" allowBlank="1" showInputMessage="1" showErrorMessage="1" xr:uid="{24FEDEAA-8CCB-4DA6-AF1D-3D611E97131D}">
          <x14:formula1>
            <xm:f>'Trait Filters &amp; Checks'!$V$28:$V$37</xm:f>
          </x14:formula1>
          <xm:sqref>K8</xm:sqref>
        </x14:dataValidation>
        <x14:dataValidation type="list" allowBlank="1" showInputMessage="1" showErrorMessage="1" xr:uid="{3B3366CB-7E1D-4A16-9CAA-CBAAEEBAEE76}">
          <x14:formula1>
            <xm:f>'Trait Filters &amp; Checks'!$U$28:$U$37</xm:f>
          </x14:formula1>
          <xm:sqref>K7</xm:sqref>
        </x14:dataValidation>
        <x14:dataValidation type="list" allowBlank="1" showInputMessage="1" showErrorMessage="1" xr:uid="{8003E889-7469-4EB5-8805-6CBE64404C32}">
          <x14:formula1>
            <xm:f>'Trait Filters &amp; Checks'!$R$28:$R$37</xm:f>
          </x14:formula1>
          <xm:sqref>K4</xm:sqref>
        </x14:dataValidation>
        <x14:dataValidation type="list" allowBlank="1" showInputMessage="1" showErrorMessage="1" xr:uid="{B01896DC-A066-401C-AC07-328A12C4CEA6}">
          <x14:formula1>
            <xm:f>'Trait Filters &amp; Checks'!$V$16:$V$25</xm:f>
          </x14:formula1>
          <xm:sqref>G8</xm:sqref>
        </x14:dataValidation>
        <x14:dataValidation type="list" allowBlank="1" showInputMessage="1" showErrorMessage="1" xr:uid="{2E6E2AC6-895F-4CB4-A40A-D3DB340B80BB}">
          <x14:formula1>
            <xm:f>'Trait Filters &amp; Checks'!$U$16:$U$25</xm:f>
          </x14:formula1>
          <xm:sqref>G7</xm:sqref>
        </x14:dataValidation>
        <x14:dataValidation type="list" allowBlank="1" showInputMessage="1" showErrorMessage="1" xr:uid="{E2E167CD-E56B-4E88-BB47-5C584009817E}">
          <x14:formula1>
            <xm:f>'Trait Filters &amp; Checks'!$T$16:$T$25</xm:f>
          </x14:formula1>
          <xm:sqref>G6</xm:sqref>
        </x14:dataValidation>
        <x14:dataValidation type="list" allowBlank="1" showInputMessage="1" showErrorMessage="1" xr:uid="{2B1C6267-7B30-4641-9A5D-E3CBAF153D29}">
          <x14:formula1>
            <xm:f>'Trait Filters &amp; Checks'!$S$16:$S$25</xm:f>
          </x14:formula1>
          <xm:sqref>G5</xm:sqref>
        </x14:dataValidation>
        <x14:dataValidation type="list" allowBlank="1" showInputMessage="1" showErrorMessage="1" xr:uid="{8D3FEE3D-DD1E-4A6B-9076-2A83A08D10A9}">
          <x14:formula1>
            <xm:f>'Trait Filters &amp; Checks'!$R$16:$R$25</xm:f>
          </x14:formula1>
          <xm:sqref>G4</xm:sqref>
        </x14:dataValidation>
        <x14:dataValidation type="list" allowBlank="1" showInputMessage="1" showErrorMessage="1" xr:uid="{C09F33F3-4613-4CC3-9329-BC34030219BC}">
          <x14:formula1>
            <xm:f>'Trait Filters &amp; Checks'!$Q$16:$Q$25</xm:f>
          </x14:formula1>
          <xm:sqref>G3</xm:sqref>
        </x14:dataValidation>
        <x14:dataValidation type="list" allowBlank="1" showInputMessage="1" showErrorMessage="1" xr:uid="{FC9A7363-A942-477D-A1FA-04AFE93BFA71}">
          <x14:formula1>
            <xm:f>'Trait Filters &amp; Checks'!$V$4:$V$13</xm:f>
          </x14:formula1>
          <xm:sqref>C8</xm:sqref>
        </x14:dataValidation>
        <x14:dataValidation type="list" allowBlank="1" showInputMessage="1" showErrorMessage="1" xr:uid="{5D2CE553-1C59-4DA3-9AFE-3473B7F6928B}">
          <x14:formula1>
            <xm:f>'Trait Filters &amp; Checks'!$U$4:$U$13</xm:f>
          </x14:formula1>
          <xm:sqref>C7</xm:sqref>
        </x14:dataValidation>
        <x14:dataValidation type="list" allowBlank="1" showInputMessage="1" showErrorMessage="1" xr:uid="{B1EC7B2D-57B3-44D5-AC82-9975133C5D5D}">
          <x14:formula1>
            <xm:f>'Trait Filters &amp; Checks'!$T$4:$T$13</xm:f>
          </x14:formula1>
          <xm:sqref>C6</xm:sqref>
        </x14:dataValidation>
        <x14:dataValidation type="list" allowBlank="1" showInputMessage="1" showErrorMessage="1" xr:uid="{C5D3D5B9-4AF3-47F2-A91B-F53DFFCC7715}">
          <x14:formula1>
            <xm:f>'Trait Filters &amp; Checks'!$S$4:$S$13</xm:f>
          </x14:formula1>
          <xm:sqref>C5</xm:sqref>
        </x14:dataValidation>
        <x14:dataValidation type="list" allowBlank="1" showInputMessage="1" showErrorMessage="1" xr:uid="{EEEBBA3D-8C34-410A-ACCF-BDF23E400056}">
          <x14:formula1>
            <xm:f>'Trait Filters &amp; Checks'!$R$4:$R$13</xm:f>
          </x14:formula1>
          <xm:sqref>C4</xm:sqref>
        </x14:dataValidation>
        <x14:dataValidation type="list" allowBlank="1" showInputMessage="1" showErrorMessage="1" xr:uid="{68907137-B193-4159-B6C9-C8B3E99932E4}">
          <x14:formula1>
            <xm:f>'Trait Filters &amp; Checks'!$Q$4:$Q$13</xm:f>
          </x14:formula1>
          <xm:sqref>C3</xm:sqref>
        </x14:dataValidation>
        <x14:dataValidation type="list" allowBlank="1" showInputMessage="1" showErrorMessage="1" xr:uid="{A78C573F-6B30-4712-983F-539C9BAC877D}">
          <x14:formula1>
            <xm:f>'Trait Filters &amp; Checks'!$Z$5:$AY$5</xm:f>
          </x14:formula1>
          <xm:sqref>D5</xm:sqref>
        </x14:dataValidation>
        <x14:dataValidation type="list" allowBlank="1" showInputMessage="1" showErrorMessage="1" xr:uid="{20C9A9D4-C1C8-4625-BB5C-029254B3453C}">
          <x14:formula1>
            <xm:f>'Trait Filters &amp; Checks'!$Z$4:$AY$4</xm:f>
          </x14:formula1>
          <xm:sqref>D4</xm:sqref>
        </x14:dataValidation>
        <x14:dataValidation type="list" allowBlank="1" showInputMessage="1" showErrorMessage="1" xr:uid="{AAF42A77-FCE7-4232-AA70-0C138621EE21}">
          <x14:formula1>
            <xm:f>'Trait Filters &amp; Checks'!$Z$3:$AY$3</xm:f>
          </x14:formula1>
          <xm:sqref>D3</xm:sqref>
        </x14:dataValidation>
        <x14:dataValidation type="list" allowBlank="1" showInputMessage="1" showErrorMessage="1" xr:uid="{28D1452D-4D91-4E3A-84BD-296251E9D725}">
          <x14:formula1>
            <xm:f>'Trait Filters &amp; Checks'!$Z$6:$AY$6</xm:f>
          </x14:formula1>
          <xm:sqref>D6</xm:sqref>
        </x14:dataValidation>
        <x14:dataValidation type="list" allowBlank="1" showInputMessage="1" showErrorMessage="1" xr:uid="{DB1BA3BB-FFF8-43FE-9E4E-A8D2EB1968EE}">
          <x14:formula1>
            <xm:f>'Trait Filters &amp; Checks'!$Z$7:$AY$7</xm:f>
          </x14:formula1>
          <xm:sqref>D7</xm:sqref>
        </x14:dataValidation>
        <x14:dataValidation type="list" allowBlank="1" showInputMessage="1" showErrorMessage="1" xr:uid="{5EC8AC6B-FE69-42CD-9971-137D3692AF83}">
          <x14:formula1>
            <xm:f>'Trait Filters &amp; Checks'!$Z$8:$AY$8</xm:f>
          </x14:formula1>
          <xm:sqref>D8</xm:sqref>
        </x14:dataValidation>
        <x14:dataValidation type="list" allowBlank="1" showInputMessage="1" showErrorMessage="1" xr:uid="{F72816BE-BBD0-4A4C-81C6-4E9BE389FC4C}">
          <x14:formula1>
            <xm:f>'Trait Filters &amp; Checks'!$Z$10:$AY$10</xm:f>
          </x14:formula1>
          <xm:sqref>H3</xm:sqref>
        </x14:dataValidation>
        <x14:dataValidation type="list" allowBlank="1" showInputMessage="1" showErrorMessage="1" xr:uid="{F589EADF-F759-4427-9257-3AA5BD86DFFF}">
          <x14:formula1>
            <xm:f>'Trait Filters &amp; Checks'!$Z$11:$AY$11</xm:f>
          </x14:formula1>
          <xm:sqref>H4</xm:sqref>
        </x14:dataValidation>
        <x14:dataValidation type="list" allowBlank="1" showInputMessage="1" showErrorMessage="1" xr:uid="{B452E794-1E7F-4BF4-A51F-8C279AE82627}">
          <x14:formula1>
            <xm:f>'Trait Filters &amp; Checks'!$Z$12:$AY$12</xm:f>
          </x14:formula1>
          <xm:sqref>H5</xm:sqref>
        </x14:dataValidation>
        <x14:dataValidation type="list" allowBlank="1" showInputMessage="1" showErrorMessage="1" xr:uid="{A9ACFCD7-8287-46DF-ACFD-F1EB288C5F25}">
          <x14:formula1>
            <xm:f>'Trait Filters &amp; Checks'!$Z$13:$AY$13</xm:f>
          </x14:formula1>
          <xm:sqref>H6</xm:sqref>
        </x14:dataValidation>
        <x14:dataValidation type="list" allowBlank="1" showInputMessage="1" showErrorMessage="1" xr:uid="{BA4E8E01-6357-4632-A302-E05367E363CA}">
          <x14:formula1>
            <xm:f>'Trait Filters &amp; Checks'!$Z$14:$AY$14</xm:f>
          </x14:formula1>
          <xm:sqref>H7</xm:sqref>
        </x14:dataValidation>
        <x14:dataValidation type="list" allowBlank="1" showInputMessage="1" showErrorMessage="1" xr:uid="{C56A43B7-0EA7-488B-8085-2A8863BB2DBE}">
          <x14:formula1>
            <xm:f>'Trait Filters &amp; Checks'!$Z$15:$AY$15</xm:f>
          </x14:formula1>
          <xm:sqref>H8</xm:sqref>
        </x14:dataValidation>
        <x14:dataValidation type="list" allowBlank="1" showInputMessage="1" showErrorMessage="1" xr:uid="{8B48BC12-567B-4383-8D90-450B22A543B3}">
          <x14:formula1>
            <xm:f>'Trait Filters &amp; Checks'!$Z$17:$AY$17</xm:f>
          </x14:formula1>
          <xm:sqref>L3</xm:sqref>
        </x14:dataValidation>
        <x14:dataValidation type="list" allowBlank="1" showInputMessage="1" showErrorMessage="1" xr:uid="{D1F2FD5D-B522-4F5A-8C5A-47D290D26003}">
          <x14:formula1>
            <xm:f>'Trait Filters &amp; Checks'!$Z$18:$AY$18</xm:f>
          </x14:formula1>
          <xm:sqref>L4</xm:sqref>
        </x14:dataValidation>
        <x14:dataValidation type="list" allowBlank="1" showInputMessage="1" showErrorMessage="1" xr:uid="{E14488B9-22A1-4351-A4C5-18F78B349D82}">
          <x14:formula1>
            <xm:f>'Trait Filters &amp; Checks'!$Z$19:$AY$19</xm:f>
          </x14:formula1>
          <xm:sqref>L5</xm:sqref>
        </x14:dataValidation>
        <x14:dataValidation type="list" allowBlank="1" showInputMessage="1" showErrorMessage="1" xr:uid="{1F82D3A2-B033-47CC-B1FD-1A8F41DB8CBC}">
          <x14:formula1>
            <xm:f>'Trait Filters &amp; Checks'!$Z$20:$AY$20</xm:f>
          </x14:formula1>
          <xm:sqref>L6</xm:sqref>
        </x14:dataValidation>
        <x14:dataValidation type="list" allowBlank="1" showInputMessage="1" showErrorMessage="1" xr:uid="{24249E3E-FF4D-4B89-BD27-08282FD05722}">
          <x14:formula1>
            <xm:f>'Trait Filters &amp; Checks'!$Z$21:$AY$21</xm:f>
          </x14:formula1>
          <xm:sqref>L7</xm:sqref>
        </x14:dataValidation>
        <x14:dataValidation type="list" allowBlank="1" showInputMessage="1" showErrorMessage="1" xr:uid="{F81DA19E-5A35-4348-8280-D757841D1A28}">
          <x14:formula1>
            <xm:f>'Trait Filters &amp; Checks'!$Z$22:$AY$22</xm:f>
          </x14:formula1>
          <xm:sqref>L8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BCDA-7B98-4B68-A40D-E36D9558E61E}">
  <dimension ref="A1:H1000"/>
  <sheetViews>
    <sheetView workbookViewId="0">
      <selection activeCell="F811" sqref="F811"/>
    </sheetView>
  </sheetViews>
  <sheetFormatPr defaultColWidth="9.140625" defaultRowHeight="14.25"/>
  <cols>
    <col min="1" max="1" width="33.85546875" style="331" bestFit="1" customWidth="1"/>
    <col min="2" max="2" width="30.5703125" style="332" bestFit="1" customWidth="1"/>
    <col min="3" max="3" width="17.5703125" style="332" bestFit="1" customWidth="1"/>
    <col min="4" max="4" width="19" style="178" bestFit="1" customWidth="1"/>
    <col min="5" max="5" width="95.140625" style="333" customWidth="1"/>
    <col min="6" max="6" width="18.140625" style="179" bestFit="1" customWidth="1"/>
    <col min="7" max="7" width="9.140625" style="173"/>
    <col min="8" max="8" width="19.140625" style="173" bestFit="1" customWidth="1"/>
    <col min="9" max="9" width="17.28515625" style="173" bestFit="1" customWidth="1"/>
    <col min="10" max="10" width="20.42578125" style="173" bestFit="1" customWidth="1"/>
    <col min="11" max="11" width="14.85546875" style="173" bestFit="1" customWidth="1"/>
    <col min="12" max="12" width="21.28515625" style="173" bestFit="1" customWidth="1"/>
    <col min="13" max="14" width="18" style="173" bestFit="1" customWidth="1"/>
    <col min="15" max="16384" width="9.140625" style="173"/>
  </cols>
  <sheetData>
    <row r="1" spans="1:8" s="310" customFormat="1" ht="21" customHeight="1">
      <c r="A1" s="323" t="s">
        <v>90</v>
      </c>
      <c r="B1" s="323" t="s">
        <v>103</v>
      </c>
      <c r="C1" s="323" t="s">
        <v>104</v>
      </c>
      <c r="D1" s="323" t="s">
        <v>105</v>
      </c>
      <c r="E1" s="324" t="s">
        <v>106</v>
      </c>
      <c r="F1" s="325" t="s">
        <v>107</v>
      </c>
    </row>
    <row r="2" spans="1:8" ht="15">
      <c r="A2" s="326" t="s">
        <v>108</v>
      </c>
      <c r="B2" s="327" t="s">
        <v>109</v>
      </c>
      <c r="C2" s="327" t="s">
        <v>110</v>
      </c>
      <c r="D2" s="328" t="s">
        <v>94</v>
      </c>
      <c r="E2" s="329" t="s">
        <v>111</v>
      </c>
      <c r="F2" s="330" t="str">
        <f>IF(AND(COUNTIF('Build &amp; Totals'!$A$4:$B$12,$C2)&gt;=1,Class=$B2),$A2,"")</f>
        <v/>
      </c>
      <c r="H2" s="336" t="s">
        <v>112</v>
      </c>
    </row>
    <row r="3" spans="1:8" ht="15">
      <c r="A3" s="331" t="s">
        <v>113</v>
      </c>
      <c r="B3" s="332" t="s">
        <v>109</v>
      </c>
      <c r="C3" s="332" t="s">
        <v>110</v>
      </c>
      <c r="D3" s="178" t="s">
        <v>19</v>
      </c>
      <c r="E3" s="333" t="s">
        <v>114</v>
      </c>
      <c r="F3" s="179" t="str">
        <f>IF(AND(COUNTIF('Build &amp; Totals'!$A$4:$B$12,$C3)&gt;=1,Class=$B3),$A3,"")</f>
        <v/>
      </c>
      <c r="H3" s="335" t="s">
        <v>115</v>
      </c>
    </row>
    <row r="4" spans="1:8">
      <c r="A4" s="331" t="s">
        <v>116</v>
      </c>
      <c r="B4" s="332" t="s">
        <v>109</v>
      </c>
      <c r="C4" s="332" t="s">
        <v>110</v>
      </c>
      <c r="D4" s="178" t="s">
        <v>19</v>
      </c>
      <c r="E4" s="333" t="s">
        <v>117</v>
      </c>
      <c r="F4" s="179" t="str">
        <f>IF(AND(COUNTIF('Build &amp; Totals'!$A$4:$B$12,$C4)&gt;=1,Class=$B4),$A4,"")</f>
        <v/>
      </c>
    </row>
    <row r="5" spans="1:8">
      <c r="A5" s="331" t="s">
        <v>118</v>
      </c>
      <c r="B5" s="332" t="s">
        <v>109</v>
      </c>
      <c r="C5" s="332" t="s">
        <v>110</v>
      </c>
      <c r="D5" s="178" t="s">
        <v>19</v>
      </c>
      <c r="E5" s="333" t="s">
        <v>119</v>
      </c>
      <c r="F5" s="179" t="str">
        <f>IF(AND(COUNTIF('Build &amp; Totals'!$A$4:$B$12,$C5)&gt;=1,Class=$B5),$A5,"")</f>
        <v/>
      </c>
    </row>
    <row r="6" spans="1:8">
      <c r="A6" s="331" t="s">
        <v>120</v>
      </c>
      <c r="B6" s="332" t="s">
        <v>109</v>
      </c>
      <c r="C6" s="332" t="s">
        <v>110</v>
      </c>
      <c r="D6" s="178" t="s">
        <v>95</v>
      </c>
      <c r="E6" s="333" t="s">
        <v>121</v>
      </c>
      <c r="F6" s="179" t="str">
        <f>IF(AND(COUNTIF('Build &amp; Totals'!$A$4:$B$12,$C6)&gt;=1,Class=$B6),$A6,"")</f>
        <v/>
      </c>
    </row>
    <row r="7" spans="1:8">
      <c r="A7" s="331" t="s">
        <v>122</v>
      </c>
      <c r="B7" s="332" t="s">
        <v>109</v>
      </c>
      <c r="C7" s="332" t="s">
        <v>110</v>
      </c>
      <c r="D7" s="178" t="s">
        <v>22</v>
      </c>
      <c r="E7" s="333" t="s">
        <v>123</v>
      </c>
      <c r="F7" s="179" t="str">
        <f>IF(AND(COUNTIF('Build &amp; Totals'!$A$4:$B$12,$C7)&gt;=1,Class=$B7),$A7,"")</f>
        <v/>
      </c>
    </row>
    <row r="8" spans="1:8" ht="23.25">
      <c r="A8" s="331" t="s">
        <v>124</v>
      </c>
      <c r="B8" s="332" t="s">
        <v>109</v>
      </c>
      <c r="C8" s="332" t="s">
        <v>110</v>
      </c>
      <c r="D8" s="178" t="s">
        <v>22</v>
      </c>
      <c r="E8" s="333" t="s">
        <v>125</v>
      </c>
      <c r="F8" s="179" t="str">
        <f>IF(AND(COUNTIF('Build &amp; Totals'!$A$4:$B$12,$C8)&gt;=1,Class=$B8),$A8,"")</f>
        <v/>
      </c>
    </row>
    <row r="9" spans="1:8">
      <c r="A9" s="331" t="s">
        <v>126</v>
      </c>
      <c r="B9" s="332" t="s">
        <v>109</v>
      </c>
      <c r="C9" s="332" t="s">
        <v>110</v>
      </c>
      <c r="D9" s="178" t="s">
        <v>22</v>
      </c>
      <c r="E9" s="333" t="s">
        <v>127</v>
      </c>
      <c r="F9" s="179" t="str">
        <f>IF(AND(COUNTIF('Build &amp; Totals'!$A$4:$B$12,$C9)&gt;=1,Class=$B9),$A9,"")</f>
        <v/>
      </c>
    </row>
    <row r="10" spans="1:8">
      <c r="A10" s="331" t="s">
        <v>128</v>
      </c>
      <c r="B10" s="332" t="s">
        <v>109</v>
      </c>
      <c r="C10" s="332" t="s">
        <v>110</v>
      </c>
      <c r="D10" s="178" t="s">
        <v>98</v>
      </c>
      <c r="E10" s="333" t="s">
        <v>129</v>
      </c>
      <c r="F10" s="179" t="str">
        <f>IF(AND(COUNTIF('Build &amp; Totals'!$A$4:$B$12,$C10)&gt;=1,Class=$B10),$A10,"")</f>
        <v/>
      </c>
    </row>
    <row r="11" spans="1:8">
      <c r="A11" s="331" t="s">
        <v>130</v>
      </c>
      <c r="B11" s="332" t="s">
        <v>109</v>
      </c>
      <c r="C11" s="332" t="s">
        <v>110</v>
      </c>
      <c r="D11" s="178" t="s">
        <v>24</v>
      </c>
      <c r="E11" s="333" t="s">
        <v>131</v>
      </c>
      <c r="F11" s="179" t="str">
        <f>IF(AND(COUNTIF('Build &amp; Totals'!$A$4:$B$12,$C11)&gt;=1,Class=$B11),$A11,"")</f>
        <v/>
      </c>
    </row>
    <row r="12" spans="1:8">
      <c r="A12" s="331" t="s">
        <v>132</v>
      </c>
      <c r="B12" s="332" t="s">
        <v>109</v>
      </c>
      <c r="C12" s="332" t="s">
        <v>110</v>
      </c>
      <c r="D12" s="178" t="s">
        <v>24</v>
      </c>
      <c r="E12" s="333" t="s">
        <v>133</v>
      </c>
      <c r="F12" s="179" t="str">
        <f>IF(AND(COUNTIF('Build &amp; Totals'!$A$4:$B$12,$C12)&gt;=1,Class=$B12),$A12,"")</f>
        <v/>
      </c>
    </row>
    <row r="13" spans="1:8">
      <c r="A13" s="331" t="s">
        <v>134</v>
      </c>
      <c r="B13" s="332" t="s">
        <v>109</v>
      </c>
      <c r="C13" s="332" t="s">
        <v>110</v>
      </c>
      <c r="D13" s="178" t="s">
        <v>24</v>
      </c>
      <c r="E13" s="333" t="s">
        <v>135</v>
      </c>
      <c r="F13" s="179" t="str">
        <f>IF(AND(COUNTIF('Build &amp; Totals'!$A$4:$B$12,$C13)&gt;=1,Class=$B13),$A13,"")</f>
        <v/>
      </c>
    </row>
    <row r="14" spans="1:8">
      <c r="A14" s="331" t="s">
        <v>136</v>
      </c>
      <c r="B14" s="332" t="s">
        <v>109</v>
      </c>
      <c r="C14" s="332" t="s">
        <v>137</v>
      </c>
      <c r="D14" s="178" t="s">
        <v>94</v>
      </c>
      <c r="E14" s="333" t="s">
        <v>138</v>
      </c>
      <c r="F14" s="179" t="str">
        <f>IF(AND(COUNTIF('Build &amp; Totals'!$A$4:$B$12,$C14)&gt;=1,Class=$B14),$A14,"")</f>
        <v/>
      </c>
    </row>
    <row r="15" spans="1:8">
      <c r="A15" s="331" t="s">
        <v>139</v>
      </c>
      <c r="B15" s="332" t="s">
        <v>109</v>
      </c>
      <c r="C15" s="332" t="s">
        <v>137</v>
      </c>
      <c r="D15" s="178" t="s">
        <v>19</v>
      </c>
      <c r="E15" s="333" t="s">
        <v>140</v>
      </c>
      <c r="F15" s="179" t="str">
        <f>IF(AND(COUNTIF('Build &amp; Totals'!$A$4:$B$12,$C15)&gt;=1,Class=$B15),$A15,"")</f>
        <v/>
      </c>
    </row>
    <row r="16" spans="1:8">
      <c r="A16" s="331" t="s">
        <v>141</v>
      </c>
      <c r="B16" s="332" t="s">
        <v>109</v>
      </c>
      <c r="C16" s="332" t="s">
        <v>137</v>
      </c>
      <c r="D16" s="178" t="s">
        <v>19</v>
      </c>
      <c r="E16" s="333" t="s">
        <v>142</v>
      </c>
      <c r="F16" s="179" t="str">
        <f>IF(AND(COUNTIF('Build &amp; Totals'!$A$4:$B$12,$C16)&gt;=1,Class=$B16),$A16,"")</f>
        <v/>
      </c>
    </row>
    <row r="17" spans="1:6">
      <c r="A17" s="331" t="s">
        <v>143</v>
      </c>
      <c r="B17" s="332" t="s">
        <v>109</v>
      </c>
      <c r="C17" s="332" t="s">
        <v>137</v>
      </c>
      <c r="D17" s="178" t="s">
        <v>19</v>
      </c>
      <c r="E17" s="333" t="s">
        <v>144</v>
      </c>
      <c r="F17" s="179" t="str">
        <f>IF(AND(COUNTIF('Build &amp; Totals'!$A$4:$B$12,$C17)&gt;=1,Class=$B17),$A17,"")</f>
        <v/>
      </c>
    </row>
    <row r="18" spans="1:6">
      <c r="A18" s="331" t="s">
        <v>145</v>
      </c>
      <c r="B18" s="332" t="s">
        <v>109</v>
      </c>
      <c r="C18" s="332" t="s">
        <v>137</v>
      </c>
      <c r="D18" s="178" t="s">
        <v>95</v>
      </c>
      <c r="E18" s="333" t="s">
        <v>146</v>
      </c>
      <c r="F18" s="179" t="str">
        <f>IF(AND(COUNTIF('Build &amp; Totals'!$A$4:$B$12,$C18)&gt;=1,Class=$B18),$A18,"")</f>
        <v/>
      </c>
    </row>
    <row r="19" spans="1:6">
      <c r="A19" s="331" t="s">
        <v>147</v>
      </c>
      <c r="B19" s="332" t="s">
        <v>109</v>
      </c>
      <c r="C19" s="332" t="s">
        <v>137</v>
      </c>
      <c r="D19" s="178" t="s">
        <v>22</v>
      </c>
      <c r="E19" s="333" t="s">
        <v>148</v>
      </c>
      <c r="F19" s="179" t="str">
        <f>IF(AND(COUNTIF('Build &amp; Totals'!$A$4:$B$12,$C19)&gt;=1,Class=$B19),$A19,"")</f>
        <v/>
      </c>
    </row>
    <row r="20" spans="1:6" ht="23.25">
      <c r="A20" s="331" t="s">
        <v>149</v>
      </c>
      <c r="B20" s="332" t="s">
        <v>109</v>
      </c>
      <c r="C20" s="332" t="s">
        <v>137</v>
      </c>
      <c r="D20" s="178" t="s">
        <v>22</v>
      </c>
      <c r="E20" s="333" t="s">
        <v>150</v>
      </c>
      <c r="F20" s="179" t="str">
        <f>IF(AND(COUNTIF('Build &amp; Totals'!$A$4:$B$12,$C20)&gt;=1,Class=$B20),$A20,"")</f>
        <v/>
      </c>
    </row>
    <row r="21" spans="1:6">
      <c r="A21" s="331" t="s">
        <v>151</v>
      </c>
      <c r="B21" s="332" t="s">
        <v>109</v>
      </c>
      <c r="C21" s="332" t="s">
        <v>137</v>
      </c>
      <c r="D21" s="178" t="s">
        <v>22</v>
      </c>
      <c r="E21" s="333" t="s">
        <v>152</v>
      </c>
      <c r="F21" s="179" t="str">
        <f>IF(AND(COUNTIF('Build &amp; Totals'!$A$4:$B$12,$C21)&gt;=1,Class=$B21),$A21,"")</f>
        <v/>
      </c>
    </row>
    <row r="22" spans="1:6">
      <c r="A22" s="331" t="s">
        <v>153</v>
      </c>
      <c r="B22" s="332" t="s">
        <v>109</v>
      </c>
      <c r="C22" s="332" t="s">
        <v>137</v>
      </c>
      <c r="D22" s="178" t="s">
        <v>98</v>
      </c>
      <c r="E22" s="333" t="s">
        <v>154</v>
      </c>
      <c r="F22" s="179" t="str">
        <f>IF(AND(COUNTIF('Build &amp; Totals'!$A$4:$B$12,$C22)&gt;=1,Class=$B22),$A22,"")</f>
        <v/>
      </c>
    </row>
    <row r="23" spans="1:6" ht="23.25">
      <c r="A23" s="331" t="s">
        <v>155</v>
      </c>
      <c r="B23" s="332" t="s">
        <v>109</v>
      </c>
      <c r="C23" s="332" t="s">
        <v>137</v>
      </c>
      <c r="D23" s="178" t="s">
        <v>24</v>
      </c>
      <c r="E23" s="333" t="s">
        <v>156</v>
      </c>
      <c r="F23" s="179" t="str">
        <f>IF(AND(COUNTIF('Build &amp; Totals'!$A$4:$B$12,$C23)&gt;=1,Class=$B23),$A23,"")</f>
        <v/>
      </c>
    </row>
    <row r="24" spans="1:6">
      <c r="A24" s="331" t="s">
        <v>157</v>
      </c>
      <c r="B24" s="332" t="s">
        <v>109</v>
      </c>
      <c r="C24" s="332" t="s">
        <v>137</v>
      </c>
      <c r="D24" s="178" t="s">
        <v>24</v>
      </c>
      <c r="E24" s="333" t="s">
        <v>158</v>
      </c>
      <c r="F24" s="179" t="str">
        <f>IF(AND(COUNTIF('Build &amp; Totals'!$A$4:$B$12,$C24)&gt;=1,Class=$B24),$A24,"")</f>
        <v/>
      </c>
    </row>
    <row r="25" spans="1:6">
      <c r="A25" s="331" t="s">
        <v>159</v>
      </c>
      <c r="B25" s="332" t="s">
        <v>109</v>
      </c>
      <c r="C25" s="332" t="s">
        <v>137</v>
      </c>
      <c r="D25" s="178" t="s">
        <v>24</v>
      </c>
      <c r="E25" s="333" t="s">
        <v>160</v>
      </c>
      <c r="F25" s="179" t="str">
        <f>IF(AND(COUNTIF('Build &amp; Totals'!$A$4:$B$12,$C25)&gt;=1,Class=$B25),$A25,"")</f>
        <v/>
      </c>
    </row>
    <row r="26" spans="1:6">
      <c r="A26" s="331" t="s">
        <v>161</v>
      </c>
      <c r="B26" s="332" t="s">
        <v>109</v>
      </c>
      <c r="C26" s="332" t="s">
        <v>162</v>
      </c>
      <c r="D26" s="178" t="s">
        <v>94</v>
      </c>
      <c r="E26" s="333" t="s">
        <v>163</v>
      </c>
      <c r="F26" s="179" t="str">
        <f>IF(AND(COUNTIF('Build &amp; Totals'!$A$4:$B$12,$C26)&gt;=1,Class=$B26),$A26,"")</f>
        <v/>
      </c>
    </row>
    <row r="27" spans="1:6">
      <c r="A27" s="331" t="s">
        <v>164</v>
      </c>
      <c r="B27" s="332" t="s">
        <v>109</v>
      </c>
      <c r="C27" s="332" t="s">
        <v>162</v>
      </c>
      <c r="D27" s="178" t="s">
        <v>19</v>
      </c>
      <c r="E27" s="333" t="s">
        <v>165</v>
      </c>
      <c r="F27" s="179" t="str">
        <f>IF(AND(COUNTIF('Build &amp; Totals'!$A$4:$B$12,$C27)&gt;=1,Class=$B27),$A27,"")</f>
        <v/>
      </c>
    </row>
    <row r="28" spans="1:6">
      <c r="A28" s="331" t="s">
        <v>166</v>
      </c>
      <c r="B28" s="332" t="s">
        <v>109</v>
      </c>
      <c r="C28" s="332" t="s">
        <v>162</v>
      </c>
      <c r="D28" s="178" t="s">
        <v>19</v>
      </c>
      <c r="E28" s="333" t="s">
        <v>167</v>
      </c>
      <c r="F28" s="179" t="str">
        <f>IF(AND(COUNTIF('Build &amp; Totals'!$A$4:$B$12,$C28)&gt;=1,Class=$B28),$A28,"")</f>
        <v/>
      </c>
    </row>
    <row r="29" spans="1:6">
      <c r="A29" s="331" t="s">
        <v>168</v>
      </c>
      <c r="B29" s="332" t="s">
        <v>109</v>
      </c>
      <c r="C29" s="332" t="s">
        <v>162</v>
      </c>
      <c r="D29" s="178" t="s">
        <v>19</v>
      </c>
      <c r="E29" s="333" t="s">
        <v>169</v>
      </c>
      <c r="F29" s="179" t="str">
        <f>IF(AND(COUNTIF('Build &amp; Totals'!$A$4:$B$12,$C29)&gt;=1,Class=$B29),$A29,"")</f>
        <v/>
      </c>
    </row>
    <row r="30" spans="1:6">
      <c r="A30" s="331" t="s">
        <v>170</v>
      </c>
      <c r="B30" s="332" t="s">
        <v>109</v>
      </c>
      <c r="C30" s="332" t="s">
        <v>162</v>
      </c>
      <c r="D30" s="178" t="s">
        <v>95</v>
      </c>
      <c r="E30" s="333" t="s">
        <v>171</v>
      </c>
      <c r="F30" s="179" t="str">
        <f>IF(AND(COUNTIF('Build &amp; Totals'!$A$4:$B$12,$C30)&gt;=1,Class=$B30),$A30,"")</f>
        <v/>
      </c>
    </row>
    <row r="31" spans="1:6">
      <c r="A31" s="331" t="s">
        <v>172</v>
      </c>
      <c r="B31" s="332" t="s">
        <v>109</v>
      </c>
      <c r="C31" s="332" t="s">
        <v>162</v>
      </c>
      <c r="D31" s="178" t="s">
        <v>22</v>
      </c>
      <c r="E31" s="333" t="s">
        <v>173</v>
      </c>
      <c r="F31" s="179" t="str">
        <f>IF(AND(COUNTIF('Build &amp; Totals'!$A$4:$B$12,$C31)&gt;=1,Class=$B31),$A31,"")</f>
        <v/>
      </c>
    </row>
    <row r="32" spans="1:6">
      <c r="A32" s="331" t="s">
        <v>174</v>
      </c>
      <c r="B32" s="332" t="s">
        <v>109</v>
      </c>
      <c r="C32" s="332" t="s">
        <v>162</v>
      </c>
      <c r="D32" s="178" t="s">
        <v>22</v>
      </c>
      <c r="E32" s="333" t="s">
        <v>175</v>
      </c>
      <c r="F32" s="179" t="str">
        <f>IF(AND(COUNTIF('Build &amp; Totals'!$A$4:$B$12,$C32)&gt;=1,Class=$B32),$A32,"")</f>
        <v/>
      </c>
    </row>
    <row r="33" spans="1:6">
      <c r="A33" s="331" t="s">
        <v>176</v>
      </c>
      <c r="B33" s="332" t="s">
        <v>109</v>
      </c>
      <c r="C33" s="332" t="s">
        <v>162</v>
      </c>
      <c r="D33" s="178" t="s">
        <v>22</v>
      </c>
      <c r="E33" s="333" t="s">
        <v>177</v>
      </c>
      <c r="F33" s="179" t="str">
        <f>IF(AND(COUNTIF('Build &amp; Totals'!$A$4:$B$12,$C33)&gt;=1,Class=$B33),$A33,"")</f>
        <v/>
      </c>
    </row>
    <row r="34" spans="1:6">
      <c r="A34" s="331" t="s">
        <v>178</v>
      </c>
      <c r="B34" s="332" t="s">
        <v>109</v>
      </c>
      <c r="C34" s="332" t="s">
        <v>162</v>
      </c>
      <c r="D34" s="178" t="s">
        <v>98</v>
      </c>
      <c r="E34" s="333" t="s">
        <v>179</v>
      </c>
      <c r="F34" s="179" t="str">
        <f>IF(AND(COUNTIF('Build &amp; Totals'!$A$4:$B$12,$C34)&gt;=1,Class=$B34),$A34,"")</f>
        <v/>
      </c>
    </row>
    <row r="35" spans="1:6">
      <c r="A35" s="331" t="s">
        <v>180</v>
      </c>
      <c r="B35" s="332" t="s">
        <v>109</v>
      </c>
      <c r="C35" s="332" t="s">
        <v>162</v>
      </c>
      <c r="D35" s="178" t="s">
        <v>24</v>
      </c>
      <c r="E35" s="333" t="s">
        <v>181</v>
      </c>
      <c r="F35" s="179" t="str">
        <f>IF(AND(COUNTIF('Build &amp; Totals'!$A$4:$B$12,$C35)&gt;=1,Class=$B35),$A35,"")</f>
        <v/>
      </c>
    </row>
    <row r="36" spans="1:6">
      <c r="A36" s="331" t="s">
        <v>182</v>
      </c>
      <c r="B36" s="332" t="s">
        <v>109</v>
      </c>
      <c r="C36" s="332" t="s">
        <v>162</v>
      </c>
      <c r="D36" s="178" t="s">
        <v>24</v>
      </c>
      <c r="E36" s="333" t="s">
        <v>183</v>
      </c>
      <c r="F36" s="179" t="str">
        <f>IF(AND(COUNTIF('Build &amp; Totals'!$A$4:$B$12,$C36)&gt;=1,Class=$B36),$A36,"")</f>
        <v/>
      </c>
    </row>
    <row r="37" spans="1:6">
      <c r="A37" s="331" t="s">
        <v>184</v>
      </c>
      <c r="B37" s="332" t="s">
        <v>109</v>
      </c>
      <c r="C37" s="332" t="s">
        <v>162</v>
      </c>
      <c r="D37" s="178" t="s">
        <v>24</v>
      </c>
      <c r="E37" s="333" t="s">
        <v>185</v>
      </c>
      <c r="F37" s="179" t="str">
        <f>IF(AND(COUNTIF('Build &amp; Totals'!$A$4:$B$12,$C37)&gt;=1,Class=$B37),$A37,"")</f>
        <v/>
      </c>
    </row>
    <row r="38" spans="1:6">
      <c r="A38" s="331" t="s">
        <v>186</v>
      </c>
      <c r="B38" s="332" t="s">
        <v>109</v>
      </c>
      <c r="C38" s="332" t="s">
        <v>187</v>
      </c>
      <c r="D38" s="178" t="s">
        <v>94</v>
      </c>
      <c r="E38" s="333" t="s">
        <v>188</v>
      </c>
      <c r="F38" s="179" t="str">
        <f>IF(AND(COUNTIF('Build &amp; Totals'!$A$4:$B$12,$C38)&gt;=1,Class=$B38),$A38,"")</f>
        <v/>
      </c>
    </row>
    <row r="39" spans="1:6" ht="23.25">
      <c r="A39" s="331" t="s">
        <v>189</v>
      </c>
      <c r="B39" s="332" t="s">
        <v>109</v>
      </c>
      <c r="C39" s="332" t="s">
        <v>187</v>
      </c>
      <c r="D39" s="178" t="s">
        <v>19</v>
      </c>
      <c r="E39" s="333" t="s">
        <v>190</v>
      </c>
      <c r="F39" s="179" t="str">
        <f>IF(AND(COUNTIF('Build &amp; Totals'!$A$4:$B$12,$C39)&gt;=1,Class=$B39),$A39,"")</f>
        <v/>
      </c>
    </row>
    <row r="40" spans="1:6" ht="23.25">
      <c r="A40" s="331" t="s">
        <v>191</v>
      </c>
      <c r="B40" s="332" t="s">
        <v>109</v>
      </c>
      <c r="C40" s="332" t="s">
        <v>187</v>
      </c>
      <c r="D40" s="178" t="s">
        <v>19</v>
      </c>
      <c r="E40" s="333" t="s">
        <v>192</v>
      </c>
      <c r="F40" s="179" t="str">
        <f>IF(AND(COUNTIF('Build &amp; Totals'!$A$4:$B$12,$C40)&gt;=1,Class=$B40),$A40,"")</f>
        <v/>
      </c>
    </row>
    <row r="41" spans="1:6">
      <c r="A41" s="331" t="s">
        <v>193</v>
      </c>
      <c r="B41" s="332" t="s">
        <v>109</v>
      </c>
      <c r="C41" s="332" t="s">
        <v>187</v>
      </c>
      <c r="D41" s="178" t="s">
        <v>19</v>
      </c>
      <c r="E41" s="333" t="s">
        <v>194</v>
      </c>
      <c r="F41" s="179" t="str">
        <f>IF(AND(COUNTIF('Build &amp; Totals'!$A$4:$B$12,$C41)&gt;=1,Class=$B41),$A41,"")</f>
        <v/>
      </c>
    </row>
    <row r="42" spans="1:6">
      <c r="A42" s="331" t="s">
        <v>195</v>
      </c>
      <c r="B42" s="332" t="s">
        <v>109</v>
      </c>
      <c r="C42" s="332" t="s">
        <v>187</v>
      </c>
      <c r="D42" s="178" t="s">
        <v>95</v>
      </c>
      <c r="E42" s="333" t="s">
        <v>196</v>
      </c>
      <c r="F42" s="179" t="str">
        <f>IF(AND(COUNTIF('Build &amp; Totals'!$A$4:$B$12,$C42)&gt;=1,Class=$B42),$A42,"")</f>
        <v/>
      </c>
    </row>
    <row r="43" spans="1:6" ht="23.25">
      <c r="A43" s="331" t="s">
        <v>197</v>
      </c>
      <c r="B43" s="332" t="s">
        <v>109</v>
      </c>
      <c r="C43" s="332" t="s">
        <v>187</v>
      </c>
      <c r="D43" s="178" t="s">
        <v>22</v>
      </c>
      <c r="E43" s="333" t="s">
        <v>198</v>
      </c>
      <c r="F43" s="179" t="str">
        <f>IF(AND(COUNTIF('Build &amp; Totals'!$A$4:$B$12,$C43)&gt;=1,Class=$B43),$A43,"")</f>
        <v/>
      </c>
    </row>
    <row r="44" spans="1:6">
      <c r="A44" s="331" t="s">
        <v>199</v>
      </c>
      <c r="B44" s="332" t="s">
        <v>109</v>
      </c>
      <c r="C44" s="332" t="s">
        <v>187</v>
      </c>
      <c r="D44" s="178" t="s">
        <v>22</v>
      </c>
      <c r="E44" s="333" t="s">
        <v>200</v>
      </c>
      <c r="F44" s="179" t="str">
        <f>IF(AND(COUNTIF('Build &amp; Totals'!$A$4:$B$12,$C44)&gt;=1,Class=$B44),$A44,"")</f>
        <v/>
      </c>
    </row>
    <row r="45" spans="1:6">
      <c r="A45" s="331" t="s">
        <v>201</v>
      </c>
      <c r="B45" s="332" t="s">
        <v>109</v>
      </c>
      <c r="C45" s="332" t="s">
        <v>187</v>
      </c>
      <c r="D45" s="178" t="s">
        <v>22</v>
      </c>
      <c r="E45" s="333" t="s">
        <v>202</v>
      </c>
      <c r="F45" s="179" t="str">
        <f>IF(AND(COUNTIF('Build &amp; Totals'!$A$4:$B$12,$C45)&gt;=1,Class=$B45),$A45,"")</f>
        <v/>
      </c>
    </row>
    <row r="46" spans="1:6">
      <c r="A46" s="331" t="s">
        <v>203</v>
      </c>
      <c r="B46" s="332" t="s">
        <v>109</v>
      </c>
      <c r="C46" s="332" t="s">
        <v>187</v>
      </c>
      <c r="D46" s="178" t="s">
        <v>98</v>
      </c>
      <c r="E46" s="333" t="s">
        <v>204</v>
      </c>
      <c r="F46" s="179" t="str">
        <f>IF(AND(COUNTIF('Build &amp; Totals'!$A$4:$B$12,$C46)&gt;=1,Class=$B46),$A46,"")</f>
        <v/>
      </c>
    </row>
    <row r="47" spans="1:6">
      <c r="A47" s="331" t="s">
        <v>205</v>
      </c>
      <c r="B47" s="332" t="s">
        <v>109</v>
      </c>
      <c r="C47" s="332" t="s">
        <v>187</v>
      </c>
      <c r="D47" s="178" t="s">
        <v>24</v>
      </c>
      <c r="E47" s="333" t="s">
        <v>206</v>
      </c>
      <c r="F47" s="179" t="str">
        <f>IF(AND(COUNTIF('Build &amp; Totals'!$A$4:$B$12,$C47)&gt;=1,Class=$B47),$A47,"")</f>
        <v/>
      </c>
    </row>
    <row r="48" spans="1:6">
      <c r="A48" s="331" t="s">
        <v>207</v>
      </c>
      <c r="B48" s="332" t="s">
        <v>109</v>
      </c>
      <c r="C48" s="332" t="s">
        <v>187</v>
      </c>
      <c r="D48" s="178" t="s">
        <v>24</v>
      </c>
      <c r="E48" s="333" t="s">
        <v>208</v>
      </c>
      <c r="F48" s="179" t="str">
        <f>IF(AND(COUNTIF('Build &amp; Totals'!$A$4:$B$12,$C48)&gt;=1,Class=$B48),$A48,"")</f>
        <v/>
      </c>
    </row>
    <row r="49" spans="1:6">
      <c r="A49" s="331" t="s">
        <v>209</v>
      </c>
      <c r="B49" s="332" t="s">
        <v>109</v>
      </c>
      <c r="C49" s="332" t="s">
        <v>187</v>
      </c>
      <c r="D49" s="178" t="s">
        <v>24</v>
      </c>
      <c r="E49" s="333" t="s">
        <v>210</v>
      </c>
      <c r="F49" s="179" t="str">
        <f>IF(AND(COUNTIF('Build &amp; Totals'!$A$4:$B$12,$C49)&gt;=1,Class=$B49),$A49,"")</f>
        <v/>
      </c>
    </row>
    <row r="50" spans="1:6">
      <c r="A50" s="331" t="s">
        <v>211</v>
      </c>
      <c r="B50" s="332" t="s">
        <v>109</v>
      </c>
      <c r="C50" s="332" t="s">
        <v>212</v>
      </c>
      <c r="D50" s="178" t="s">
        <v>94</v>
      </c>
      <c r="E50" s="333" t="s">
        <v>213</v>
      </c>
      <c r="F50" s="179" t="str">
        <f>IF(AND(COUNTIF('Build &amp; Totals'!$A$4:$B$12,$C50)&gt;=1,Class=$B50),$A50,"")</f>
        <v/>
      </c>
    </row>
    <row r="51" spans="1:6" ht="23.25">
      <c r="A51" s="331" t="s">
        <v>214</v>
      </c>
      <c r="B51" s="332" t="s">
        <v>109</v>
      </c>
      <c r="C51" s="332" t="s">
        <v>212</v>
      </c>
      <c r="D51" s="178" t="s">
        <v>19</v>
      </c>
      <c r="E51" s="333" t="s">
        <v>215</v>
      </c>
      <c r="F51" s="179" t="str">
        <f>IF(AND(COUNTIF('Build &amp; Totals'!$A$4:$B$12,$C51)&gt;=1,Class=$B51),$A51,"")</f>
        <v/>
      </c>
    </row>
    <row r="52" spans="1:6" ht="23.25">
      <c r="A52" s="331" t="s">
        <v>216</v>
      </c>
      <c r="B52" s="332" t="s">
        <v>109</v>
      </c>
      <c r="C52" s="332" t="s">
        <v>212</v>
      </c>
      <c r="D52" s="178" t="s">
        <v>19</v>
      </c>
      <c r="E52" s="333" t="s">
        <v>217</v>
      </c>
      <c r="F52" s="179" t="str">
        <f>IF(AND(COUNTIF('Build &amp; Totals'!$A$4:$B$12,$C52)&gt;=1,Class=$B52),$A52,"")</f>
        <v/>
      </c>
    </row>
    <row r="53" spans="1:6">
      <c r="A53" s="331" t="s">
        <v>218</v>
      </c>
      <c r="B53" s="332" t="s">
        <v>109</v>
      </c>
      <c r="C53" s="332" t="s">
        <v>212</v>
      </c>
      <c r="D53" s="178" t="s">
        <v>19</v>
      </c>
      <c r="E53" s="333" t="s">
        <v>219</v>
      </c>
      <c r="F53" s="179" t="str">
        <f>IF(AND(COUNTIF('Build &amp; Totals'!$A$4:$B$12,$C53)&gt;=1,Class=$B53),$A53,"")</f>
        <v/>
      </c>
    </row>
    <row r="54" spans="1:6">
      <c r="A54" s="331" t="s">
        <v>220</v>
      </c>
      <c r="B54" s="332" t="s">
        <v>109</v>
      </c>
      <c r="C54" s="332" t="s">
        <v>212</v>
      </c>
      <c r="D54" s="178" t="s">
        <v>95</v>
      </c>
      <c r="E54" s="333" t="s">
        <v>221</v>
      </c>
      <c r="F54" s="179" t="str">
        <f>IF(AND(COUNTIF('Build &amp; Totals'!$A$4:$B$12,$C54)&gt;=1,Class=$B54),$A54,"")</f>
        <v/>
      </c>
    </row>
    <row r="55" spans="1:6">
      <c r="A55" s="331" t="s">
        <v>222</v>
      </c>
      <c r="B55" s="332" t="s">
        <v>109</v>
      </c>
      <c r="C55" s="332" t="s">
        <v>212</v>
      </c>
      <c r="D55" s="178" t="s">
        <v>22</v>
      </c>
      <c r="E55" s="333" t="s">
        <v>223</v>
      </c>
      <c r="F55" s="179" t="str">
        <f>IF(AND(COUNTIF('Build &amp; Totals'!$A$4:$B$12,$C55)&gt;=1,Class=$B55),$A55,"")</f>
        <v/>
      </c>
    </row>
    <row r="56" spans="1:6">
      <c r="A56" s="331" t="s">
        <v>224</v>
      </c>
      <c r="B56" s="332" t="s">
        <v>109</v>
      </c>
      <c r="C56" s="332" t="s">
        <v>212</v>
      </c>
      <c r="D56" s="178" t="s">
        <v>22</v>
      </c>
      <c r="E56" s="333" t="s">
        <v>225</v>
      </c>
      <c r="F56" s="179" t="str">
        <f>IF(AND(COUNTIF('Build &amp; Totals'!$A$4:$B$12,$C56)&gt;=1,Class=$B56),$A56,"")</f>
        <v/>
      </c>
    </row>
    <row r="57" spans="1:6" ht="23.25">
      <c r="A57" s="331" t="s">
        <v>226</v>
      </c>
      <c r="B57" s="332" t="s">
        <v>109</v>
      </c>
      <c r="C57" s="332" t="s">
        <v>212</v>
      </c>
      <c r="D57" s="178" t="s">
        <v>22</v>
      </c>
      <c r="E57" s="333" t="s">
        <v>227</v>
      </c>
      <c r="F57" s="179" t="str">
        <f>IF(AND(COUNTIF('Build &amp; Totals'!$A$4:$B$12,$C57)&gt;=1,Class=$B57),$A57,"")</f>
        <v/>
      </c>
    </row>
    <row r="58" spans="1:6">
      <c r="A58" s="331" t="s">
        <v>228</v>
      </c>
      <c r="B58" s="332" t="s">
        <v>109</v>
      </c>
      <c r="C58" s="332" t="s">
        <v>212</v>
      </c>
      <c r="D58" s="178" t="s">
        <v>98</v>
      </c>
      <c r="E58" s="333" t="s">
        <v>229</v>
      </c>
      <c r="F58" s="179" t="str">
        <f>IF(AND(COUNTIF('Build &amp; Totals'!$A$4:$B$12,$C58)&gt;=1,Class=$B58),$A58,"")</f>
        <v/>
      </c>
    </row>
    <row r="59" spans="1:6">
      <c r="A59" s="331" t="s">
        <v>230</v>
      </c>
      <c r="B59" s="332" t="s">
        <v>109</v>
      </c>
      <c r="C59" s="332" t="s">
        <v>212</v>
      </c>
      <c r="D59" s="178" t="s">
        <v>24</v>
      </c>
      <c r="E59" s="333" t="s">
        <v>231</v>
      </c>
      <c r="F59" s="179" t="str">
        <f>IF(AND(COUNTIF('Build &amp; Totals'!$A$4:$B$12,$C59)&gt;=1,Class=$B59),$A59,"")</f>
        <v/>
      </c>
    </row>
    <row r="60" spans="1:6" ht="23.25">
      <c r="A60" s="331" t="s">
        <v>232</v>
      </c>
      <c r="B60" s="332" t="s">
        <v>109</v>
      </c>
      <c r="C60" s="332" t="s">
        <v>212</v>
      </c>
      <c r="D60" s="178" t="s">
        <v>24</v>
      </c>
      <c r="E60" s="333" t="s">
        <v>233</v>
      </c>
      <c r="F60" s="179" t="str">
        <f>IF(AND(COUNTIF('Build &amp; Totals'!$A$4:$B$12,$C60)&gt;=1,Class=$B60),$A60,"")</f>
        <v/>
      </c>
    </row>
    <row r="61" spans="1:6" ht="23.25">
      <c r="A61" s="331" t="s">
        <v>234</v>
      </c>
      <c r="B61" s="332" t="s">
        <v>109</v>
      </c>
      <c r="C61" s="332" t="s">
        <v>212</v>
      </c>
      <c r="D61" s="178" t="s">
        <v>24</v>
      </c>
      <c r="E61" s="333" t="s">
        <v>235</v>
      </c>
      <c r="F61" s="179" t="str">
        <f>IF(AND(COUNTIF('Build &amp; Totals'!$A$4:$B$12,$C61)&gt;=1,Class=$B61),$A61,"")</f>
        <v/>
      </c>
    </row>
    <row r="62" spans="1:6">
      <c r="A62" s="331" t="s">
        <v>236</v>
      </c>
      <c r="B62" s="332" t="s">
        <v>109</v>
      </c>
      <c r="C62" s="332" t="s">
        <v>237</v>
      </c>
      <c r="D62" s="178" t="s">
        <v>238</v>
      </c>
      <c r="E62" s="333" t="s">
        <v>239</v>
      </c>
      <c r="F62" s="179" t="str">
        <f>IF(AND(COUNTIF('Build &amp; Totals'!$A$4:$B$12,$C62)&gt;=1,Class=$B62),$A62,"")</f>
        <v/>
      </c>
    </row>
    <row r="63" spans="1:6" ht="23.25">
      <c r="A63" s="331" t="s">
        <v>240</v>
      </c>
      <c r="B63" s="332" t="s">
        <v>109</v>
      </c>
      <c r="C63" s="332" t="s">
        <v>237</v>
      </c>
      <c r="D63" s="178" t="s">
        <v>94</v>
      </c>
      <c r="E63" s="333" t="s">
        <v>241</v>
      </c>
      <c r="F63" s="179" t="str">
        <f>IF(AND(COUNTIF('Build &amp; Totals'!$A$4:$B$12,$C63)&gt;=1,Class=$B63),$A63,"")</f>
        <v/>
      </c>
    </row>
    <row r="64" spans="1:6">
      <c r="A64" s="331" t="s">
        <v>242</v>
      </c>
      <c r="B64" s="332" t="s">
        <v>109</v>
      </c>
      <c r="C64" s="332" t="s">
        <v>237</v>
      </c>
      <c r="D64" s="178" t="s">
        <v>19</v>
      </c>
      <c r="E64" s="333" t="s">
        <v>243</v>
      </c>
      <c r="F64" s="179" t="str">
        <f>IF(AND(COUNTIF('Build &amp; Totals'!$A$4:$B$12,$C64)&gt;=1,Class=$B64),$A64,"")</f>
        <v/>
      </c>
    </row>
    <row r="65" spans="1:6" ht="23.25">
      <c r="A65" s="331" t="s">
        <v>244</v>
      </c>
      <c r="B65" s="332" t="s">
        <v>109</v>
      </c>
      <c r="C65" s="332" t="s">
        <v>237</v>
      </c>
      <c r="D65" s="178" t="s">
        <v>19</v>
      </c>
      <c r="E65" s="333" t="s">
        <v>245</v>
      </c>
      <c r="F65" s="179" t="str">
        <f>IF(AND(COUNTIF('Build &amp; Totals'!$A$4:$B$12,$C65)&gt;=1,Class=$B65),$A65,"")</f>
        <v/>
      </c>
    </row>
    <row r="66" spans="1:6">
      <c r="A66" s="331" t="s">
        <v>246</v>
      </c>
      <c r="B66" s="332" t="s">
        <v>109</v>
      </c>
      <c r="C66" s="332" t="s">
        <v>237</v>
      </c>
      <c r="D66" s="178" t="s">
        <v>19</v>
      </c>
      <c r="E66" s="333" t="s">
        <v>247</v>
      </c>
      <c r="F66" s="179" t="str">
        <f>IF(AND(COUNTIF('Build &amp; Totals'!$A$4:$B$12,$C66)&gt;=1,Class=$B66),$A66,"")</f>
        <v/>
      </c>
    </row>
    <row r="67" spans="1:6" ht="23.25">
      <c r="A67" s="331" t="s">
        <v>248</v>
      </c>
      <c r="B67" s="332" t="s">
        <v>109</v>
      </c>
      <c r="C67" s="332" t="s">
        <v>237</v>
      </c>
      <c r="D67" s="178" t="s">
        <v>95</v>
      </c>
      <c r="E67" s="333" t="s">
        <v>249</v>
      </c>
      <c r="F67" s="179" t="str">
        <f>IF(AND(COUNTIF('Build &amp; Totals'!$A$4:$B$12,$C67)&gt;=1,Class=$B67),$A67,"")</f>
        <v/>
      </c>
    </row>
    <row r="68" spans="1:6">
      <c r="A68" s="331" t="s">
        <v>250</v>
      </c>
      <c r="B68" s="332" t="s">
        <v>109</v>
      </c>
      <c r="C68" s="332" t="s">
        <v>237</v>
      </c>
      <c r="D68" s="178" t="s">
        <v>22</v>
      </c>
      <c r="E68" s="333" t="s">
        <v>251</v>
      </c>
      <c r="F68" s="179" t="str">
        <f>IF(AND(COUNTIF('Build &amp; Totals'!$A$4:$B$12,$C68)&gt;=1,Class=$B68),$A68,"")</f>
        <v/>
      </c>
    </row>
    <row r="69" spans="1:6">
      <c r="A69" s="331" t="s">
        <v>252</v>
      </c>
      <c r="B69" s="332" t="s">
        <v>109</v>
      </c>
      <c r="C69" s="332" t="s">
        <v>237</v>
      </c>
      <c r="D69" s="178" t="s">
        <v>22</v>
      </c>
      <c r="E69" s="333" t="s">
        <v>253</v>
      </c>
      <c r="F69" s="179" t="str">
        <f>IF(AND(COUNTIF('Build &amp; Totals'!$A$4:$B$12,$C69)&gt;=1,Class=$B69),$A69,"")</f>
        <v/>
      </c>
    </row>
    <row r="70" spans="1:6">
      <c r="A70" s="331" t="s">
        <v>254</v>
      </c>
      <c r="B70" s="332" t="s">
        <v>109</v>
      </c>
      <c r="C70" s="332" t="s">
        <v>237</v>
      </c>
      <c r="D70" s="178" t="s">
        <v>22</v>
      </c>
      <c r="E70" s="333" t="s">
        <v>255</v>
      </c>
      <c r="F70" s="179" t="str">
        <f>IF(AND(COUNTIF('Build &amp; Totals'!$A$4:$B$12,$C70)&gt;=1,Class=$B70),$A70,"")</f>
        <v/>
      </c>
    </row>
    <row r="71" spans="1:6">
      <c r="A71" s="331" t="s">
        <v>256</v>
      </c>
      <c r="B71" s="332" t="s">
        <v>109</v>
      </c>
      <c r="C71" s="332" t="s">
        <v>237</v>
      </c>
      <c r="D71" s="178" t="s">
        <v>98</v>
      </c>
      <c r="E71" s="333" t="s">
        <v>257</v>
      </c>
      <c r="F71" s="179" t="str">
        <f>IF(AND(COUNTIF('Build &amp; Totals'!$A$4:$B$12,$C71)&gt;=1,Class=$B71),$A71,"")</f>
        <v/>
      </c>
    </row>
    <row r="72" spans="1:6">
      <c r="A72" s="331" t="s">
        <v>258</v>
      </c>
      <c r="B72" s="332" t="s">
        <v>109</v>
      </c>
      <c r="C72" s="332" t="s">
        <v>237</v>
      </c>
      <c r="D72" s="178" t="s">
        <v>24</v>
      </c>
      <c r="E72" s="333" t="s">
        <v>259</v>
      </c>
      <c r="F72" s="179" t="str">
        <f>IF(AND(COUNTIF('Build &amp; Totals'!$A$4:$B$12,$C72)&gt;=1,Class=$B72),$A72,"")</f>
        <v/>
      </c>
    </row>
    <row r="73" spans="1:6" ht="23.25">
      <c r="A73" s="331" t="s">
        <v>260</v>
      </c>
      <c r="B73" s="332" t="s">
        <v>109</v>
      </c>
      <c r="C73" s="332" t="s">
        <v>237</v>
      </c>
      <c r="D73" s="178" t="s">
        <v>24</v>
      </c>
      <c r="E73" s="333" t="s">
        <v>261</v>
      </c>
      <c r="F73" s="179" t="str">
        <f>IF(AND(COUNTIF('Build &amp; Totals'!$A$4:$B$12,$C73)&gt;=1,Class=$B73),$A73,"")</f>
        <v/>
      </c>
    </row>
    <row r="74" spans="1:6" ht="23.25">
      <c r="A74" s="331" t="s">
        <v>262</v>
      </c>
      <c r="B74" s="332" t="s">
        <v>109</v>
      </c>
      <c r="C74" s="332" t="s">
        <v>237</v>
      </c>
      <c r="D74" s="178" t="s">
        <v>24</v>
      </c>
      <c r="E74" s="333" t="s">
        <v>263</v>
      </c>
      <c r="F74" s="179" t="str">
        <f>IF(AND(COUNTIF('Build &amp; Totals'!$A$4:$B$12,$C74)&gt;=1,Class=$B74),$A74,"")</f>
        <v/>
      </c>
    </row>
    <row r="75" spans="1:6">
      <c r="A75" s="331" t="s">
        <v>264</v>
      </c>
      <c r="B75" s="332" t="s">
        <v>109</v>
      </c>
      <c r="C75" s="332" t="s">
        <v>265</v>
      </c>
      <c r="D75" s="178" t="s">
        <v>238</v>
      </c>
      <c r="E75" s="333" t="s">
        <v>266</v>
      </c>
      <c r="F75" s="179" t="str">
        <f>IF(AND(COUNTIF('Build &amp; Totals'!$A$4:$B$12,$C75)&gt;=1,Class=$B75),$A75,"")</f>
        <v/>
      </c>
    </row>
    <row r="76" spans="1:6" ht="35.25">
      <c r="A76" s="331" t="s">
        <v>267</v>
      </c>
      <c r="B76" s="332" t="s">
        <v>109</v>
      </c>
      <c r="C76" s="332" t="s">
        <v>265</v>
      </c>
      <c r="D76" s="178" t="s">
        <v>94</v>
      </c>
      <c r="E76" s="333" t="s">
        <v>268</v>
      </c>
      <c r="F76" s="179" t="str">
        <f>IF(AND(COUNTIF('Build &amp; Totals'!$A$4:$B$12,$C76)&gt;=1,Class=$B76),$A76,"")</f>
        <v/>
      </c>
    </row>
    <row r="77" spans="1:6">
      <c r="A77" s="331" t="s">
        <v>269</v>
      </c>
      <c r="B77" s="332" t="s">
        <v>109</v>
      </c>
      <c r="C77" s="332" t="s">
        <v>265</v>
      </c>
      <c r="D77" s="178" t="s">
        <v>19</v>
      </c>
      <c r="E77" s="333" t="s">
        <v>270</v>
      </c>
      <c r="F77" s="179" t="str">
        <f>IF(AND(COUNTIF('Build &amp; Totals'!$A$4:$B$12,$C77)&gt;=1,Class=$B77),$A77,"")</f>
        <v/>
      </c>
    </row>
    <row r="78" spans="1:6">
      <c r="A78" s="331" t="s">
        <v>271</v>
      </c>
      <c r="B78" s="332" t="s">
        <v>109</v>
      </c>
      <c r="C78" s="332" t="s">
        <v>265</v>
      </c>
      <c r="D78" s="178" t="s">
        <v>19</v>
      </c>
      <c r="E78" s="333" t="s">
        <v>272</v>
      </c>
      <c r="F78" s="179" t="str">
        <f>IF(AND(COUNTIF('Build &amp; Totals'!$A$4:$B$12,$C78)&gt;=1,Class=$B78),$A78,"")</f>
        <v/>
      </c>
    </row>
    <row r="79" spans="1:6">
      <c r="A79" s="331" t="s">
        <v>273</v>
      </c>
      <c r="B79" s="332" t="s">
        <v>109</v>
      </c>
      <c r="C79" s="332" t="s">
        <v>265</v>
      </c>
      <c r="D79" s="178" t="s">
        <v>19</v>
      </c>
      <c r="E79" s="333" t="s">
        <v>274</v>
      </c>
      <c r="F79" s="179" t="str">
        <f>IF(AND(COUNTIF('Build &amp; Totals'!$A$4:$B$12,$C79)&gt;=1,Class=$B79),$A79,"")</f>
        <v/>
      </c>
    </row>
    <row r="80" spans="1:6" ht="23.25">
      <c r="A80" s="331" t="s">
        <v>275</v>
      </c>
      <c r="B80" s="332" t="s">
        <v>109</v>
      </c>
      <c r="C80" s="332" t="s">
        <v>265</v>
      </c>
      <c r="D80" s="178" t="s">
        <v>95</v>
      </c>
      <c r="E80" s="333" t="s">
        <v>276</v>
      </c>
      <c r="F80" s="179" t="str">
        <f>IF(AND(COUNTIF('Build &amp; Totals'!$A$4:$B$12,$C80)&gt;=1,Class=$B80),$A80,"")</f>
        <v/>
      </c>
    </row>
    <row r="81" spans="1:6">
      <c r="A81" s="331" t="s">
        <v>277</v>
      </c>
      <c r="B81" s="332" t="s">
        <v>109</v>
      </c>
      <c r="C81" s="332" t="s">
        <v>265</v>
      </c>
      <c r="D81" s="178" t="s">
        <v>22</v>
      </c>
      <c r="E81" s="333" t="s">
        <v>278</v>
      </c>
      <c r="F81" s="179" t="str">
        <f>IF(AND(COUNTIF('Build &amp; Totals'!$A$4:$B$12,$C81)&gt;=1,Class=$B81),$A81,"")</f>
        <v/>
      </c>
    </row>
    <row r="82" spans="1:6">
      <c r="A82" s="331" t="s">
        <v>279</v>
      </c>
      <c r="B82" s="332" t="s">
        <v>109</v>
      </c>
      <c r="C82" s="332" t="s">
        <v>265</v>
      </c>
      <c r="D82" s="178" t="s">
        <v>22</v>
      </c>
      <c r="E82" s="333" t="s">
        <v>280</v>
      </c>
      <c r="F82" s="179" t="str">
        <f>IF(AND(COUNTIF('Build &amp; Totals'!$A$4:$B$12,$C82)&gt;=1,Class=$B82),$A82,"")</f>
        <v/>
      </c>
    </row>
    <row r="83" spans="1:6">
      <c r="A83" s="331" t="s">
        <v>281</v>
      </c>
      <c r="B83" s="332" t="s">
        <v>109</v>
      </c>
      <c r="C83" s="332" t="s">
        <v>265</v>
      </c>
      <c r="D83" s="178" t="s">
        <v>22</v>
      </c>
      <c r="E83" s="333" t="s">
        <v>282</v>
      </c>
      <c r="F83" s="179" t="str">
        <f>IF(AND(COUNTIF('Build &amp; Totals'!$A$4:$B$12,$C83)&gt;=1,Class=$B83),$A83,"")</f>
        <v/>
      </c>
    </row>
    <row r="84" spans="1:6">
      <c r="A84" s="331" t="s">
        <v>283</v>
      </c>
      <c r="B84" s="332" t="s">
        <v>109</v>
      </c>
      <c r="C84" s="332" t="s">
        <v>265</v>
      </c>
      <c r="D84" s="178" t="s">
        <v>98</v>
      </c>
      <c r="E84" s="333" t="s">
        <v>284</v>
      </c>
      <c r="F84" s="179" t="str">
        <f>IF(AND(COUNTIF('Build &amp; Totals'!$A$4:$B$12,$C84)&gt;=1,Class=$B84),$A84,"")</f>
        <v/>
      </c>
    </row>
    <row r="85" spans="1:6" ht="35.25">
      <c r="A85" s="331" t="s">
        <v>285</v>
      </c>
      <c r="B85" s="332" t="s">
        <v>109</v>
      </c>
      <c r="C85" s="332" t="s">
        <v>265</v>
      </c>
      <c r="D85" s="178" t="s">
        <v>24</v>
      </c>
      <c r="E85" s="333" t="s">
        <v>286</v>
      </c>
      <c r="F85" s="179" t="str">
        <f>IF(AND(COUNTIF('Build &amp; Totals'!$A$4:$B$12,$C85)&gt;=1,Class=$B85),$A85,"")</f>
        <v/>
      </c>
    </row>
    <row r="86" spans="1:6">
      <c r="A86" s="331" t="s">
        <v>287</v>
      </c>
      <c r="B86" s="332" t="s">
        <v>109</v>
      </c>
      <c r="C86" s="332" t="s">
        <v>265</v>
      </c>
      <c r="D86" s="178" t="s">
        <v>24</v>
      </c>
      <c r="E86" s="333" t="s">
        <v>288</v>
      </c>
      <c r="F86" s="179" t="str">
        <f>IF(AND(COUNTIF('Build &amp; Totals'!$A$4:$B$12,$C86)&gt;=1,Class=$B86),$A86,"")</f>
        <v/>
      </c>
    </row>
    <row r="87" spans="1:6">
      <c r="A87" s="331" t="s">
        <v>289</v>
      </c>
      <c r="B87" s="332" t="s">
        <v>109</v>
      </c>
      <c r="C87" s="332" t="s">
        <v>265</v>
      </c>
      <c r="D87" s="178" t="s">
        <v>24</v>
      </c>
      <c r="E87" s="333" t="s">
        <v>290</v>
      </c>
      <c r="F87" s="179" t="str">
        <f>IF(AND(COUNTIF('Build &amp; Totals'!$A$4:$B$12,$C87)&gt;=1,Class=$B87),$A87,"")</f>
        <v/>
      </c>
    </row>
    <row r="88" spans="1:6">
      <c r="A88" s="331" t="s">
        <v>291</v>
      </c>
      <c r="B88" s="332" t="s">
        <v>109</v>
      </c>
      <c r="C88" s="332" t="s">
        <v>292</v>
      </c>
      <c r="D88" s="178" t="s">
        <v>238</v>
      </c>
      <c r="E88" s="333" t="s">
        <v>293</v>
      </c>
      <c r="F88" s="179" t="str">
        <f>IF(AND(COUNTIF('Build &amp; Totals'!$A$4:$B$12,$C88)&gt;=1,Class=$B88),$A88,"")</f>
        <v/>
      </c>
    </row>
    <row r="89" spans="1:6" ht="23.25">
      <c r="A89" s="331" t="s">
        <v>294</v>
      </c>
      <c r="B89" s="332" t="s">
        <v>109</v>
      </c>
      <c r="C89" s="332" t="s">
        <v>292</v>
      </c>
      <c r="D89" s="178" t="s">
        <v>94</v>
      </c>
      <c r="E89" s="333" t="s">
        <v>295</v>
      </c>
      <c r="F89" s="179" t="str">
        <f>IF(AND(COUNTIF('Build &amp; Totals'!$A$4:$B$12,$C89)&gt;=1,Class=$B89),$A89,"")</f>
        <v/>
      </c>
    </row>
    <row r="90" spans="1:6">
      <c r="A90" s="331" t="s">
        <v>296</v>
      </c>
      <c r="B90" s="332" t="s">
        <v>109</v>
      </c>
      <c r="C90" s="332" t="s">
        <v>292</v>
      </c>
      <c r="D90" s="178" t="s">
        <v>19</v>
      </c>
      <c r="E90" s="333" t="s">
        <v>297</v>
      </c>
      <c r="F90" s="179" t="str">
        <f>IF(AND(COUNTIF('Build &amp; Totals'!$A$4:$B$12,$C90)&gt;=1,Class=$B90),$A90,"")</f>
        <v/>
      </c>
    </row>
    <row r="91" spans="1:6">
      <c r="A91" s="331" t="s">
        <v>298</v>
      </c>
      <c r="B91" s="332" t="s">
        <v>109</v>
      </c>
      <c r="C91" s="332" t="s">
        <v>292</v>
      </c>
      <c r="D91" s="178" t="s">
        <v>19</v>
      </c>
      <c r="E91" s="333" t="s">
        <v>299</v>
      </c>
      <c r="F91" s="179" t="str">
        <f>IF(AND(COUNTIF('Build &amp; Totals'!$A$4:$B$12,$C91)&gt;=1,Class=$B91),$A91,"")</f>
        <v/>
      </c>
    </row>
    <row r="92" spans="1:6">
      <c r="A92" s="331" t="s">
        <v>300</v>
      </c>
      <c r="B92" s="332" t="s">
        <v>109</v>
      </c>
      <c r="C92" s="332" t="s">
        <v>292</v>
      </c>
      <c r="D92" s="178" t="s">
        <v>19</v>
      </c>
      <c r="E92" s="333" t="s">
        <v>301</v>
      </c>
      <c r="F92" s="179" t="str">
        <f>IF(AND(COUNTIF('Build &amp; Totals'!$A$4:$B$12,$C92)&gt;=1,Class=$B92),$A92,"")</f>
        <v/>
      </c>
    </row>
    <row r="93" spans="1:6">
      <c r="A93" s="331" t="s">
        <v>302</v>
      </c>
      <c r="B93" s="332" t="s">
        <v>109</v>
      </c>
      <c r="C93" s="332" t="s">
        <v>292</v>
      </c>
      <c r="D93" s="178" t="s">
        <v>95</v>
      </c>
      <c r="E93" s="333" t="s">
        <v>303</v>
      </c>
      <c r="F93" s="179" t="str">
        <f>IF(AND(COUNTIF('Build &amp; Totals'!$A$4:$B$12,$C93)&gt;=1,Class=$B93),$A93,"")</f>
        <v/>
      </c>
    </row>
    <row r="94" spans="1:6" ht="23.25">
      <c r="A94" s="331" t="s">
        <v>304</v>
      </c>
      <c r="B94" s="332" t="s">
        <v>109</v>
      </c>
      <c r="C94" s="332" t="s">
        <v>292</v>
      </c>
      <c r="D94" s="178" t="s">
        <v>22</v>
      </c>
      <c r="E94" s="333" t="s">
        <v>305</v>
      </c>
      <c r="F94" s="179" t="str">
        <f>IF(AND(COUNTIF('Build &amp; Totals'!$A$4:$B$12,$C94)&gt;=1,Class=$B94),$A94,"")</f>
        <v/>
      </c>
    </row>
    <row r="95" spans="1:6" ht="23.25">
      <c r="A95" s="331" t="s">
        <v>306</v>
      </c>
      <c r="B95" s="332" t="s">
        <v>109</v>
      </c>
      <c r="C95" s="332" t="s">
        <v>292</v>
      </c>
      <c r="D95" s="178" t="s">
        <v>22</v>
      </c>
      <c r="E95" s="333" t="s">
        <v>307</v>
      </c>
      <c r="F95" s="179" t="str">
        <f>IF(AND(COUNTIF('Build &amp; Totals'!$A$4:$B$12,$C95)&gt;=1,Class=$B95),$A95,"")</f>
        <v/>
      </c>
    </row>
    <row r="96" spans="1:6">
      <c r="A96" s="331" t="s">
        <v>308</v>
      </c>
      <c r="B96" s="332" t="s">
        <v>109</v>
      </c>
      <c r="C96" s="332" t="s">
        <v>292</v>
      </c>
      <c r="D96" s="178" t="s">
        <v>22</v>
      </c>
      <c r="E96" s="333" t="s">
        <v>309</v>
      </c>
      <c r="F96" s="179" t="str">
        <f>IF(AND(COUNTIF('Build &amp; Totals'!$A$4:$B$12,$C96)&gt;=1,Class=$B96),$A96,"")</f>
        <v/>
      </c>
    </row>
    <row r="97" spans="1:6" ht="23.25">
      <c r="A97" s="331" t="s">
        <v>310</v>
      </c>
      <c r="B97" s="332" t="s">
        <v>109</v>
      </c>
      <c r="C97" s="332" t="s">
        <v>292</v>
      </c>
      <c r="D97" s="178" t="s">
        <v>98</v>
      </c>
      <c r="E97" s="333" t="s">
        <v>311</v>
      </c>
      <c r="F97" s="179" t="str">
        <f>IF(AND(COUNTIF('Build &amp; Totals'!$A$4:$B$12,$C97)&gt;=1,Class=$B97),$A97,"")</f>
        <v/>
      </c>
    </row>
    <row r="98" spans="1:6" ht="23.25">
      <c r="A98" s="331" t="s">
        <v>312</v>
      </c>
      <c r="B98" s="332" t="s">
        <v>109</v>
      </c>
      <c r="C98" s="332" t="s">
        <v>292</v>
      </c>
      <c r="D98" s="178" t="s">
        <v>24</v>
      </c>
      <c r="E98" s="333" t="s">
        <v>313</v>
      </c>
      <c r="F98" s="179" t="str">
        <f>IF(AND(COUNTIF('Build &amp; Totals'!$A$4:$B$12,$C98)&gt;=1,Class=$B98),$A98,"")</f>
        <v/>
      </c>
    </row>
    <row r="99" spans="1:6">
      <c r="A99" s="331" t="s">
        <v>314</v>
      </c>
      <c r="B99" s="332" t="s">
        <v>109</v>
      </c>
      <c r="C99" s="332" t="s">
        <v>292</v>
      </c>
      <c r="D99" s="178" t="s">
        <v>24</v>
      </c>
      <c r="E99" s="333" t="s">
        <v>315</v>
      </c>
      <c r="F99" s="179" t="str">
        <f>IF(AND(COUNTIF('Build &amp; Totals'!$A$4:$B$12,$C99)&gt;=1,Class=$B99),$A99,"")</f>
        <v/>
      </c>
    </row>
    <row r="100" spans="1:6">
      <c r="A100" s="331" t="s">
        <v>316</v>
      </c>
      <c r="B100" s="332" t="s">
        <v>109</v>
      </c>
      <c r="C100" s="332" t="s">
        <v>292</v>
      </c>
      <c r="D100" s="178" t="s">
        <v>24</v>
      </c>
      <c r="E100" s="333" t="s">
        <v>317</v>
      </c>
      <c r="F100" s="179" t="str">
        <f>IF(AND(COUNTIF('Build &amp; Totals'!$A$4:$B$12,$C100)&gt;=1,Class=$B100),$A100,"")</f>
        <v/>
      </c>
    </row>
    <row r="101" spans="1:6" ht="23.25">
      <c r="A101" s="331" t="s">
        <v>318</v>
      </c>
      <c r="B101" s="332" t="s">
        <v>109</v>
      </c>
      <c r="C101" s="332" t="s">
        <v>318</v>
      </c>
      <c r="D101" s="178" t="s">
        <v>94</v>
      </c>
      <c r="E101" s="333" t="s">
        <v>319</v>
      </c>
      <c r="F101" s="179" t="str">
        <f>IF(AND(COUNTIF('Build &amp; Totals'!$A$4:$B$12,$C101)&gt;=1,Class=$B101),$A101,"")</f>
        <v/>
      </c>
    </row>
    <row r="102" spans="1:6">
      <c r="A102" s="331" t="s">
        <v>320</v>
      </c>
      <c r="B102" s="332" t="s">
        <v>109</v>
      </c>
      <c r="C102" s="332" t="s">
        <v>318</v>
      </c>
      <c r="D102" s="178" t="s">
        <v>19</v>
      </c>
      <c r="E102" s="333" t="s">
        <v>321</v>
      </c>
      <c r="F102" s="179" t="str">
        <f>IF(AND(COUNTIF('Build &amp; Totals'!$A$4:$B$12,$C102)&gt;=1,Class=$B102),$A102,"")</f>
        <v/>
      </c>
    </row>
    <row r="103" spans="1:6">
      <c r="A103" s="331" t="s">
        <v>322</v>
      </c>
      <c r="B103" s="332" t="s">
        <v>109</v>
      </c>
      <c r="C103" s="332" t="s">
        <v>318</v>
      </c>
      <c r="D103" s="178" t="s">
        <v>19</v>
      </c>
      <c r="E103" s="333" t="s">
        <v>323</v>
      </c>
      <c r="F103" s="179" t="str">
        <f>IF(AND(COUNTIF('Build &amp; Totals'!$A$4:$B$12,$C103)&gt;=1,Class=$B103),$A103,"")</f>
        <v/>
      </c>
    </row>
    <row r="104" spans="1:6">
      <c r="A104" s="331" t="s">
        <v>324</v>
      </c>
      <c r="B104" s="332" t="s">
        <v>109</v>
      </c>
      <c r="C104" s="332" t="s">
        <v>318</v>
      </c>
      <c r="D104" s="178" t="s">
        <v>19</v>
      </c>
      <c r="E104" s="333" t="s">
        <v>325</v>
      </c>
      <c r="F104" s="179" t="str">
        <f>IF(AND(COUNTIF('Build &amp; Totals'!$A$4:$B$12,$C104)&gt;=1,Class=$B104),$A104,"")</f>
        <v/>
      </c>
    </row>
    <row r="105" spans="1:6">
      <c r="A105" s="331" t="s">
        <v>326</v>
      </c>
      <c r="B105" s="332" t="s">
        <v>109</v>
      </c>
      <c r="C105" s="332" t="s">
        <v>318</v>
      </c>
      <c r="D105" s="178" t="s">
        <v>95</v>
      </c>
      <c r="E105" s="333" t="s">
        <v>327</v>
      </c>
      <c r="F105" s="179" t="str">
        <f>IF(AND(COUNTIF('Build &amp; Totals'!$A$4:$B$12,$C105)&gt;=1,Class=$B105),$A105,"")</f>
        <v/>
      </c>
    </row>
    <row r="106" spans="1:6">
      <c r="A106" s="331" t="s">
        <v>328</v>
      </c>
      <c r="B106" s="332" t="s">
        <v>109</v>
      </c>
      <c r="C106" s="332" t="s">
        <v>318</v>
      </c>
      <c r="D106" s="178" t="s">
        <v>22</v>
      </c>
      <c r="E106" s="333" t="s">
        <v>329</v>
      </c>
      <c r="F106" s="179" t="str">
        <f>IF(AND(COUNTIF('Build &amp; Totals'!$A$4:$B$12,$C106)&gt;=1,Class=$B106),$A106,"")</f>
        <v/>
      </c>
    </row>
    <row r="107" spans="1:6" ht="23.25">
      <c r="A107" s="331" t="s">
        <v>330</v>
      </c>
      <c r="B107" s="332" t="s">
        <v>109</v>
      </c>
      <c r="C107" s="332" t="s">
        <v>318</v>
      </c>
      <c r="D107" s="178" t="s">
        <v>22</v>
      </c>
      <c r="E107" s="333" t="s">
        <v>331</v>
      </c>
      <c r="F107" s="179" t="str">
        <f>IF(AND(COUNTIF('Build &amp; Totals'!$A$4:$B$12,$C107)&gt;=1,Class=$B107),$A107,"")</f>
        <v/>
      </c>
    </row>
    <row r="108" spans="1:6">
      <c r="A108" s="331" t="s">
        <v>332</v>
      </c>
      <c r="B108" s="332" t="s">
        <v>109</v>
      </c>
      <c r="C108" s="332" t="s">
        <v>318</v>
      </c>
      <c r="D108" s="178" t="s">
        <v>22</v>
      </c>
      <c r="E108" s="333" t="s">
        <v>333</v>
      </c>
      <c r="F108" s="179" t="str">
        <f>IF(AND(COUNTIF('Build &amp; Totals'!$A$4:$B$12,$C108)&gt;=1,Class=$B108),$A108,"")</f>
        <v/>
      </c>
    </row>
    <row r="109" spans="1:6" ht="23.25">
      <c r="A109" s="331" t="s">
        <v>334</v>
      </c>
      <c r="B109" s="332" t="s">
        <v>109</v>
      </c>
      <c r="C109" s="332" t="s">
        <v>318</v>
      </c>
      <c r="D109" s="178" t="s">
        <v>98</v>
      </c>
      <c r="E109" s="333" t="s">
        <v>335</v>
      </c>
      <c r="F109" s="179" t="str">
        <f>IF(AND(COUNTIF('Build &amp; Totals'!$A$4:$B$12,$C109)&gt;=1,Class=$B109),$A109,"")</f>
        <v/>
      </c>
    </row>
    <row r="110" spans="1:6">
      <c r="A110" s="331" t="s">
        <v>336</v>
      </c>
      <c r="B110" s="332" t="s">
        <v>109</v>
      </c>
      <c r="C110" s="332" t="s">
        <v>318</v>
      </c>
      <c r="D110" s="178" t="s">
        <v>24</v>
      </c>
      <c r="E110" s="333" t="s">
        <v>337</v>
      </c>
      <c r="F110" s="179" t="str">
        <f>IF(AND(COUNTIF('Build &amp; Totals'!$A$4:$B$12,$C110)&gt;=1,Class=$B110),$A110,"")</f>
        <v/>
      </c>
    </row>
    <row r="111" spans="1:6" ht="23.25">
      <c r="A111" s="331" t="s">
        <v>338</v>
      </c>
      <c r="B111" s="332" t="s">
        <v>109</v>
      </c>
      <c r="C111" s="332" t="s">
        <v>318</v>
      </c>
      <c r="D111" s="178" t="s">
        <v>24</v>
      </c>
      <c r="E111" s="333" t="s">
        <v>339</v>
      </c>
      <c r="F111" s="179" t="str">
        <f>IF(AND(COUNTIF('Build &amp; Totals'!$A$4:$B$12,$C111)&gt;=1,Class=$B111),$A111,"")</f>
        <v/>
      </c>
    </row>
    <row r="112" spans="1:6" ht="23.25">
      <c r="A112" s="331" t="s">
        <v>340</v>
      </c>
      <c r="B112" s="332" t="s">
        <v>109</v>
      </c>
      <c r="C112" s="332" t="s">
        <v>318</v>
      </c>
      <c r="D112" s="178" t="s">
        <v>24</v>
      </c>
      <c r="E112" s="333" t="s">
        <v>341</v>
      </c>
      <c r="F112" s="179" t="str">
        <f>IF(AND(COUNTIF('Build &amp; Totals'!$A$4:$B$12,$C112)&gt;=1,Class=$B112),$A112,"")</f>
        <v/>
      </c>
    </row>
    <row r="113" spans="1:6">
      <c r="A113" s="331" t="s">
        <v>342</v>
      </c>
      <c r="B113" s="332" t="s">
        <v>343</v>
      </c>
      <c r="C113" s="332" t="s">
        <v>344</v>
      </c>
      <c r="D113" s="178" t="s">
        <v>94</v>
      </c>
      <c r="E113" s="334" t="s">
        <v>345</v>
      </c>
      <c r="F113" s="179" t="str">
        <f>IF(AND(COUNTIF('Build &amp; Totals'!$A$4:$B$12,$C113)&gt;=1,Class=$B113),$A113,"")</f>
        <v/>
      </c>
    </row>
    <row r="114" spans="1:6">
      <c r="A114" s="331" t="s">
        <v>346</v>
      </c>
      <c r="B114" s="332" t="s">
        <v>343</v>
      </c>
      <c r="C114" s="332" t="s">
        <v>344</v>
      </c>
      <c r="D114" s="178" t="s">
        <v>19</v>
      </c>
      <c r="E114" s="333" t="s">
        <v>347</v>
      </c>
      <c r="F114" s="179" t="str">
        <f>IF(AND(COUNTIF('Build &amp; Totals'!$A$4:$B$12,$C114)&gt;=1,Class=$B114),$A114,"")</f>
        <v/>
      </c>
    </row>
    <row r="115" spans="1:6">
      <c r="A115" s="331" t="s">
        <v>348</v>
      </c>
      <c r="B115" s="332" t="s">
        <v>343</v>
      </c>
      <c r="C115" s="332" t="s">
        <v>344</v>
      </c>
      <c r="D115" s="178" t="s">
        <v>19</v>
      </c>
      <c r="E115" s="333" t="s">
        <v>349</v>
      </c>
      <c r="F115" s="179" t="str">
        <f>IF(AND(COUNTIF('Build &amp; Totals'!$A$4:$B$12,$C115)&gt;=1,Class=$B115),$A115,"")</f>
        <v/>
      </c>
    </row>
    <row r="116" spans="1:6" ht="23.25">
      <c r="A116" s="331" t="s">
        <v>350</v>
      </c>
      <c r="B116" s="332" t="s">
        <v>343</v>
      </c>
      <c r="C116" s="332" t="s">
        <v>344</v>
      </c>
      <c r="D116" s="178" t="s">
        <v>19</v>
      </c>
      <c r="E116" s="333" t="s">
        <v>351</v>
      </c>
      <c r="F116" s="179" t="str">
        <f>IF(AND(COUNTIF('Build &amp; Totals'!$A$4:$B$12,$C116)&gt;=1,Class=$B116),$A116,"")</f>
        <v/>
      </c>
    </row>
    <row r="117" spans="1:6">
      <c r="A117" s="331" t="s">
        <v>352</v>
      </c>
      <c r="B117" s="332" t="s">
        <v>343</v>
      </c>
      <c r="C117" s="332" t="s">
        <v>344</v>
      </c>
      <c r="D117" s="178" t="s">
        <v>95</v>
      </c>
      <c r="E117" s="333" t="s">
        <v>353</v>
      </c>
      <c r="F117" s="179" t="str">
        <f>IF(AND(COUNTIF('Build &amp; Totals'!$A$4:$B$12,$C117)&gt;=1,Class=$B117),$A117,"")</f>
        <v/>
      </c>
    </row>
    <row r="118" spans="1:6">
      <c r="A118" s="331" t="s">
        <v>354</v>
      </c>
      <c r="B118" s="332" t="s">
        <v>343</v>
      </c>
      <c r="C118" s="332" t="s">
        <v>344</v>
      </c>
      <c r="D118" s="178" t="s">
        <v>22</v>
      </c>
      <c r="E118" s="333" t="s">
        <v>355</v>
      </c>
      <c r="F118" s="179" t="str">
        <f>IF(AND(COUNTIF('Build &amp; Totals'!$A$4:$B$12,$C118)&gt;=1,Class=$B118),$A118,"")</f>
        <v/>
      </c>
    </row>
    <row r="119" spans="1:6">
      <c r="A119" s="331" t="s">
        <v>356</v>
      </c>
      <c r="B119" s="332" t="s">
        <v>343</v>
      </c>
      <c r="C119" s="332" t="s">
        <v>344</v>
      </c>
      <c r="D119" s="178" t="s">
        <v>22</v>
      </c>
      <c r="E119" s="333" t="s">
        <v>357</v>
      </c>
      <c r="F119" s="179" t="str">
        <f>IF(AND(COUNTIF('Build &amp; Totals'!$A$4:$B$12,$C119)&gt;=1,Class=$B119),$A119,"")</f>
        <v/>
      </c>
    </row>
    <row r="120" spans="1:6">
      <c r="A120" s="331" t="s">
        <v>358</v>
      </c>
      <c r="B120" s="332" t="s">
        <v>343</v>
      </c>
      <c r="C120" s="332" t="s">
        <v>344</v>
      </c>
      <c r="D120" s="178" t="s">
        <v>22</v>
      </c>
      <c r="E120" s="333" t="s">
        <v>359</v>
      </c>
      <c r="F120" s="179" t="str">
        <f>IF(AND(COUNTIF('Build &amp; Totals'!$A$4:$B$12,$C120)&gt;=1,Class=$B120),$A120,"")</f>
        <v/>
      </c>
    </row>
    <row r="121" spans="1:6">
      <c r="A121" s="331" t="s">
        <v>360</v>
      </c>
      <c r="B121" s="332" t="s">
        <v>343</v>
      </c>
      <c r="C121" s="332" t="s">
        <v>344</v>
      </c>
      <c r="D121" s="178" t="s">
        <v>98</v>
      </c>
      <c r="E121" s="333" t="s">
        <v>361</v>
      </c>
      <c r="F121" s="179" t="str">
        <f>IF(AND(COUNTIF('Build &amp; Totals'!$A$4:$B$12,$C121)&gt;=1,Class=$B121),$A121,"")</f>
        <v/>
      </c>
    </row>
    <row r="122" spans="1:6">
      <c r="A122" s="331" t="s">
        <v>362</v>
      </c>
      <c r="B122" s="332" t="s">
        <v>343</v>
      </c>
      <c r="C122" s="332" t="s">
        <v>344</v>
      </c>
      <c r="D122" s="178" t="s">
        <v>24</v>
      </c>
      <c r="E122" s="333" t="s">
        <v>363</v>
      </c>
      <c r="F122" s="179" t="str">
        <f>IF(AND(COUNTIF('Build &amp; Totals'!$A$4:$B$12,$C122)&gt;=1,Class=$B122),$A122,"")</f>
        <v/>
      </c>
    </row>
    <row r="123" spans="1:6">
      <c r="A123" s="331" t="s">
        <v>364</v>
      </c>
      <c r="B123" s="332" t="s">
        <v>343</v>
      </c>
      <c r="C123" s="332" t="s">
        <v>344</v>
      </c>
      <c r="D123" s="178" t="s">
        <v>24</v>
      </c>
      <c r="E123" s="333" t="s">
        <v>365</v>
      </c>
      <c r="F123" s="179" t="str">
        <f>IF(AND(COUNTIF('Build &amp; Totals'!$A$4:$B$12,$C123)&gt;=1,Class=$B123),$A123,"")</f>
        <v/>
      </c>
    </row>
    <row r="124" spans="1:6">
      <c r="A124" s="331" t="s">
        <v>366</v>
      </c>
      <c r="B124" s="332" t="s">
        <v>343</v>
      </c>
      <c r="C124" s="332" t="s">
        <v>344</v>
      </c>
      <c r="D124" s="178" t="s">
        <v>24</v>
      </c>
      <c r="E124" s="333" t="s">
        <v>367</v>
      </c>
      <c r="F124" s="179" t="str">
        <f>IF(AND(COUNTIF('Build &amp; Totals'!$A$4:$B$12,$C124)&gt;=1,Class=$B124),$A124,"")</f>
        <v/>
      </c>
    </row>
    <row r="125" spans="1:6">
      <c r="A125" s="331" t="s">
        <v>368</v>
      </c>
      <c r="B125" s="332" t="s">
        <v>343</v>
      </c>
      <c r="C125" s="332" t="s">
        <v>151</v>
      </c>
      <c r="D125" s="178" t="s">
        <v>94</v>
      </c>
      <c r="E125" s="333" t="s">
        <v>369</v>
      </c>
      <c r="F125" s="179" t="str">
        <f>IF(AND(COUNTIF('Build &amp; Totals'!$A$4:$B$12,$C125)&gt;=1,Class=$B125),$A125,"")</f>
        <v/>
      </c>
    </row>
    <row r="126" spans="1:6">
      <c r="A126" s="331" t="s">
        <v>370</v>
      </c>
      <c r="B126" s="332" t="s">
        <v>343</v>
      </c>
      <c r="C126" s="332" t="s">
        <v>151</v>
      </c>
      <c r="D126" s="178" t="s">
        <v>19</v>
      </c>
      <c r="E126" s="333" t="s">
        <v>371</v>
      </c>
      <c r="F126" s="179" t="str">
        <f>IF(AND(COUNTIF('Build &amp; Totals'!$A$4:$B$12,$C126)&gt;=1,Class=$B126),$A126,"")</f>
        <v/>
      </c>
    </row>
    <row r="127" spans="1:6">
      <c r="A127" s="331" t="s">
        <v>372</v>
      </c>
      <c r="B127" s="332" t="s">
        <v>343</v>
      </c>
      <c r="C127" s="332" t="s">
        <v>151</v>
      </c>
      <c r="D127" s="178" t="s">
        <v>19</v>
      </c>
      <c r="E127" s="333" t="s">
        <v>373</v>
      </c>
      <c r="F127" s="179" t="str">
        <f>IF(AND(COUNTIF('Build &amp; Totals'!$A$4:$B$12,$C127)&gt;=1,Class=$B127),$A127,"")</f>
        <v/>
      </c>
    </row>
    <row r="128" spans="1:6">
      <c r="A128" s="331" t="s">
        <v>374</v>
      </c>
      <c r="B128" s="332" t="s">
        <v>343</v>
      </c>
      <c r="C128" s="332" t="s">
        <v>151</v>
      </c>
      <c r="D128" s="178" t="s">
        <v>19</v>
      </c>
      <c r="E128" s="333" t="s">
        <v>375</v>
      </c>
      <c r="F128" s="179" t="str">
        <f>IF(AND(COUNTIF('Build &amp; Totals'!$A$4:$B$12,$C128)&gt;=1,Class=$B128),$A128,"")</f>
        <v/>
      </c>
    </row>
    <row r="129" spans="1:6">
      <c r="A129" s="331" t="s">
        <v>376</v>
      </c>
      <c r="B129" s="332" t="s">
        <v>343</v>
      </c>
      <c r="C129" s="332" t="s">
        <v>151</v>
      </c>
      <c r="D129" s="178" t="s">
        <v>95</v>
      </c>
      <c r="E129" s="333" t="s">
        <v>377</v>
      </c>
      <c r="F129" s="179" t="str">
        <f>IF(AND(COUNTIF('Build &amp; Totals'!$A$4:$B$12,$C129)&gt;=1,Class=$B129),$A129,"")</f>
        <v/>
      </c>
    </row>
    <row r="130" spans="1:6">
      <c r="A130" s="331" t="s">
        <v>378</v>
      </c>
      <c r="B130" s="332" t="s">
        <v>343</v>
      </c>
      <c r="C130" s="332" t="s">
        <v>151</v>
      </c>
      <c r="D130" s="178" t="s">
        <v>22</v>
      </c>
      <c r="E130" s="333" t="s">
        <v>379</v>
      </c>
      <c r="F130" s="179" t="str">
        <f>IF(AND(COUNTIF('Build &amp; Totals'!$A$4:$B$12,$C130)&gt;=1,Class=$B130),$A130,"")</f>
        <v/>
      </c>
    </row>
    <row r="131" spans="1:6">
      <c r="A131" s="331" t="s">
        <v>380</v>
      </c>
      <c r="B131" s="332" t="s">
        <v>343</v>
      </c>
      <c r="C131" s="332" t="s">
        <v>151</v>
      </c>
      <c r="D131" s="178" t="s">
        <v>22</v>
      </c>
      <c r="E131" s="333" t="s">
        <v>381</v>
      </c>
      <c r="F131" s="179" t="str">
        <f>IF(AND(COUNTIF('Build &amp; Totals'!$A$4:$B$12,$C131)&gt;=1,Class=$B131),$A131,"")</f>
        <v/>
      </c>
    </row>
    <row r="132" spans="1:6" ht="23.25">
      <c r="A132" s="331" t="s">
        <v>382</v>
      </c>
      <c r="B132" s="332" t="s">
        <v>343</v>
      </c>
      <c r="C132" s="332" t="s">
        <v>151</v>
      </c>
      <c r="D132" s="178" t="s">
        <v>22</v>
      </c>
      <c r="E132" s="333" t="s">
        <v>383</v>
      </c>
      <c r="F132" s="179" t="str">
        <f>IF(AND(COUNTIF('Build &amp; Totals'!$A$4:$B$12,$C132)&gt;=1,Class=$B132),$A132,"")</f>
        <v/>
      </c>
    </row>
    <row r="133" spans="1:6">
      <c r="A133" s="331" t="s">
        <v>384</v>
      </c>
      <c r="B133" s="332" t="s">
        <v>343</v>
      </c>
      <c r="C133" s="332" t="s">
        <v>151</v>
      </c>
      <c r="D133" s="178" t="s">
        <v>98</v>
      </c>
      <c r="E133" s="333" t="s">
        <v>385</v>
      </c>
      <c r="F133" s="179" t="str">
        <f>IF(AND(COUNTIF('Build &amp; Totals'!$A$4:$B$12,$C133)&gt;=1,Class=$B133),$A133,"")</f>
        <v/>
      </c>
    </row>
    <row r="134" spans="1:6" ht="23.25">
      <c r="A134" s="331" t="s">
        <v>386</v>
      </c>
      <c r="B134" s="332" t="s">
        <v>343</v>
      </c>
      <c r="C134" s="332" t="s">
        <v>151</v>
      </c>
      <c r="D134" s="178" t="s">
        <v>24</v>
      </c>
      <c r="E134" s="333" t="s">
        <v>387</v>
      </c>
      <c r="F134" s="179" t="str">
        <f>IF(AND(COUNTIF('Build &amp; Totals'!$A$4:$B$12,$C134)&gt;=1,Class=$B134),$A134,"")</f>
        <v/>
      </c>
    </row>
    <row r="135" spans="1:6" ht="23.25">
      <c r="A135" s="331" t="s">
        <v>388</v>
      </c>
      <c r="B135" s="332" t="s">
        <v>343</v>
      </c>
      <c r="C135" s="332" t="s">
        <v>151</v>
      </c>
      <c r="D135" s="178" t="s">
        <v>24</v>
      </c>
      <c r="E135" s="333" t="s">
        <v>389</v>
      </c>
      <c r="F135" s="179" t="str">
        <f>IF(AND(COUNTIF('Build &amp; Totals'!$A$4:$B$12,$C135)&gt;=1,Class=$B135),$A135,"")</f>
        <v/>
      </c>
    </row>
    <row r="136" spans="1:6">
      <c r="A136" s="331" t="s">
        <v>390</v>
      </c>
      <c r="B136" s="332" t="s">
        <v>343</v>
      </c>
      <c r="C136" s="332" t="s">
        <v>151</v>
      </c>
      <c r="D136" s="178" t="s">
        <v>24</v>
      </c>
      <c r="E136" s="333" t="s">
        <v>391</v>
      </c>
      <c r="F136" s="179" t="str">
        <f>IF(AND(COUNTIF('Build &amp; Totals'!$A$4:$B$12,$C136)&gt;=1,Class=$B136),$A136,"")</f>
        <v/>
      </c>
    </row>
    <row r="137" spans="1:6">
      <c r="A137" s="331" t="s">
        <v>392</v>
      </c>
      <c r="B137" s="332" t="s">
        <v>343</v>
      </c>
      <c r="C137" s="332" t="s">
        <v>393</v>
      </c>
      <c r="D137" s="178" t="s">
        <v>94</v>
      </c>
      <c r="E137" s="333" t="s">
        <v>196</v>
      </c>
      <c r="F137" s="179" t="str">
        <f>IF(AND(COUNTIF('Build &amp; Totals'!$A$4:$B$12,$C137)&gt;=1,Class=$B137),$A137,"")</f>
        <v/>
      </c>
    </row>
    <row r="138" spans="1:6">
      <c r="A138" s="331" t="s">
        <v>394</v>
      </c>
      <c r="B138" s="332" t="s">
        <v>343</v>
      </c>
      <c r="C138" s="332" t="s">
        <v>393</v>
      </c>
      <c r="D138" s="178" t="s">
        <v>19</v>
      </c>
      <c r="E138" s="333" t="s">
        <v>395</v>
      </c>
      <c r="F138" s="179" t="str">
        <f>IF(AND(COUNTIF('Build &amp; Totals'!$A$4:$B$12,$C138)&gt;=1,Class=$B138),$A138,"")</f>
        <v/>
      </c>
    </row>
    <row r="139" spans="1:6">
      <c r="A139" s="331" t="s">
        <v>396</v>
      </c>
      <c r="B139" s="332" t="s">
        <v>343</v>
      </c>
      <c r="C139" s="332" t="s">
        <v>393</v>
      </c>
      <c r="D139" s="178" t="s">
        <v>19</v>
      </c>
      <c r="E139" s="333" t="s">
        <v>397</v>
      </c>
      <c r="F139" s="179" t="str">
        <f>IF(AND(COUNTIF('Build &amp; Totals'!$A$4:$B$12,$C139)&gt;=1,Class=$B139),$A139,"")</f>
        <v/>
      </c>
    </row>
    <row r="140" spans="1:6">
      <c r="A140" s="331" t="s">
        <v>398</v>
      </c>
      <c r="B140" s="332" t="s">
        <v>343</v>
      </c>
      <c r="C140" s="332" t="s">
        <v>393</v>
      </c>
      <c r="D140" s="178" t="s">
        <v>19</v>
      </c>
      <c r="E140" s="333" t="s">
        <v>399</v>
      </c>
      <c r="F140" s="179" t="str">
        <f>IF(AND(COUNTIF('Build &amp; Totals'!$A$4:$B$12,$C140)&gt;=1,Class=$B140),$A140,"")</f>
        <v/>
      </c>
    </row>
    <row r="141" spans="1:6">
      <c r="A141" s="331" t="s">
        <v>400</v>
      </c>
      <c r="B141" s="332" t="s">
        <v>343</v>
      </c>
      <c r="C141" s="332" t="s">
        <v>393</v>
      </c>
      <c r="D141" s="178" t="s">
        <v>95</v>
      </c>
      <c r="E141" s="333" t="s">
        <v>401</v>
      </c>
      <c r="F141" s="179" t="str">
        <f>IF(AND(COUNTIF('Build &amp; Totals'!$A$4:$B$12,$C141)&gt;=1,Class=$B141),$A141,"")</f>
        <v/>
      </c>
    </row>
    <row r="142" spans="1:6" ht="23.25">
      <c r="A142" s="331" t="s">
        <v>402</v>
      </c>
      <c r="B142" s="332" t="s">
        <v>343</v>
      </c>
      <c r="C142" s="332" t="s">
        <v>393</v>
      </c>
      <c r="D142" s="178" t="s">
        <v>22</v>
      </c>
      <c r="E142" s="333" t="s">
        <v>403</v>
      </c>
      <c r="F142" s="179" t="str">
        <f>IF(AND(COUNTIF('Build &amp; Totals'!$A$4:$B$12,$C142)&gt;=1,Class=$B142),$A142,"")</f>
        <v/>
      </c>
    </row>
    <row r="143" spans="1:6">
      <c r="A143" s="331" t="s">
        <v>404</v>
      </c>
      <c r="B143" s="332" t="s">
        <v>343</v>
      </c>
      <c r="C143" s="332" t="s">
        <v>393</v>
      </c>
      <c r="D143" s="178" t="s">
        <v>22</v>
      </c>
      <c r="E143" s="333" t="s">
        <v>405</v>
      </c>
      <c r="F143" s="179" t="str">
        <f>IF(AND(COUNTIF('Build &amp; Totals'!$A$4:$B$12,$C143)&gt;=1,Class=$B143),$A143,"")</f>
        <v/>
      </c>
    </row>
    <row r="144" spans="1:6">
      <c r="A144" s="331" t="s">
        <v>406</v>
      </c>
      <c r="B144" s="332" t="s">
        <v>343</v>
      </c>
      <c r="C144" s="332" t="s">
        <v>393</v>
      </c>
      <c r="D144" s="178" t="s">
        <v>22</v>
      </c>
      <c r="E144" s="333" t="s">
        <v>407</v>
      </c>
      <c r="F144" s="179" t="str">
        <f>IF(AND(COUNTIF('Build &amp; Totals'!$A$4:$B$12,$C144)&gt;=1,Class=$B144),$A144,"")</f>
        <v/>
      </c>
    </row>
    <row r="145" spans="1:6">
      <c r="A145" s="331" t="s">
        <v>408</v>
      </c>
      <c r="B145" s="332" t="s">
        <v>343</v>
      </c>
      <c r="C145" s="332" t="s">
        <v>393</v>
      </c>
      <c r="D145" s="178" t="s">
        <v>98</v>
      </c>
      <c r="E145" s="333" t="s">
        <v>409</v>
      </c>
      <c r="F145" s="179" t="str">
        <f>IF(AND(COUNTIF('Build &amp; Totals'!$A$4:$B$12,$C145)&gt;=1,Class=$B145),$A145,"")</f>
        <v/>
      </c>
    </row>
    <row r="146" spans="1:6" ht="23.25">
      <c r="A146" s="331" t="s">
        <v>410</v>
      </c>
      <c r="B146" s="332" t="s">
        <v>343</v>
      </c>
      <c r="C146" s="332" t="s">
        <v>393</v>
      </c>
      <c r="D146" s="178" t="s">
        <v>24</v>
      </c>
      <c r="E146" s="333" t="s">
        <v>411</v>
      </c>
      <c r="F146" s="179" t="str">
        <f>IF(AND(COUNTIF('Build &amp; Totals'!$A$4:$B$12,$C146)&gt;=1,Class=$B146),$A146,"")</f>
        <v/>
      </c>
    </row>
    <row r="147" spans="1:6">
      <c r="A147" s="331" t="s">
        <v>412</v>
      </c>
      <c r="B147" s="332" t="s">
        <v>343</v>
      </c>
      <c r="C147" s="332" t="s">
        <v>393</v>
      </c>
      <c r="D147" s="178" t="s">
        <v>24</v>
      </c>
      <c r="E147" s="333" t="s">
        <v>413</v>
      </c>
      <c r="F147" s="179" t="str">
        <f>IF(AND(COUNTIF('Build &amp; Totals'!$A$4:$B$12,$C147)&gt;=1,Class=$B147),$A147,"")</f>
        <v/>
      </c>
    </row>
    <row r="148" spans="1:6">
      <c r="A148" s="331" t="s">
        <v>414</v>
      </c>
      <c r="B148" s="332" t="s">
        <v>343</v>
      </c>
      <c r="C148" s="332" t="s">
        <v>393</v>
      </c>
      <c r="D148" s="178" t="s">
        <v>24</v>
      </c>
      <c r="E148" s="333" t="s">
        <v>415</v>
      </c>
      <c r="F148" s="179" t="str">
        <f>IF(AND(COUNTIF('Build &amp; Totals'!$A$4:$B$12,$C148)&gt;=1,Class=$B148),$A148,"")</f>
        <v/>
      </c>
    </row>
    <row r="149" spans="1:6">
      <c r="A149" s="331" t="s">
        <v>416</v>
      </c>
      <c r="B149" s="332" t="s">
        <v>343</v>
      </c>
      <c r="C149" s="332" t="s">
        <v>417</v>
      </c>
      <c r="D149" s="178" t="s">
        <v>94</v>
      </c>
      <c r="E149" s="333" t="s">
        <v>418</v>
      </c>
      <c r="F149" s="179" t="str">
        <f>IF(AND(COUNTIF('Build &amp; Totals'!$A$4:$B$12,$C149)&gt;=1,Class=$B149),$A149,"")</f>
        <v/>
      </c>
    </row>
    <row r="150" spans="1:6">
      <c r="A150" s="331" t="s">
        <v>419</v>
      </c>
      <c r="B150" s="332" t="s">
        <v>343</v>
      </c>
      <c r="C150" s="332" t="s">
        <v>417</v>
      </c>
      <c r="D150" s="178" t="s">
        <v>19</v>
      </c>
      <c r="E150" s="333" t="s">
        <v>420</v>
      </c>
      <c r="F150" s="179" t="str">
        <f>IF(AND(COUNTIF('Build &amp; Totals'!$A$4:$B$12,$C150)&gt;=1,Class=$B150),$A150,"")</f>
        <v/>
      </c>
    </row>
    <row r="151" spans="1:6">
      <c r="A151" s="331" t="s">
        <v>421</v>
      </c>
      <c r="B151" s="332" t="s">
        <v>343</v>
      </c>
      <c r="C151" s="332" t="s">
        <v>417</v>
      </c>
      <c r="D151" s="178" t="s">
        <v>19</v>
      </c>
      <c r="E151" s="333" t="s">
        <v>422</v>
      </c>
      <c r="F151" s="179" t="str">
        <f>IF(AND(COUNTIF('Build &amp; Totals'!$A$4:$B$12,$C151)&gt;=1,Class=$B151),$A151,"")</f>
        <v/>
      </c>
    </row>
    <row r="152" spans="1:6">
      <c r="A152" s="331" t="s">
        <v>423</v>
      </c>
      <c r="B152" s="332" t="s">
        <v>343</v>
      </c>
      <c r="C152" s="332" t="s">
        <v>417</v>
      </c>
      <c r="D152" s="178" t="s">
        <v>19</v>
      </c>
      <c r="E152" s="333" t="s">
        <v>424</v>
      </c>
      <c r="F152" s="179" t="str">
        <f>IF(AND(COUNTIF('Build &amp; Totals'!$A$4:$B$12,$C152)&gt;=1,Class=$B152),$A152,"")</f>
        <v/>
      </c>
    </row>
    <row r="153" spans="1:6">
      <c r="A153" s="331" t="s">
        <v>425</v>
      </c>
      <c r="B153" s="332" t="s">
        <v>343</v>
      </c>
      <c r="C153" s="332" t="s">
        <v>417</v>
      </c>
      <c r="D153" s="178" t="s">
        <v>95</v>
      </c>
      <c r="E153" s="333" t="s">
        <v>426</v>
      </c>
      <c r="F153" s="179" t="str">
        <f>IF(AND(COUNTIF('Build &amp; Totals'!$A$4:$B$12,$C153)&gt;=1,Class=$B153),$A153,"")</f>
        <v/>
      </c>
    </row>
    <row r="154" spans="1:6">
      <c r="A154" s="331" t="s">
        <v>427</v>
      </c>
      <c r="B154" s="332" t="s">
        <v>343</v>
      </c>
      <c r="C154" s="332" t="s">
        <v>417</v>
      </c>
      <c r="D154" s="178" t="s">
        <v>22</v>
      </c>
      <c r="E154" s="333" t="s">
        <v>428</v>
      </c>
      <c r="F154" s="179" t="str">
        <f>IF(AND(COUNTIF('Build &amp; Totals'!$A$4:$B$12,$C154)&gt;=1,Class=$B154),$A154,"")</f>
        <v/>
      </c>
    </row>
    <row r="155" spans="1:6">
      <c r="A155" s="331" t="s">
        <v>429</v>
      </c>
      <c r="B155" s="332" t="s">
        <v>343</v>
      </c>
      <c r="C155" s="332" t="s">
        <v>417</v>
      </c>
      <c r="D155" s="178" t="s">
        <v>22</v>
      </c>
      <c r="E155" s="333" t="s">
        <v>430</v>
      </c>
      <c r="F155" s="179" t="str">
        <f>IF(AND(COUNTIF('Build &amp; Totals'!$A$4:$B$12,$C155)&gt;=1,Class=$B155),$A155,"")</f>
        <v/>
      </c>
    </row>
    <row r="156" spans="1:6">
      <c r="A156" s="331" t="s">
        <v>431</v>
      </c>
      <c r="B156" s="332" t="s">
        <v>343</v>
      </c>
      <c r="C156" s="332" t="s">
        <v>417</v>
      </c>
      <c r="D156" s="178" t="s">
        <v>22</v>
      </c>
      <c r="E156" s="333" t="s">
        <v>432</v>
      </c>
      <c r="F156" s="179" t="str">
        <f>IF(AND(COUNTIF('Build &amp; Totals'!$A$4:$B$12,$C156)&gt;=1,Class=$B156),$A156,"")</f>
        <v/>
      </c>
    </row>
    <row r="157" spans="1:6">
      <c r="A157" s="331" t="s">
        <v>433</v>
      </c>
      <c r="B157" s="332" t="s">
        <v>343</v>
      </c>
      <c r="C157" s="332" t="s">
        <v>417</v>
      </c>
      <c r="D157" s="178" t="s">
        <v>98</v>
      </c>
      <c r="E157" s="333" t="s">
        <v>434</v>
      </c>
      <c r="F157" s="179" t="str">
        <f>IF(AND(COUNTIF('Build &amp; Totals'!$A$4:$B$12,$C157)&gt;=1,Class=$B157),$A157,"")</f>
        <v/>
      </c>
    </row>
    <row r="158" spans="1:6" ht="23.25">
      <c r="A158" s="331" t="s">
        <v>435</v>
      </c>
      <c r="B158" s="332" t="s">
        <v>343</v>
      </c>
      <c r="C158" s="332" t="s">
        <v>417</v>
      </c>
      <c r="D158" s="178" t="s">
        <v>24</v>
      </c>
      <c r="E158" s="333" t="s">
        <v>436</v>
      </c>
      <c r="F158" s="179" t="str">
        <f>IF(AND(COUNTIF('Build &amp; Totals'!$A$4:$B$12,$C158)&gt;=1,Class=$B158),$A158,"")</f>
        <v/>
      </c>
    </row>
    <row r="159" spans="1:6">
      <c r="A159" s="331" t="s">
        <v>437</v>
      </c>
      <c r="B159" s="332" t="s">
        <v>343</v>
      </c>
      <c r="C159" s="332" t="s">
        <v>417</v>
      </c>
      <c r="D159" s="178" t="s">
        <v>24</v>
      </c>
      <c r="E159" s="333" t="s">
        <v>438</v>
      </c>
      <c r="F159" s="179" t="str">
        <f>IF(AND(COUNTIF('Build &amp; Totals'!$A$4:$B$12,$C159)&gt;=1,Class=$B159),$A159,"")</f>
        <v/>
      </c>
    </row>
    <row r="160" spans="1:6" ht="23.25">
      <c r="A160" s="331" t="s">
        <v>439</v>
      </c>
      <c r="B160" s="332" t="s">
        <v>343</v>
      </c>
      <c r="C160" s="332" t="s">
        <v>417</v>
      </c>
      <c r="D160" s="178" t="s">
        <v>24</v>
      </c>
      <c r="E160" s="333" t="s">
        <v>440</v>
      </c>
      <c r="F160" s="179" t="str">
        <f>IF(AND(COUNTIF('Build &amp; Totals'!$A$4:$B$12,$C160)&gt;=1,Class=$B160),$A160,"")</f>
        <v/>
      </c>
    </row>
    <row r="161" spans="1:6" ht="23.25">
      <c r="A161" s="331" t="s">
        <v>441</v>
      </c>
      <c r="B161" s="332" t="s">
        <v>343</v>
      </c>
      <c r="C161" s="332" t="s">
        <v>442</v>
      </c>
      <c r="D161" s="178" t="s">
        <v>94</v>
      </c>
      <c r="E161" s="333" t="s">
        <v>443</v>
      </c>
      <c r="F161" s="179" t="str">
        <f>IF(AND(COUNTIF('Build &amp; Totals'!$A$4:$B$12,$C161)&gt;=1,Class=$B161),$A161,"")</f>
        <v/>
      </c>
    </row>
    <row r="162" spans="1:6">
      <c r="A162" s="331" t="s">
        <v>444</v>
      </c>
      <c r="B162" s="332" t="s">
        <v>343</v>
      </c>
      <c r="C162" s="332" t="s">
        <v>442</v>
      </c>
      <c r="D162" s="178" t="s">
        <v>19</v>
      </c>
      <c r="E162" s="333" t="s">
        <v>445</v>
      </c>
      <c r="F162" s="179" t="str">
        <f>IF(AND(COUNTIF('Build &amp; Totals'!$A$4:$B$12,$C162)&gt;=1,Class=$B162),$A162,"")</f>
        <v/>
      </c>
    </row>
    <row r="163" spans="1:6">
      <c r="A163" s="331" t="s">
        <v>446</v>
      </c>
      <c r="B163" s="332" t="s">
        <v>343</v>
      </c>
      <c r="C163" s="332" t="s">
        <v>442</v>
      </c>
      <c r="D163" s="178" t="s">
        <v>19</v>
      </c>
      <c r="E163" s="333" t="s">
        <v>447</v>
      </c>
      <c r="F163" s="179" t="str">
        <f>IF(AND(COUNTIF('Build &amp; Totals'!$A$4:$B$12,$C163)&gt;=1,Class=$B163),$A163,"")</f>
        <v/>
      </c>
    </row>
    <row r="164" spans="1:6">
      <c r="A164" s="331" t="s">
        <v>448</v>
      </c>
      <c r="B164" s="332" t="s">
        <v>343</v>
      </c>
      <c r="C164" s="332" t="s">
        <v>442</v>
      </c>
      <c r="D164" s="178" t="s">
        <v>19</v>
      </c>
      <c r="E164" s="333" t="s">
        <v>449</v>
      </c>
      <c r="F164" s="179" t="str">
        <f>IF(AND(COUNTIF('Build &amp; Totals'!$A$4:$B$12,$C164)&gt;=1,Class=$B164),$A164,"")</f>
        <v/>
      </c>
    </row>
    <row r="165" spans="1:6">
      <c r="A165" s="331" t="s">
        <v>450</v>
      </c>
      <c r="B165" s="332" t="s">
        <v>343</v>
      </c>
      <c r="C165" s="332" t="s">
        <v>442</v>
      </c>
      <c r="D165" s="178" t="s">
        <v>95</v>
      </c>
      <c r="E165" s="333" t="s">
        <v>451</v>
      </c>
      <c r="F165" s="179" t="str">
        <f>IF(AND(COUNTIF('Build &amp; Totals'!$A$4:$B$12,$C165)&gt;=1,Class=$B165),$A165,"")</f>
        <v/>
      </c>
    </row>
    <row r="166" spans="1:6">
      <c r="A166" s="331" t="s">
        <v>452</v>
      </c>
      <c r="B166" s="332" t="s">
        <v>343</v>
      </c>
      <c r="C166" s="332" t="s">
        <v>442</v>
      </c>
      <c r="D166" s="178" t="s">
        <v>22</v>
      </c>
      <c r="E166" s="333" t="s">
        <v>453</v>
      </c>
      <c r="F166" s="179" t="str">
        <f>IF(AND(COUNTIF('Build &amp; Totals'!$A$4:$B$12,$C166)&gt;=1,Class=$B166),$A166,"")</f>
        <v/>
      </c>
    </row>
    <row r="167" spans="1:6">
      <c r="A167" s="331" t="s">
        <v>454</v>
      </c>
      <c r="B167" s="332" t="s">
        <v>343</v>
      </c>
      <c r="C167" s="332" t="s">
        <v>442</v>
      </c>
      <c r="D167" s="178" t="s">
        <v>22</v>
      </c>
      <c r="E167" s="333" t="s">
        <v>455</v>
      </c>
      <c r="F167" s="179" t="str">
        <f>IF(AND(COUNTIF('Build &amp; Totals'!$A$4:$B$12,$C167)&gt;=1,Class=$B167),$A167,"")</f>
        <v/>
      </c>
    </row>
    <row r="168" spans="1:6">
      <c r="A168" s="331" t="s">
        <v>456</v>
      </c>
      <c r="B168" s="332" t="s">
        <v>343</v>
      </c>
      <c r="C168" s="332" t="s">
        <v>442</v>
      </c>
      <c r="D168" s="178" t="s">
        <v>22</v>
      </c>
      <c r="E168" s="333" t="s">
        <v>457</v>
      </c>
      <c r="F168" s="179" t="str">
        <f>IF(AND(COUNTIF('Build &amp; Totals'!$A$4:$B$12,$C168)&gt;=1,Class=$B168),$A168,"")</f>
        <v/>
      </c>
    </row>
    <row r="169" spans="1:6">
      <c r="A169" s="331" t="s">
        <v>458</v>
      </c>
      <c r="B169" s="332" t="s">
        <v>343</v>
      </c>
      <c r="C169" s="332" t="s">
        <v>442</v>
      </c>
      <c r="D169" s="178" t="s">
        <v>98</v>
      </c>
      <c r="E169" s="333" t="s">
        <v>459</v>
      </c>
      <c r="F169" s="179" t="str">
        <f>IF(AND(COUNTIF('Build &amp; Totals'!$A$4:$B$12,$C169)&gt;=1,Class=$B169),$A169,"")</f>
        <v/>
      </c>
    </row>
    <row r="170" spans="1:6">
      <c r="A170" s="331" t="s">
        <v>460</v>
      </c>
      <c r="B170" s="332" t="s">
        <v>343</v>
      </c>
      <c r="C170" s="332" t="s">
        <v>442</v>
      </c>
      <c r="D170" s="178" t="s">
        <v>24</v>
      </c>
      <c r="E170" s="333" t="s">
        <v>461</v>
      </c>
      <c r="F170" s="179" t="str">
        <f>IF(AND(COUNTIF('Build &amp; Totals'!$A$4:$B$12,$C170)&gt;=1,Class=$B170),$A170,"")</f>
        <v/>
      </c>
    </row>
    <row r="171" spans="1:6">
      <c r="A171" s="331" t="s">
        <v>462</v>
      </c>
      <c r="B171" s="332" t="s">
        <v>343</v>
      </c>
      <c r="C171" s="332" t="s">
        <v>442</v>
      </c>
      <c r="D171" s="178" t="s">
        <v>24</v>
      </c>
      <c r="E171" s="333" t="s">
        <v>463</v>
      </c>
      <c r="F171" s="179" t="str">
        <f>IF(AND(COUNTIF('Build &amp; Totals'!$A$4:$B$12,$C171)&gt;=1,Class=$B171),$A171,"")</f>
        <v/>
      </c>
    </row>
    <row r="172" spans="1:6" ht="23.25">
      <c r="A172" s="331" t="s">
        <v>464</v>
      </c>
      <c r="B172" s="332" t="s">
        <v>343</v>
      </c>
      <c r="C172" s="332" t="s">
        <v>442</v>
      </c>
      <c r="D172" s="178" t="s">
        <v>24</v>
      </c>
      <c r="E172" s="333" t="s">
        <v>465</v>
      </c>
      <c r="F172" s="179" t="str">
        <f>IF(AND(COUNTIF('Build &amp; Totals'!$A$4:$B$12,$C172)&gt;=1,Class=$B172),$A172,"")</f>
        <v/>
      </c>
    </row>
    <row r="173" spans="1:6">
      <c r="A173" s="331" t="s">
        <v>466</v>
      </c>
      <c r="B173" s="332" t="s">
        <v>343</v>
      </c>
      <c r="C173" s="332" t="s">
        <v>467</v>
      </c>
      <c r="D173" s="178" t="s">
        <v>238</v>
      </c>
      <c r="E173" s="333" t="s">
        <v>468</v>
      </c>
      <c r="F173" s="179" t="str">
        <f>IF(AND(COUNTIF('Build &amp; Totals'!$A$4:$B$12,$C173)&gt;=1,Class=$B173),$A173,"")</f>
        <v/>
      </c>
    </row>
    <row r="174" spans="1:6">
      <c r="A174" s="331" t="s">
        <v>469</v>
      </c>
      <c r="B174" s="332" t="s">
        <v>343</v>
      </c>
      <c r="C174" s="332" t="s">
        <v>467</v>
      </c>
      <c r="D174" s="178" t="s">
        <v>94</v>
      </c>
      <c r="E174" s="333" t="s">
        <v>470</v>
      </c>
      <c r="F174" s="179" t="str">
        <f>IF(AND(COUNTIF('Build &amp; Totals'!$A$4:$B$12,$C174)&gt;=1,Class=$B174),$A174,"")</f>
        <v/>
      </c>
    </row>
    <row r="175" spans="1:6">
      <c r="A175" s="331" t="s">
        <v>471</v>
      </c>
      <c r="B175" s="332" t="s">
        <v>343</v>
      </c>
      <c r="C175" s="332" t="s">
        <v>467</v>
      </c>
      <c r="D175" s="178" t="s">
        <v>19</v>
      </c>
      <c r="E175" s="333" t="s">
        <v>472</v>
      </c>
      <c r="F175" s="179" t="str">
        <f>IF(AND(COUNTIF('Build &amp; Totals'!$A$4:$B$12,$C175)&gt;=1,Class=$B175),$A175,"")</f>
        <v/>
      </c>
    </row>
    <row r="176" spans="1:6">
      <c r="A176" s="331" t="s">
        <v>473</v>
      </c>
      <c r="B176" s="332" t="s">
        <v>343</v>
      </c>
      <c r="C176" s="332" t="s">
        <v>467</v>
      </c>
      <c r="D176" s="178" t="s">
        <v>19</v>
      </c>
      <c r="E176" s="333" t="s">
        <v>474</v>
      </c>
      <c r="F176" s="179" t="str">
        <f>IF(AND(COUNTIF('Build &amp; Totals'!$A$4:$B$12,$C176)&gt;=1,Class=$B176),$A176,"")</f>
        <v/>
      </c>
    </row>
    <row r="177" spans="1:6">
      <c r="A177" s="331" t="s">
        <v>475</v>
      </c>
      <c r="B177" s="332" t="s">
        <v>343</v>
      </c>
      <c r="C177" s="332" t="s">
        <v>467</v>
      </c>
      <c r="D177" s="178" t="s">
        <v>19</v>
      </c>
      <c r="E177" s="333" t="s">
        <v>476</v>
      </c>
      <c r="F177" s="179" t="str">
        <f>IF(AND(COUNTIF('Build &amp; Totals'!$A$4:$B$12,$C177)&gt;=1,Class=$B177),$A177,"")</f>
        <v/>
      </c>
    </row>
    <row r="178" spans="1:6">
      <c r="A178" s="331" t="s">
        <v>477</v>
      </c>
      <c r="B178" s="332" t="s">
        <v>343</v>
      </c>
      <c r="C178" s="332" t="s">
        <v>467</v>
      </c>
      <c r="D178" s="178" t="s">
        <v>95</v>
      </c>
      <c r="E178" s="333" t="s">
        <v>478</v>
      </c>
      <c r="F178" s="179" t="str">
        <f>IF(AND(COUNTIF('Build &amp; Totals'!$A$4:$B$12,$C178)&gt;=1,Class=$B178),$A178,"")</f>
        <v/>
      </c>
    </row>
    <row r="179" spans="1:6">
      <c r="A179" s="331" t="s">
        <v>479</v>
      </c>
      <c r="B179" s="332" t="s">
        <v>343</v>
      </c>
      <c r="C179" s="332" t="s">
        <v>467</v>
      </c>
      <c r="D179" s="178" t="s">
        <v>22</v>
      </c>
      <c r="E179" s="333" t="s">
        <v>480</v>
      </c>
      <c r="F179" s="179" t="str">
        <f>IF(AND(COUNTIF('Build &amp; Totals'!$A$4:$B$12,$C179)&gt;=1,Class=$B179),$A179,"")</f>
        <v/>
      </c>
    </row>
    <row r="180" spans="1:6">
      <c r="A180" s="331" t="s">
        <v>481</v>
      </c>
      <c r="B180" s="332" t="s">
        <v>343</v>
      </c>
      <c r="C180" s="332" t="s">
        <v>467</v>
      </c>
      <c r="D180" s="178" t="s">
        <v>22</v>
      </c>
      <c r="E180" s="333" t="s">
        <v>482</v>
      </c>
      <c r="F180" s="179" t="str">
        <f>IF(AND(COUNTIF('Build &amp; Totals'!$A$4:$B$12,$C180)&gt;=1,Class=$B180),$A180,"")</f>
        <v/>
      </c>
    </row>
    <row r="181" spans="1:6">
      <c r="A181" s="331" t="s">
        <v>483</v>
      </c>
      <c r="B181" s="332" t="s">
        <v>343</v>
      </c>
      <c r="C181" s="332" t="s">
        <v>467</v>
      </c>
      <c r="D181" s="178" t="s">
        <v>22</v>
      </c>
      <c r="E181" s="333" t="s">
        <v>484</v>
      </c>
      <c r="F181" s="179" t="str">
        <f>IF(AND(COUNTIF('Build &amp; Totals'!$A$4:$B$12,$C181)&gt;=1,Class=$B181),$A181,"")</f>
        <v/>
      </c>
    </row>
    <row r="182" spans="1:6">
      <c r="A182" s="331" t="s">
        <v>485</v>
      </c>
      <c r="B182" s="332" t="s">
        <v>343</v>
      </c>
      <c r="C182" s="332" t="s">
        <v>467</v>
      </c>
      <c r="D182" s="178" t="s">
        <v>98</v>
      </c>
      <c r="E182" s="333" t="s">
        <v>486</v>
      </c>
      <c r="F182" s="179" t="str">
        <f>IF(AND(COUNTIF('Build &amp; Totals'!$A$4:$B$12,$C182)&gt;=1,Class=$B182),$A182,"")</f>
        <v/>
      </c>
    </row>
    <row r="183" spans="1:6" ht="23.25">
      <c r="A183" s="331" t="s">
        <v>487</v>
      </c>
      <c r="B183" s="332" t="s">
        <v>343</v>
      </c>
      <c r="C183" s="332" t="s">
        <v>467</v>
      </c>
      <c r="D183" s="178" t="s">
        <v>24</v>
      </c>
      <c r="E183" s="333" t="s">
        <v>488</v>
      </c>
      <c r="F183" s="179" t="str">
        <f>IF(AND(COUNTIF('Build &amp; Totals'!$A$4:$B$12,$C183)&gt;=1,Class=$B183),$A183,"")</f>
        <v/>
      </c>
    </row>
    <row r="184" spans="1:6" ht="23.25">
      <c r="A184" s="331" t="s">
        <v>489</v>
      </c>
      <c r="B184" s="332" t="s">
        <v>343</v>
      </c>
      <c r="C184" s="332" t="s">
        <v>467</v>
      </c>
      <c r="D184" s="178" t="s">
        <v>24</v>
      </c>
      <c r="E184" s="333" t="s">
        <v>490</v>
      </c>
      <c r="F184" s="179" t="str">
        <f>IF(AND(COUNTIF('Build &amp; Totals'!$A$4:$B$12,$C184)&gt;=1,Class=$B184),$A184,"")</f>
        <v/>
      </c>
    </row>
    <row r="185" spans="1:6" ht="23.25">
      <c r="A185" s="331" t="s">
        <v>491</v>
      </c>
      <c r="B185" s="332" t="s">
        <v>343</v>
      </c>
      <c r="C185" s="332" t="s">
        <v>467</v>
      </c>
      <c r="D185" s="178" t="s">
        <v>24</v>
      </c>
      <c r="E185" s="333" t="s">
        <v>492</v>
      </c>
      <c r="F185" s="179" t="str">
        <f>IF(AND(COUNTIF('Build &amp; Totals'!$A$4:$B$12,$C185)&gt;=1,Class=$B185),$A185,"")</f>
        <v/>
      </c>
    </row>
    <row r="186" spans="1:6">
      <c r="A186" s="331" t="s">
        <v>493</v>
      </c>
      <c r="B186" s="332" t="s">
        <v>343</v>
      </c>
      <c r="C186" s="332" t="s">
        <v>494</v>
      </c>
      <c r="D186" s="178" t="s">
        <v>238</v>
      </c>
      <c r="E186" s="333" t="s">
        <v>495</v>
      </c>
      <c r="F186" s="179" t="str">
        <f>IF(AND(COUNTIF('Build &amp; Totals'!$A$4:$B$12,$C186)&gt;=1,Class=$B186),$A186,"")</f>
        <v/>
      </c>
    </row>
    <row r="187" spans="1:6" ht="23.25">
      <c r="A187" s="331" t="s">
        <v>496</v>
      </c>
      <c r="B187" s="332" t="s">
        <v>343</v>
      </c>
      <c r="C187" s="332" t="s">
        <v>494</v>
      </c>
      <c r="D187" s="178" t="s">
        <v>94</v>
      </c>
      <c r="E187" s="333" t="s">
        <v>497</v>
      </c>
      <c r="F187" s="179" t="str">
        <f>IF(AND(COUNTIF('Build &amp; Totals'!$A$4:$B$12,$C187)&gt;=1,Class=$B187),$A187,"")</f>
        <v/>
      </c>
    </row>
    <row r="188" spans="1:6">
      <c r="A188" s="331" t="s">
        <v>498</v>
      </c>
      <c r="B188" s="332" t="s">
        <v>343</v>
      </c>
      <c r="C188" s="332" t="s">
        <v>494</v>
      </c>
      <c r="D188" s="178" t="s">
        <v>19</v>
      </c>
      <c r="E188" s="333" t="s">
        <v>499</v>
      </c>
      <c r="F188" s="179" t="str">
        <f>IF(AND(COUNTIF('Build &amp; Totals'!$A$4:$B$12,$C188)&gt;=1,Class=$B188),$A188,"")</f>
        <v/>
      </c>
    </row>
    <row r="189" spans="1:6">
      <c r="A189" s="331" t="s">
        <v>500</v>
      </c>
      <c r="B189" s="332" t="s">
        <v>343</v>
      </c>
      <c r="C189" s="332" t="s">
        <v>494</v>
      </c>
      <c r="D189" s="178" t="s">
        <v>19</v>
      </c>
      <c r="E189" s="333" t="s">
        <v>501</v>
      </c>
      <c r="F189" s="179" t="str">
        <f>IF(AND(COUNTIF('Build &amp; Totals'!$A$4:$B$12,$C189)&gt;=1,Class=$B189),$A189,"")</f>
        <v/>
      </c>
    </row>
    <row r="190" spans="1:6">
      <c r="A190" s="331" t="s">
        <v>502</v>
      </c>
      <c r="B190" s="332" t="s">
        <v>343</v>
      </c>
      <c r="C190" s="332" t="s">
        <v>494</v>
      </c>
      <c r="D190" s="178" t="s">
        <v>19</v>
      </c>
      <c r="E190" s="333" t="s">
        <v>503</v>
      </c>
      <c r="F190" s="179" t="str">
        <f>IF(AND(COUNTIF('Build &amp; Totals'!$A$4:$B$12,$C190)&gt;=1,Class=$B190),$A190,"")</f>
        <v/>
      </c>
    </row>
    <row r="191" spans="1:6">
      <c r="A191" s="331" t="s">
        <v>504</v>
      </c>
      <c r="B191" s="332" t="s">
        <v>343</v>
      </c>
      <c r="C191" s="332" t="s">
        <v>494</v>
      </c>
      <c r="D191" s="178" t="s">
        <v>95</v>
      </c>
      <c r="E191" s="333" t="s">
        <v>505</v>
      </c>
      <c r="F191" s="179" t="str">
        <f>IF(AND(COUNTIF('Build &amp; Totals'!$A$4:$B$12,$C191)&gt;=1,Class=$B191),$A191,"")</f>
        <v/>
      </c>
    </row>
    <row r="192" spans="1:6">
      <c r="A192" s="331" t="s">
        <v>506</v>
      </c>
      <c r="B192" s="332" t="s">
        <v>343</v>
      </c>
      <c r="C192" s="332" t="s">
        <v>494</v>
      </c>
      <c r="D192" s="178" t="s">
        <v>22</v>
      </c>
      <c r="E192" s="333" t="s">
        <v>507</v>
      </c>
      <c r="F192" s="179" t="str">
        <f>IF(AND(COUNTIF('Build &amp; Totals'!$A$4:$B$12,$C192)&gt;=1,Class=$B192),$A192,"")</f>
        <v/>
      </c>
    </row>
    <row r="193" spans="1:6">
      <c r="A193" s="331" t="s">
        <v>508</v>
      </c>
      <c r="B193" s="332" t="s">
        <v>343</v>
      </c>
      <c r="C193" s="332" t="s">
        <v>494</v>
      </c>
      <c r="D193" s="178" t="s">
        <v>22</v>
      </c>
      <c r="E193" s="333" t="s">
        <v>509</v>
      </c>
      <c r="F193" s="179" t="str">
        <f>IF(AND(COUNTIF('Build &amp; Totals'!$A$4:$B$12,$C193)&gt;=1,Class=$B193),$A193,"")</f>
        <v/>
      </c>
    </row>
    <row r="194" spans="1:6" ht="23.25">
      <c r="A194" s="331" t="s">
        <v>510</v>
      </c>
      <c r="B194" s="332" t="s">
        <v>343</v>
      </c>
      <c r="C194" s="332" t="s">
        <v>494</v>
      </c>
      <c r="D194" s="178" t="s">
        <v>22</v>
      </c>
      <c r="E194" s="333" t="s">
        <v>511</v>
      </c>
      <c r="F194" s="179" t="str">
        <f>IF(AND(COUNTIF('Build &amp; Totals'!$A$4:$B$12,$C194)&gt;=1,Class=$B194),$A194,"")</f>
        <v/>
      </c>
    </row>
    <row r="195" spans="1:6" ht="23.25">
      <c r="A195" s="331" t="s">
        <v>512</v>
      </c>
      <c r="B195" s="332" t="s">
        <v>343</v>
      </c>
      <c r="C195" s="332" t="s">
        <v>494</v>
      </c>
      <c r="D195" s="178" t="s">
        <v>98</v>
      </c>
      <c r="E195" s="333" t="s">
        <v>513</v>
      </c>
      <c r="F195" s="179" t="str">
        <f>IF(AND(COUNTIF('Build &amp; Totals'!$A$4:$B$12,$C195)&gt;=1,Class=$B195),$A195,"")</f>
        <v/>
      </c>
    </row>
    <row r="196" spans="1:6" ht="23.25">
      <c r="A196" s="331" t="s">
        <v>514</v>
      </c>
      <c r="B196" s="332" t="s">
        <v>343</v>
      </c>
      <c r="C196" s="332" t="s">
        <v>494</v>
      </c>
      <c r="D196" s="178" t="s">
        <v>24</v>
      </c>
      <c r="E196" s="333" t="s">
        <v>515</v>
      </c>
      <c r="F196" s="179" t="str">
        <f>IF(AND(COUNTIF('Build &amp; Totals'!$A$4:$B$12,$C196)&gt;=1,Class=$B196),$A196,"")</f>
        <v/>
      </c>
    </row>
    <row r="197" spans="1:6" ht="23.25">
      <c r="A197" s="331" t="s">
        <v>516</v>
      </c>
      <c r="B197" s="332" t="s">
        <v>343</v>
      </c>
      <c r="C197" s="332" t="s">
        <v>494</v>
      </c>
      <c r="D197" s="178" t="s">
        <v>24</v>
      </c>
      <c r="E197" s="333" t="s">
        <v>517</v>
      </c>
      <c r="F197" s="179" t="str">
        <f>IF(AND(COUNTIF('Build &amp; Totals'!$A$4:$B$12,$C197)&gt;=1,Class=$B197),$A197,"")</f>
        <v/>
      </c>
    </row>
    <row r="198" spans="1:6" ht="23.25">
      <c r="A198" s="331" t="s">
        <v>518</v>
      </c>
      <c r="B198" s="332" t="s">
        <v>343</v>
      </c>
      <c r="C198" s="332" t="s">
        <v>494</v>
      </c>
      <c r="D198" s="178" t="s">
        <v>24</v>
      </c>
      <c r="E198" s="333" t="s">
        <v>519</v>
      </c>
      <c r="F198" s="179" t="str">
        <f>IF(AND(COUNTIF('Build &amp; Totals'!$A$4:$B$12,$C198)&gt;=1,Class=$B198),$A198,"")</f>
        <v/>
      </c>
    </row>
    <row r="199" spans="1:6">
      <c r="A199" s="331" t="s">
        <v>520</v>
      </c>
      <c r="B199" s="332" t="s">
        <v>343</v>
      </c>
      <c r="C199" s="332" t="s">
        <v>521</v>
      </c>
      <c r="D199" s="178" t="s">
        <v>238</v>
      </c>
      <c r="E199" s="333" t="s">
        <v>522</v>
      </c>
      <c r="F199" s="179" t="str">
        <f>IF(AND(COUNTIF('Build &amp; Totals'!$A$4:$B$12,$C199)&gt;=1,Class=$B199),$A199,"")</f>
        <v/>
      </c>
    </row>
    <row r="200" spans="1:6">
      <c r="A200" s="331" t="s">
        <v>523</v>
      </c>
      <c r="B200" s="332" t="s">
        <v>343</v>
      </c>
      <c r="C200" s="332" t="s">
        <v>521</v>
      </c>
      <c r="D200" s="178" t="s">
        <v>94</v>
      </c>
      <c r="E200" s="333" t="s">
        <v>524</v>
      </c>
      <c r="F200" s="179" t="str">
        <f>IF(AND(COUNTIF('Build &amp; Totals'!$A$4:$B$12,$C200)&gt;=1,Class=$B200),$A200,"")</f>
        <v/>
      </c>
    </row>
    <row r="201" spans="1:6">
      <c r="A201" s="331" t="s">
        <v>525</v>
      </c>
      <c r="B201" s="332" t="s">
        <v>343</v>
      </c>
      <c r="C201" s="332" t="s">
        <v>521</v>
      </c>
      <c r="D201" s="178" t="s">
        <v>19</v>
      </c>
      <c r="E201" s="333" t="s">
        <v>526</v>
      </c>
      <c r="F201" s="179" t="str">
        <f>IF(AND(COUNTIF('Build &amp; Totals'!$A$4:$B$12,$C201)&gt;=1,Class=$B201),$A201,"")</f>
        <v/>
      </c>
    </row>
    <row r="202" spans="1:6" ht="35.25">
      <c r="A202" s="331" t="s">
        <v>527</v>
      </c>
      <c r="B202" s="332" t="s">
        <v>343</v>
      </c>
      <c r="C202" s="332" t="s">
        <v>521</v>
      </c>
      <c r="D202" s="178" t="s">
        <v>19</v>
      </c>
      <c r="E202" s="333" t="s">
        <v>528</v>
      </c>
      <c r="F202" s="179" t="str">
        <f>IF(AND(COUNTIF('Build &amp; Totals'!$A$4:$B$12,$C202)&gt;=1,Class=$B202),$A202,"")</f>
        <v/>
      </c>
    </row>
    <row r="203" spans="1:6" ht="23.25">
      <c r="A203" s="331" t="s">
        <v>529</v>
      </c>
      <c r="B203" s="332" t="s">
        <v>343</v>
      </c>
      <c r="C203" s="332" t="s">
        <v>521</v>
      </c>
      <c r="D203" s="178" t="s">
        <v>19</v>
      </c>
      <c r="E203" s="333" t="s">
        <v>530</v>
      </c>
      <c r="F203" s="179" t="str">
        <f>IF(AND(COUNTIF('Build &amp; Totals'!$A$4:$B$12,$C203)&gt;=1,Class=$B203),$A203,"")</f>
        <v/>
      </c>
    </row>
    <row r="204" spans="1:6" ht="23.25">
      <c r="A204" s="331" t="s">
        <v>531</v>
      </c>
      <c r="B204" s="332" t="s">
        <v>343</v>
      </c>
      <c r="C204" s="332" t="s">
        <v>521</v>
      </c>
      <c r="D204" s="178" t="s">
        <v>95</v>
      </c>
      <c r="E204" s="333" t="s">
        <v>532</v>
      </c>
      <c r="F204" s="179" t="str">
        <f>IF(AND(COUNTIF('Build &amp; Totals'!$A$4:$B$12,$C204)&gt;=1,Class=$B204),$A204,"")</f>
        <v/>
      </c>
    </row>
    <row r="205" spans="1:6">
      <c r="A205" s="331" t="s">
        <v>533</v>
      </c>
      <c r="B205" s="332" t="s">
        <v>343</v>
      </c>
      <c r="C205" s="332" t="s">
        <v>521</v>
      </c>
      <c r="D205" s="178" t="s">
        <v>22</v>
      </c>
      <c r="E205" s="333" t="s">
        <v>534</v>
      </c>
      <c r="F205" s="179" t="str">
        <f>IF(AND(COUNTIF('Build &amp; Totals'!$A$4:$B$12,$C205)&gt;=1,Class=$B205),$A205,"")</f>
        <v/>
      </c>
    </row>
    <row r="206" spans="1:6">
      <c r="A206" s="331" t="s">
        <v>535</v>
      </c>
      <c r="B206" s="332" t="s">
        <v>343</v>
      </c>
      <c r="C206" s="332" t="s">
        <v>521</v>
      </c>
      <c r="D206" s="178" t="s">
        <v>22</v>
      </c>
      <c r="E206" s="333" t="s">
        <v>536</v>
      </c>
      <c r="F206" s="179" t="str">
        <f>IF(AND(COUNTIF('Build &amp; Totals'!$A$4:$B$12,$C206)&gt;=1,Class=$B206),$A206,"")</f>
        <v/>
      </c>
    </row>
    <row r="207" spans="1:6">
      <c r="A207" s="331" t="s">
        <v>537</v>
      </c>
      <c r="B207" s="332" t="s">
        <v>343</v>
      </c>
      <c r="C207" s="332" t="s">
        <v>521</v>
      </c>
      <c r="D207" s="178" t="s">
        <v>22</v>
      </c>
      <c r="E207" s="333" t="s">
        <v>538</v>
      </c>
      <c r="F207" s="179" t="str">
        <f>IF(AND(COUNTIF('Build &amp; Totals'!$A$4:$B$12,$C207)&gt;=1,Class=$B207),$A207,"")</f>
        <v/>
      </c>
    </row>
    <row r="208" spans="1:6">
      <c r="A208" s="331" t="s">
        <v>539</v>
      </c>
      <c r="B208" s="332" t="s">
        <v>343</v>
      </c>
      <c r="C208" s="332" t="s">
        <v>521</v>
      </c>
      <c r="D208" s="178" t="s">
        <v>98</v>
      </c>
      <c r="E208" s="333" t="s">
        <v>540</v>
      </c>
      <c r="F208" s="179" t="str">
        <f>IF(AND(COUNTIF('Build &amp; Totals'!$A$4:$B$12,$C208)&gt;=1,Class=$B208),$A208,"")</f>
        <v/>
      </c>
    </row>
    <row r="209" spans="1:6" ht="23.25">
      <c r="A209" s="331" t="s">
        <v>541</v>
      </c>
      <c r="B209" s="332" t="s">
        <v>343</v>
      </c>
      <c r="C209" s="332" t="s">
        <v>521</v>
      </c>
      <c r="D209" s="178" t="s">
        <v>24</v>
      </c>
      <c r="E209" s="333" t="s">
        <v>542</v>
      </c>
      <c r="F209" s="179" t="str">
        <f>IF(AND(COUNTIF('Build &amp; Totals'!$A$4:$B$12,$C209)&gt;=1,Class=$B209),$A209,"")</f>
        <v/>
      </c>
    </row>
    <row r="210" spans="1:6">
      <c r="A210" s="331" t="s">
        <v>543</v>
      </c>
      <c r="B210" s="332" t="s">
        <v>343</v>
      </c>
      <c r="C210" s="332" t="s">
        <v>521</v>
      </c>
      <c r="D210" s="178" t="s">
        <v>24</v>
      </c>
      <c r="E210" s="333" t="s">
        <v>544</v>
      </c>
      <c r="F210" s="179" t="str">
        <f>IF(AND(COUNTIF('Build &amp; Totals'!$A$4:$B$12,$C210)&gt;=1,Class=$B210),$A210,"")</f>
        <v/>
      </c>
    </row>
    <row r="211" spans="1:6" ht="23.25">
      <c r="A211" s="331" t="s">
        <v>545</v>
      </c>
      <c r="B211" s="332" t="s">
        <v>343</v>
      </c>
      <c r="C211" s="332" t="s">
        <v>521</v>
      </c>
      <c r="D211" s="178" t="s">
        <v>24</v>
      </c>
      <c r="E211" s="333" t="s">
        <v>546</v>
      </c>
      <c r="F211" s="179" t="str">
        <f>IF(AND(COUNTIF('Build &amp; Totals'!$A$4:$B$12,$C211)&gt;=1,Class=$B211),$A211,"")</f>
        <v/>
      </c>
    </row>
    <row r="212" spans="1:6" ht="35.25">
      <c r="A212" s="331" t="s">
        <v>547</v>
      </c>
      <c r="B212" s="332" t="s">
        <v>343</v>
      </c>
      <c r="C212" s="332" t="s">
        <v>548</v>
      </c>
      <c r="D212" s="178" t="s">
        <v>94</v>
      </c>
      <c r="E212" s="333" t="s">
        <v>549</v>
      </c>
      <c r="F212" s="179" t="str">
        <f>IF(AND(COUNTIF('Build &amp; Totals'!$A$4:$B$12,$C212)&gt;=1,Class=$B212),$A212,"")</f>
        <v/>
      </c>
    </row>
    <row r="213" spans="1:6">
      <c r="A213" s="331" t="s">
        <v>550</v>
      </c>
      <c r="B213" s="332" t="s">
        <v>343</v>
      </c>
      <c r="C213" s="332" t="s">
        <v>548</v>
      </c>
      <c r="D213" s="178" t="s">
        <v>19</v>
      </c>
      <c r="E213" s="333" t="s">
        <v>551</v>
      </c>
      <c r="F213" s="179" t="str">
        <f>IF(AND(COUNTIF('Build &amp; Totals'!$A$4:$B$12,$C213)&gt;=1,Class=$B213),$A213,"")</f>
        <v/>
      </c>
    </row>
    <row r="214" spans="1:6">
      <c r="A214" s="331" t="s">
        <v>552</v>
      </c>
      <c r="B214" s="332" t="s">
        <v>343</v>
      </c>
      <c r="C214" s="332" t="s">
        <v>548</v>
      </c>
      <c r="D214" s="178" t="s">
        <v>19</v>
      </c>
      <c r="E214" s="333" t="s">
        <v>553</v>
      </c>
      <c r="F214" s="179" t="str">
        <f>IF(AND(COUNTIF('Build &amp; Totals'!$A$4:$B$12,$C214)&gt;=1,Class=$B214),$A214,"")</f>
        <v/>
      </c>
    </row>
    <row r="215" spans="1:6" ht="23.25">
      <c r="A215" s="331" t="s">
        <v>554</v>
      </c>
      <c r="B215" s="332" t="s">
        <v>343</v>
      </c>
      <c r="C215" s="332" t="s">
        <v>548</v>
      </c>
      <c r="D215" s="178" t="s">
        <v>19</v>
      </c>
      <c r="E215" s="333" t="s">
        <v>555</v>
      </c>
      <c r="F215" s="179" t="str">
        <f>IF(AND(COUNTIF('Build &amp; Totals'!$A$4:$B$12,$C215)&gt;=1,Class=$B215),$A215,"")</f>
        <v/>
      </c>
    </row>
    <row r="216" spans="1:6" ht="23.25">
      <c r="A216" s="331" t="s">
        <v>556</v>
      </c>
      <c r="B216" s="332" t="s">
        <v>343</v>
      </c>
      <c r="C216" s="332" t="s">
        <v>548</v>
      </c>
      <c r="D216" s="178" t="s">
        <v>95</v>
      </c>
      <c r="E216" s="333" t="s">
        <v>557</v>
      </c>
      <c r="F216" s="179" t="str">
        <f>IF(AND(COUNTIF('Build &amp; Totals'!$A$4:$B$12,$C216)&gt;=1,Class=$B216),$A216,"")</f>
        <v/>
      </c>
    </row>
    <row r="217" spans="1:6" ht="23.25">
      <c r="A217" s="331" t="s">
        <v>558</v>
      </c>
      <c r="B217" s="332" t="s">
        <v>343</v>
      </c>
      <c r="C217" s="332" t="s">
        <v>548</v>
      </c>
      <c r="D217" s="178" t="s">
        <v>22</v>
      </c>
      <c r="E217" s="333" t="s">
        <v>559</v>
      </c>
      <c r="F217" s="179" t="str">
        <f>IF(AND(COUNTIF('Build &amp; Totals'!$A$4:$B$12,$C217)&gt;=1,Class=$B217),$A217,"")</f>
        <v/>
      </c>
    </row>
    <row r="218" spans="1:6">
      <c r="A218" s="331" t="s">
        <v>560</v>
      </c>
      <c r="B218" s="332" t="s">
        <v>343</v>
      </c>
      <c r="C218" s="332" t="s">
        <v>548</v>
      </c>
      <c r="D218" s="178" t="s">
        <v>22</v>
      </c>
      <c r="E218" s="333" t="s">
        <v>561</v>
      </c>
      <c r="F218" s="179" t="str">
        <f>IF(AND(COUNTIF('Build &amp; Totals'!$A$4:$B$12,$C218)&gt;=1,Class=$B218),$A218,"")</f>
        <v/>
      </c>
    </row>
    <row r="219" spans="1:6">
      <c r="A219" s="331" t="s">
        <v>562</v>
      </c>
      <c r="B219" s="332" t="s">
        <v>343</v>
      </c>
      <c r="C219" s="332" t="s">
        <v>548</v>
      </c>
      <c r="D219" s="178" t="s">
        <v>22</v>
      </c>
      <c r="E219" s="333" t="s">
        <v>563</v>
      </c>
      <c r="F219" s="179" t="str">
        <f>IF(AND(COUNTIF('Build &amp; Totals'!$A$4:$B$12,$C219)&gt;=1,Class=$B219),$A219,"")</f>
        <v/>
      </c>
    </row>
    <row r="220" spans="1:6" ht="23.25">
      <c r="A220" s="331" t="s">
        <v>564</v>
      </c>
      <c r="B220" s="332" t="s">
        <v>343</v>
      </c>
      <c r="C220" s="332" t="s">
        <v>548</v>
      </c>
      <c r="D220" s="178" t="s">
        <v>98</v>
      </c>
      <c r="E220" s="333" t="s">
        <v>565</v>
      </c>
      <c r="F220" s="179" t="str">
        <f>IF(AND(COUNTIF('Build &amp; Totals'!$A$4:$B$12,$C220)&gt;=1,Class=$B220),$A220,"")</f>
        <v/>
      </c>
    </row>
    <row r="221" spans="1:6" ht="23.25">
      <c r="A221" s="331" t="s">
        <v>566</v>
      </c>
      <c r="B221" s="332" t="s">
        <v>343</v>
      </c>
      <c r="C221" s="332" t="s">
        <v>548</v>
      </c>
      <c r="D221" s="178" t="s">
        <v>24</v>
      </c>
      <c r="E221" s="333" t="s">
        <v>567</v>
      </c>
      <c r="F221" s="179" t="str">
        <f>IF(AND(COUNTIF('Build &amp; Totals'!$A$4:$B$12,$C221)&gt;=1,Class=$B221),$A221,"")</f>
        <v/>
      </c>
    </row>
    <row r="222" spans="1:6" ht="23.25">
      <c r="A222" s="331" t="s">
        <v>568</v>
      </c>
      <c r="B222" s="332" t="s">
        <v>343</v>
      </c>
      <c r="C222" s="332" t="s">
        <v>548</v>
      </c>
      <c r="D222" s="178" t="s">
        <v>24</v>
      </c>
      <c r="E222" s="333" t="s">
        <v>569</v>
      </c>
      <c r="F222" s="179" t="str">
        <f>IF(AND(COUNTIF('Build &amp; Totals'!$A$4:$B$12,$C222)&gt;=1,Class=$B222),$A222,"")</f>
        <v/>
      </c>
    </row>
    <row r="223" spans="1:6" ht="35.25">
      <c r="A223" s="331" t="s">
        <v>570</v>
      </c>
      <c r="B223" s="332" t="s">
        <v>343</v>
      </c>
      <c r="C223" s="332" t="s">
        <v>548</v>
      </c>
      <c r="D223" s="178" t="s">
        <v>24</v>
      </c>
      <c r="E223" s="333" t="s">
        <v>571</v>
      </c>
      <c r="F223" s="179" t="str">
        <f>IF(AND(COUNTIF('Build &amp; Totals'!$A$4:$B$12,$C223)&gt;=1,Class=$B223),$A223,"")</f>
        <v/>
      </c>
    </row>
    <row r="224" spans="1:6">
      <c r="A224" s="331" t="s">
        <v>572</v>
      </c>
      <c r="B224" s="332" t="s">
        <v>573</v>
      </c>
      <c r="C224" s="332" t="s">
        <v>574</v>
      </c>
      <c r="D224" s="178" t="s">
        <v>94</v>
      </c>
      <c r="E224" s="333" t="s">
        <v>575</v>
      </c>
      <c r="F224" s="179" t="str">
        <f>IF(AND(COUNTIF('Build &amp; Totals'!$A$4:$B$12,$C224)&gt;=1,Class=$B224),$A224,"")</f>
        <v/>
      </c>
    </row>
    <row r="225" spans="1:6">
      <c r="A225" s="331" t="s">
        <v>576</v>
      </c>
      <c r="B225" s="332" t="s">
        <v>573</v>
      </c>
      <c r="C225" s="332" t="s">
        <v>574</v>
      </c>
      <c r="D225" s="178" t="s">
        <v>19</v>
      </c>
      <c r="E225" s="333" t="s">
        <v>577</v>
      </c>
      <c r="F225" s="179" t="str">
        <f>IF(AND(COUNTIF('Build &amp; Totals'!$A$4:$B$12,$C225)&gt;=1,Class=$B225),$A225,"")</f>
        <v/>
      </c>
    </row>
    <row r="226" spans="1:6">
      <c r="A226" s="331" t="s">
        <v>578</v>
      </c>
      <c r="B226" s="332" t="s">
        <v>573</v>
      </c>
      <c r="C226" s="332" t="s">
        <v>574</v>
      </c>
      <c r="D226" s="178" t="s">
        <v>19</v>
      </c>
      <c r="E226" s="333" t="s">
        <v>579</v>
      </c>
      <c r="F226" s="179" t="str">
        <f>IF(AND(COUNTIF('Build &amp; Totals'!$A$4:$B$12,$C226)&gt;=1,Class=$B226),$A226,"")</f>
        <v/>
      </c>
    </row>
    <row r="227" spans="1:6">
      <c r="A227" s="331" t="s">
        <v>580</v>
      </c>
      <c r="B227" s="332" t="s">
        <v>573</v>
      </c>
      <c r="C227" s="332" t="s">
        <v>574</v>
      </c>
      <c r="D227" s="178" t="s">
        <v>19</v>
      </c>
      <c r="E227" s="333" t="s">
        <v>581</v>
      </c>
      <c r="F227" s="179" t="str">
        <f>IF(AND(COUNTIF('Build &amp; Totals'!$A$4:$B$12,$C227)&gt;=1,Class=$B227),$A227,"")</f>
        <v/>
      </c>
    </row>
    <row r="228" spans="1:6">
      <c r="A228" s="331" t="s">
        <v>582</v>
      </c>
      <c r="B228" s="332" t="s">
        <v>573</v>
      </c>
      <c r="C228" s="332" t="s">
        <v>574</v>
      </c>
      <c r="D228" s="178" t="s">
        <v>95</v>
      </c>
      <c r="E228" s="333" t="s">
        <v>583</v>
      </c>
      <c r="F228" s="179" t="str">
        <f>IF(AND(COUNTIF('Build &amp; Totals'!$A$4:$B$12,$C228)&gt;=1,Class=$B228),$A228,"")</f>
        <v/>
      </c>
    </row>
    <row r="229" spans="1:6">
      <c r="A229" s="331" t="s">
        <v>584</v>
      </c>
      <c r="B229" s="332" t="s">
        <v>573</v>
      </c>
      <c r="C229" s="332" t="s">
        <v>574</v>
      </c>
      <c r="D229" s="178" t="s">
        <v>22</v>
      </c>
      <c r="E229" s="333" t="s">
        <v>585</v>
      </c>
      <c r="F229" s="179" t="str">
        <f>IF(AND(COUNTIF('Build &amp; Totals'!$A$4:$B$12,$C229)&gt;=1,Class=$B229),$A229,"")</f>
        <v/>
      </c>
    </row>
    <row r="230" spans="1:6" ht="23.25">
      <c r="A230" s="331" t="s">
        <v>586</v>
      </c>
      <c r="B230" s="332" t="s">
        <v>573</v>
      </c>
      <c r="C230" s="332" t="s">
        <v>574</v>
      </c>
      <c r="D230" s="178" t="s">
        <v>22</v>
      </c>
      <c r="E230" s="333" t="s">
        <v>587</v>
      </c>
      <c r="F230" s="179" t="str">
        <f>IF(AND(COUNTIF('Build &amp; Totals'!$A$4:$B$12,$C230)&gt;=1,Class=$B230),$A230,"")</f>
        <v/>
      </c>
    </row>
    <row r="231" spans="1:6">
      <c r="A231" s="331" t="s">
        <v>588</v>
      </c>
      <c r="B231" s="332" t="s">
        <v>573</v>
      </c>
      <c r="C231" s="332" t="s">
        <v>574</v>
      </c>
      <c r="D231" s="178" t="s">
        <v>22</v>
      </c>
      <c r="E231" s="333" t="s">
        <v>589</v>
      </c>
      <c r="F231" s="179" t="str">
        <f>IF(AND(COUNTIF('Build &amp; Totals'!$A$4:$B$12,$C231)&gt;=1,Class=$B231),$A231,"")</f>
        <v/>
      </c>
    </row>
    <row r="232" spans="1:6">
      <c r="A232" s="331" t="s">
        <v>590</v>
      </c>
      <c r="B232" s="332" t="s">
        <v>573</v>
      </c>
      <c r="C232" s="332" t="s">
        <v>574</v>
      </c>
      <c r="D232" s="178" t="s">
        <v>98</v>
      </c>
      <c r="E232" s="333" t="s">
        <v>591</v>
      </c>
      <c r="F232" s="179" t="str">
        <f>IF(AND(COUNTIF('Build &amp; Totals'!$A$4:$B$12,$C232)&gt;=1,Class=$B232),$A232,"")</f>
        <v/>
      </c>
    </row>
    <row r="233" spans="1:6">
      <c r="A233" s="331" t="s">
        <v>592</v>
      </c>
      <c r="B233" s="332" t="s">
        <v>573</v>
      </c>
      <c r="C233" s="332" t="s">
        <v>574</v>
      </c>
      <c r="D233" s="178" t="s">
        <v>24</v>
      </c>
      <c r="E233" s="333" t="s">
        <v>593</v>
      </c>
      <c r="F233" s="179" t="str">
        <f>IF(AND(COUNTIF('Build &amp; Totals'!$A$4:$B$12,$C233)&gt;=1,Class=$B233),$A233,"")</f>
        <v/>
      </c>
    </row>
    <row r="234" spans="1:6">
      <c r="A234" s="331" t="s">
        <v>594</v>
      </c>
      <c r="B234" s="332" t="s">
        <v>573</v>
      </c>
      <c r="C234" s="332" t="s">
        <v>574</v>
      </c>
      <c r="D234" s="178" t="s">
        <v>24</v>
      </c>
      <c r="E234" s="333" t="s">
        <v>595</v>
      </c>
      <c r="F234" s="179" t="str">
        <f>IF(AND(COUNTIF('Build &amp; Totals'!$A$4:$B$12,$C234)&gt;=1,Class=$B234),$A234,"")</f>
        <v/>
      </c>
    </row>
    <row r="235" spans="1:6" ht="23.25">
      <c r="A235" s="331" t="s">
        <v>596</v>
      </c>
      <c r="B235" s="332" t="s">
        <v>573</v>
      </c>
      <c r="C235" s="332" t="s">
        <v>574</v>
      </c>
      <c r="D235" s="178" t="s">
        <v>24</v>
      </c>
      <c r="E235" s="333" t="s">
        <v>597</v>
      </c>
      <c r="F235" s="179" t="str">
        <f>IF(AND(COUNTIF('Build &amp; Totals'!$A$4:$B$12,$C235)&gt;=1,Class=$B235),$A235,"")</f>
        <v/>
      </c>
    </row>
    <row r="236" spans="1:6">
      <c r="A236" s="331" t="s">
        <v>598</v>
      </c>
      <c r="B236" s="332" t="s">
        <v>573</v>
      </c>
      <c r="C236" s="332" t="s">
        <v>599</v>
      </c>
      <c r="D236" s="178" t="s">
        <v>94</v>
      </c>
      <c r="E236" s="333" t="s">
        <v>600</v>
      </c>
      <c r="F236" s="179" t="str">
        <f>IF(AND(COUNTIF('Build &amp; Totals'!$A$4:$B$12,$C236)&gt;=1,Class=$B236),$A236,"")</f>
        <v/>
      </c>
    </row>
    <row r="237" spans="1:6">
      <c r="A237" s="331" t="s">
        <v>601</v>
      </c>
      <c r="B237" s="332" t="s">
        <v>573</v>
      </c>
      <c r="C237" s="332" t="s">
        <v>599</v>
      </c>
      <c r="D237" s="178" t="s">
        <v>19</v>
      </c>
      <c r="E237" s="333" t="s">
        <v>602</v>
      </c>
      <c r="F237" s="179" t="str">
        <f>IF(AND(COUNTIF('Build &amp; Totals'!$A$4:$B$12,$C237)&gt;=1,Class=$B237),$A237,"")</f>
        <v/>
      </c>
    </row>
    <row r="238" spans="1:6" ht="23.25">
      <c r="A238" s="331" t="s">
        <v>603</v>
      </c>
      <c r="B238" s="332" t="s">
        <v>573</v>
      </c>
      <c r="C238" s="332" t="s">
        <v>599</v>
      </c>
      <c r="D238" s="178" t="s">
        <v>19</v>
      </c>
      <c r="E238" s="333" t="s">
        <v>604</v>
      </c>
      <c r="F238" s="179" t="str">
        <f>IF(AND(COUNTIF('Build &amp; Totals'!$A$4:$B$12,$C238)&gt;=1,Class=$B238),$A238,"")</f>
        <v/>
      </c>
    </row>
    <row r="239" spans="1:6">
      <c r="A239" s="331" t="s">
        <v>605</v>
      </c>
      <c r="B239" s="332" t="s">
        <v>573</v>
      </c>
      <c r="C239" s="332" t="s">
        <v>599</v>
      </c>
      <c r="D239" s="178" t="s">
        <v>19</v>
      </c>
      <c r="E239" s="333" t="s">
        <v>606</v>
      </c>
      <c r="F239" s="179" t="str">
        <f>IF(AND(COUNTIF('Build &amp; Totals'!$A$4:$B$12,$C239)&gt;=1,Class=$B239),$A239,"")</f>
        <v/>
      </c>
    </row>
    <row r="240" spans="1:6" ht="23.25">
      <c r="A240" s="331" t="s">
        <v>607</v>
      </c>
      <c r="B240" s="332" t="s">
        <v>573</v>
      </c>
      <c r="C240" s="332" t="s">
        <v>599</v>
      </c>
      <c r="D240" s="178" t="s">
        <v>95</v>
      </c>
      <c r="E240" s="333" t="s">
        <v>608</v>
      </c>
      <c r="F240" s="179" t="str">
        <f>IF(AND(COUNTIF('Build &amp; Totals'!$A$4:$B$12,$C240)&gt;=1,Class=$B240),$A240,"")</f>
        <v/>
      </c>
    </row>
    <row r="241" spans="1:6" ht="23.25">
      <c r="A241" s="331" t="s">
        <v>609</v>
      </c>
      <c r="B241" s="332" t="s">
        <v>573</v>
      </c>
      <c r="C241" s="332" t="s">
        <v>599</v>
      </c>
      <c r="D241" s="178" t="s">
        <v>22</v>
      </c>
      <c r="E241" s="333" t="s">
        <v>610</v>
      </c>
      <c r="F241" s="179" t="str">
        <f>IF(AND(COUNTIF('Build &amp; Totals'!$A$4:$B$12,$C241)&gt;=1,Class=$B241),$A241,"")</f>
        <v/>
      </c>
    </row>
    <row r="242" spans="1:6" ht="23.25">
      <c r="A242" s="331" t="s">
        <v>611</v>
      </c>
      <c r="B242" s="332" t="s">
        <v>573</v>
      </c>
      <c r="C242" s="332" t="s">
        <v>599</v>
      </c>
      <c r="D242" s="178" t="s">
        <v>22</v>
      </c>
      <c r="E242" s="333" t="s">
        <v>612</v>
      </c>
      <c r="F242" s="179" t="str">
        <f>IF(AND(COUNTIF('Build &amp; Totals'!$A$4:$B$12,$C242)&gt;=1,Class=$B242),$A242,"")</f>
        <v/>
      </c>
    </row>
    <row r="243" spans="1:6">
      <c r="A243" s="331" t="s">
        <v>613</v>
      </c>
      <c r="B243" s="332" t="s">
        <v>573</v>
      </c>
      <c r="C243" s="332" t="s">
        <v>599</v>
      </c>
      <c r="D243" s="178" t="s">
        <v>22</v>
      </c>
      <c r="E243" s="333" t="s">
        <v>614</v>
      </c>
      <c r="F243" s="179" t="str">
        <f>IF(AND(COUNTIF('Build &amp; Totals'!$A$4:$B$12,$C243)&gt;=1,Class=$B243),$A243,"")</f>
        <v/>
      </c>
    </row>
    <row r="244" spans="1:6">
      <c r="A244" s="331" t="s">
        <v>615</v>
      </c>
      <c r="B244" s="332" t="s">
        <v>573</v>
      </c>
      <c r="C244" s="332" t="s">
        <v>599</v>
      </c>
      <c r="D244" s="178" t="s">
        <v>98</v>
      </c>
      <c r="E244" s="333" t="s">
        <v>616</v>
      </c>
      <c r="F244" s="179" t="str">
        <f>IF(AND(COUNTIF('Build &amp; Totals'!$A$4:$B$12,$C244)&gt;=1,Class=$B244),$A244,"")</f>
        <v/>
      </c>
    </row>
    <row r="245" spans="1:6" ht="23.25">
      <c r="A245" s="331" t="s">
        <v>617</v>
      </c>
      <c r="B245" s="332" t="s">
        <v>573</v>
      </c>
      <c r="C245" s="332" t="s">
        <v>599</v>
      </c>
      <c r="D245" s="178" t="s">
        <v>24</v>
      </c>
      <c r="E245" s="333" t="s">
        <v>618</v>
      </c>
      <c r="F245" s="179" t="str">
        <f>IF(AND(COUNTIF('Build &amp; Totals'!$A$4:$B$12,$C245)&gt;=1,Class=$B245),$A245,"")</f>
        <v/>
      </c>
    </row>
    <row r="246" spans="1:6">
      <c r="A246" s="331" t="s">
        <v>619</v>
      </c>
      <c r="B246" s="332" t="s">
        <v>573</v>
      </c>
      <c r="C246" s="332" t="s">
        <v>599</v>
      </c>
      <c r="D246" s="178" t="s">
        <v>24</v>
      </c>
      <c r="E246" s="333" t="s">
        <v>620</v>
      </c>
      <c r="F246" s="179" t="str">
        <f>IF(AND(COUNTIF('Build &amp; Totals'!$A$4:$B$12,$C246)&gt;=1,Class=$B246),$A246,"")</f>
        <v/>
      </c>
    </row>
    <row r="247" spans="1:6" ht="35.25">
      <c r="A247" s="331" t="s">
        <v>621</v>
      </c>
      <c r="B247" s="332" t="s">
        <v>573</v>
      </c>
      <c r="C247" s="332" t="s">
        <v>599</v>
      </c>
      <c r="D247" s="178" t="s">
        <v>24</v>
      </c>
      <c r="E247" s="333" t="s">
        <v>622</v>
      </c>
      <c r="F247" s="179" t="str">
        <f>IF(AND(COUNTIF('Build &amp; Totals'!$A$4:$B$12,$C247)&gt;=1,Class=$B247),$A247,"")</f>
        <v/>
      </c>
    </row>
    <row r="248" spans="1:6">
      <c r="A248" s="331" t="s">
        <v>623</v>
      </c>
      <c r="B248" s="332" t="s">
        <v>573</v>
      </c>
      <c r="C248" s="332" t="s">
        <v>624</v>
      </c>
      <c r="D248" s="178" t="s">
        <v>94</v>
      </c>
      <c r="E248" s="333" t="s">
        <v>625</v>
      </c>
      <c r="F248" s="179" t="str">
        <f>IF(AND(COUNTIF('Build &amp; Totals'!$A$4:$B$12,$C248)&gt;=1,Class=$B248),$A248,"")</f>
        <v/>
      </c>
    </row>
    <row r="249" spans="1:6">
      <c r="A249" s="331" t="s">
        <v>626</v>
      </c>
      <c r="B249" s="332" t="s">
        <v>573</v>
      </c>
      <c r="C249" s="332" t="s">
        <v>624</v>
      </c>
      <c r="D249" s="178" t="s">
        <v>19</v>
      </c>
      <c r="E249" s="333" t="s">
        <v>627</v>
      </c>
      <c r="F249" s="179" t="str">
        <f>IF(AND(COUNTIF('Build &amp; Totals'!$A$4:$B$12,$C249)&gt;=1,Class=$B249),$A249,"")</f>
        <v/>
      </c>
    </row>
    <row r="250" spans="1:6" ht="23.25">
      <c r="A250" s="331" t="s">
        <v>628</v>
      </c>
      <c r="B250" s="332" t="s">
        <v>573</v>
      </c>
      <c r="C250" s="332" t="s">
        <v>624</v>
      </c>
      <c r="D250" s="178" t="s">
        <v>19</v>
      </c>
      <c r="E250" s="333" t="s">
        <v>629</v>
      </c>
      <c r="F250" s="179" t="str">
        <f>IF(AND(COUNTIF('Build &amp; Totals'!$A$4:$B$12,$C250)&gt;=1,Class=$B250),$A250,"")</f>
        <v/>
      </c>
    </row>
    <row r="251" spans="1:6" ht="23.25">
      <c r="A251" s="331" t="s">
        <v>630</v>
      </c>
      <c r="B251" s="332" t="s">
        <v>573</v>
      </c>
      <c r="C251" s="332" t="s">
        <v>624</v>
      </c>
      <c r="D251" s="178" t="s">
        <v>19</v>
      </c>
      <c r="E251" s="333" t="s">
        <v>631</v>
      </c>
      <c r="F251" s="179" t="str">
        <f>IF(AND(COUNTIF('Build &amp; Totals'!$A$4:$B$12,$C251)&gt;=1,Class=$B251),$A251,"")</f>
        <v/>
      </c>
    </row>
    <row r="252" spans="1:6">
      <c r="A252" s="331" t="s">
        <v>632</v>
      </c>
      <c r="B252" s="332" t="s">
        <v>573</v>
      </c>
      <c r="C252" s="332" t="s">
        <v>624</v>
      </c>
      <c r="D252" s="178" t="s">
        <v>95</v>
      </c>
      <c r="E252" s="333" t="s">
        <v>633</v>
      </c>
      <c r="F252" s="179" t="str">
        <f>IF(AND(COUNTIF('Build &amp; Totals'!$A$4:$B$12,$C252)&gt;=1,Class=$B252),$A252,"")</f>
        <v/>
      </c>
    </row>
    <row r="253" spans="1:6">
      <c r="A253" s="331" t="s">
        <v>634</v>
      </c>
      <c r="B253" s="332" t="s">
        <v>573</v>
      </c>
      <c r="C253" s="332" t="s">
        <v>624</v>
      </c>
      <c r="D253" s="178" t="s">
        <v>22</v>
      </c>
      <c r="E253" s="333" t="s">
        <v>635</v>
      </c>
      <c r="F253" s="179" t="str">
        <f>IF(AND(COUNTIF('Build &amp; Totals'!$A$4:$B$12,$C253)&gt;=1,Class=$B253),$A253,"")</f>
        <v/>
      </c>
    </row>
    <row r="254" spans="1:6">
      <c r="A254" s="331" t="s">
        <v>636</v>
      </c>
      <c r="B254" s="332" t="s">
        <v>573</v>
      </c>
      <c r="C254" s="332" t="s">
        <v>624</v>
      </c>
      <c r="D254" s="178" t="s">
        <v>22</v>
      </c>
      <c r="E254" s="333" t="s">
        <v>637</v>
      </c>
      <c r="F254" s="179" t="str">
        <f>IF(AND(COUNTIF('Build &amp; Totals'!$A$4:$B$12,$C254)&gt;=1,Class=$B254),$A254,"")</f>
        <v/>
      </c>
    </row>
    <row r="255" spans="1:6" ht="35.25">
      <c r="A255" s="331" t="s">
        <v>638</v>
      </c>
      <c r="B255" s="332" t="s">
        <v>573</v>
      </c>
      <c r="C255" s="332" t="s">
        <v>624</v>
      </c>
      <c r="D255" s="178" t="s">
        <v>22</v>
      </c>
      <c r="E255" s="333" t="s">
        <v>639</v>
      </c>
      <c r="F255" s="179" t="str">
        <f>IF(AND(COUNTIF('Build &amp; Totals'!$A$4:$B$12,$C255)&gt;=1,Class=$B255),$A255,"")</f>
        <v/>
      </c>
    </row>
    <row r="256" spans="1:6" ht="23.25">
      <c r="A256" s="331" t="s">
        <v>640</v>
      </c>
      <c r="B256" s="332" t="s">
        <v>573</v>
      </c>
      <c r="C256" s="332" t="s">
        <v>624</v>
      </c>
      <c r="D256" s="178" t="s">
        <v>98</v>
      </c>
      <c r="E256" s="333" t="s">
        <v>641</v>
      </c>
      <c r="F256" s="179" t="str">
        <f>IF(AND(COUNTIF('Build &amp; Totals'!$A$4:$B$12,$C256)&gt;=1,Class=$B256),$A256,"")</f>
        <v/>
      </c>
    </row>
    <row r="257" spans="1:6">
      <c r="A257" s="331" t="s">
        <v>642</v>
      </c>
      <c r="B257" s="332" t="s">
        <v>573</v>
      </c>
      <c r="C257" s="332" t="s">
        <v>624</v>
      </c>
      <c r="D257" s="178" t="s">
        <v>24</v>
      </c>
      <c r="E257" s="333" t="s">
        <v>643</v>
      </c>
      <c r="F257" s="179" t="str">
        <f>IF(AND(COUNTIF('Build &amp; Totals'!$A$4:$B$12,$C257)&gt;=1,Class=$B257),$A257,"")</f>
        <v/>
      </c>
    </row>
    <row r="258" spans="1:6" ht="23.25">
      <c r="A258" s="331" t="s">
        <v>644</v>
      </c>
      <c r="B258" s="332" t="s">
        <v>573</v>
      </c>
      <c r="C258" s="332" t="s">
        <v>624</v>
      </c>
      <c r="D258" s="178" t="s">
        <v>24</v>
      </c>
      <c r="E258" s="333" t="s">
        <v>645</v>
      </c>
      <c r="F258" s="179" t="str">
        <f>IF(AND(COUNTIF('Build &amp; Totals'!$A$4:$B$12,$C258)&gt;=1,Class=$B258),$A258,"")</f>
        <v/>
      </c>
    </row>
    <row r="259" spans="1:6">
      <c r="A259" s="331" t="s">
        <v>646</v>
      </c>
      <c r="B259" s="332" t="s">
        <v>573</v>
      </c>
      <c r="C259" s="332" t="s">
        <v>624</v>
      </c>
      <c r="D259" s="178" t="s">
        <v>24</v>
      </c>
      <c r="E259" s="333" t="s">
        <v>647</v>
      </c>
      <c r="F259" s="179" t="str">
        <f>IF(AND(COUNTIF('Build &amp; Totals'!$A$4:$B$12,$C259)&gt;=1,Class=$B259),$A259,"")</f>
        <v/>
      </c>
    </row>
    <row r="260" spans="1:6" ht="23.25">
      <c r="A260" s="331" t="s">
        <v>648</v>
      </c>
      <c r="B260" s="332" t="s">
        <v>573</v>
      </c>
      <c r="C260" s="332" t="s">
        <v>649</v>
      </c>
      <c r="D260" s="178" t="s">
        <v>94</v>
      </c>
      <c r="E260" s="333" t="s">
        <v>650</v>
      </c>
      <c r="F260" s="179" t="str">
        <f>IF(AND(COUNTIF('Build &amp; Totals'!$A$4:$B$12,$C260)&gt;=1,Class=$B260),$A260,"")</f>
        <v/>
      </c>
    </row>
    <row r="261" spans="1:6" ht="23.25">
      <c r="A261" s="331" t="s">
        <v>651</v>
      </c>
      <c r="B261" s="332" t="s">
        <v>573</v>
      </c>
      <c r="C261" s="332" t="s">
        <v>649</v>
      </c>
      <c r="D261" s="178" t="s">
        <v>19</v>
      </c>
      <c r="E261" s="333" t="s">
        <v>652</v>
      </c>
      <c r="F261" s="179" t="str">
        <f>IF(AND(COUNTIF('Build &amp; Totals'!$A$4:$B$12,$C261)&gt;=1,Class=$B261),$A261,"")</f>
        <v/>
      </c>
    </row>
    <row r="262" spans="1:6">
      <c r="A262" s="331" t="s">
        <v>653</v>
      </c>
      <c r="B262" s="332" t="s">
        <v>573</v>
      </c>
      <c r="C262" s="332" t="s">
        <v>649</v>
      </c>
      <c r="D262" s="178" t="s">
        <v>19</v>
      </c>
      <c r="E262" s="333" t="s">
        <v>654</v>
      </c>
      <c r="F262" s="179" t="str">
        <f>IF(AND(COUNTIF('Build &amp; Totals'!$A$4:$B$12,$C262)&gt;=1,Class=$B262),$A262,"")</f>
        <v/>
      </c>
    </row>
    <row r="263" spans="1:6">
      <c r="A263" s="331" t="s">
        <v>655</v>
      </c>
      <c r="B263" s="332" t="s">
        <v>573</v>
      </c>
      <c r="C263" s="332" t="s">
        <v>649</v>
      </c>
      <c r="D263" s="178" t="s">
        <v>19</v>
      </c>
      <c r="E263" s="333" t="s">
        <v>656</v>
      </c>
      <c r="F263" s="179" t="str">
        <f>IF(AND(COUNTIF('Build &amp; Totals'!$A$4:$B$12,$C263)&gt;=1,Class=$B263),$A263,"")</f>
        <v/>
      </c>
    </row>
    <row r="264" spans="1:6">
      <c r="A264" s="331" t="s">
        <v>657</v>
      </c>
      <c r="B264" s="332" t="s">
        <v>573</v>
      </c>
      <c r="C264" s="332" t="s">
        <v>649</v>
      </c>
      <c r="D264" s="178" t="s">
        <v>95</v>
      </c>
      <c r="E264" s="333" t="s">
        <v>658</v>
      </c>
      <c r="F264" s="179" t="str">
        <f>IF(AND(COUNTIF('Build &amp; Totals'!$A$4:$B$12,$C264)&gt;=1,Class=$B264),$A264,"")</f>
        <v/>
      </c>
    </row>
    <row r="265" spans="1:6" ht="23.25">
      <c r="A265" s="331" t="s">
        <v>659</v>
      </c>
      <c r="B265" s="332" t="s">
        <v>573</v>
      </c>
      <c r="C265" s="332" t="s">
        <v>649</v>
      </c>
      <c r="D265" s="178" t="s">
        <v>22</v>
      </c>
      <c r="E265" s="333" t="s">
        <v>660</v>
      </c>
      <c r="F265" s="179" t="str">
        <f>IF(AND(COUNTIF('Build &amp; Totals'!$A$4:$B$12,$C265)&gt;=1,Class=$B265),$A265,"")</f>
        <v/>
      </c>
    </row>
    <row r="266" spans="1:6">
      <c r="A266" s="331" t="s">
        <v>661</v>
      </c>
      <c r="B266" s="332" t="s">
        <v>573</v>
      </c>
      <c r="C266" s="332" t="s">
        <v>649</v>
      </c>
      <c r="D266" s="178" t="s">
        <v>22</v>
      </c>
      <c r="E266" s="333" t="s">
        <v>662</v>
      </c>
      <c r="F266" s="179" t="str">
        <f>IF(AND(COUNTIF('Build &amp; Totals'!$A$4:$B$12,$C266)&gt;=1,Class=$B266),$A266,"")</f>
        <v/>
      </c>
    </row>
    <row r="267" spans="1:6">
      <c r="A267" s="331" t="s">
        <v>663</v>
      </c>
      <c r="B267" s="332" t="s">
        <v>573</v>
      </c>
      <c r="C267" s="332" t="s">
        <v>649</v>
      </c>
      <c r="D267" s="178" t="s">
        <v>22</v>
      </c>
      <c r="E267" s="333" t="s">
        <v>664</v>
      </c>
      <c r="F267" s="179" t="str">
        <f>IF(AND(COUNTIF('Build &amp; Totals'!$A$4:$B$12,$C267)&gt;=1,Class=$B267),$A267,"")</f>
        <v/>
      </c>
    </row>
    <row r="268" spans="1:6">
      <c r="A268" s="331" t="s">
        <v>665</v>
      </c>
      <c r="B268" s="332" t="s">
        <v>573</v>
      </c>
      <c r="C268" s="332" t="s">
        <v>649</v>
      </c>
      <c r="D268" s="178" t="s">
        <v>98</v>
      </c>
      <c r="E268" s="333" t="s">
        <v>666</v>
      </c>
      <c r="F268" s="179" t="str">
        <f>IF(AND(COUNTIF('Build &amp; Totals'!$A$4:$B$12,$C268)&gt;=1,Class=$B268),$A268,"")</f>
        <v/>
      </c>
    </row>
    <row r="269" spans="1:6" ht="23.25">
      <c r="A269" s="331" t="s">
        <v>667</v>
      </c>
      <c r="B269" s="332" t="s">
        <v>573</v>
      </c>
      <c r="C269" s="332" t="s">
        <v>649</v>
      </c>
      <c r="D269" s="178" t="s">
        <v>24</v>
      </c>
      <c r="E269" s="333" t="s">
        <v>668</v>
      </c>
      <c r="F269" s="179" t="str">
        <f>IF(AND(COUNTIF('Build &amp; Totals'!$A$4:$B$12,$C269)&gt;=1,Class=$B269),$A269,"")</f>
        <v/>
      </c>
    </row>
    <row r="270" spans="1:6">
      <c r="A270" s="331" t="s">
        <v>669</v>
      </c>
      <c r="B270" s="332" t="s">
        <v>573</v>
      </c>
      <c r="C270" s="332" t="s">
        <v>649</v>
      </c>
      <c r="D270" s="178" t="s">
        <v>24</v>
      </c>
      <c r="E270" s="333" t="s">
        <v>670</v>
      </c>
      <c r="F270" s="179" t="str">
        <f>IF(AND(COUNTIF('Build &amp; Totals'!$A$4:$B$12,$C270)&gt;=1,Class=$B270),$A270,"")</f>
        <v/>
      </c>
    </row>
    <row r="271" spans="1:6">
      <c r="A271" s="331" t="s">
        <v>671</v>
      </c>
      <c r="B271" s="332" t="s">
        <v>573</v>
      </c>
      <c r="C271" s="332" t="s">
        <v>649</v>
      </c>
      <c r="D271" s="178" t="s">
        <v>24</v>
      </c>
      <c r="E271" s="333" t="s">
        <v>672</v>
      </c>
      <c r="F271" s="179" t="str">
        <f>IF(AND(COUNTIF('Build &amp; Totals'!$A$4:$B$12,$C271)&gt;=1,Class=$B271),$A271,"")</f>
        <v/>
      </c>
    </row>
    <row r="272" spans="1:6">
      <c r="A272" s="331" t="s">
        <v>673</v>
      </c>
      <c r="B272" s="332" t="s">
        <v>573</v>
      </c>
      <c r="C272" s="332" t="s">
        <v>674</v>
      </c>
      <c r="D272" s="178" t="s">
        <v>94</v>
      </c>
      <c r="E272" s="333" t="s">
        <v>675</v>
      </c>
      <c r="F272" s="179" t="str">
        <f>IF(AND(COUNTIF('Build &amp; Totals'!$A$4:$B$12,$C272)&gt;=1,Class=$B272),$A272,"")</f>
        <v/>
      </c>
    </row>
    <row r="273" spans="1:6">
      <c r="A273" s="331" t="s">
        <v>676</v>
      </c>
      <c r="B273" s="332" t="s">
        <v>573</v>
      </c>
      <c r="C273" s="332" t="s">
        <v>674</v>
      </c>
      <c r="D273" s="178" t="s">
        <v>19</v>
      </c>
      <c r="E273" s="333" t="s">
        <v>677</v>
      </c>
      <c r="F273" s="179" t="str">
        <f>IF(AND(COUNTIF('Build &amp; Totals'!$A$4:$B$12,$C273)&gt;=1,Class=$B273),$A273,"")</f>
        <v/>
      </c>
    </row>
    <row r="274" spans="1:6" ht="23.25">
      <c r="A274" s="331" t="s">
        <v>678</v>
      </c>
      <c r="B274" s="332" t="s">
        <v>573</v>
      </c>
      <c r="C274" s="332" t="s">
        <v>674</v>
      </c>
      <c r="D274" s="178" t="s">
        <v>19</v>
      </c>
      <c r="E274" s="333" t="s">
        <v>679</v>
      </c>
      <c r="F274" s="179" t="str">
        <f>IF(AND(COUNTIF('Build &amp; Totals'!$A$4:$B$12,$C274)&gt;=1,Class=$B274),$A274,"")</f>
        <v/>
      </c>
    </row>
    <row r="275" spans="1:6">
      <c r="A275" s="331" t="s">
        <v>680</v>
      </c>
      <c r="B275" s="332" t="s">
        <v>573</v>
      </c>
      <c r="C275" s="332" t="s">
        <v>674</v>
      </c>
      <c r="D275" s="178" t="s">
        <v>19</v>
      </c>
      <c r="E275" s="333" t="s">
        <v>681</v>
      </c>
      <c r="F275" s="179" t="str">
        <f>IF(AND(COUNTIF('Build &amp; Totals'!$A$4:$B$12,$C275)&gt;=1,Class=$B275),$A275,"")</f>
        <v/>
      </c>
    </row>
    <row r="276" spans="1:6">
      <c r="A276" s="331" t="s">
        <v>682</v>
      </c>
      <c r="B276" s="332" t="s">
        <v>573</v>
      </c>
      <c r="C276" s="332" t="s">
        <v>674</v>
      </c>
      <c r="D276" s="178" t="s">
        <v>95</v>
      </c>
      <c r="E276" s="333" t="s">
        <v>683</v>
      </c>
      <c r="F276" s="179" t="str">
        <f>IF(AND(COUNTIF('Build &amp; Totals'!$A$4:$B$12,$C276)&gt;=1,Class=$B276),$A276,"")</f>
        <v/>
      </c>
    </row>
    <row r="277" spans="1:6">
      <c r="A277" s="331" t="s">
        <v>684</v>
      </c>
      <c r="B277" s="332" t="s">
        <v>573</v>
      </c>
      <c r="C277" s="332" t="s">
        <v>674</v>
      </c>
      <c r="D277" s="178" t="s">
        <v>22</v>
      </c>
      <c r="E277" s="333" t="s">
        <v>685</v>
      </c>
      <c r="F277" s="179" t="str">
        <f>IF(AND(COUNTIF('Build &amp; Totals'!$A$4:$B$12,$C277)&gt;=1,Class=$B277),$A277,"")</f>
        <v/>
      </c>
    </row>
    <row r="278" spans="1:6">
      <c r="A278" s="331" t="s">
        <v>686</v>
      </c>
      <c r="B278" s="332" t="s">
        <v>573</v>
      </c>
      <c r="C278" s="332" t="s">
        <v>674</v>
      </c>
      <c r="D278" s="178" t="s">
        <v>22</v>
      </c>
      <c r="E278" s="333" t="s">
        <v>687</v>
      </c>
      <c r="F278" s="179" t="str">
        <f>IF(AND(COUNTIF('Build &amp; Totals'!$A$4:$B$12,$C278)&gt;=1,Class=$B278),$A278,"")</f>
        <v/>
      </c>
    </row>
    <row r="279" spans="1:6">
      <c r="A279" s="331" t="s">
        <v>688</v>
      </c>
      <c r="B279" s="332" t="s">
        <v>573</v>
      </c>
      <c r="C279" s="332" t="s">
        <v>674</v>
      </c>
      <c r="D279" s="178" t="s">
        <v>22</v>
      </c>
      <c r="E279" s="333" t="s">
        <v>689</v>
      </c>
      <c r="F279" s="179" t="str">
        <f>IF(AND(COUNTIF('Build &amp; Totals'!$A$4:$B$12,$C279)&gt;=1,Class=$B279),$A279,"")</f>
        <v/>
      </c>
    </row>
    <row r="280" spans="1:6">
      <c r="A280" s="331" t="s">
        <v>690</v>
      </c>
      <c r="B280" s="332" t="s">
        <v>573</v>
      </c>
      <c r="C280" s="332" t="s">
        <v>674</v>
      </c>
      <c r="D280" s="178" t="s">
        <v>98</v>
      </c>
      <c r="E280" s="333" t="s">
        <v>691</v>
      </c>
      <c r="F280" s="179" t="str">
        <f>IF(AND(COUNTIF('Build &amp; Totals'!$A$4:$B$12,$C280)&gt;=1,Class=$B280),$A280,"")</f>
        <v/>
      </c>
    </row>
    <row r="281" spans="1:6" ht="23.25">
      <c r="A281" s="331" t="s">
        <v>692</v>
      </c>
      <c r="B281" s="332" t="s">
        <v>573</v>
      </c>
      <c r="C281" s="332" t="s">
        <v>674</v>
      </c>
      <c r="D281" s="178" t="s">
        <v>24</v>
      </c>
      <c r="E281" s="333" t="s">
        <v>693</v>
      </c>
      <c r="F281" s="179" t="str">
        <f>IF(AND(COUNTIF('Build &amp; Totals'!$A$4:$B$12,$C281)&gt;=1,Class=$B281),$A281,"")</f>
        <v/>
      </c>
    </row>
    <row r="282" spans="1:6" ht="23.25">
      <c r="A282" s="331" t="s">
        <v>694</v>
      </c>
      <c r="B282" s="332" t="s">
        <v>573</v>
      </c>
      <c r="C282" s="332" t="s">
        <v>674</v>
      </c>
      <c r="D282" s="178" t="s">
        <v>24</v>
      </c>
      <c r="E282" s="333" t="s">
        <v>695</v>
      </c>
      <c r="F282" s="179" t="str">
        <f>IF(AND(COUNTIF('Build &amp; Totals'!$A$4:$B$12,$C282)&gt;=1,Class=$B282),$A282,"")</f>
        <v/>
      </c>
    </row>
    <row r="283" spans="1:6">
      <c r="A283" s="331" t="s">
        <v>696</v>
      </c>
      <c r="B283" s="332" t="s">
        <v>573</v>
      </c>
      <c r="C283" s="332" t="s">
        <v>674</v>
      </c>
      <c r="D283" s="178" t="s">
        <v>24</v>
      </c>
      <c r="E283" s="333" t="s">
        <v>697</v>
      </c>
      <c r="F283" s="179" t="str">
        <f>IF(AND(COUNTIF('Build &amp; Totals'!$A$4:$B$12,$C283)&gt;=1,Class=$B283),$A283,"")</f>
        <v/>
      </c>
    </row>
    <row r="284" spans="1:6">
      <c r="A284" s="331" t="s">
        <v>698</v>
      </c>
      <c r="B284" s="332" t="s">
        <v>573</v>
      </c>
      <c r="C284" s="332" t="s">
        <v>699</v>
      </c>
      <c r="D284" s="178" t="s">
        <v>238</v>
      </c>
      <c r="E284" s="333" t="s">
        <v>700</v>
      </c>
      <c r="F284" s="179" t="str">
        <f>IF(AND(COUNTIF('Build &amp; Totals'!$A$4:$B$12,$C284)&gt;=1,Class=$B284),$A284,"")</f>
        <v/>
      </c>
    </row>
    <row r="285" spans="1:6">
      <c r="A285" s="331" t="s">
        <v>701</v>
      </c>
      <c r="B285" s="332" t="s">
        <v>573</v>
      </c>
      <c r="C285" s="332" t="s">
        <v>699</v>
      </c>
      <c r="D285" s="178" t="s">
        <v>94</v>
      </c>
      <c r="E285" s="333" t="s">
        <v>702</v>
      </c>
      <c r="F285" s="179" t="str">
        <f>IF(AND(COUNTIF('Build &amp; Totals'!$A$4:$B$12,$C285)&gt;=1,Class=$B285),$A285,"")</f>
        <v/>
      </c>
    </row>
    <row r="286" spans="1:6" ht="23.25">
      <c r="A286" s="331" t="s">
        <v>703</v>
      </c>
      <c r="B286" s="332" t="s">
        <v>573</v>
      </c>
      <c r="C286" s="332" t="s">
        <v>699</v>
      </c>
      <c r="D286" s="178" t="s">
        <v>19</v>
      </c>
      <c r="E286" s="333" t="s">
        <v>704</v>
      </c>
      <c r="F286" s="179" t="str">
        <f>IF(AND(COUNTIF('Build &amp; Totals'!$A$4:$B$12,$C286)&gt;=1,Class=$B286),$A286,"")</f>
        <v/>
      </c>
    </row>
    <row r="287" spans="1:6">
      <c r="A287" s="331" t="s">
        <v>705</v>
      </c>
      <c r="B287" s="332" t="s">
        <v>573</v>
      </c>
      <c r="C287" s="332" t="s">
        <v>699</v>
      </c>
      <c r="D287" s="178" t="s">
        <v>19</v>
      </c>
      <c r="E287" s="333" t="s">
        <v>706</v>
      </c>
      <c r="F287" s="179" t="str">
        <f>IF(AND(COUNTIF('Build &amp; Totals'!$A$4:$B$12,$C287)&gt;=1,Class=$B287),$A287,"")</f>
        <v/>
      </c>
    </row>
    <row r="288" spans="1:6">
      <c r="A288" s="331" t="s">
        <v>707</v>
      </c>
      <c r="B288" s="332" t="s">
        <v>573</v>
      </c>
      <c r="C288" s="332" t="s">
        <v>699</v>
      </c>
      <c r="D288" s="178" t="s">
        <v>19</v>
      </c>
      <c r="E288" s="333" t="s">
        <v>708</v>
      </c>
      <c r="F288" s="179" t="str">
        <f>IF(AND(COUNTIF('Build &amp; Totals'!$A$4:$B$12,$C288)&gt;=1,Class=$B288),$A288,"")</f>
        <v/>
      </c>
    </row>
    <row r="289" spans="1:6">
      <c r="A289" s="331" t="s">
        <v>709</v>
      </c>
      <c r="B289" s="332" t="s">
        <v>573</v>
      </c>
      <c r="C289" s="332" t="s">
        <v>699</v>
      </c>
      <c r="D289" s="178" t="s">
        <v>95</v>
      </c>
      <c r="E289" s="333" t="s">
        <v>710</v>
      </c>
      <c r="F289" s="179" t="str">
        <f>IF(AND(COUNTIF('Build &amp; Totals'!$A$4:$B$12,$C289)&gt;=1,Class=$B289),$A289,"")</f>
        <v/>
      </c>
    </row>
    <row r="290" spans="1:6" ht="23.25">
      <c r="A290" s="331" t="s">
        <v>711</v>
      </c>
      <c r="B290" s="332" t="s">
        <v>573</v>
      </c>
      <c r="C290" s="332" t="s">
        <v>699</v>
      </c>
      <c r="D290" s="178" t="s">
        <v>22</v>
      </c>
      <c r="E290" s="333" t="s">
        <v>712</v>
      </c>
      <c r="F290" s="179" t="str">
        <f>IF(AND(COUNTIF('Build &amp; Totals'!$A$4:$B$12,$C290)&gt;=1,Class=$B290),$A290,"")</f>
        <v/>
      </c>
    </row>
    <row r="291" spans="1:6">
      <c r="A291" s="331" t="s">
        <v>713</v>
      </c>
      <c r="B291" s="332" t="s">
        <v>573</v>
      </c>
      <c r="C291" s="332" t="s">
        <v>699</v>
      </c>
      <c r="D291" s="178" t="s">
        <v>22</v>
      </c>
      <c r="E291" s="333" t="s">
        <v>714</v>
      </c>
      <c r="F291" s="179" t="str">
        <f>IF(AND(COUNTIF('Build &amp; Totals'!$A$4:$B$12,$C291)&gt;=1,Class=$B291),$A291,"")</f>
        <v/>
      </c>
    </row>
    <row r="292" spans="1:6">
      <c r="A292" s="331" t="s">
        <v>715</v>
      </c>
      <c r="B292" s="332" t="s">
        <v>573</v>
      </c>
      <c r="C292" s="332" t="s">
        <v>699</v>
      </c>
      <c r="D292" s="178" t="s">
        <v>22</v>
      </c>
      <c r="E292" s="333" t="s">
        <v>716</v>
      </c>
      <c r="F292" s="179" t="str">
        <f>IF(AND(COUNTIF('Build &amp; Totals'!$A$4:$B$12,$C292)&gt;=1,Class=$B292),$A292,"")</f>
        <v/>
      </c>
    </row>
    <row r="293" spans="1:6">
      <c r="A293" s="331" t="s">
        <v>717</v>
      </c>
      <c r="B293" s="332" t="s">
        <v>573</v>
      </c>
      <c r="C293" s="332" t="s">
        <v>699</v>
      </c>
      <c r="D293" s="178" t="s">
        <v>98</v>
      </c>
      <c r="E293" s="333" t="s">
        <v>718</v>
      </c>
      <c r="F293" s="179" t="str">
        <f>IF(AND(COUNTIF('Build &amp; Totals'!$A$4:$B$12,$C293)&gt;=1,Class=$B293),$A293,"")</f>
        <v/>
      </c>
    </row>
    <row r="294" spans="1:6">
      <c r="A294" s="331" t="s">
        <v>719</v>
      </c>
      <c r="B294" s="332" t="s">
        <v>573</v>
      </c>
      <c r="C294" s="332" t="s">
        <v>699</v>
      </c>
      <c r="D294" s="178" t="s">
        <v>24</v>
      </c>
      <c r="E294" s="333" t="s">
        <v>720</v>
      </c>
      <c r="F294" s="179" t="str">
        <f>IF(AND(COUNTIF('Build &amp; Totals'!$A$4:$B$12,$C294)&gt;=1,Class=$B294),$A294,"")</f>
        <v/>
      </c>
    </row>
    <row r="295" spans="1:6" ht="23.25">
      <c r="A295" s="331" t="s">
        <v>721</v>
      </c>
      <c r="B295" s="332" t="s">
        <v>573</v>
      </c>
      <c r="C295" s="332" t="s">
        <v>699</v>
      </c>
      <c r="D295" s="178" t="s">
        <v>24</v>
      </c>
      <c r="E295" s="333" t="s">
        <v>722</v>
      </c>
      <c r="F295" s="179" t="str">
        <f>IF(AND(COUNTIF('Build &amp; Totals'!$A$4:$B$12,$C295)&gt;=1,Class=$B295),$A295,"")</f>
        <v/>
      </c>
    </row>
    <row r="296" spans="1:6" ht="23.25">
      <c r="A296" s="331" t="s">
        <v>723</v>
      </c>
      <c r="B296" s="332" t="s">
        <v>573</v>
      </c>
      <c r="C296" s="332" t="s">
        <v>699</v>
      </c>
      <c r="D296" s="178" t="s">
        <v>24</v>
      </c>
      <c r="E296" s="333" t="s">
        <v>724</v>
      </c>
      <c r="F296" s="179" t="str">
        <f>IF(AND(COUNTIF('Build &amp; Totals'!$A$4:$B$12,$C296)&gt;=1,Class=$B296),$A296,"")</f>
        <v/>
      </c>
    </row>
    <row r="297" spans="1:6">
      <c r="A297" s="331" t="s">
        <v>725</v>
      </c>
      <c r="B297" s="332" t="s">
        <v>573</v>
      </c>
      <c r="C297" s="332" t="s">
        <v>726</v>
      </c>
      <c r="D297" s="178" t="s">
        <v>238</v>
      </c>
      <c r="E297" s="333" t="s">
        <v>727</v>
      </c>
      <c r="F297" s="179" t="str">
        <f>IF(AND(COUNTIF('Build &amp; Totals'!$A$4:$B$12,$C297)&gt;=1,Class=$B297),$A297,"")</f>
        <v/>
      </c>
    </row>
    <row r="298" spans="1:6" ht="23.25">
      <c r="A298" s="331" t="s">
        <v>728</v>
      </c>
      <c r="B298" s="332" t="s">
        <v>573</v>
      </c>
      <c r="C298" s="332" t="s">
        <v>726</v>
      </c>
      <c r="D298" s="178" t="s">
        <v>94</v>
      </c>
      <c r="E298" s="333" t="s">
        <v>729</v>
      </c>
      <c r="F298" s="179" t="str">
        <f>IF(AND(COUNTIF('Build &amp; Totals'!$A$4:$B$12,$C298)&gt;=1,Class=$B298),$A298,"")</f>
        <v/>
      </c>
    </row>
    <row r="299" spans="1:6">
      <c r="A299" s="331" t="s">
        <v>730</v>
      </c>
      <c r="B299" s="332" t="s">
        <v>573</v>
      </c>
      <c r="C299" s="332" t="s">
        <v>726</v>
      </c>
      <c r="D299" s="178" t="s">
        <v>19</v>
      </c>
      <c r="E299" s="333" t="s">
        <v>731</v>
      </c>
      <c r="F299" s="179" t="str">
        <f>IF(AND(COUNTIF('Build &amp; Totals'!$A$4:$B$12,$C299)&gt;=1,Class=$B299),$A299,"")</f>
        <v/>
      </c>
    </row>
    <row r="300" spans="1:6">
      <c r="A300" s="331" t="s">
        <v>732</v>
      </c>
      <c r="B300" s="332" t="s">
        <v>573</v>
      </c>
      <c r="C300" s="332" t="s">
        <v>726</v>
      </c>
      <c r="D300" s="178" t="s">
        <v>19</v>
      </c>
      <c r="E300" s="333" t="s">
        <v>733</v>
      </c>
      <c r="F300" s="179" t="str">
        <f>IF(AND(COUNTIF('Build &amp; Totals'!$A$4:$B$12,$C300)&gt;=1,Class=$B300),$A300,"")</f>
        <v/>
      </c>
    </row>
    <row r="301" spans="1:6">
      <c r="A301" s="331" t="s">
        <v>734</v>
      </c>
      <c r="B301" s="332" t="s">
        <v>573</v>
      </c>
      <c r="C301" s="332" t="s">
        <v>726</v>
      </c>
      <c r="D301" s="178" t="s">
        <v>19</v>
      </c>
      <c r="E301" s="333" t="s">
        <v>735</v>
      </c>
      <c r="F301" s="179" t="str">
        <f>IF(AND(COUNTIF('Build &amp; Totals'!$A$4:$B$12,$C301)&gt;=1,Class=$B301),$A301,"")</f>
        <v/>
      </c>
    </row>
    <row r="302" spans="1:6">
      <c r="A302" s="331" t="s">
        <v>736</v>
      </c>
      <c r="B302" s="332" t="s">
        <v>573</v>
      </c>
      <c r="C302" s="332" t="s">
        <v>726</v>
      </c>
      <c r="D302" s="178" t="s">
        <v>95</v>
      </c>
      <c r="E302" s="333" t="s">
        <v>737</v>
      </c>
      <c r="F302" s="179" t="str">
        <f>IF(AND(COUNTIF('Build &amp; Totals'!$A$4:$B$12,$C302)&gt;=1,Class=$B302),$A302,"")</f>
        <v/>
      </c>
    </row>
    <row r="303" spans="1:6">
      <c r="A303" s="331" t="s">
        <v>738</v>
      </c>
      <c r="B303" s="332" t="s">
        <v>573</v>
      </c>
      <c r="C303" s="332" t="s">
        <v>726</v>
      </c>
      <c r="D303" s="178" t="s">
        <v>22</v>
      </c>
      <c r="E303" s="333" t="s">
        <v>739</v>
      </c>
      <c r="F303" s="179" t="str">
        <f>IF(AND(COUNTIF('Build &amp; Totals'!$A$4:$B$12,$C303)&gt;=1,Class=$B303),$A303,"")</f>
        <v/>
      </c>
    </row>
    <row r="304" spans="1:6">
      <c r="A304" s="331" t="s">
        <v>740</v>
      </c>
      <c r="B304" s="332" t="s">
        <v>573</v>
      </c>
      <c r="C304" s="332" t="s">
        <v>726</v>
      </c>
      <c r="D304" s="178" t="s">
        <v>22</v>
      </c>
      <c r="E304" s="333" t="s">
        <v>741</v>
      </c>
      <c r="F304" s="179" t="str">
        <f>IF(AND(COUNTIF('Build &amp; Totals'!$A$4:$B$12,$C304)&gt;=1,Class=$B304),$A304,"")</f>
        <v/>
      </c>
    </row>
    <row r="305" spans="1:6" ht="23.25">
      <c r="A305" s="331" t="s">
        <v>742</v>
      </c>
      <c r="B305" s="332" t="s">
        <v>573</v>
      </c>
      <c r="C305" s="332" t="s">
        <v>726</v>
      </c>
      <c r="D305" s="178" t="s">
        <v>22</v>
      </c>
      <c r="E305" s="333" t="s">
        <v>743</v>
      </c>
      <c r="F305" s="179" t="str">
        <f>IF(AND(COUNTIF('Build &amp; Totals'!$A$4:$B$12,$C305)&gt;=1,Class=$B305),$A305,"")</f>
        <v/>
      </c>
    </row>
    <row r="306" spans="1:6" ht="23.25">
      <c r="A306" s="331" t="s">
        <v>744</v>
      </c>
      <c r="B306" s="332" t="s">
        <v>573</v>
      </c>
      <c r="C306" s="332" t="s">
        <v>726</v>
      </c>
      <c r="D306" s="178" t="s">
        <v>98</v>
      </c>
      <c r="E306" s="333" t="s">
        <v>745</v>
      </c>
      <c r="F306" s="179" t="str">
        <f>IF(AND(COUNTIF('Build &amp; Totals'!$A$4:$B$12,$C306)&gt;=1,Class=$B306),$A306,"")</f>
        <v/>
      </c>
    </row>
    <row r="307" spans="1:6">
      <c r="A307" s="331" t="s">
        <v>746</v>
      </c>
      <c r="B307" s="332" t="s">
        <v>573</v>
      </c>
      <c r="C307" s="332" t="s">
        <v>726</v>
      </c>
      <c r="D307" s="178" t="s">
        <v>24</v>
      </c>
      <c r="E307" s="333" t="s">
        <v>747</v>
      </c>
      <c r="F307" s="179" t="str">
        <f>IF(AND(COUNTIF('Build &amp; Totals'!$A$4:$B$12,$C307)&gt;=1,Class=$B307),$A307,"")</f>
        <v/>
      </c>
    </row>
    <row r="308" spans="1:6" ht="23.25">
      <c r="A308" s="331" t="s">
        <v>748</v>
      </c>
      <c r="B308" s="332" t="s">
        <v>573</v>
      </c>
      <c r="C308" s="332" t="s">
        <v>726</v>
      </c>
      <c r="D308" s="178" t="s">
        <v>24</v>
      </c>
      <c r="E308" s="333" t="s">
        <v>749</v>
      </c>
      <c r="F308" s="179" t="str">
        <f>IF(AND(COUNTIF('Build &amp; Totals'!$A$4:$B$12,$C308)&gt;=1,Class=$B308),$A308,"")</f>
        <v/>
      </c>
    </row>
    <row r="309" spans="1:6">
      <c r="A309" s="331" t="s">
        <v>750</v>
      </c>
      <c r="B309" s="332" t="s">
        <v>573</v>
      </c>
      <c r="C309" s="332" t="s">
        <v>726</v>
      </c>
      <c r="D309" s="178" t="s">
        <v>24</v>
      </c>
      <c r="E309" s="333" t="s">
        <v>751</v>
      </c>
      <c r="F309" s="179" t="str">
        <f>IF(AND(COUNTIF('Build &amp; Totals'!$A$4:$B$12,$C309)&gt;=1,Class=$B309),$A309,"")</f>
        <v/>
      </c>
    </row>
    <row r="310" spans="1:6">
      <c r="A310" s="331" t="s">
        <v>752</v>
      </c>
      <c r="B310" s="332" t="s">
        <v>573</v>
      </c>
      <c r="C310" s="332" t="s">
        <v>753</v>
      </c>
      <c r="D310" s="178" t="s">
        <v>238</v>
      </c>
      <c r="E310" s="333" t="s">
        <v>754</v>
      </c>
      <c r="F310" s="179" t="str">
        <f>IF(AND(COUNTIF('Build &amp; Totals'!$A$4:$B$12,$C310)&gt;=1,Class=$B310),$A310,"")</f>
        <v/>
      </c>
    </row>
    <row r="311" spans="1:6" ht="23.25">
      <c r="A311" s="331" t="s">
        <v>755</v>
      </c>
      <c r="B311" s="332" t="s">
        <v>573</v>
      </c>
      <c r="C311" s="332" t="s">
        <v>753</v>
      </c>
      <c r="D311" s="178" t="s">
        <v>94</v>
      </c>
      <c r="E311" s="333" t="s">
        <v>756</v>
      </c>
      <c r="F311" s="179" t="str">
        <f>IF(AND(COUNTIF('Build &amp; Totals'!$A$4:$B$12,$C311)&gt;=1,Class=$B311),$A311,"")</f>
        <v/>
      </c>
    </row>
    <row r="312" spans="1:6" ht="23.25">
      <c r="A312" s="331" t="s">
        <v>757</v>
      </c>
      <c r="B312" s="332" t="s">
        <v>573</v>
      </c>
      <c r="C312" s="332" t="s">
        <v>753</v>
      </c>
      <c r="D312" s="178" t="s">
        <v>19</v>
      </c>
      <c r="E312" s="333" t="s">
        <v>758</v>
      </c>
      <c r="F312" s="179" t="str">
        <f>IF(AND(COUNTIF('Build &amp; Totals'!$A$4:$B$12,$C312)&gt;=1,Class=$B312),$A312,"")</f>
        <v/>
      </c>
    </row>
    <row r="313" spans="1:6">
      <c r="A313" s="331" t="s">
        <v>759</v>
      </c>
      <c r="B313" s="332" t="s">
        <v>573</v>
      </c>
      <c r="C313" s="332" t="s">
        <v>753</v>
      </c>
      <c r="D313" s="178" t="s">
        <v>19</v>
      </c>
      <c r="E313" s="333" t="s">
        <v>760</v>
      </c>
      <c r="F313" s="179" t="str">
        <f>IF(AND(COUNTIF('Build &amp; Totals'!$A$4:$B$12,$C313)&gt;=1,Class=$B313),$A313,"")</f>
        <v/>
      </c>
    </row>
    <row r="314" spans="1:6">
      <c r="A314" s="331" t="s">
        <v>761</v>
      </c>
      <c r="B314" s="332" t="s">
        <v>573</v>
      </c>
      <c r="C314" s="332" t="s">
        <v>753</v>
      </c>
      <c r="D314" s="178" t="s">
        <v>19</v>
      </c>
      <c r="E314" s="333" t="s">
        <v>762</v>
      </c>
      <c r="F314" s="179" t="str">
        <f>IF(AND(COUNTIF('Build &amp; Totals'!$A$4:$B$12,$C314)&gt;=1,Class=$B314),$A314,"")</f>
        <v/>
      </c>
    </row>
    <row r="315" spans="1:6">
      <c r="A315" s="331" t="s">
        <v>763</v>
      </c>
      <c r="B315" s="332" t="s">
        <v>573</v>
      </c>
      <c r="C315" s="332" t="s">
        <v>753</v>
      </c>
      <c r="D315" s="178" t="s">
        <v>95</v>
      </c>
      <c r="E315" s="333" t="s">
        <v>764</v>
      </c>
      <c r="F315" s="179" t="str">
        <f>IF(AND(COUNTIF('Build &amp; Totals'!$A$4:$B$12,$C315)&gt;=1,Class=$B315),$A315,"")</f>
        <v/>
      </c>
    </row>
    <row r="316" spans="1:6">
      <c r="A316" s="331" t="s">
        <v>765</v>
      </c>
      <c r="B316" s="332" t="s">
        <v>573</v>
      </c>
      <c r="C316" s="332" t="s">
        <v>753</v>
      </c>
      <c r="D316" s="178" t="s">
        <v>22</v>
      </c>
      <c r="E316" s="333" t="s">
        <v>766</v>
      </c>
      <c r="F316" s="179" t="str">
        <f>IF(AND(COUNTIF('Build &amp; Totals'!$A$4:$B$12,$C316)&gt;=1,Class=$B316),$A316,"")</f>
        <v/>
      </c>
    </row>
    <row r="317" spans="1:6">
      <c r="A317" s="331" t="s">
        <v>767</v>
      </c>
      <c r="B317" s="332" t="s">
        <v>573</v>
      </c>
      <c r="C317" s="332" t="s">
        <v>753</v>
      </c>
      <c r="D317" s="178" t="s">
        <v>22</v>
      </c>
      <c r="E317" s="333" t="s">
        <v>768</v>
      </c>
      <c r="F317" s="179" t="str">
        <f>IF(AND(COUNTIF('Build &amp; Totals'!$A$4:$B$12,$C317)&gt;=1,Class=$B317),$A317,"")</f>
        <v/>
      </c>
    </row>
    <row r="318" spans="1:6" ht="23.25">
      <c r="A318" s="331" t="s">
        <v>769</v>
      </c>
      <c r="B318" s="332" t="s">
        <v>573</v>
      </c>
      <c r="C318" s="332" t="s">
        <v>753</v>
      </c>
      <c r="D318" s="178" t="s">
        <v>22</v>
      </c>
      <c r="E318" s="333" t="s">
        <v>770</v>
      </c>
      <c r="F318" s="179" t="str">
        <f>IF(AND(COUNTIF('Build &amp; Totals'!$A$4:$B$12,$C318)&gt;=1,Class=$B318),$A318,"")</f>
        <v/>
      </c>
    </row>
    <row r="319" spans="1:6">
      <c r="A319" s="331" t="s">
        <v>771</v>
      </c>
      <c r="B319" s="332" t="s">
        <v>573</v>
      </c>
      <c r="C319" s="332" t="s">
        <v>753</v>
      </c>
      <c r="D319" s="178" t="s">
        <v>98</v>
      </c>
      <c r="E319" s="333" t="s">
        <v>772</v>
      </c>
      <c r="F319" s="179" t="str">
        <f>IF(AND(COUNTIF('Build &amp; Totals'!$A$4:$B$12,$C319)&gt;=1,Class=$B319),$A319,"")</f>
        <v/>
      </c>
    </row>
    <row r="320" spans="1:6" ht="23.25">
      <c r="A320" s="331" t="s">
        <v>773</v>
      </c>
      <c r="B320" s="332" t="s">
        <v>573</v>
      </c>
      <c r="C320" s="332" t="s">
        <v>753</v>
      </c>
      <c r="D320" s="178" t="s">
        <v>24</v>
      </c>
      <c r="E320" s="333" t="s">
        <v>774</v>
      </c>
      <c r="F320" s="179" t="str">
        <f>IF(AND(COUNTIF('Build &amp; Totals'!$A$4:$B$12,$C320)&gt;=1,Class=$B320),$A320,"")</f>
        <v/>
      </c>
    </row>
    <row r="321" spans="1:6" ht="23.25">
      <c r="A321" s="331" t="s">
        <v>775</v>
      </c>
      <c r="B321" s="332" t="s">
        <v>573</v>
      </c>
      <c r="C321" s="332" t="s">
        <v>753</v>
      </c>
      <c r="D321" s="178" t="s">
        <v>24</v>
      </c>
      <c r="E321" s="333" t="s">
        <v>776</v>
      </c>
      <c r="F321" s="179" t="str">
        <f>IF(AND(COUNTIF('Build &amp; Totals'!$A$4:$B$12,$C321)&gt;=1,Class=$B321),$A321,"")</f>
        <v/>
      </c>
    </row>
    <row r="322" spans="1:6" ht="23.25">
      <c r="A322" s="331" t="s">
        <v>777</v>
      </c>
      <c r="B322" s="332" t="s">
        <v>573</v>
      </c>
      <c r="C322" s="332" t="s">
        <v>753</v>
      </c>
      <c r="D322" s="178" t="s">
        <v>24</v>
      </c>
      <c r="E322" s="333" t="s">
        <v>778</v>
      </c>
      <c r="F322" s="179" t="str">
        <f>IF(AND(COUNTIF('Build &amp; Totals'!$A$4:$B$12,$C322)&gt;=1,Class=$B322),$A322,"")</f>
        <v/>
      </c>
    </row>
    <row r="323" spans="1:6" ht="23.25">
      <c r="A323" s="331" t="s">
        <v>779</v>
      </c>
      <c r="B323" s="332" t="s">
        <v>573</v>
      </c>
      <c r="C323" s="332" t="s">
        <v>780</v>
      </c>
      <c r="D323" s="178" t="s">
        <v>94</v>
      </c>
      <c r="E323" s="333" t="s">
        <v>781</v>
      </c>
      <c r="F323" s="179" t="str">
        <f>IF(AND(COUNTIF('Build &amp; Totals'!$A$4:$B$12,$C323)&gt;=1,Class=$B323),$A323,"")</f>
        <v/>
      </c>
    </row>
    <row r="324" spans="1:6" ht="23.25">
      <c r="A324" s="331" t="s">
        <v>782</v>
      </c>
      <c r="B324" s="332" t="s">
        <v>573</v>
      </c>
      <c r="C324" s="332" t="s">
        <v>780</v>
      </c>
      <c r="D324" s="178" t="s">
        <v>19</v>
      </c>
      <c r="E324" s="333" t="s">
        <v>783</v>
      </c>
      <c r="F324" s="179" t="str">
        <f>IF(AND(COUNTIF('Build &amp; Totals'!$A$4:$B$12,$C324)&gt;=1,Class=$B324),$A324,"")</f>
        <v/>
      </c>
    </row>
    <row r="325" spans="1:6">
      <c r="A325" s="331" t="s">
        <v>784</v>
      </c>
      <c r="B325" s="332" t="s">
        <v>573</v>
      </c>
      <c r="C325" s="332" t="s">
        <v>780</v>
      </c>
      <c r="D325" s="178" t="s">
        <v>19</v>
      </c>
      <c r="E325" s="333" t="s">
        <v>785</v>
      </c>
      <c r="F325" s="179" t="str">
        <f>IF(AND(COUNTIF('Build &amp; Totals'!$A$4:$B$12,$C325)&gt;=1,Class=$B325),$A325,"")</f>
        <v/>
      </c>
    </row>
    <row r="326" spans="1:6">
      <c r="A326" s="331" t="s">
        <v>786</v>
      </c>
      <c r="B326" s="332" t="s">
        <v>573</v>
      </c>
      <c r="C326" s="332" t="s">
        <v>780</v>
      </c>
      <c r="D326" s="178" t="s">
        <v>19</v>
      </c>
      <c r="E326" s="333" t="s">
        <v>787</v>
      </c>
      <c r="F326" s="179" t="str">
        <f>IF(AND(COUNTIF('Build &amp; Totals'!$A$4:$B$12,$C326)&gt;=1,Class=$B326),$A326,"")</f>
        <v/>
      </c>
    </row>
    <row r="327" spans="1:6">
      <c r="A327" s="331" t="s">
        <v>788</v>
      </c>
      <c r="B327" s="332" t="s">
        <v>573</v>
      </c>
      <c r="C327" s="332" t="s">
        <v>780</v>
      </c>
      <c r="D327" s="178" t="s">
        <v>95</v>
      </c>
      <c r="E327" s="333" t="s">
        <v>789</v>
      </c>
      <c r="F327" s="179" t="str">
        <f>IF(AND(COUNTIF('Build &amp; Totals'!$A$4:$B$12,$C327)&gt;=1,Class=$B327),$A327,"")</f>
        <v/>
      </c>
    </row>
    <row r="328" spans="1:6">
      <c r="A328" s="331" t="s">
        <v>790</v>
      </c>
      <c r="B328" s="332" t="s">
        <v>573</v>
      </c>
      <c r="C328" s="332" t="s">
        <v>780</v>
      </c>
      <c r="D328" s="178" t="s">
        <v>22</v>
      </c>
      <c r="E328" s="333" t="s">
        <v>791</v>
      </c>
      <c r="F328" s="179" t="str">
        <f>IF(AND(COUNTIF('Build &amp; Totals'!$A$4:$B$12,$C328)&gt;=1,Class=$B328),$A328,"")</f>
        <v/>
      </c>
    </row>
    <row r="329" spans="1:6">
      <c r="A329" s="331" t="s">
        <v>792</v>
      </c>
      <c r="B329" s="332" t="s">
        <v>573</v>
      </c>
      <c r="C329" s="332" t="s">
        <v>780</v>
      </c>
      <c r="D329" s="178" t="s">
        <v>22</v>
      </c>
      <c r="E329" s="333" t="s">
        <v>793</v>
      </c>
      <c r="F329" s="179" t="str">
        <f>IF(AND(COUNTIF('Build &amp; Totals'!$A$4:$B$12,$C329)&gt;=1,Class=$B329),$A329,"")</f>
        <v/>
      </c>
    </row>
    <row r="330" spans="1:6">
      <c r="A330" s="331" t="s">
        <v>794</v>
      </c>
      <c r="B330" s="332" t="s">
        <v>573</v>
      </c>
      <c r="C330" s="332" t="s">
        <v>780</v>
      </c>
      <c r="D330" s="178" t="s">
        <v>22</v>
      </c>
      <c r="E330" s="333" t="s">
        <v>795</v>
      </c>
      <c r="F330" s="179" t="str">
        <f>IF(AND(COUNTIF('Build &amp; Totals'!$A$4:$B$12,$C330)&gt;=1,Class=$B330),$A330,"")</f>
        <v/>
      </c>
    </row>
    <row r="331" spans="1:6">
      <c r="A331" s="331" t="s">
        <v>796</v>
      </c>
      <c r="B331" s="332" t="s">
        <v>573</v>
      </c>
      <c r="C331" s="332" t="s">
        <v>780</v>
      </c>
      <c r="D331" s="178" t="s">
        <v>98</v>
      </c>
      <c r="E331" s="333" t="s">
        <v>797</v>
      </c>
      <c r="F331" s="179" t="str">
        <f>IF(AND(COUNTIF('Build &amp; Totals'!$A$4:$B$12,$C331)&gt;=1,Class=$B331),$A331,"")</f>
        <v/>
      </c>
    </row>
    <row r="332" spans="1:6">
      <c r="A332" s="331" t="s">
        <v>798</v>
      </c>
      <c r="B332" s="332" t="s">
        <v>573</v>
      </c>
      <c r="C332" s="332" t="s">
        <v>780</v>
      </c>
      <c r="D332" s="178" t="s">
        <v>24</v>
      </c>
      <c r="E332" s="333" t="s">
        <v>799</v>
      </c>
      <c r="F332" s="179" t="str">
        <f>IF(AND(COUNTIF('Build &amp; Totals'!$A$4:$B$12,$C332)&gt;=1,Class=$B332),$A332,"")</f>
        <v/>
      </c>
    </row>
    <row r="333" spans="1:6">
      <c r="A333" s="331" t="s">
        <v>800</v>
      </c>
      <c r="B333" s="332" t="s">
        <v>573</v>
      </c>
      <c r="C333" s="332" t="s">
        <v>780</v>
      </c>
      <c r="D333" s="178" t="s">
        <v>24</v>
      </c>
      <c r="E333" s="333" t="s">
        <v>801</v>
      </c>
      <c r="F333" s="179" t="str">
        <f>IF(AND(COUNTIF('Build &amp; Totals'!$A$4:$B$12,$C333)&gt;=1,Class=$B333),$A333,"")</f>
        <v/>
      </c>
    </row>
    <row r="334" spans="1:6">
      <c r="A334" s="331" t="s">
        <v>802</v>
      </c>
      <c r="B334" s="332" t="s">
        <v>573</v>
      </c>
      <c r="C334" s="332" t="s">
        <v>780</v>
      </c>
      <c r="D334" s="178" t="s">
        <v>24</v>
      </c>
      <c r="E334" s="333" t="s">
        <v>803</v>
      </c>
      <c r="F334" s="179" t="str">
        <f>IF(AND(COUNTIF('Build &amp; Totals'!$A$4:$B$12,$C334)&gt;=1,Class=$B334),$A334,"")</f>
        <v/>
      </c>
    </row>
    <row r="335" spans="1:6" ht="23.25">
      <c r="A335" s="331" t="s">
        <v>804</v>
      </c>
      <c r="B335" s="332" t="s">
        <v>3</v>
      </c>
      <c r="C335" s="332" t="s">
        <v>805</v>
      </c>
      <c r="D335" s="178" t="s">
        <v>94</v>
      </c>
      <c r="E335" s="333" t="s">
        <v>806</v>
      </c>
      <c r="F335" s="179" t="str">
        <f>IF(AND(COUNTIF('Build &amp; Totals'!$A$4:$B$12,$C335)&gt;=1,Class=$B335),$A335,"")</f>
        <v/>
      </c>
    </row>
    <row r="336" spans="1:6">
      <c r="A336" s="331" t="s">
        <v>807</v>
      </c>
      <c r="B336" s="332" t="s">
        <v>3</v>
      </c>
      <c r="C336" s="332" t="s">
        <v>805</v>
      </c>
      <c r="D336" s="178" t="s">
        <v>19</v>
      </c>
      <c r="E336" s="333" t="s">
        <v>808</v>
      </c>
      <c r="F336" s="179" t="str">
        <f>IF(AND(COUNTIF('Build &amp; Totals'!$A$4:$B$12,$C336)&gt;=1,Class=$B336),$A336,"")</f>
        <v/>
      </c>
    </row>
    <row r="337" spans="1:6">
      <c r="A337" s="331" t="s">
        <v>809</v>
      </c>
      <c r="B337" s="332" t="s">
        <v>3</v>
      </c>
      <c r="C337" s="332" t="s">
        <v>805</v>
      </c>
      <c r="D337" s="178" t="s">
        <v>19</v>
      </c>
      <c r="E337" s="333" t="s">
        <v>810</v>
      </c>
      <c r="F337" s="179" t="str">
        <f>IF(AND(COUNTIF('Build &amp; Totals'!$A$4:$B$12,$C337)&gt;=1,Class=$B337),$A337,"")</f>
        <v/>
      </c>
    </row>
    <row r="338" spans="1:6">
      <c r="A338" s="331" t="s">
        <v>811</v>
      </c>
      <c r="B338" s="332" t="s">
        <v>3</v>
      </c>
      <c r="C338" s="332" t="s">
        <v>805</v>
      </c>
      <c r="D338" s="178" t="s">
        <v>19</v>
      </c>
      <c r="E338" s="333" t="s">
        <v>812</v>
      </c>
      <c r="F338" s="179" t="str">
        <f>IF(AND(COUNTIF('Build &amp; Totals'!$A$4:$B$12,$C338)&gt;=1,Class=$B338),$A338,"")</f>
        <v/>
      </c>
    </row>
    <row r="339" spans="1:6">
      <c r="A339" s="331" t="s">
        <v>813</v>
      </c>
      <c r="B339" s="332" t="s">
        <v>3</v>
      </c>
      <c r="C339" s="332" t="s">
        <v>805</v>
      </c>
      <c r="D339" s="178" t="s">
        <v>95</v>
      </c>
      <c r="E339" s="333" t="s">
        <v>814</v>
      </c>
      <c r="F339" s="179" t="str">
        <f>IF(AND(COUNTIF('Build &amp; Totals'!$A$4:$B$12,$C339)&gt;=1,Class=$B339),$A339,"")</f>
        <v/>
      </c>
    </row>
    <row r="340" spans="1:6" ht="23.25">
      <c r="A340" s="331" t="s">
        <v>815</v>
      </c>
      <c r="B340" s="332" t="s">
        <v>3</v>
      </c>
      <c r="C340" s="332" t="s">
        <v>805</v>
      </c>
      <c r="D340" s="178" t="s">
        <v>22</v>
      </c>
      <c r="E340" s="333" t="s">
        <v>816</v>
      </c>
      <c r="F340" s="179" t="str">
        <f>IF(AND(COUNTIF('Build &amp; Totals'!$A$4:$B$12,$C340)&gt;=1,Class=$B340),$A340,"")</f>
        <v/>
      </c>
    </row>
    <row r="341" spans="1:6">
      <c r="A341" s="331" t="s">
        <v>817</v>
      </c>
      <c r="B341" s="332" t="s">
        <v>3</v>
      </c>
      <c r="C341" s="332" t="s">
        <v>805</v>
      </c>
      <c r="D341" s="178" t="s">
        <v>22</v>
      </c>
      <c r="E341" s="333" t="s">
        <v>818</v>
      </c>
      <c r="F341" s="179" t="str">
        <f>IF(AND(COUNTIF('Build &amp; Totals'!$A$4:$B$12,$C341)&gt;=1,Class=$B341),$A341,"")</f>
        <v/>
      </c>
    </row>
    <row r="342" spans="1:6">
      <c r="A342" s="331" t="s">
        <v>819</v>
      </c>
      <c r="B342" s="332" t="s">
        <v>3</v>
      </c>
      <c r="C342" s="332" t="s">
        <v>805</v>
      </c>
      <c r="D342" s="178" t="s">
        <v>22</v>
      </c>
      <c r="E342" s="333" t="s">
        <v>820</v>
      </c>
      <c r="F342" s="179" t="str">
        <f>IF(AND(COUNTIF('Build &amp; Totals'!$A$4:$B$12,$C342)&gt;=1,Class=$B342),$A342,"")</f>
        <v/>
      </c>
    </row>
    <row r="343" spans="1:6">
      <c r="A343" s="331" t="s">
        <v>821</v>
      </c>
      <c r="B343" s="332" t="s">
        <v>3</v>
      </c>
      <c r="C343" s="332" t="s">
        <v>805</v>
      </c>
      <c r="D343" s="178" t="s">
        <v>98</v>
      </c>
      <c r="E343" s="333" t="s">
        <v>822</v>
      </c>
      <c r="F343" s="179" t="str">
        <f>IF(AND(COUNTIF('Build &amp; Totals'!$A$4:$B$12,$C343)&gt;=1,Class=$B343),$A343,"")</f>
        <v/>
      </c>
    </row>
    <row r="344" spans="1:6">
      <c r="A344" s="331" t="s">
        <v>823</v>
      </c>
      <c r="B344" s="332" t="s">
        <v>3</v>
      </c>
      <c r="C344" s="332" t="s">
        <v>805</v>
      </c>
      <c r="D344" s="178" t="s">
        <v>24</v>
      </c>
      <c r="E344" s="333" t="s">
        <v>824</v>
      </c>
      <c r="F344" s="179" t="str">
        <f>IF(AND(COUNTIF('Build &amp; Totals'!$A$4:$B$12,$C344)&gt;=1,Class=$B344),$A344,"")</f>
        <v/>
      </c>
    </row>
    <row r="345" spans="1:6">
      <c r="A345" s="331" t="s">
        <v>825</v>
      </c>
      <c r="B345" s="332" t="s">
        <v>3</v>
      </c>
      <c r="C345" s="332" t="s">
        <v>805</v>
      </c>
      <c r="D345" s="178" t="s">
        <v>24</v>
      </c>
      <c r="E345" s="333" t="s">
        <v>826</v>
      </c>
      <c r="F345" s="179" t="str">
        <f>IF(AND(COUNTIF('Build &amp; Totals'!$A$4:$B$12,$C345)&gt;=1,Class=$B345),$A345,"")</f>
        <v/>
      </c>
    </row>
    <row r="346" spans="1:6" ht="23.25">
      <c r="A346" s="331" t="s">
        <v>827</v>
      </c>
      <c r="B346" s="332" t="s">
        <v>3</v>
      </c>
      <c r="C346" s="332" t="s">
        <v>805</v>
      </c>
      <c r="D346" s="178" t="s">
        <v>24</v>
      </c>
      <c r="E346" s="333" t="s">
        <v>828</v>
      </c>
      <c r="F346" s="179" t="str">
        <f>IF(AND(COUNTIF('Build &amp; Totals'!$A$4:$B$12,$C346)&gt;=1,Class=$B346),$A346,"")</f>
        <v/>
      </c>
    </row>
    <row r="347" spans="1:6">
      <c r="A347" s="331" t="s">
        <v>829</v>
      </c>
      <c r="B347" s="332" t="s">
        <v>3</v>
      </c>
      <c r="C347" s="332" t="s">
        <v>830</v>
      </c>
      <c r="D347" s="178" t="s">
        <v>94</v>
      </c>
      <c r="E347" s="333" t="s">
        <v>831</v>
      </c>
      <c r="F347" s="179" t="str">
        <f>IF(AND(COUNTIF('Build &amp; Totals'!$A$4:$B$12,$C347)&gt;=1,Class=$B347),$A347,"")</f>
        <v/>
      </c>
    </row>
    <row r="348" spans="1:6">
      <c r="A348" s="331" t="s">
        <v>832</v>
      </c>
      <c r="B348" s="332" t="s">
        <v>3</v>
      </c>
      <c r="C348" s="332" t="s">
        <v>830</v>
      </c>
      <c r="D348" s="178" t="s">
        <v>19</v>
      </c>
      <c r="E348" s="333" t="s">
        <v>833</v>
      </c>
      <c r="F348" s="179" t="str">
        <f>IF(AND(COUNTIF('Build &amp; Totals'!$A$4:$B$12,$C348)&gt;=1,Class=$B348),$A348,"")</f>
        <v/>
      </c>
    </row>
    <row r="349" spans="1:6">
      <c r="A349" s="331" t="s">
        <v>834</v>
      </c>
      <c r="B349" s="332" t="s">
        <v>3</v>
      </c>
      <c r="C349" s="332" t="s">
        <v>830</v>
      </c>
      <c r="D349" s="178" t="s">
        <v>19</v>
      </c>
      <c r="E349" s="333" t="s">
        <v>835</v>
      </c>
      <c r="F349" s="179" t="str">
        <f>IF(AND(COUNTIF('Build &amp; Totals'!$A$4:$B$12,$C349)&gt;=1,Class=$B349),$A349,"")</f>
        <v/>
      </c>
    </row>
    <row r="350" spans="1:6">
      <c r="A350" s="331" t="s">
        <v>836</v>
      </c>
      <c r="B350" s="332" t="s">
        <v>3</v>
      </c>
      <c r="C350" s="332" t="s">
        <v>830</v>
      </c>
      <c r="D350" s="178" t="s">
        <v>19</v>
      </c>
      <c r="E350" s="333" t="s">
        <v>837</v>
      </c>
      <c r="F350" s="179" t="str">
        <f>IF(AND(COUNTIF('Build &amp; Totals'!$A$4:$B$12,$C350)&gt;=1,Class=$B350),$A350,"")</f>
        <v/>
      </c>
    </row>
    <row r="351" spans="1:6">
      <c r="A351" s="331" t="s">
        <v>838</v>
      </c>
      <c r="B351" s="332" t="s">
        <v>3</v>
      </c>
      <c r="C351" s="332" t="s">
        <v>830</v>
      </c>
      <c r="D351" s="178" t="s">
        <v>95</v>
      </c>
      <c r="E351" s="333" t="s">
        <v>839</v>
      </c>
      <c r="F351" s="179" t="str">
        <f>IF(AND(COUNTIF('Build &amp; Totals'!$A$4:$B$12,$C351)&gt;=1,Class=$B351),$A351,"")</f>
        <v/>
      </c>
    </row>
    <row r="352" spans="1:6" ht="23.25">
      <c r="A352" s="331" t="s">
        <v>840</v>
      </c>
      <c r="B352" s="332" t="s">
        <v>3</v>
      </c>
      <c r="C352" s="332" t="s">
        <v>830</v>
      </c>
      <c r="D352" s="178" t="s">
        <v>22</v>
      </c>
      <c r="E352" s="333" t="s">
        <v>841</v>
      </c>
      <c r="F352" s="179" t="str">
        <f>IF(AND(COUNTIF('Build &amp; Totals'!$A$4:$B$12,$C352)&gt;=1,Class=$B352),$A352,"")</f>
        <v/>
      </c>
    </row>
    <row r="353" spans="1:6">
      <c r="A353" s="331" t="s">
        <v>842</v>
      </c>
      <c r="B353" s="332" t="s">
        <v>3</v>
      </c>
      <c r="C353" s="332" t="s">
        <v>830</v>
      </c>
      <c r="D353" s="178" t="s">
        <v>22</v>
      </c>
      <c r="E353" s="333" t="s">
        <v>843</v>
      </c>
      <c r="F353" s="179" t="str">
        <f>IF(AND(COUNTIF('Build &amp; Totals'!$A$4:$B$12,$C353)&gt;=1,Class=$B353),$A353,"")</f>
        <v/>
      </c>
    </row>
    <row r="354" spans="1:6">
      <c r="A354" s="331" t="s">
        <v>844</v>
      </c>
      <c r="B354" s="332" t="s">
        <v>3</v>
      </c>
      <c r="C354" s="332" t="s">
        <v>830</v>
      </c>
      <c r="D354" s="178" t="s">
        <v>22</v>
      </c>
      <c r="E354" s="333" t="s">
        <v>845</v>
      </c>
      <c r="F354" s="179" t="str">
        <f>IF(AND(COUNTIF('Build &amp; Totals'!$A$4:$B$12,$C354)&gt;=1,Class=$B354),$A354,"")</f>
        <v/>
      </c>
    </row>
    <row r="355" spans="1:6">
      <c r="A355" s="331" t="s">
        <v>846</v>
      </c>
      <c r="B355" s="332" t="s">
        <v>3</v>
      </c>
      <c r="C355" s="332" t="s">
        <v>830</v>
      </c>
      <c r="D355" s="178" t="s">
        <v>98</v>
      </c>
      <c r="E355" s="333" t="s">
        <v>847</v>
      </c>
      <c r="F355" s="179" t="str">
        <f>IF(AND(COUNTIF('Build &amp; Totals'!$A$4:$B$12,$C355)&gt;=1,Class=$B355),$A355,"")</f>
        <v/>
      </c>
    </row>
    <row r="356" spans="1:6">
      <c r="A356" s="331" t="s">
        <v>848</v>
      </c>
      <c r="B356" s="332" t="s">
        <v>3</v>
      </c>
      <c r="C356" s="332" t="s">
        <v>830</v>
      </c>
      <c r="D356" s="178" t="s">
        <v>24</v>
      </c>
      <c r="E356" s="333" t="s">
        <v>849</v>
      </c>
      <c r="F356" s="179" t="str">
        <f>IF(AND(COUNTIF('Build &amp; Totals'!$A$4:$B$12,$C356)&gt;=1,Class=$B356),$A356,"")</f>
        <v/>
      </c>
    </row>
    <row r="357" spans="1:6">
      <c r="A357" s="331" t="s">
        <v>850</v>
      </c>
      <c r="B357" s="332" t="s">
        <v>3</v>
      </c>
      <c r="C357" s="332" t="s">
        <v>830</v>
      </c>
      <c r="D357" s="178" t="s">
        <v>24</v>
      </c>
      <c r="E357" s="333" t="s">
        <v>851</v>
      </c>
      <c r="F357" s="179" t="str">
        <f>IF(AND(COUNTIF('Build &amp; Totals'!$A$4:$B$12,$C357)&gt;=1,Class=$B357),$A357,"")</f>
        <v/>
      </c>
    </row>
    <row r="358" spans="1:6">
      <c r="A358" s="331" t="s">
        <v>852</v>
      </c>
      <c r="B358" s="332" t="s">
        <v>3</v>
      </c>
      <c r="C358" s="332" t="s">
        <v>830</v>
      </c>
      <c r="D358" s="178" t="s">
        <v>24</v>
      </c>
      <c r="E358" s="333" t="s">
        <v>853</v>
      </c>
      <c r="F358" s="179" t="str">
        <f>IF(AND(COUNTIF('Build &amp; Totals'!$A$4:$B$12,$C358)&gt;=1,Class=$B358),$A358,"")</f>
        <v/>
      </c>
    </row>
    <row r="359" spans="1:6">
      <c r="A359" s="331" t="s">
        <v>854</v>
      </c>
      <c r="B359" s="332" t="s">
        <v>3</v>
      </c>
      <c r="C359" s="332" t="s">
        <v>855</v>
      </c>
      <c r="D359" s="178" t="s">
        <v>94</v>
      </c>
      <c r="E359" s="333" t="s">
        <v>856</v>
      </c>
      <c r="F359" s="179" t="str">
        <f>IF(AND(COUNTIF('Build &amp; Totals'!$A$4:$B$12,$C359)&gt;=1,Class=$B359),$A359,"")</f>
        <v/>
      </c>
    </row>
    <row r="360" spans="1:6">
      <c r="A360" s="331" t="s">
        <v>857</v>
      </c>
      <c r="B360" s="332" t="s">
        <v>3</v>
      </c>
      <c r="C360" s="332" t="s">
        <v>855</v>
      </c>
      <c r="D360" s="178" t="s">
        <v>19</v>
      </c>
      <c r="E360" s="333" t="s">
        <v>858</v>
      </c>
      <c r="F360" s="179" t="str">
        <f>IF(AND(COUNTIF('Build &amp; Totals'!$A$4:$B$12,$C360)&gt;=1,Class=$B360),$A360,"")</f>
        <v/>
      </c>
    </row>
    <row r="361" spans="1:6">
      <c r="A361" s="331" t="s">
        <v>859</v>
      </c>
      <c r="B361" s="332" t="s">
        <v>3</v>
      </c>
      <c r="C361" s="332" t="s">
        <v>855</v>
      </c>
      <c r="D361" s="178" t="s">
        <v>19</v>
      </c>
      <c r="E361" s="333" t="s">
        <v>860</v>
      </c>
      <c r="F361" s="179" t="str">
        <f>IF(AND(COUNTIF('Build &amp; Totals'!$A$4:$B$12,$C361)&gt;=1,Class=$B361),$A361,"")</f>
        <v/>
      </c>
    </row>
    <row r="362" spans="1:6" ht="23.25">
      <c r="A362" s="331" t="s">
        <v>861</v>
      </c>
      <c r="B362" s="332" t="s">
        <v>3</v>
      </c>
      <c r="C362" s="332" t="s">
        <v>855</v>
      </c>
      <c r="D362" s="178" t="s">
        <v>19</v>
      </c>
      <c r="E362" s="333" t="s">
        <v>862</v>
      </c>
      <c r="F362" s="179" t="str">
        <f>IF(AND(COUNTIF('Build &amp; Totals'!$A$4:$B$12,$C362)&gt;=1,Class=$B362),$A362,"")</f>
        <v/>
      </c>
    </row>
    <row r="363" spans="1:6">
      <c r="A363" s="331" t="s">
        <v>863</v>
      </c>
      <c r="B363" s="332" t="s">
        <v>3</v>
      </c>
      <c r="C363" s="332" t="s">
        <v>855</v>
      </c>
      <c r="D363" s="178" t="s">
        <v>95</v>
      </c>
      <c r="E363" s="333" t="s">
        <v>864</v>
      </c>
      <c r="F363" s="179" t="str">
        <f>IF(AND(COUNTIF('Build &amp; Totals'!$A$4:$B$12,$C363)&gt;=1,Class=$B363),$A363,"")</f>
        <v/>
      </c>
    </row>
    <row r="364" spans="1:6" ht="23.25">
      <c r="A364" s="331" t="s">
        <v>865</v>
      </c>
      <c r="B364" s="332" t="s">
        <v>3</v>
      </c>
      <c r="C364" s="332" t="s">
        <v>855</v>
      </c>
      <c r="D364" s="178" t="s">
        <v>22</v>
      </c>
      <c r="E364" s="333" t="s">
        <v>866</v>
      </c>
      <c r="F364" s="179" t="str">
        <f>IF(AND(COUNTIF('Build &amp; Totals'!$A$4:$B$12,$C364)&gt;=1,Class=$B364),$A364,"")</f>
        <v/>
      </c>
    </row>
    <row r="365" spans="1:6">
      <c r="A365" s="331" t="s">
        <v>867</v>
      </c>
      <c r="B365" s="332" t="s">
        <v>3</v>
      </c>
      <c r="C365" s="332" t="s">
        <v>855</v>
      </c>
      <c r="D365" s="178" t="s">
        <v>22</v>
      </c>
      <c r="E365" s="333" t="s">
        <v>868</v>
      </c>
      <c r="F365" s="179" t="str">
        <f>IF(AND(COUNTIF('Build &amp; Totals'!$A$4:$B$12,$C365)&gt;=1,Class=$B365),$A365,"")</f>
        <v/>
      </c>
    </row>
    <row r="366" spans="1:6">
      <c r="A366" s="331" t="s">
        <v>869</v>
      </c>
      <c r="B366" s="332" t="s">
        <v>3</v>
      </c>
      <c r="C366" s="332" t="s">
        <v>855</v>
      </c>
      <c r="D366" s="178" t="s">
        <v>22</v>
      </c>
      <c r="E366" s="333" t="s">
        <v>637</v>
      </c>
      <c r="F366" s="179" t="str">
        <f>IF(AND(COUNTIF('Build &amp; Totals'!$A$4:$B$12,$C366)&gt;=1,Class=$B366),$A366,"")</f>
        <v/>
      </c>
    </row>
    <row r="367" spans="1:6">
      <c r="A367" s="331" t="s">
        <v>870</v>
      </c>
      <c r="B367" s="332" t="s">
        <v>3</v>
      </c>
      <c r="C367" s="332" t="s">
        <v>855</v>
      </c>
      <c r="D367" s="178" t="s">
        <v>98</v>
      </c>
      <c r="E367" s="333" t="s">
        <v>871</v>
      </c>
      <c r="F367" s="179" t="str">
        <f>IF(AND(COUNTIF('Build &amp; Totals'!$A$4:$B$12,$C367)&gt;=1,Class=$B367),$A367,"")</f>
        <v/>
      </c>
    </row>
    <row r="368" spans="1:6">
      <c r="A368" s="331" t="s">
        <v>872</v>
      </c>
      <c r="B368" s="332" t="s">
        <v>3</v>
      </c>
      <c r="C368" s="332" t="s">
        <v>855</v>
      </c>
      <c r="D368" s="178" t="s">
        <v>24</v>
      </c>
      <c r="E368" s="333" t="s">
        <v>873</v>
      </c>
      <c r="F368" s="179" t="str">
        <f>IF(AND(COUNTIF('Build &amp; Totals'!$A$4:$B$12,$C368)&gt;=1,Class=$B368),$A368,"")</f>
        <v/>
      </c>
    </row>
    <row r="369" spans="1:6">
      <c r="A369" s="331" t="s">
        <v>874</v>
      </c>
      <c r="B369" s="332" t="s">
        <v>3</v>
      </c>
      <c r="C369" s="332" t="s">
        <v>855</v>
      </c>
      <c r="D369" s="178" t="s">
        <v>24</v>
      </c>
      <c r="E369" s="333" t="s">
        <v>875</v>
      </c>
      <c r="F369" s="179" t="str">
        <f>IF(AND(COUNTIF('Build &amp; Totals'!$A$4:$B$12,$C369)&gt;=1,Class=$B369),$A369,"")</f>
        <v/>
      </c>
    </row>
    <row r="370" spans="1:6" ht="23.25">
      <c r="A370" s="331" t="s">
        <v>876</v>
      </c>
      <c r="B370" s="332" t="s">
        <v>3</v>
      </c>
      <c r="C370" s="332" t="s">
        <v>855</v>
      </c>
      <c r="D370" s="178" t="s">
        <v>24</v>
      </c>
      <c r="E370" s="333" t="s">
        <v>877</v>
      </c>
      <c r="F370" s="179" t="str">
        <f>IF(AND(COUNTIF('Build &amp; Totals'!$A$4:$B$12,$C370)&gt;=1,Class=$B370),$A370,"")</f>
        <v/>
      </c>
    </row>
    <row r="371" spans="1:6">
      <c r="A371" s="331" t="s">
        <v>878</v>
      </c>
      <c r="B371" s="332" t="s">
        <v>3</v>
      </c>
      <c r="C371" s="332" t="s">
        <v>879</v>
      </c>
      <c r="D371" s="178" t="s">
        <v>94</v>
      </c>
      <c r="E371" s="333" t="s">
        <v>880</v>
      </c>
      <c r="F371" s="179" t="str">
        <f>IF(AND(COUNTIF('Build &amp; Totals'!$A$4:$B$12,$C371)&gt;=1,Class=$B371),$A371,"")</f>
        <v/>
      </c>
    </row>
    <row r="372" spans="1:6">
      <c r="A372" s="331" t="s">
        <v>881</v>
      </c>
      <c r="B372" s="332" t="s">
        <v>3</v>
      </c>
      <c r="C372" s="332" t="s">
        <v>879</v>
      </c>
      <c r="D372" s="178" t="s">
        <v>19</v>
      </c>
      <c r="E372" s="333" t="s">
        <v>882</v>
      </c>
      <c r="F372" s="179" t="str">
        <f>IF(AND(COUNTIF('Build &amp; Totals'!$A$4:$B$12,$C372)&gt;=1,Class=$B372),$A372,"")</f>
        <v/>
      </c>
    </row>
    <row r="373" spans="1:6" ht="23.25">
      <c r="A373" s="331" t="s">
        <v>883</v>
      </c>
      <c r="B373" s="332" t="s">
        <v>3</v>
      </c>
      <c r="C373" s="332" t="s">
        <v>879</v>
      </c>
      <c r="D373" s="178" t="s">
        <v>19</v>
      </c>
      <c r="E373" s="333" t="s">
        <v>884</v>
      </c>
      <c r="F373" s="179" t="str">
        <f>IF(AND(COUNTIF('Build &amp; Totals'!$A$4:$B$12,$C373)&gt;=1,Class=$B373),$A373,"")</f>
        <v/>
      </c>
    </row>
    <row r="374" spans="1:6">
      <c r="A374" s="331" t="s">
        <v>885</v>
      </c>
      <c r="B374" s="332" t="s">
        <v>3</v>
      </c>
      <c r="C374" s="332" t="s">
        <v>879</v>
      </c>
      <c r="D374" s="178" t="s">
        <v>19</v>
      </c>
      <c r="E374" s="333" t="s">
        <v>886</v>
      </c>
      <c r="F374" s="179" t="str">
        <f>IF(AND(COUNTIF('Build &amp; Totals'!$A$4:$B$12,$C374)&gt;=1,Class=$B374),$A374,"")</f>
        <v/>
      </c>
    </row>
    <row r="375" spans="1:6">
      <c r="A375" s="331" t="s">
        <v>887</v>
      </c>
      <c r="B375" s="332" t="s">
        <v>3</v>
      </c>
      <c r="C375" s="332" t="s">
        <v>879</v>
      </c>
      <c r="D375" s="178" t="s">
        <v>95</v>
      </c>
      <c r="E375" s="333" t="s">
        <v>888</v>
      </c>
      <c r="F375" s="179" t="str">
        <f>IF(AND(COUNTIF('Build &amp; Totals'!$A$4:$B$12,$C375)&gt;=1,Class=$B375),$A375,"")</f>
        <v/>
      </c>
    </row>
    <row r="376" spans="1:6">
      <c r="A376" s="331" t="s">
        <v>889</v>
      </c>
      <c r="B376" s="332" t="s">
        <v>3</v>
      </c>
      <c r="C376" s="332" t="s">
        <v>879</v>
      </c>
      <c r="D376" s="178" t="s">
        <v>22</v>
      </c>
      <c r="E376" s="333" t="s">
        <v>890</v>
      </c>
      <c r="F376" s="179" t="str">
        <f>IF(AND(COUNTIF('Build &amp; Totals'!$A$4:$B$12,$C376)&gt;=1,Class=$B376),$A376,"")</f>
        <v/>
      </c>
    </row>
    <row r="377" spans="1:6">
      <c r="A377" s="331" t="s">
        <v>891</v>
      </c>
      <c r="B377" s="332" t="s">
        <v>3</v>
      </c>
      <c r="C377" s="332" t="s">
        <v>879</v>
      </c>
      <c r="D377" s="178" t="s">
        <v>22</v>
      </c>
      <c r="E377" s="333" t="s">
        <v>892</v>
      </c>
      <c r="F377" s="179" t="str">
        <f>IF(AND(COUNTIF('Build &amp; Totals'!$A$4:$B$12,$C377)&gt;=1,Class=$B377),$A377,"")</f>
        <v/>
      </c>
    </row>
    <row r="378" spans="1:6">
      <c r="A378" s="331" t="s">
        <v>893</v>
      </c>
      <c r="B378" s="332" t="s">
        <v>3</v>
      </c>
      <c r="C378" s="332" t="s">
        <v>879</v>
      </c>
      <c r="D378" s="178" t="s">
        <v>22</v>
      </c>
      <c r="E378" s="333" t="s">
        <v>894</v>
      </c>
      <c r="F378" s="179" t="str">
        <f>IF(AND(COUNTIF('Build &amp; Totals'!$A$4:$B$12,$C378)&gt;=1,Class=$B378),$A378,"")</f>
        <v/>
      </c>
    </row>
    <row r="379" spans="1:6" ht="23.25">
      <c r="A379" s="331" t="s">
        <v>895</v>
      </c>
      <c r="B379" s="332" t="s">
        <v>3</v>
      </c>
      <c r="C379" s="332" t="s">
        <v>879</v>
      </c>
      <c r="D379" s="178" t="s">
        <v>98</v>
      </c>
      <c r="E379" s="333" t="s">
        <v>896</v>
      </c>
      <c r="F379" s="179" t="str">
        <f>IF(AND(COUNTIF('Build &amp; Totals'!$A$4:$B$12,$C379)&gt;=1,Class=$B379),$A379,"")</f>
        <v/>
      </c>
    </row>
    <row r="380" spans="1:6">
      <c r="A380" s="331" t="s">
        <v>897</v>
      </c>
      <c r="B380" s="332" t="s">
        <v>3</v>
      </c>
      <c r="C380" s="332" t="s">
        <v>879</v>
      </c>
      <c r="D380" s="178" t="s">
        <v>24</v>
      </c>
      <c r="E380" s="333" t="s">
        <v>898</v>
      </c>
      <c r="F380" s="179" t="str">
        <f>IF(AND(COUNTIF('Build &amp; Totals'!$A$4:$B$12,$C380)&gt;=1,Class=$B380),$A380,"")</f>
        <v/>
      </c>
    </row>
    <row r="381" spans="1:6" ht="23.25">
      <c r="A381" s="331" t="s">
        <v>899</v>
      </c>
      <c r="B381" s="332" t="s">
        <v>3</v>
      </c>
      <c r="C381" s="332" t="s">
        <v>879</v>
      </c>
      <c r="D381" s="178" t="s">
        <v>24</v>
      </c>
      <c r="E381" s="333" t="s">
        <v>900</v>
      </c>
      <c r="F381" s="179" t="str">
        <f>IF(AND(COUNTIF('Build &amp; Totals'!$A$4:$B$12,$C381)&gt;=1,Class=$B381),$A381,"")</f>
        <v/>
      </c>
    </row>
    <row r="382" spans="1:6" ht="23.25">
      <c r="A382" s="331" t="s">
        <v>901</v>
      </c>
      <c r="B382" s="332" t="s">
        <v>3</v>
      </c>
      <c r="C382" s="332" t="s">
        <v>879</v>
      </c>
      <c r="D382" s="178" t="s">
        <v>24</v>
      </c>
      <c r="E382" s="333" t="s">
        <v>902</v>
      </c>
      <c r="F382" s="179" t="str">
        <f>IF(AND(COUNTIF('Build &amp; Totals'!$A$4:$B$12,$C382)&gt;=1,Class=$B382),$A382,"")</f>
        <v/>
      </c>
    </row>
    <row r="383" spans="1:6">
      <c r="A383" s="331" t="s">
        <v>903</v>
      </c>
      <c r="B383" s="332" t="s">
        <v>3</v>
      </c>
      <c r="C383" s="332" t="s">
        <v>904</v>
      </c>
      <c r="D383" s="178" t="s">
        <v>94</v>
      </c>
      <c r="E383" s="333" t="s">
        <v>905</v>
      </c>
      <c r="F383" s="179" t="str">
        <f>IF(AND(COUNTIF('Build &amp; Totals'!$A$4:$B$12,$C383)&gt;=1,Class=$B383),$A383,"")</f>
        <v/>
      </c>
    </row>
    <row r="384" spans="1:6">
      <c r="A384" s="331" t="s">
        <v>906</v>
      </c>
      <c r="B384" s="332" t="s">
        <v>3</v>
      </c>
      <c r="C384" s="332" t="s">
        <v>904</v>
      </c>
      <c r="D384" s="178" t="s">
        <v>19</v>
      </c>
      <c r="E384" s="333" t="s">
        <v>907</v>
      </c>
      <c r="F384" s="179" t="str">
        <f>IF(AND(COUNTIF('Build &amp; Totals'!$A$4:$B$12,$C384)&gt;=1,Class=$B384),$A384,"")</f>
        <v/>
      </c>
    </row>
    <row r="385" spans="1:6">
      <c r="A385" s="331" t="s">
        <v>908</v>
      </c>
      <c r="B385" s="332" t="s">
        <v>3</v>
      </c>
      <c r="C385" s="332" t="s">
        <v>904</v>
      </c>
      <c r="D385" s="178" t="s">
        <v>19</v>
      </c>
      <c r="E385" s="333" t="s">
        <v>909</v>
      </c>
      <c r="F385" s="179" t="str">
        <f>IF(AND(COUNTIF('Build &amp; Totals'!$A$4:$B$12,$C385)&gt;=1,Class=$B385),$A385,"")</f>
        <v/>
      </c>
    </row>
    <row r="386" spans="1:6">
      <c r="A386" s="331" t="s">
        <v>910</v>
      </c>
      <c r="B386" s="332" t="s">
        <v>3</v>
      </c>
      <c r="C386" s="332" t="s">
        <v>904</v>
      </c>
      <c r="D386" s="178" t="s">
        <v>19</v>
      </c>
      <c r="E386" s="333" t="s">
        <v>911</v>
      </c>
      <c r="F386" s="179" t="str">
        <f>IF(AND(COUNTIF('Build &amp; Totals'!$A$4:$B$12,$C386)&gt;=1,Class=$B386),$A386,"")</f>
        <v/>
      </c>
    </row>
    <row r="387" spans="1:6" ht="23.25">
      <c r="A387" s="331" t="s">
        <v>912</v>
      </c>
      <c r="B387" s="332" t="s">
        <v>3</v>
      </c>
      <c r="C387" s="332" t="s">
        <v>904</v>
      </c>
      <c r="D387" s="178" t="s">
        <v>95</v>
      </c>
      <c r="E387" s="333" t="s">
        <v>913</v>
      </c>
      <c r="F387" s="179" t="str">
        <f>IF(AND(COUNTIF('Build &amp; Totals'!$A$4:$B$12,$C387)&gt;=1,Class=$B387),$A387,"")</f>
        <v/>
      </c>
    </row>
    <row r="388" spans="1:6">
      <c r="A388" s="331" t="s">
        <v>914</v>
      </c>
      <c r="B388" s="332" t="s">
        <v>3</v>
      </c>
      <c r="C388" s="332" t="s">
        <v>904</v>
      </c>
      <c r="D388" s="178" t="s">
        <v>22</v>
      </c>
      <c r="E388" s="333" t="s">
        <v>915</v>
      </c>
      <c r="F388" s="179" t="str">
        <f>IF(AND(COUNTIF('Build &amp; Totals'!$A$4:$B$12,$C388)&gt;=1,Class=$B388),$A388,"")</f>
        <v/>
      </c>
    </row>
    <row r="389" spans="1:6" ht="23.25">
      <c r="A389" s="331" t="s">
        <v>916</v>
      </c>
      <c r="B389" s="332" t="s">
        <v>3</v>
      </c>
      <c r="C389" s="332" t="s">
        <v>904</v>
      </c>
      <c r="D389" s="178" t="s">
        <v>22</v>
      </c>
      <c r="E389" s="333" t="s">
        <v>917</v>
      </c>
      <c r="F389" s="179" t="str">
        <f>IF(AND(COUNTIF('Build &amp; Totals'!$A$4:$B$12,$C389)&gt;=1,Class=$B389),$A389,"")</f>
        <v/>
      </c>
    </row>
    <row r="390" spans="1:6">
      <c r="A390" s="331" t="s">
        <v>918</v>
      </c>
      <c r="B390" s="332" t="s">
        <v>3</v>
      </c>
      <c r="C390" s="332" t="s">
        <v>904</v>
      </c>
      <c r="D390" s="178" t="s">
        <v>22</v>
      </c>
      <c r="E390" s="333" t="s">
        <v>919</v>
      </c>
      <c r="F390" s="179" t="str">
        <f>IF(AND(COUNTIF('Build &amp; Totals'!$A$4:$B$12,$C390)&gt;=1,Class=$B390),$A390,"")</f>
        <v/>
      </c>
    </row>
    <row r="391" spans="1:6">
      <c r="A391" s="331" t="s">
        <v>920</v>
      </c>
      <c r="B391" s="332" t="s">
        <v>3</v>
      </c>
      <c r="C391" s="332" t="s">
        <v>904</v>
      </c>
      <c r="D391" s="178" t="s">
        <v>98</v>
      </c>
      <c r="E391" s="333" t="s">
        <v>921</v>
      </c>
      <c r="F391" s="179" t="str">
        <f>IF(AND(COUNTIF('Build &amp; Totals'!$A$4:$B$12,$C391)&gt;=1,Class=$B391),$A391,"")</f>
        <v/>
      </c>
    </row>
    <row r="392" spans="1:6">
      <c r="A392" s="331" t="s">
        <v>922</v>
      </c>
      <c r="B392" s="332" t="s">
        <v>3</v>
      </c>
      <c r="C392" s="332" t="s">
        <v>904</v>
      </c>
      <c r="D392" s="178" t="s">
        <v>24</v>
      </c>
      <c r="E392" s="333" t="s">
        <v>923</v>
      </c>
      <c r="F392" s="179" t="str">
        <f>IF(AND(COUNTIF('Build &amp; Totals'!$A$4:$B$12,$C392)&gt;=1,Class=$B392),$A392,"")</f>
        <v/>
      </c>
    </row>
    <row r="393" spans="1:6">
      <c r="A393" s="331" t="s">
        <v>924</v>
      </c>
      <c r="B393" s="332" t="s">
        <v>3</v>
      </c>
      <c r="C393" s="332" t="s">
        <v>904</v>
      </c>
      <c r="D393" s="178" t="s">
        <v>24</v>
      </c>
      <c r="E393" s="333" t="s">
        <v>925</v>
      </c>
      <c r="F393" s="179" t="str">
        <f>IF(AND(COUNTIF('Build &amp; Totals'!$A$4:$B$12,$C393)&gt;=1,Class=$B393),$A393,"")</f>
        <v/>
      </c>
    </row>
    <row r="394" spans="1:6">
      <c r="A394" s="331" t="s">
        <v>926</v>
      </c>
      <c r="B394" s="332" t="s">
        <v>3</v>
      </c>
      <c r="C394" s="332" t="s">
        <v>904</v>
      </c>
      <c r="D394" s="178" t="s">
        <v>24</v>
      </c>
      <c r="E394" s="333" t="s">
        <v>927</v>
      </c>
      <c r="F394" s="179" t="str">
        <f>IF(AND(COUNTIF('Build &amp; Totals'!$A$4:$B$12,$C394)&gt;=1,Class=$B394),$A394,"")</f>
        <v/>
      </c>
    </row>
    <row r="395" spans="1:6">
      <c r="A395" s="331" t="s">
        <v>928</v>
      </c>
      <c r="B395" s="332" t="s">
        <v>3</v>
      </c>
      <c r="C395" s="332" t="s">
        <v>929</v>
      </c>
      <c r="D395" s="178" t="s">
        <v>238</v>
      </c>
      <c r="E395" s="333" t="s">
        <v>930</v>
      </c>
      <c r="F395" s="179" t="str">
        <f>IF(AND(COUNTIF('Build &amp; Totals'!$A$4:$B$12,$C395)&gt;=1,Class=$B395),$A395,"")</f>
        <v/>
      </c>
    </row>
    <row r="396" spans="1:6">
      <c r="A396" s="331" t="s">
        <v>931</v>
      </c>
      <c r="B396" s="332" t="s">
        <v>3</v>
      </c>
      <c r="C396" s="332" t="s">
        <v>929</v>
      </c>
      <c r="D396" s="178" t="s">
        <v>94</v>
      </c>
      <c r="E396" s="333" t="s">
        <v>932</v>
      </c>
      <c r="F396" s="179" t="str">
        <f>IF(AND(COUNTIF('Build &amp; Totals'!$A$4:$B$12,$C396)&gt;=1,Class=$B396),$A396,"")</f>
        <v/>
      </c>
    </row>
    <row r="397" spans="1:6" ht="23.25">
      <c r="A397" s="331" t="s">
        <v>933</v>
      </c>
      <c r="B397" s="332" t="s">
        <v>3</v>
      </c>
      <c r="C397" s="332" t="s">
        <v>929</v>
      </c>
      <c r="D397" s="178" t="s">
        <v>19</v>
      </c>
      <c r="E397" s="333" t="s">
        <v>934</v>
      </c>
      <c r="F397" s="179" t="str">
        <f>IF(AND(COUNTIF('Build &amp; Totals'!$A$4:$B$12,$C397)&gt;=1,Class=$B397),$A397,"")</f>
        <v/>
      </c>
    </row>
    <row r="398" spans="1:6" ht="23.25">
      <c r="A398" s="331" t="s">
        <v>935</v>
      </c>
      <c r="B398" s="332" t="s">
        <v>3</v>
      </c>
      <c r="C398" s="332" t="s">
        <v>929</v>
      </c>
      <c r="D398" s="178" t="s">
        <v>19</v>
      </c>
      <c r="E398" s="333" t="s">
        <v>936</v>
      </c>
      <c r="F398" s="179" t="str">
        <f>IF(AND(COUNTIF('Build &amp; Totals'!$A$4:$B$12,$C398)&gt;=1,Class=$B398),$A398,"")</f>
        <v/>
      </c>
    </row>
    <row r="399" spans="1:6">
      <c r="A399" s="331" t="s">
        <v>937</v>
      </c>
      <c r="B399" s="332" t="s">
        <v>3</v>
      </c>
      <c r="C399" s="332" t="s">
        <v>929</v>
      </c>
      <c r="D399" s="178" t="s">
        <v>19</v>
      </c>
      <c r="E399" s="333" t="s">
        <v>938</v>
      </c>
      <c r="F399" s="179" t="str">
        <f>IF(AND(COUNTIF('Build &amp; Totals'!$A$4:$B$12,$C399)&gt;=1,Class=$B399),$A399,"")</f>
        <v/>
      </c>
    </row>
    <row r="400" spans="1:6" ht="23.25">
      <c r="A400" s="331" t="s">
        <v>939</v>
      </c>
      <c r="B400" s="332" t="s">
        <v>3</v>
      </c>
      <c r="C400" s="332" t="s">
        <v>929</v>
      </c>
      <c r="D400" s="178" t="s">
        <v>95</v>
      </c>
      <c r="E400" s="333" t="s">
        <v>940</v>
      </c>
      <c r="F400" s="179" t="str">
        <f>IF(AND(COUNTIF('Build &amp; Totals'!$A$4:$B$12,$C400)&gt;=1,Class=$B400),$A400,"")</f>
        <v/>
      </c>
    </row>
    <row r="401" spans="1:6">
      <c r="A401" s="331" t="s">
        <v>941</v>
      </c>
      <c r="B401" s="332" t="s">
        <v>3</v>
      </c>
      <c r="C401" s="332" t="s">
        <v>929</v>
      </c>
      <c r="D401" s="178" t="s">
        <v>22</v>
      </c>
      <c r="E401" s="333" t="s">
        <v>942</v>
      </c>
      <c r="F401" s="179" t="str">
        <f>IF(AND(COUNTIF('Build &amp; Totals'!$A$4:$B$12,$C401)&gt;=1,Class=$B401),$A401,"")</f>
        <v/>
      </c>
    </row>
    <row r="402" spans="1:6" ht="23.25">
      <c r="A402" s="331" t="s">
        <v>943</v>
      </c>
      <c r="B402" s="332" t="s">
        <v>3</v>
      </c>
      <c r="C402" s="332" t="s">
        <v>929</v>
      </c>
      <c r="D402" s="178" t="s">
        <v>22</v>
      </c>
      <c r="E402" s="333" t="s">
        <v>944</v>
      </c>
      <c r="F402" s="179" t="str">
        <f>IF(AND(COUNTIF('Build &amp; Totals'!$A$4:$B$12,$C402)&gt;=1,Class=$B402),$A402,"")</f>
        <v/>
      </c>
    </row>
    <row r="403" spans="1:6" ht="23.25">
      <c r="A403" s="331" t="s">
        <v>945</v>
      </c>
      <c r="B403" s="332" t="s">
        <v>3</v>
      </c>
      <c r="C403" s="332" t="s">
        <v>929</v>
      </c>
      <c r="D403" s="178" t="s">
        <v>22</v>
      </c>
      <c r="E403" s="333" t="s">
        <v>946</v>
      </c>
      <c r="F403" s="179" t="str">
        <f>IF(AND(COUNTIF('Build &amp; Totals'!$A$4:$B$12,$C403)&gt;=1,Class=$B403),$A403,"")</f>
        <v/>
      </c>
    </row>
    <row r="404" spans="1:6">
      <c r="A404" s="331" t="s">
        <v>947</v>
      </c>
      <c r="B404" s="332" t="s">
        <v>3</v>
      </c>
      <c r="C404" s="332" t="s">
        <v>929</v>
      </c>
      <c r="D404" s="178" t="s">
        <v>98</v>
      </c>
      <c r="E404" s="333" t="s">
        <v>948</v>
      </c>
      <c r="F404" s="179" t="str">
        <f>IF(AND(COUNTIF('Build &amp; Totals'!$A$4:$B$12,$C404)&gt;=1,Class=$B404),$A404,"")</f>
        <v/>
      </c>
    </row>
    <row r="405" spans="1:6">
      <c r="A405" s="331" t="s">
        <v>949</v>
      </c>
      <c r="B405" s="332" t="s">
        <v>3</v>
      </c>
      <c r="C405" s="332" t="s">
        <v>929</v>
      </c>
      <c r="D405" s="178" t="s">
        <v>24</v>
      </c>
      <c r="E405" s="333" t="s">
        <v>950</v>
      </c>
      <c r="F405" s="179" t="str">
        <f>IF(AND(COUNTIF('Build &amp; Totals'!$A$4:$B$12,$C405)&gt;=1,Class=$B405),$A405,"")</f>
        <v/>
      </c>
    </row>
    <row r="406" spans="1:6" ht="23.25">
      <c r="A406" s="331" t="s">
        <v>951</v>
      </c>
      <c r="B406" s="332" t="s">
        <v>3</v>
      </c>
      <c r="C406" s="332" t="s">
        <v>929</v>
      </c>
      <c r="D406" s="178" t="s">
        <v>24</v>
      </c>
      <c r="E406" s="333" t="s">
        <v>952</v>
      </c>
      <c r="F406" s="179" t="str">
        <f>IF(AND(COUNTIF('Build &amp; Totals'!$A$4:$B$12,$C406)&gt;=1,Class=$B406),$A406,"")</f>
        <v/>
      </c>
    </row>
    <row r="407" spans="1:6">
      <c r="A407" s="331" t="s">
        <v>953</v>
      </c>
      <c r="B407" s="332" t="s">
        <v>3</v>
      </c>
      <c r="C407" s="332" t="s">
        <v>929</v>
      </c>
      <c r="D407" s="178" t="s">
        <v>24</v>
      </c>
      <c r="E407" s="333" t="s">
        <v>954</v>
      </c>
      <c r="F407" s="179" t="str">
        <f>IF(AND(COUNTIF('Build &amp; Totals'!$A$4:$B$12,$C407)&gt;=1,Class=$B407),$A407,"")</f>
        <v/>
      </c>
    </row>
    <row r="408" spans="1:6">
      <c r="A408" s="331" t="s">
        <v>291</v>
      </c>
      <c r="B408" s="332" t="s">
        <v>3</v>
      </c>
      <c r="C408" s="332" t="s">
        <v>955</v>
      </c>
      <c r="D408" s="178" t="s">
        <v>238</v>
      </c>
      <c r="E408" s="333" t="s">
        <v>956</v>
      </c>
      <c r="F408" s="179" t="str">
        <f>IF(AND(COUNTIF('Build &amp; Totals'!$A$4:$B$12,$C408)&gt;=1,Class=$B408),$A408,"")</f>
        <v/>
      </c>
    </row>
    <row r="409" spans="1:6">
      <c r="A409" s="331" t="s">
        <v>957</v>
      </c>
      <c r="B409" s="332" t="s">
        <v>3</v>
      </c>
      <c r="C409" s="332" t="s">
        <v>955</v>
      </c>
      <c r="D409" s="178" t="s">
        <v>94</v>
      </c>
      <c r="E409" s="333" t="s">
        <v>958</v>
      </c>
      <c r="F409" s="179" t="str">
        <f>IF(AND(COUNTIF('Build &amp; Totals'!$A$4:$B$12,$C409)&gt;=1,Class=$B409),$A409,"")</f>
        <v/>
      </c>
    </row>
    <row r="410" spans="1:6">
      <c r="A410" s="331" t="s">
        <v>959</v>
      </c>
      <c r="B410" s="332" t="s">
        <v>3</v>
      </c>
      <c r="C410" s="332" t="s">
        <v>955</v>
      </c>
      <c r="D410" s="178" t="s">
        <v>19</v>
      </c>
      <c r="E410" s="333" t="s">
        <v>960</v>
      </c>
      <c r="F410" s="179" t="str">
        <f>IF(AND(COUNTIF('Build &amp; Totals'!$A$4:$B$12,$C410)&gt;=1,Class=$B410),$A410,"")</f>
        <v/>
      </c>
    </row>
    <row r="411" spans="1:6">
      <c r="A411" s="331" t="s">
        <v>961</v>
      </c>
      <c r="B411" s="332" t="s">
        <v>3</v>
      </c>
      <c r="C411" s="332" t="s">
        <v>955</v>
      </c>
      <c r="D411" s="178" t="s">
        <v>19</v>
      </c>
      <c r="E411" s="333" t="s">
        <v>962</v>
      </c>
      <c r="F411" s="179" t="str">
        <f>IF(AND(COUNTIF('Build &amp; Totals'!$A$4:$B$12,$C411)&gt;=1,Class=$B411),$A411,"")</f>
        <v/>
      </c>
    </row>
    <row r="412" spans="1:6" ht="23.25">
      <c r="A412" s="331" t="s">
        <v>963</v>
      </c>
      <c r="B412" s="332" t="s">
        <v>3</v>
      </c>
      <c r="C412" s="332" t="s">
        <v>955</v>
      </c>
      <c r="D412" s="178" t="s">
        <v>19</v>
      </c>
      <c r="E412" s="333" t="s">
        <v>964</v>
      </c>
      <c r="F412" s="179" t="str">
        <f>IF(AND(COUNTIF('Build &amp; Totals'!$A$4:$B$12,$C412)&gt;=1,Class=$B412),$A412,"")</f>
        <v/>
      </c>
    </row>
    <row r="413" spans="1:6" ht="23.25">
      <c r="A413" s="331" t="s">
        <v>965</v>
      </c>
      <c r="B413" s="332" t="s">
        <v>3</v>
      </c>
      <c r="C413" s="332" t="s">
        <v>955</v>
      </c>
      <c r="D413" s="178" t="s">
        <v>95</v>
      </c>
      <c r="E413" s="333" t="s">
        <v>966</v>
      </c>
      <c r="F413" s="179" t="str">
        <f>IF(AND(COUNTIF('Build &amp; Totals'!$A$4:$B$12,$C413)&gt;=1,Class=$B413),$A413,"")</f>
        <v/>
      </c>
    </row>
    <row r="414" spans="1:6">
      <c r="A414" s="331" t="s">
        <v>967</v>
      </c>
      <c r="B414" s="332" t="s">
        <v>3</v>
      </c>
      <c r="C414" s="332" t="s">
        <v>955</v>
      </c>
      <c r="D414" s="178" t="s">
        <v>22</v>
      </c>
      <c r="E414" s="333" t="s">
        <v>968</v>
      </c>
      <c r="F414" s="179" t="str">
        <f>IF(AND(COUNTIF('Build &amp; Totals'!$A$4:$B$12,$C414)&gt;=1,Class=$B414),$A414,"")</f>
        <v/>
      </c>
    </row>
    <row r="415" spans="1:6">
      <c r="A415" s="331" t="s">
        <v>969</v>
      </c>
      <c r="B415" s="332" t="s">
        <v>3</v>
      </c>
      <c r="C415" s="332" t="s">
        <v>955</v>
      </c>
      <c r="D415" s="178" t="s">
        <v>22</v>
      </c>
      <c r="E415" s="333" t="s">
        <v>970</v>
      </c>
      <c r="F415" s="179" t="str">
        <f>IF(AND(COUNTIF('Build &amp; Totals'!$A$4:$B$12,$C415)&gt;=1,Class=$B415),$A415,"")</f>
        <v/>
      </c>
    </row>
    <row r="416" spans="1:6" ht="23.25">
      <c r="A416" s="331" t="s">
        <v>971</v>
      </c>
      <c r="B416" s="332" t="s">
        <v>3</v>
      </c>
      <c r="C416" s="332" t="s">
        <v>955</v>
      </c>
      <c r="D416" s="178" t="s">
        <v>22</v>
      </c>
      <c r="E416" s="333" t="s">
        <v>972</v>
      </c>
      <c r="F416" s="179" t="str">
        <f>IF(AND(COUNTIF('Build &amp; Totals'!$A$4:$B$12,$C416)&gt;=1,Class=$B416),$A416,"")</f>
        <v/>
      </c>
    </row>
    <row r="417" spans="1:6">
      <c r="A417" s="331" t="s">
        <v>973</v>
      </c>
      <c r="B417" s="332" t="s">
        <v>3</v>
      </c>
      <c r="C417" s="332" t="s">
        <v>955</v>
      </c>
      <c r="D417" s="178" t="s">
        <v>98</v>
      </c>
      <c r="E417" s="333" t="s">
        <v>974</v>
      </c>
      <c r="F417" s="179" t="str">
        <f>IF(AND(COUNTIF('Build &amp; Totals'!$A$4:$B$12,$C417)&gt;=1,Class=$B417),$A417,"")</f>
        <v/>
      </c>
    </row>
    <row r="418" spans="1:6" ht="23.25">
      <c r="A418" s="331" t="s">
        <v>975</v>
      </c>
      <c r="B418" s="332" t="s">
        <v>3</v>
      </c>
      <c r="C418" s="332" t="s">
        <v>955</v>
      </c>
      <c r="D418" s="178" t="s">
        <v>24</v>
      </c>
      <c r="E418" s="333" t="s">
        <v>976</v>
      </c>
      <c r="F418" s="179" t="str">
        <f>IF(AND(COUNTIF('Build &amp; Totals'!$A$4:$B$12,$C418)&gt;=1,Class=$B418),$A418,"")</f>
        <v/>
      </c>
    </row>
    <row r="419" spans="1:6" ht="23.25">
      <c r="A419" s="331" t="s">
        <v>977</v>
      </c>
      <c r="B419" s="332" t="s">
        <v>3</v>
      </c>
      <c r="C419" s="332" t="s">
        <v>955</v>
      </c>
      <c r="D419" s="178" t="s">
        <v>24</v>
      </c>
      <c r="E419" s="333" t="s">
        <v>978</v>
      </c>
      <c r="F419" s="179" t="str">
        <f>IF(AND(COUNTIF('Build &amp; Totals'!$A$4:$B$12,$C419)&gt;=1,Class=$B419),$A419,"")</f>
        <v/>
      </c>
    </row>
    <row r="420" spans="1:6" ht="35.25">
      <c r="A420" s="331" t="s">
        <v>979</v>
      </c>
      <c r="B420" s="332" t="s">
        <v>3</v>
      </c>
      <c r="C420" s="332" t="s">
        <v>955</v>
      </c>
      <c r="D420" s="178" t="s">
        <v>24</v>
      </c>
      <c r="E420" s="333" t="s">
        <v>980</v>
      </c>
      <c r="F420" s="179" t="str">
        <f>IF(AND(COUNTIF('Build &amp; Totals'!$A$4:$B$12,$C420)&gt;=1,Class=$B420),$A420,"")</f>
        <v/>
      </c>
    </row>
    <row r="421" spans="1:6">
      <c r="A421" s="331" t="s">
        <v>981</v>
      </c>
      <c r="B421" s="332" t="s">
        <v>3</v>
      </c>
      <c r="C421" s="332" t="s">
        <v>982</v>
      </c>
      <c r="D421" s="178" t="s">
        <v>238</v>
      </c>
      <c r="E421" s="333" t="s">
        <v>983</v>
      </c>
      <c r="F421" s="179" t="str">
        <f>IF(AND(COUNTIF('Build &amp; Totals'!$A$4:$B$12,$C421)&gt;=1,Class=$B421),$A421,"")</f>
        <v/>
      </c>
    </row>
    <row r="422" spans="1:6" ht="58.5">
      <c r="A422" s="331" t="s">
        <v>984</v>
      </c>
      <c r="B422" s="332" t="s">
        <v>3</v>
      </c>
      <c r="C422" s="332" t="s">
        <v>982</v>
      </c>
      <c r="D422" s="178" t="s">
        <v>94</v>
      </c>
      <c r="E422" s="333" t="s">
        <v>985</v>
      </c>
      <c r="F422" s="179" t="str">
        <f>IF(AND(COUNTIF('Build &amp; Totals'!$A$4:$B$12,$C422)&gt;=1,Class=$B422),$A422,"")</f>
        <v/>
      </c>
    </row>
    <row r="423" spans="1:6" ht="23.25">
      <c r="A423" s="331" t="s">
        <v>986</v>
      </c>
      <c r="B423" s="332" t="s">
        <v>3</v>
      </c>
      <c r="C423" s="332" t="s">
        <v>982</v>
      </c>
      <c r="D423" s="178" t="s">
        <v>19</v>
      </c>
      <c r="E423" s="333" t="s">
        <v>987</v>
      </c>
      <c r="F423" s="179" t="str">
        <f>IF(AND(COUNTIF('Build &amp; Totals'!$A$4:$B$12,$C423)&gt;=1,Class=$B423),$A423,"")</f>
        <v/>
      </c>
    </row>
    <row r="424" spans="1:6" ht="35.25">
      <c r="A424" s="331" t="s">
        <v>988</v>
      </c>
      <c r="B424" s="332" t="s">
        <v>3</v>
      </c>
      <c r="C424" s="332" t="s">
        <v>982</v>
      </c>
      <c r="D424" s="178" t="s">
        <v>19</v>
      </c>
      <c r="E424" s="333" t="s">
        <v>989</v>
      </c>
      <c r="F424" s="179" t="str">
        <f>IF(AND(COUNTIF('Build &amp; Totals'!$A$4:$B$12,$C424)&gt;=1,Class=$B424),$A424,"")</f>
        <v/>
      </c>
    </row>
    <row r="425" spans="1:6" ht="23.25">
      <c r="A425" s="331" t="s">
        <v>990</v>
      </c>
      <c r="B425" s="332" t="s">
        <v>3</v>
      </c>
      <c r="C425" s="332" t="s">
        <v>982</v>
      </c>
      <c r="D425" s="178" t="s">
        <v>19</v>
      </c>
      <c r="E425" s="333" t="s">
        <v>991</v>
      </c>
      <c r="F425" s="179" t="str">
        <f>IF(AND(COUNTIF('Build &amp; Totals'!$A$4:$B$12,$C425)&gt;=1,Class=$B425),$A425,"")</f>
        <v/>
      </c>
    </row>
    <row r="426" spans="1:6" ht="23.25">
      <c r="A426" s="331" t="s">
        <v>992</v>
      </c>
      <c r="B426" s="332" t="s">
        <v>3</v>
      </c>
      <c r="C426" s="332" t="s">
        <v>982</v>
      </c>
      <c r="D426" s="178" t="s">
        <v>95</v>
      </c>
      <c r="E426" s="333" t="s">
        <v>993</v>
      </c>
      <c r="F426" s="179" t="str">
        <f>IF(AND(COUNTIF('Build &amp; Totals'!$A$4:$B$12,$C426)&gt;=1,Class=$B426),$A426,"")</f>
        <v/>
      </c>
    </row>
    <row r="427" spans="1:6" ht="23.25">
      <c r="A427" s="331" t="s">
        <v>994</v>
      </c>
      <c r="B427" s="332" t="s">
        <v>3</v>
      </c>
      <c r="C427" s="332" t="s">
        <v>982</v>
      </c>
      <c r="D427" s="178" t="s">
        <v>22</v>
      </c>
      <c r="E427" s="333" t="s">
        <v>995</v>
      </c>
      <c r="F427" s="179" t="str">
        <f>IF(AND(COUNTIF('Build &amp; Totals'!$A$4:$B$12,$C427)&gt;=1,Class=$B427),$A427,"")</f>
        <v/>
      </c>
    </row>
    <row r="428" spans="1:6" ht="23.25">
      <c r="A428" s="331" t="s">
        <v>996</v>
      </c>
      <c r="B428" s="332" t="s">
        <v>3</v>
      </c>
      <c r="C428" s="332" t="s">
        <v>982</v>
      </c>
      <c r="D428" s="178" t="s">
        <v>22</v>
      </c>
      <c r="E428" s="333" t="s">
        <v>997</v>
      </c>
      <c r="F428" s="179" t="str">
        <f>IF(AND(COUNTIF('Build &amp; Totals'!$A$4:$B$12,$C428)&gt;=1,Class=$B428),$A428,"")</f>
        <v/>
      </c>
    </row>
    <row r="429" spans="1:6" ht="23.25">
      <c r="A429" s="331" t="s">
        <v>998</v>
      </c>
      <c r="B429" s="332" t="s">
        <v>3</v>
      </c>
      <c r="C429" s="332" t="s">
        <v>982</v>
      </c>
      <c r="D429" s="178" t="s">
        <v>22</v>
      </c>
      <c r="E429" s="333" t="s">
        <v>999</v>
      </c>
      <c r="F429" s="179" t="str">
        <f>IF(AND(COUNTIF('Build &amp; Totals'!$A$4:$B$12,$C429)&gt;=1,Class=$B429),$A429,"")</f>
        <v/>
      </c>
    </row>
    <row r="430" spans="1:6" ht="23.25">
      <c r="A430" s="331" t="s">
        <v>1000</v>
      </c>
      <c r="B430" s="332" t="s">
        <v>3</v>
      </c>
      <c r="C430" s="332" t="s">
        <v>982</v>
      </c>
      <c r="D430" s="178" t="s">
        <v>98</v>
      </c>
      <c r="E430" s="333" t="s">
        <v>1001</v>
      </c>
      <c r="F430" s="179" t="str">
        <f>IF(AND(COUNTIF('Build &amp; Totals'!$A$4:$B$12,$C430)&gt;=1,Class=$B430),$A430,"")</f>
        <v/>
      </c>
    </row>
    <row r="431" spans="1:6" ht="23.25">
      <c r="A431" s="331" t="s">
        <v>1002</v>
      </c>
      <c r="B431" s="332" t="s">
        <v>3</v>
      </c>
      <c r="C431" s="332" t="s">
        <v>982</v>
      </c>
      <c r="D431" s="178" t="s">
        <v>24</v>
      </c>
      <c r="E431" s="333" t="s">
        <v>1003</v>
      </c>
      <c r="F431" s="179" t="str">
        <f>IF(AND(COUNTIF('Build &amp; Totals'!$A$4:$B$12,$C431)&gt;=1,Class=$B431),$A431,"")</f>
        <v/>
      </c>
    </row>
    <row r="432" spans="1:6" ht="23.25">
      <c r="A432" s="331" t="s">
        <v>1004</v>
      </c>
      <c r="B432" s="332" t="s">
        <v>3</v>
      </c>
      <c r="C432" s="332" t="s">
        <v>982</v>
      </c>
      <c r="D432" s="178" t="s">
        <v>24</v>
      </c>
      <c r="E432" s="333" t="s">
        <v>1005</v>
      </c>
      <c r="F432" s="179" t="str">
        <f>IF(AND(COUNTIF('Build &amp; Totals'!$A$4:$B$12,$C432)&gt;=1,Class=$B432),$A432,"")</f>
        <v/>
      </c>
    </row>
    <row r="433" spans="1:6" ht="35.25">
      <c r="A433" s="331" t="s">
        <v>1006</v>
      </c>
      <c r="B433" s="332" t="s">
        <v>3</v>
      </c>
      <c r="C433" s="332" t="s">
        <v>982</v>
      </c>
      <c r="D433" s="178" t="s">
        <v>24</v>
      </c>
      <c r="E433" s="333" t="s">
        <v>1007</v>
      </c>
      <c r="F433" s="179" t="str">
        <f>IF(AND(COUNTIF('Build &amp; Totals'!$A$4:$B$12,$C433)&gt;=1,Class=$B433),$A433,"")</f>
        <v/>
      </c>
    </row>
    <row r="434" spans="1:6" ht="46.5">
      <c r="A434" s="331" t="s">
        <v>1008</v>
      </c>
      <c r="B434" s="332" t="s">
        <v>3</v>
      </c>
      <c r="C434" s="332" t="s">
        <v>1009</v>
      </c>
      <c r="D434" s="178" t="s">
        <v>94</v>
      </c>
      <c r="E434" s="333" t="s">
        <v>1010</v>
      </c>
      <c r="F434" s="179" t="str">
        <f>IF(AND(COUNTIF('Build &amp; Totals'!$A$4:$B$12,$C434)&gt;=1,Class=$B434),$A434,"")</f>
        <v/>
      </c>
    </row>
    <row r="435" spans="1:6">
      <c r="A435" s="331" t="s">
        <v>1011</v>
      </c>
      <c r="B435" s="332" t="s">
        <v>3</v>
      </c>
      <c r="C435" s="332" t="s">
        <v>1009</v>
      </c>
      <c r="D435" s="178" t="s">
        <v>19</v>
      </c>
      <c r="E435" s="333" t="s">
        <v>1012</v>
      </c>
      <c r="F435" s="179" t="str">
        <f>IF(AND(COUNTIF('Build &amp; Totals'!$A$4:$B$12,$C435)&gt;=1,Class=$B435),$A435,"")</f>
        <v/>
      </c>
    </row>
    <row r="436" spans="1:6">
      <c r="A436" s="331" t="s">
        <v>1013</v>
      </c>
      <c r="B436" s="332" t="s">
        <v>3</v>
      </c>
      <c r="C436" s="332" t="s">
        <v>1009</v>
      </c>
      <c r="D436" s="178" t="s">
        <v>19</v>
      </c>
      <c r="E436" s="333" t="s">
        <v>1014</v>
      </c>
      <c r="F436" s="179" t="str">
        <f>IF(AND(COUNTIF('Build &amp; Totals'!$A$4:$B$12,$C436)&gt;=1,Class=$B436),$A436,"")</f>
        <v/>
      </c>
    </row>
    <row r="437" spans="1:6">
      <c r="A437" s="331" t="s">
        <v>1015</v>
      </c>
      <c r="B437" s="332" t="s">
        <v>3</v>
      </c>
      <c r="C437" s="332" t="s">
        <v>1009</v>
      </c>
      <c r="D437" s="178" t="s">
        <v>19</v>
      </c>
      <c r="E437" s="333" t="s">
        <v>1016</v>
      </c>
      <c r="F437" s="179" t="str">
        <f>IF(AND(COUNTIF('Build &amp; Totals'!$A$4:$B$12,$C437)&gt;=1,Class=$B437),$A437,"")</f>
        <v/>
      </c>
    </row>
    <row r="438" spans="1:6">
      <c r="A438" s="331" t="s">
        <v>1017</v>
      </c>
      <c r="B438" s="332" t="s">
        <v>3</v>
      </c>
      <c r="C438" s="332" t="s">
        <v>1009</v>
      </c>
      <c r="D438" s="178" t="s">
        <v>95</v>
      </c>
      <c r="E438" s="333" t="s">
        <v>1018</v>
      </c>
      <c r="F438" s="179" t="str">
        <f>IF(AND(COUNTIF('Build &amp; Totals'!$A$4:$B$12,$C438)&gt;=1,Class=$B438),$A438,"")</f>
        <v/>
      </c>
    </row>
    <row r="439" spans="1:6">
      <c r="A439" s="331" t="s">
        <v>1019</v>
      </c>
      <c r="B439" s="332" t="s">
        <v>3</v>
      </c>
      <c r="C439" s="332" t="s">
        <v>1009</v>
      </c>
      <c r="D439" s="178" t="s">
        <v>22</v>
      </c>
      <c r="E439" s="333" t="s">
        <v>1020</v>
      </c>
      <c r="F439" s="179" t="str">
        <f>IF(AND(COUNTIF('Build &amp; Totals'!$A$4:$B$12,$C439)&gt;=1,Class=$B439),$A439,"")</f>
        <v/>
      </c>
    </row>
    <row r="440" spans="1:6">
      <c r="A440" s="331" t="s">
        <v>1021</v>
      </c>
      <c r="B440" s="332" t="s">
        <v>3</v>
      </c>
      <c r="C440" s="332" t="s">
        <v>1009</v>
      </c>
      <c r="D440" s="178" t="s">
        <v>22</v>
      </c>
      <c r="E440" s="333" t="s">
        <v>1022</v>
      </c>
      <c r="F440" s="179" t="str">
        <f>IF(AND(COUNTIF('Build &amp; Totals'!$A$4:$B$12,$C440)&gt;=1,Class=$B440),$A440,"")</f>
        <v/>
      </c>
    </row>
    <row r="441" spans="1:6">
      <c r="A441" s="331" t="s">
        <v>1023</v>
      </c>
      <c r="B441" s="332" t="s">
        <v>3</v>
      </c>
      <c r="C441" s="332" t="s">
        <v>1009</v>
      </c>
      <c r="D441" s="178" t="s">
        <v>22</v>
      </c>
      <c r="E441" s="333" t="s">
        <v>1024</v>
      </c>
      <c r="F441" s="179" t="str">
        <f>IF(AND(COUNTIF('Build &amp; Totals'!$A$4:$B$12,$C441)&gt;=1,Class=$B441),$A441,"")</f>
        <v/>
      </c>
    </row>
    <row r="442" spans="1:6">
      <c r="A442" s="331" t="s">
        <v>1025</v>
      </c>
      <c r="B442" s="332" t="s">
        <v>3</v>
      </c>
      <c r="C442" s="332" t="s">
        <v>1009</v>
      </c>
      <c r="D442" s="178" t="s">
        <v>98</v>
      </c>
      <c r="E442" s="333" t="s">
        <v>1026</v>
      </c>
      <c r="F442" s="179" t="str">
        <f>IF(AND(COUNTIF('Build &amp; Totals'!$A$4:$B$12,$C442)&gt;=1,Class=$B442),$A442,"")</f>
        <v/>
      </c>
    </row>
    <row r="443" spans="1:6">
      <c r="A443" s="331" t="s">
        <v>1027</v>
      </c>
      <c r="B443" s="332" t="s">
        <v>3</v>
      </c>
      <c r="C443" s="332" t="s">
        <v>1009</v>
      </c>
      <c r="D443" s="178" t="s">
        <v>24</v>
      </c>
      <c r="E443" s="333" t="s">
        <v>1028</v>
      </c>
      <c r="F443" s="179" t="str">
        <f>IF(AND(COUNTIF('Build &amp; Totals'!$A$4:$B$12,$C443)&gt;=1,Class=$B443),$A443,"")</f>
        <v/>
      </c>
    </row>
    <row r="444" spans="1:6">
      <c r="A444" s="331" t="s">
        <v>1029</v>
      </c>
      <c r="B444" s="332" t="s">
        <v>3</v>
      </c>
      <c r="C444" s="332" t="s">
        <v>1009</v>
      </c>
      <c r="D444" s="178" t="s">
        <v>24</v>
      </c>
      <c r="E444" s="333" t="s">
        <v>1030</v>
      </c>
      <c r="F444" s="179" t="str">
        <f>IF(AND(COUNTIF('Build &amp; Totals'!$A$4:$B$12,$C444)&gt;=1,Class=$B444),$A444,"")</f>
        <v/>
      </c>
    </row>
    <row r="445" spans="1:6">
      <c r="A445" s="331" t="s">
        <v>1031</v>
      </c>
      <c r="B445" s="332" t="s">
        <v>3</v>
      </c>
      <c r="C445" s="332" t="s">
        <v>1009</v>
      </c>
      <c r="D445" s="178" t="s">
        <v>24</v>
      </c>
      <c r="E445" s="333" t="s">
        <v>1032</v>
      </c>
      <c r="F445" s="179" t="str">
        <f>IF(AND(COUNTIF('Build &amp; Totals'!$A$4:$B$12,$C445)&gt;=1,Class=$B445),$A445,"")</f>
        <v/>
      </c>
    </row>
    <row r="446" spans="1:6">
      <c r="A446" s="331" t="s">
        <v>1033</v>
      </c>
      <c r="B446" s="332" t="s">
        <v>1034</v>
      </c>
      <c r="C446" s="332" t="s">
        <v>1035</v>
      </c>
      <c r="D446" s="178" t="s">
        <v>94</v>
      </c>
      <c r="E446" s="333" t="s">
        <v>1036</v>
      </c>
      <c r="F446" s="179" t="str">
        <f>IF(AND(COUNTIF('Build &amp; Totals'!$A$4:$B$12,$C446)&gt;=1,Class=$B446),$A446,"")</f>
        <v/>
      </c>
    </row>
    <row r="447" spans="1:6">
      <c r="A447" s="331" t="s">
        <v>1037</v>
      </c>
      <c r="B447" s="332" t="s">
        <v>1034</v>
      </c>
      <c r="C447" s="332" t="s">
        <v>1035</v>
      </c>
      <c r="D447" s="178" t="s">
        <v>19</v>
      </c>
      <c r="E447" s="333" t="s">
        <v>1038</v>
      </c>
      <c r="F447" s="179" t="str">
        <f>IF(AND(COUNTIF('Build &amp; Totals'!$A$4:$B$12,$C447)&gt;=1,Class=$B447),$A447,"")</f>
        <v/>
      </c>
    </row>
    <row r="448" spans="1:6">
      <c r="A448" s="331" t="s">
        <v>1039</v>
      </c>
      <c r="B448" s="332" t="s">
        <v>1034</v>
      </c>
      <c r="C448" s="332" t="s">
        <v>1035</v>
      </c>
      <c r="D448" s="178" t="s">
        <v>19</v>
      </c>
      <c r="E448" s="333" t="s">
        <v>1040</v>
      </c>
      <c r="F448" s="179" t="str">
        <f>IF(AND(COUNTIF('Build &amp; Totals'!$A$4:$B$12,$C448)&gt;=1,Class=$B448),$A448,"")</f>
        <v/>
      </c>
    </row>
    <row r="449" spans="1:6">
      <c r="A449" s="331" t="s">
        <v>1041</v>
      </c>
      <c r="B449" s="332" t="s">
        <v>1034</v>
      </c>
      <c r="C449" s="332" t="s">
        <v>1035</v>
      </c>
      <c r="D449" s="178" t="s">
        <v>19</v>
      </c>
      <c r="E449" s="333" t="s">
        <v>1042</v>
      </c>
      <c r="F449" s="179" t="str">
        <f>IF(AND(COUNTIF('Build &amp; Totals'!$A$4:$B$12,$C449)&gt;=1,Class=$B449),$A449,"")</f>
        <v/>
      </c>
    </row>
    <row r="450" spans="1:6">
      <c r="A450" s="331" t="s">
        <v>1043</v>
      </c>
      <c r="B450" s="332" t="s">
        <v>1034</v>
      </c>
      <c r="C450" s="332" t="s">
        <v>1035</v>
      </c>
      <c r="D450" s="178" t="s">
        <v>95</v>
      </c>
      <c r="E450" s="333" t="s">
        <v>1044</v>
      </c>
      <c r="F450" s="179" t="str">
        <f>IF(AND(COUNTIF('Build &amp; Totals'!$A$4:$B$12,$C450)&gt;=1,Class=$B450),$A450,"")</f>
        <v/>
      </c>
    </row>
    <row r="451" spans="1:6" ht="23.25">
      <c r="A451" s="331" t="s">
        <v>1045</v>
      </c>
      <c r="B451" s="332" t="s">
        <v>1034</v>
      </c>
      <c r="C451" s="332" t="s">
        <v>1035</v>
      </c>
      <c r="D451" s="178" t="s">
        <v>22</v>
      </c>
      <c r="E451" s="333" t="s">
        <v>1046</v>
      </c>
      <c r="F451" s="179" t="str">
        <f>IF(AND(COUNTIF('Build &amp; Totals'!$A$4:$B$12,$C451)&gt;=1,Class=$B451),$A451,"")</f>
        <v/>
      </c>
    </row>
    <row r="452" spans="1:6" ht="23.25">
      <c r="A452" s="331" t="s">
        <v>1047</v>
      </c>
      <c r="B452" s="332" t="s">
        <v>1034</v>
      </c>
      <c r="C452" s="332" t="s">
        <v>1035</v>
      </c>
      <c r="D452" s="178" t="s">
        <v>22</v>
      </c>
      <c r="E452" s="333" t="s">
        <v>1048</v>
      </c>
      <c r="F452" s="179" t="str">
        <f>IF(AND(COUNTIF('Build &amp; Totals'!$A$4:$B$12,$C452)&gt;=1,Class=$B452),$A452,"")</f>
        <v/>
      </c>
    </row>
    <row r="453" spans="1:6" ht="35.25">
      <c r="A453" s="331" t="s">
        <v>1049</v>
      </c>
      <c r="B453" s="332" t="s">
        <v>1034</v>
      </c>
      <c r="C453" s="332" t="s">
        <v>1035</v>
      </c>
      <c r="D453" s="178" t="s">
        <v>22</v>
      </c>
      <c r="E453" s="333" t="s">
        <v>1050</v>
      </c>
      <c r="F453" s="179" t="str">
        <f>IF(AND(COUNTIF('Build &amp; Totals'!$A$4:$B$12,$C453)&gt;=1,Class=$B453),$A453,"")</f>
        <v/>
      </c>
    </row>
    <row r="454" spans="1:6">
      <c r="A454" s="331" t="s">
        <v>1051</v>
      </c>
      <c r="B454" s="332" t="s">
        <v>1034</v>
      </c>
      <c r="C454" s="332" t="s">
        <v>1035</v>
      </c>
      <c r="D454" s="178" t="s">
        <v>98</v>
      </c>
      <c r="E454" s="333" t="s">
        <v>1052</v>
      </c>
      <c r="F454" s="179" t="str">
        <f>IF(AND(COUNTIF('Build &amp; Totals'!$A$4:$B$12,$C454)&gt;=1,Class=$B454),$A454,"")</f>
        <v/>
      </c>
    </row>
    <row r="455" spans="1:6" ht="23.25">
      <c r="A455" s="331" t="s">
        <v>1053</v>
      </c>
      <c r="B455" s="332" t="s">
        <v>1034</v>
      </c>
      <c r="C455" s="332" t="s">
        <v>1035</v>
      </c>
      <c r="D455" s="178" t="s">
        <v>24</v>
      </c>
      <c r="E455" s="333" t="s">
        <v>1054</v>
      </c>
      <c r="F455" s="179" t="str">
        <f>IF(AND(COUNTIF('Build &amp; Totals'!$A$4:$B$12,$C455)&gt;=1,Class=$B455),$A455,"")</f>
        <v/>
      </c>
    </row>
    <row r="456" spans="1:6">
      <c r="A456" s="331" t="s">
        <v>1055</v>
      </c>
      <c r="B456" s="332" t="s">
        <v>1034</v>
      </c>
      <c r="C456" s="332" t="s">
        <v>1035</v>
      </c>
      <c r="D456" s="178" t="s">
        <v>24</v>
      </c>
      <c r="E456" s="333" t="s">
        <v>1056</v>
      </c>
      <c r="F456" s="179" t="str">
        <f>IF(AND(COUNTIF('Build &amp; Totals'!$A$4:$B$12,$C456)&gt;=1,Class=$B456),$A456,"")</f>
        <v/>
      </c>
    </row>
    <row r="457" spans="1:6">
      <c r="A457" s="331" t="s">
        <v>1057</v>
      </c>
      <c r="B457" s="332" t="s">
        <v>1034</v>
      </c>
      <c r="C457" s="332" t="s">
        <v>1035</v>
      </c>
      <c r="D457" s="178" t="s">
        <v>24</v>
      </c>
      <c r="E457" s="333" t="s">
        <v>1058</v>
      </c>
      <c r="F457" s="179" t="str">
        <f>IF(AND(COUNTIF('Build &amp; Totals'!$A$4:$B$12,$C457)&gt;=1,Class=$B457),$A457,"")</f>
        <v/>
      </c>
    </row>
    <row r="458" spans="1:6">
      <c r="A458" s="331" t="s">
        <v>1059</v>
      </c>
      <c r="B458" s="332" t="s">
        <v>1034</v>
      </c>
      <c r="C458" s="332" t="s">
        <v>1060</v>
      </c>
      <c r="D458" s="178" t="s">
        <v>94</v>
      </c>
      <c r="E458" s="333" t="s">
        <v>1061</v>
      </c>
      <c r="F458" s="179" t="str">
        <f>IF(AND(COUNTIF('Build &amp; Totals'!$A$4:$B$12,$C458)&gt;=1,Class=$B458),$A458,"")</f>
        <v/>
      </c>
    </row>
    <row r="459" spans="1:6">
      <c r="A459" s="331" t="s">
        <v>1062</v>
      </c>
      <c r="B459" s="332" t="s">
        <v>1034</v>
      </c>
      <c r="C459" s="332" t="s">
        <v>1060</v>
      </c>
      <c r="D459" s="178" t="s">
        <v>19</v>
      </c>
      <c r="E459" s="333" t="s">
        <v>1063</v>
      </c>
      <c r="F459" s="179" t="str">
        <f>IF(AND(COUNTIF('Build &amp; Totals'!$A$4:$B$12,$C459)&gt;=1,Class=$B459),$A459,"")</f>
        <v/>
      </c>
    </row>
    <row r="460" spans="1:6">
      <c r="A460" s="331" t="s">
        <v>1064</v>
      </c>
      <c r="B460" s="332" t="s">
        <v>1034</v>
      </c>
      <c r="C460" s="332" t="s">
        <v>1060</v>
      </c>
      <c r="D460" s="178" t="s">
        <v>19</v>
      </c>
      <c r="E460" s="333" t="s">
        <v>1065</v>
      </c>
      <c r="F460" s="179" t="str">
        <f>IF(AND(COUNTIF('Build &amp; Totals'!$A$4:$B$12,$C460)&gt;=1,Class=$B460),$A460,"")</f>
        <v/>
      </c>
    </row>
    <row r="461" spans="1:6">
      <c r="A461" s="331" t="s">
        <v>1066</v>
      </c>
      <c r="B461" s="332" t="s">
        <v>1034</v>
      </c>
      <c r="C461" s="332" t="s">
        <v>1060</v>
      </c>
      <c r="D461" s="178" t="s">
        <v>19</v>
      </c>
      <c r="E461" s="333" t="s">
        <v>1067</v>
      </c>
      <c r="F461" s="179" t="str">
        <f>IF(AND(COUNTIF('Build &amp; Totals'!$A$4:$B$12,$C461)&gt;=1,Class=$B461),$A461,"")</f>
        <v/>
      </c>
    </row>
    <row r="462" spans="1:6">
      <c r="A462" s="331" t="s">
        <v>1068</v>
      </c>
      <c r="B462" s="332" t="s">
        <v>1034</v>
      </c>
      <c r="C462" s="332" t="s">
        <v>1060</v>
      </c>
      <c r="D462" s="178" t="s">
        <v>95</v>
      </c>
      <c r="E462" s="333" t="s">
        <v>1069</v>
      </c>
      <c r="F462" s="179" t="str">
        <f>IF(AND(COUNTIF('Build &amp; Totals'!$A$4:$B$12,$C462)&gt;=1,Class=$B462),$A462,"")</f>
        <v/>
      </c>
    </row>
    <row r="463" spans="1:6">
      <c r="A463" s="331" t="s">
        <v>1070</v>
      </c>
      <c r="B463" s="332" t="s">
        <v>1034</v>
      </c>
      <c r="C463" s="332" t="s">
        <v>1060</v>
      </c>
      <c r="D463" s="178" t="s">
        <v>22</v>
      </c>
      <c r="E463" s="333" t="s">
        <v>1071</v>
      </c>
      <c r="F463" s="179" t="str">
        <f>IF(AND(COUNTIF('Build &amp; Totals'!$A$4:$B$12,$C463)&gt;=1,Class=$B463),$A463,"")</f>
        <v/>
      </c>
    </row>
    <row r="464" spans="1:6" ht="23.25">
      <c r="A464" s="331" t="s">
        <v>1072</v>
      </c>
      <c r="B464" s="332" t="s">
        <v>1034</v>
      </c>
      <c r="C464" s="332" t="s">
        <v>1060</v>
      </c>
      <c r="D464" s="178" t="s">
        <v>22</v>
      </c>
      <c r="E464" s="333" t="s">
        <v>1073</v>
      </c>
      <c r="F464" s="179" t="str">
        <f>IF(AND(COUNTIF('Build &amp; Totals'!$A$4:$B$12,$C464)&gt;=1,Class=$B464),$A464,"")</f>
        <v/>
      </c>
    </row>
    <row r="465" spans="1:6">
      <c r="A465" s="331" t="s">
        <v>1074</v>
      </c>
      <c r="B465" s="332" t="s">
        <v>1034</v>
      </c>
      <c r="C465" s="332" t="s">
        <v>1060</v>
      </c>
      <c r="D465" s="178" t="s">
        <v>22</v>
      </c>
      <c r="E465" s="333" t="s">
        <v>1075</v>
      </c>
      <c r="F465" s="179" t="str">
        <f>IF(AND(COUNTIF('Build &amp; Totals'!$A$4:$B$12,$C465)&gt;=1,Class=$B465),$A465,"")</f>
        <v/>
      </c>
    </row>
    <row r="466" spans="1:6" ht="23.25">
      <c r="A466" s="331" t="s">
        <v>1076</v>
      </c>
      <c r="B466" s="332" t="s">
        <v>1034</v>
      </c>
      <c r="C466" s="332" t="s">
        <v>1060</v>
      </c>
      <c r="D466" s="178" t="s">
        <v>98</v>
      </c>
      <c r="E466" s="333" t="s">
        <v>1077</v>
      </c>
      <c r="F466" s="179" t="str">
        <f>IF(AND(COUNTIF('Build &amp; Totals'!$A$4:$B$12,$C466)&gt;=1,Class=$B466),$A466,"")</f>
        <v/>
      </c>
    </row>
    <row r="467" spans="1:6">
      <c r="A467" s="331" t="s">
        <v>1078</v>
      </c>
      <c r="B467" s="332" t="s">
        <v>1034</v>
      </c>
      <c r="C467" s="332" t="s">
        <v>1060</v>
      </c>
      <c r="D467" s="178" t="s">
        <v>24</v>
      </c>
      <c r="E467" s="333" t="s">
        <v>1079</v>
      </c>
      <c r="F467" s="179" t="str">
        <f>IF(AND(COUNTIF('Build &amp; Totals'!$A$4:$B$12,$C467)&gt;=1,Class=$B467),$A467,"")</f>
        <v/>
      </c>
    </row>
    <row r="468" spans="1:6" ht="35.25">
      <c r="A468" s="331" t="s">
        <v>1080</v>
      </c>
      <c r="B468" s="332" t="s">
        <v>1034</v>
      </c>
      <c r="C468" s="332" t="s">
        <v>1060</v>
      </c>
      <c r="D468" s="178" t="s">
        <v>24</v>
      </c>
      <c r="E468" s="333" t="s">
        <v>1081</v>
      </c>
      <c r="F468" s="179" t="str">
        <f>IF(AND(COUNTIF('Build &amp; Totals'!$A$4:$B$12,$C468)&gt;=1,Class=$B468),$A468,"")</f>
        <v/>
      </c>
    </row>
    <row r="469" spans="1:6" ht="23.25">
      <c r="A469" s="331" t="s">
        <v>1082</v>
      </c>
      <c r="B469" s="332" t="s">
        <v>1034</v>
      </c>
      <c r="C469" s="332" t="s">
        <v>1060</v>
      </c>
      <c r="D469" s="178" t="s">
        <v>24</v>
      </c>
      <c r="E469" s="333" t="s">
        <v>1083</v>
      </c>
      <c r="F469" s="179" t="str">
        <f>IF(AND(COUNTIF('Build &amp; Totals'!$A$4:$B$12,$C469)&gt;=1,Class=$B469),$A469,"")</f>
        <v/>
      </c>
    </row>
    <row r="470" spans="1:6">
      <c r="A470" s="331" t="s">
        <v>1084</v>
      </c>
      <c r="B470" s="332" t="s">
        <v>1034</v>
      </c>
      <c r="C470" s="332" t="s">
        <v>1085</v>
      </c>
      <c r="D470" s="178" t="s">
        <v>94</v>
      </c>
      <c r="E470" s="333" t="s">
        <v>1086</v>
      </c>
      <c r="F470" s="179" t="str">
        <f>IF(AND(COUNTIF('Build &amp; Totals'!$A$4:$B$12,$C470)&gt;=1,Class=$B470),$A470,"")</f>
        <v/>
      </c>
    </row>
    <row r="471" spans="1:6">
      <c r="A471" s="331" t="s">
        <v>1087</v>
      </c>
      <c r="B471" s="332" t="s">
        <v>1034</v>
      </c>
      <c r="C471" s="332" t="s">
        <v>1085</v>
      </c>
      <c r="D471" s="178" t="s">
        <v>19</v>
      </c>
      <c r="E471" s="333" t="s">
        <v>1088</v>
      </c>
      <c r="F471" s="179" t="str">
        <f>IF(AND(COUNTIF('Build &amp; Totals'!$A$4:$B$12,$C471)&gt;=1,Class=$B471),$A471,"")</f>
        <v/>
      </c>
    </row>
    <row r="472" spans="1:6" ht="23.25">
      <c r="A472" s="331" t="s">
        <v>1089</v>
      </c>
      <c r="B472" s="332" t="s">
        <v>1034</v>
      </c>
      <c r="C472" s="332" t="s">
        <v>1085</v>
      </c>
      <c r="D472" s="178" t="s">
        <v>19</v>
      </c>
      <c r="E472" s="333" t="s">
        <v>1090</v>
      </c>
      <c r="F472" s="179" t="str">
        <f>IF(AND(COUNTIF('Build &amp; Totals'!$A$4:$B$12,$C472)&gt;=1,Class=$B472),$A472,"")</f>
        <v/>
      </c>
    </row>
    <row r="473" spans="1:6" ht="23.25">
      <c r="A473" s="331" t="s">
        <v>1091</v>
      </c>
      <c r="B473" s="332" t="s">
        <v>1034</v>
      </c>
      <c r="C473" s="332" t="s">
        <v>1085</v>
      </c>
      <c r="D473" s="178" t="s">
        <v>19</v>
      </c>
      <c r="E473" s="333" t="s">
        <v>1092</v>
      </c>
      <c r="F473" s="179" t="str">
        <f>IF(AND(COUNTIF('Build &amp; Totals'!$A$4:$B$12,$C473)&gt;=1,Class=$B473),$A473,"")</f>
        <v/>
      </c>
    </row>
    <row r="474" spans="1:6">
      <c r="A474" s="331" t="s">
        <v>1093</v>
      </c>
      <c r="B474" s="332" t="s">
        <v>1034</v>
      </c>
      <c r="C474" s="332" t="s">
        <v>1085</v>
      </c>
      <c r="D474" s="178" t="s">
        <v>95</v>
      </c>
      <c r="E474" s="333" t="s">
        <v>1094</v>
      </c>
      <c r="F474" s="179" t="str">
        <f>IF(AND(COUNTIF('Build &amp; Totals'!$A$4:$B$12,$C474)&gt;=1,Class=$B474),$A474,"")</f>
        <v/>
      </c>
    </row>
    <row r="475" spans="1:6" ht="23.25">
      <c r="A475" s="331" t="s">
        <v>1095</v>
      </c>
      <c r="B475" s="332" t="s">
        <v>1034</v>
      </c>
      <c r="C475" s="332" t="s">
        <v>1085</v>
      </c>
      <c r="D475" s="178" t="s">
        <v>22</v>
      </c>
      <c r="E475" s="333" t="s">
        <v>1096</v>
      </c>
      <c r="F475" s="179" t="str">
        <f>IF(AND(COUNTIF('Build &amp; Totals'!$A$4:$B$12,$C475)&gt;=1,Class=$B475),$A475,"")</f>
        <v/>
      </c>
    </row>
    <row r="476" spans="1:6" ht="35.25">
      <c r="A476" s="331" t="s">
        <v>1097</v>
      </c>
      <c r="B476" s="332" t="s">
        <v>1034</v>
      </c>
      <c r="C476" s="332" t="s">
        <v>1085</v>
      </c>
      <c r="D476" s="178" t="s">
        <v>22</v>
      </c>
      <c r="E476" s="333" t="s">
        <v>1098</v>
      </c>
      <c r="F476" s="179" t="str">
        <f>IF(AND(COUNTIF('Build &amp; Totals'!$A$4:$B$12,$C476)&gt;=1,Class=$B476),$A476,"")</f>
        <v/>
      </c>
    </row>
    <row r="477" spans="1:6">
      <c r="A477" s="331" t="s">
        <v>1099</v>
      </c>
      <c r="B477" s="332" t="s">
        <v>1034</v>
      </c>
      <c r="C477" s="332" t="s">
        <v>1085</v>
      </c>
      <c r="D477" s="178" t="s">
        <v>22</v>
      </c>
      <c r="E477" s="333" t="s">
        <v>1100</v>
      </c>
      <c r="F477" s="179" t="str">
        <f>IF(AND(COUNTIF('Build &amp; Totals'!$A$4:$B$12,$C477)&gt;=1,Class=$B477),$A477,"")</f>
        <v/>
      </c>
    </row>
    <row r="478" spans="1:6">
      <c r="A478" s="331" t="s">
        <v>1101</v>
      </c>
      <c r="B478" s="332" t="s">
        <v>1034</v>
      </c>
      <c r="C478" s="332" t="s">
        <v>1085</v>
      </c>
      <c r="D478" s="178" t="s">
        <v>98</v>
      </c>
      <c r="E478" s="333" t="s">
        <v>1102</v>
      </c>
      <c r="F478" s="179" t="str">
        <f>IF(AND(COUNTIF('Build &amp; Totals'!$A$4:$B$12,$C478)&gt;=1,Class=$B478),$A478,"")</f>
        <v/>
      </c>
    </row>
    <row r="479" spans="1:6" ht="23.25">
      <c r="A479" s="331" t="s">
        <v>1103</v>
      </c>
      <c r="B479" s="332" t="s">
        <v>1034</v>
      </c>
      <c r="C479" s="332" t="s">
        <v>1085</v>
      </c>
      <c r="D479" s="178" t="s">
        <v>24</v>
      </c>
      <c r="E479" s="333" t="s">
        <v>1104</v>
      </c>
      <c r="F479" s="179" t="str">
        <f>IF(AND(COUNTIF('Build &amp; Totals'!$A$4:$B$12,$C479)&gt;=1,Class=$B479),$A479,"")</f>
        <v/>
      </c>
    </row>
    <row r="480" spans="1:6">
      <c r="A480" s="331" t="s">
        <v>1105</v>
      </c>
      <c r="B480" s="332" t="s">
        <v>1034</v>
      </c>
      <c r="C480" s="332" t="s">
        <v>1085</v>
      </c>
      <c r="D480" s="178" t="s">
        <v>24</v>
      </c>
      <c r="E480" s="333" t="s">
        <v>1106</v>
      </c>
      <c r="F480" s="179" t="str">
        <f>IF(AND(COUNTIF('Build &amp; Totals'!$A$4:$B$12,$C480)&gt;=1,Class=$B480),$A480,"")</f>
        <v/>
      </c>
    </row>
    <row r="481" spans="1:6">
      <c r="A481" s="331" t="s">
        <v>1107</v>
      </c>
      <c r="B481" s="332" t="s">
        <v>1034</v>
      </c>
      <c r="C481" s="332" t="s">
        <v>1085</v>
      </c>
      <c r="D481" s="178" t="s">
        <v>24</v>
      </c>
      <c r="E481" s="333" t="s">
        <v>1108</v>
      </c>
      <c r="F481" s="179" t="str">
        <f>IF(AND(COUNTIF('Build &amp; Totals'!$A$4:$B$12,$C481)&gt;=1,Class=$B481),$A481,"")</f>
        <v/>
      </c>
    </row>
    <row r="482" spans="1:6">
      <c r="A482" s="331" t="s">
        <v>1109</v>
      </c>
      <c r="B482" s="332" t="s">
        <v>1034</v>
      </c>
      <c r="C482" s="332" t="s">
        <v>1110</v>
      </c>
      <c r="D482" s="178" t="s">
        <v>94</v>
      </c>
      <c r="E482" s="333" t="s">
        <v>1111</v>
      </c>
      <c r="F482" s="179" t="str">
        <f>IF(AND(COUNTIF('Build &amp; Totals'!$A$4:$B$12,$C482)&gt;=1,Class=$B482),$A482,"")</f>
        <v/>
      </c>
    </row>
    <row r="483" spans="1:6" ht="23.25">
      <c r="A483" s="331" t="s">
        <v>1112</v>
      </c>
      <c r="B483" s="332" t="s">
        <v>1034</v>
      </c>
      <c r="C483" s="332" t="s">
        <v>1110</v>
      </c>
      <c r="D483" s="178" t="s">
        <v>19</v>
      </c>
      <c r="E483" s="333" t="s">
        <v>1113</v>
      </c>
      <c r="F483" s="179" t="str">
        <f>IF(AND(COUNTIF('Build &amp; Totals'!$A$4:$B$12,$C483)&gt;=1,Class=$B483),$A483,"")</f>
        <v/>
      </c>
    </row>
    <row r="484" spans="1:6" ht="23.25">
      <c r="A484" s="331" t="s">
        <v>1114</v>
      </c>
      <c r="B484" s="332" t="s">
        <v>1034</v>
      </c>
      <c r="C484" s="332" t="s">
        <v>1110</v>
      </c>
      <c r="D484" s="178" t="s">
        <v>19</v>
      </c>
      <c r="E484" s="333" t="s">
        <v>1115</v>
      </c>
      <c r="F484" s="179" t="str">
        <f>IF(AND(COUNTIF('Build &amp; Totals'!$A$4:$B$12,$C484)&gt;=1,Class=$B484),$A484,"")</f>
        <v/>
      </c>
    </row>
    <row r="485" spans="1:6" ht="23.25">
      <c r="A485" s="331" t="s">
        <v>1116</v>
      </c>
      <c r="B485" s="332" t="s">
        <v>1034</v>
      </c>
      <c r="C485" s="332" t="s">
        <v>1110</v>
      </c>
      <c r="D485" s="178" t="s">
        <v>19</v>
      </c>
      <c r="E485" s="333" t="s">
        <v>1117</v>
      </c>
      <c r="F485" s="179" t="str">
        <f>IF(AND(COUNTIF('Build &amp; Totals'!$A$4:$B$12,$C485)&gt;=1,Class=$B485),$A485,"")</f>
        <v/>
      </c>
    </row>
    <row r="486" spans="1:6">
      <c r="A486" s="331" t="s">
        <v>1118</v>
      </c>
      <c r="B486" s="332" t="s">
        <v>1034</v>
      </c>
      <c r="C486" s="332" t="s">
        <v>1110</v>
      </c>
      <c r="D486" s="178" t="s">
        <v>95</v>
      </c>
      <c r="E486" s="333" t="s">
        <v>1119</v>
      </c>
      <c r="F486" s="179" t="str">
        <f>IF(AND(COUNTIF('Build &amp; Totals'!$A$4:$B$12,$C486)&gt;=1,Class=$B486),$A486,"")</f>
        <v/>
      </c>
    </row>
    <row r="487" spans="1:6">
      <c r="A487" s="331" t="s">
        <v>1120</v>
      </c>
      <c r="B487" s="332" t="s">
        <v>1034</v>
      </c>
      <c r="C487" s="332" t="s">
        <v>1110</v>
      </c>
      <c r="D487" s="178" t="s">
        <v>22</v>
      </c>
      <c r="E487" s="333" t="s">
        <v>1121</v>
      </c>
      <c r="F487" s="179" t="str">
        <f>IF(AND(COUNTIF('Build &amp; Totals'!$A$4:$B$12,$C487)&gt;=1,Class=$B487),$A487,"")</f>
        <v/>
      </c>
    </row>
    <row r="488" spans="1:6">
      <c r="A488" s="331" t="s">
        <v>1122</v>
      </c>
      <c r="B488" s="332" t="s">
        <v>1034</v>
      </c>
      <c r="C488" s="332" t="s">
        <v>1110</v>
      </c>
      <c r="D488" s="178" t="s">
        <v>22</v>
      </c>
      <c r="E488" s="333" t="s">
        <v>1123</v>
      </c>
      <c r="F488" s="179" t="str">
        <f>IF(AND(COUNTIF('Build &amp; Totals'!$A$4:$B$12,$C488)&gt;=1,Class=$B488),$A488,"")</f>
        <v/>
      </c>
    </row>
    <row r="489" spans="1:6" ht="23.25">
      <c r="A489" s="331" t="s">
        <v>1124</v>
      </c>
      <c r="B489" s="332" t="s">
        <v>1034</v>
      </c>
      <c r="C489" s="332" t="s">
        <v>1110</v>
      </c>
      <c r="D489" s="178" t="s">
        <v>22</v>
      </c>
      <c r="E489" s="333" t="s">
        <v>1125</v>
      </c>
      <c r="F489" s="179" t="str">
        <f>IF(AND(COUNTIF('Build &amp; Totals'!$A$4:$B$12,$C489)&gt;=1,Class=$B489),$A489,"")</f>
        <v/>
      </c>
    </row>
    <row r="490" spans="1:6">
      <c r="A490" s="331" t="s">
        <v>1126</v>
      </c>
      <c r="B490" s="332" t="s">
        <v>1034</v>
      </c>
      <c r="C490" s="332" t="s">
        <v>1110</v>
      </c>
      <c r="D490" s="178" t="s">
        <v>98</v>
      </c>
      <c r="E490" s="333" t="s">
        <v>1127</v>
      </c>
      <c r="F490" s="179" t="str">
        <f>IF(AND(COUNTIF('Build &amp; Totals'!$A$4:$B$12,$C490)&gt;=1,Class=$B490),$A490,"")</f>
        <v/>
      </c>
    </row>
    <row r="491" spans="1:6">
      <c r="A491" s="331" t="s">
        <v>1128</v>
      </c>
      <c r="B491" s="332" t="s">
        <v>1034</v>
      </c>
      <c r="C491" s="332" t="s">
        <v>1110</v>
      </c>
      <c r="D491" s="178" t="s">
        <v>24</v>
      </c>
      <c r="E491" s="333" t="s">
        <v>1129</v>
      </c>
      <c r="F491" s="179" t="str">
        <f>IF(AND(COUNTIF('Build &amp; Totals'!$A$4:$B$12,$C491)&gt;=1,Class=$B491),$A491,"")</f>
        <v/>
      </c>
    </row>
    <row r="492" spans="1:6">
      <c r="A492" s="331" t="s">
        <v>1130</v>
      </c>
      <c r="B492" s="332" t="s">
        <v>1034</v>
      </c>
      <c r="C492" s="332" t="s">
        <v>1110</v>
      </c>
      <c r="D492" s="178" t="s">
        <v>24</v>
      </c>
      <c r="E492" s="333" t="s">
        <v>1131</v>
      </c>
      <c r="F492" s="179" t="str">
        <f>IF(AND(COUNTIF('Build &amp; Totals'!$A$4:$B$12,$C492)&gt;=1,Class=$B492),$A492,"")</f>
        <v/>
      </c>
    </row>
    <row r="493" spans="1:6">
      <c r="A493" s="331" t="s">
        <v>1132</v>
      </c>
      <c r="B493" s="332" t="s">
        <v>1034</v>
      </c>
      <c r="C493" s="332" t="s">
        <v>1110</v>
      </c>
      <c r="D493" s="178" t="s">
        <v>24</v>
      </c>
      <c r="E493" s="333" t="s">
        <v>1133</v>
      </c>
      <c r="F493" s="179" t="str">
        <f>IF(AND(COUNTIF('Build &amp; Totals'!$A$4:$B$12,$C493)&gt;=1,Class=$B493),$A493,"")</f>
        <v/>
      </c>
    </row>
    <row r="494" spans="1:6" ht="23.25">
      <c r="A494" s="331" t="s">
        <v>1134</v>
      </c>
      <c r="B494" s="332" t="s">
        <v>1034</v>
      </c>
      <c r="C494" s="332" t="s">
        <v>1135</v>
      </c>
      <c r="D494" s="178" t="s">
        <v>94</v>
      </c>
      <c r="E494" s="333" t="s">
        <v>1136</v>
      </c>
      <c r="F494" s="179" t="str">
        <f>IF(AND(COUNTIF('Build &amp; Totals'!$A$4:$B$12,$C494)&gt;=1,Class=$B494),$A494,"")</f>
        <v/>
      </c>
    </row>
    <row r="495" spans="1:6">
      <c r="A495" s="331" t="s">
        <v>1137</v>
      </c>
      <c r="B495" s="332" t="s">
        <v>1034</v>
      </c>
      <c r="C495" s="332" t="s">
        <v>1135</v>
      </c>
      <c r="D495" s="178" t="s">
        <v>19</v>
      </c>
      <c r="E495" s="333" t="s">
        <v>1138</v>
      </c>
      <c r="F495" s="179" t="str">
        <f>IF(AND(COUNTIF('Build &amp; Totals'!$A$4:$B$12,$C495)&gt;=1,Class=$B495),$A495,"")</f>
        <v/>
      </c>
    </row>
    <row r="496" spans="1:6">
      <c r="A496" s="331" t="s">
        <v>1139</v>
      </c>
      <c r="B496" s="332" t="s">
        <v>1034</v>
      </c>
      <c r="C496" s="332" t="s">
        <v>1135</v>
      </c>
      <c r="D496" s="178" t="s">
        <v>19</v>
      </c>
      <c r="E496" s="333" t="s">
        <v>1140</v>
      </c>
      <c r="F496" s="179" t="str">
        <f>IF(AND(COUNTIF('Build &amp; Totals'!$A$4:$B$12,$C496)&gt;=1,Class=$B496),$A496,"")</f>
        <v/>
      </c>
    </row>
    <row r="497" spans="1:6">
      <c r="A497" s="331" t="s">
        <v>1141</v>
      </c>
      <c r="B497" s="332" t="s">
        <v>1034</v>
      </c>
      <c r="C497" s="332" t="s">
        <v>1135</v>
      </c>
      <c r="D497" s="178" t="s">
        <v>19</v>
      </c>
      <c r="E497" s="333" t="s">
        <v>1142</v>
      </c>
      <c r="F497" s="179" t="str">
        <f>IF(AND(COUNTIF('Build &amp; Totals'!$A$4:$B$12,$C497)&gt;=1,Class=$B497),$A497,"")</f>
        <v/>
      </c>
    </row>
    <row r="498" spans="1:6" ht="23.25">
      <c r="A498" s="331" t="s">
        <v>1143</v>
      </c>
      <c r="B498" s="332" t="s">
        <v>1034</v>
      </c>
      <c r="C498" s="332" t="s">
        <v>1135</v>
      </c>
      <c r="D498" s="178" t="s">
        <v>95</v>
      </c>
      <c r="E498" s="333" t="s">
        <v>1144</v>
      </c>
      <c r="F498" s="179" t="str">
        <f>IF(AND(COUNTIF('Build &amp; Totals'!$A$4:$B$12,$C498)&gt;=1,Class=$B498),$A498,"")</f>
        <v/>
      </c>
    </row>
    <row r="499" spans="1:6" ht="23.25">
      <c r="A499" s="331" t="s">
        <v>1145</v>
      </c>
      <c r="B499" s="332" t="s">
        <v>1034</v>
      </c>
      <c r="C499" s="332" t="s">
        <v>1135</v>
      </c>
      <c r="D499" s="178" t="s">
        <v>22</v>
      </c>
      <c r="E499" s="333" t="s">
        <v>1146</v>
      </c>
      <c r="F499" s="179" t="str">
        <f>IF(AND(COUNTIF('Build &amp; Totals'!$A$4:$B$12,$C499)&gt;=1,Class=$B499),$A499,"")</f>
        <v/>
      </c>
    </row>
    <row r="500" spans="1:6" ht="23.25">
      <c r="A500" s="331" t="s">
        <v>1147</v>
      </c>
      <c r="B500" s="332" t="s">
        <v>1034</v>
      </c>
      <c r="C500" s="332" t="s">
        <v>1135</v>
      </c>
      <c r="D500" s="178" t="s">
        <v>22</v>
      </c>
      <c r="E500" s="333" t="s">
        <v>1148</v>
      </c>
      <c r="F500" s="179" t="str">
        <f>IF(AND(COUNTIF('Build &amp; Totals'!$A$4:$B$12,$C500)&gt;=1,Class=$B500),$A500,"")</f>
        <v/>
      </c>
    </row>
    <row r="501" spans="1:6">
      <c r="A501" s="331" t="s">
        <v>1149</v>
      </c>
      <c r="B501" s="332" t="s">
        <v>1034</v>
      </c>
      <c r="C501" s="332" t="s">
        <v>1135</v>
      </c>
      <c r="D501" s="178" t="s">
        <v>22</v>
      </c>
      <c r="E501" s="333" t="s">
        <v>1150</v>
      </c>
      <c r="F501" s="179" t="str">
        <f>IF(AND(COUNTIF('Build &amp; Totals'!$A$4:$B$12,$C501)&gt;=1,Class=$B501),$A501,"")</f>
        <v/>
      </c>
    </row>
    <row r="502" spans="1:6">
      <c r="A502" s="331" t="s">
        <v>1151</v>
      </c>
      <c r="B502" s="332" t="s">
        <v>1034</v>
      </c>
      <c r="C502" s="332" t="s">
        <v>1135</v>
      </c>
      <c r="D502" s="178" t="s">
        <v>98</v>
      </c>
      <c r="E502" s="333" t="s">
        <v>1152</v>
      </c>
      <c r="F502" s="179" t="str">
        <f>IF(AND(COUNTIF('Build &amp; Totals'!$A$4:$B$12,$C502)&gt;=1,Class=$B502),$A502,"")</f>
        <v/>
      </c>
    </row>
    <row r="503" spans="1:6">
      <c r="A503" s="331" t="s">
        <v>1153</v>
      </c>
      <c r="B503" s="332" t="s">
        <v>1034</v>
      </c>
      <c r="C503" s="332" t="s">
        <v>1135</v>
      </c>
      <c r="D503" s="178" t="s">
        <v>24</v>
      </c>
      <c r="E503" s="333" t="s">
        <v>1154</v>
      </c>
      <c r="F503" s="179" t="str">
        <f>IF(AND(COUNTIF('Build &amp; Totals'!$A$4:$B$12,$C503)&gt;=1,Class=$B503),$A503,"")</f>
        <v/>
      </c>
    </row>
    <row r="504" spans="1:6">
      <c r="A504" s="331" t="s">
        <v>1155</v>
      </c>
      <c r="B504" s="332" t="s">
        <v>1034</v>
      </c>
      <c r="C504" s="332" t="s">
        <v>1135</v>
      </c>
      <c r="D504" s="178" t="s">
        <v>24</v>
      </c>
      <c r="E504" s="333" t="s">
        <v>1156</v>
      </c>
      <c r="F504" s="179" t="str">
        <f>IF(AND(COUNTIF('Build &amp; Totals'!$A$4:$B$12,$C504)&gt;=1,Class=$B504),$A504,"")</f>
        <v/>
      </c>
    </row>
    <row r="505" spans="1:6" ht="23.25">
      <c r="A505" s="331" t="s">
        <v>1157</v>
      </c>
      <c r="B505" s="332" t="s">
        <v>1034</v>
      </c>
      <c r="C505" s="332" t="s">
        <v>1135</v>
      </c>
      <c r="D505" s="178" t="s">
        <v>24</v>
      </c>
      <c r="E505" s="333" t="s">
        <v>1158</v>
      </c>
      <c r="F505" s="179" t="str">
        <f>IF(AND(COUNTIF('Build &amp; Totals'!$A$4:$B$12,$C505)&gt;=1,Class=$B505),$A505,"")</f>
        <v/>
      </c>
    </row>
    <row r="506" spans="1:6">
      <c r="A506" s="331" t="s">
        <v>1159</v>
      </c>
      <c r="B506" s="332" t="s">
        <v>1034</v>
      </c>
      <c r="C506" s="332" t="s">
        <v>1160</v>
      </c>
      <c r="D506" s="178" t="s">
        <v>238</v>
      </c>
      <c r="E506" s="333" t="s">
        <v>1161</v>
      </c>
      <c r="F506" s="179" t="str">
        <f>IF(AND(COUNTIF('Build &amp; Totals'!$A$4:$B$12,$C506)&gt;=1,Class=$B506),$A506,"")</f>
        <v/>
      </c>
    </row>
    <row r="507" spans="1:6" ht="23.25">
      <c r="A507" s="331" t="s">
        <v>1162</v>
      </c>
      <c r="B507" s="332" t="s">
        <v>1034</v>
      </c>
      <c r="C507" s="332" t="s">
        <v>1160</v>
      </c>
      <c r="D507" s="178" t="s">
        <v>94</v>
      </c>
      <c r="E507" s="333" t="s">
        <v>1163</v>
      </c>
      <c r="F507" s="179" t="str">
        <f>IF(AND(COUNTIF('Build &amp; Totals'!$A$4:$B$12,$C507)&gt;=1,Class=$B507),$A507,"")</f>
        <v/>
      </c>
    </row>
    <row r="508" spans="1:6">
      <c r="A508" s="331" t="s">
        <v>1164</v>
      </c>
      <c r="B508" s="332" t="s">
        <v>1034</v>
      </c>
      <c r="C508" s="332" t="s">
        <v>1160</v>
      </c>
      <c r="D508" s="178" t="s">
        <v>19</v>
      </c>
      <c r="E508" s="333" t="s">
        <v>1165</v>
      </c>
      <c r="F508" s="179" t="str">
        <f>IF(AND(COUNTIF('Build &amp; Totals'!$A$4:$B$12,$C508)&gt;=1,Class=$B508),$A508,"")</f>
        <v/>
      </c>
    </row>
    <row r="509" spans="1:6">
      <c r="A509" s="331" t="s">
        <v>1166</v>
      </c>
      <c r="B509" s="332" t="s">
        <v>1034</v>
      </c>
      <c r="C509" s="332" t="s">
        <v>1160</v>
      </c>
      <c r="D509" s="178" t="s">
        <v>19</v>
      </c>
      <c r="E509" s="333" t="s">
        <v>1167</v>
      </c>
      <c r="F509" s="179" t="str">
        <f>IF(AND(COUNTIF('Build &amp; Totals'!$A$4:$B$12,$C509)&gt;=1,Class=$B509),$A509,"")</f>
        <v/>
      </c>
    </row>
    <row r="510" spans="1:6">
      <c r="A510" s="331" t="s">
        <v>1168</v>
      </c>
      <c r="B510" s="332" t="s">
        <v>1034</v>
      </c>
      <c r="C510" s="332" t="s">
        <v>1160</v>
      </c>
      <c r="D510" s="178" t="s">
        <v>19</v>
      </c>
      <c r="E510" s="333" t="s">
        <v>1169</v>
      </c>
      <c r="F510" s="179" t="str">
        <f>IF(AND(COUNTIF('Build &amp; Totals'!$A$4:$B$12,$C510)&gt;=1,Class=$B510),$A510,"")</f>
        <v/>
      </c>
    </row>
    <row r="511" spans="1:6">
      <c r="A511" s="331" t="s">
        <v>1170</v>
      </c>
      <c r="B511" s="332" t="s">
        <v>1034</v>
      </c>
      <c r="C511" s="332" t="s">
        <v>1160</v>
      </c>
      <c r="D511" s="178" t="s">
        <v>95</v>
      </c>
      <c r="E511" s="333" t="s">
        <v>1171</v>
      </c>
      <c r="F511" s="179" t="str">
        <f>IF(AND(COUNTIF('Build &amp; Totals'!$A$4:$B$12,$C511)&gt;=1,Class=$B511),$A511,"")</f>
        <v/>
      </c>
    </row>
    <row r="512" spans="1:6">
      <c r="A512" s="331" t="s">
        <v>1172</v>
      </c>
      <c r="B512" s="332" t="s">
        <v>1034</v>
      </c>
      <c r="C512" s="332" t="s">
        <v>1160</v>
      </c>
      <c r="D512" s="178" t="s">
        <v>22</v>
      </c>
      <c r="E512" s="333" t="s">
        <v>1173</v>
      </c>
      <c r="F512" s="179" t="str">
        <f>IF(AND(COUNTIF('Build &amp; Totals'!$A$4:$B$12,$C512)&gt;=1,Class=$B512),$A512,"")</f>
        <v/>
      </c>
    </row>
    <row r="513" spans="1:6">
      <c r="A513" s="331" t="s">
        <v>1174</v>
      </c>
      <c r="B513" s="332" t="s">
        <v>1034</v>
      </c>
      <c r="C513" s="332" t="s">
        <v>1160</v>
      </c>
      <c r="D513" s="178" t="s">
        <v>22</v>
      </c>
      <c r="E513" s="333" t="s">
        <v>1175</v>
      </c>
      <c r="F513" s="179" t="str">
        <f>IF(AND(COUNTIF('Build &amp; Totals'!$A$4:$B$12,$C513)&gt;=1,Class=$B513),$A513,"")</f>
        <v/>
      </c>
    </row>
    <row r="514" spans="1:6" ht="23.25">
      <c r="A514" s="331" t="s">
        <v>1176</v>
      </c>
      <c r="B514" s="332" t="s">
        <v>1034</v>
      </c>
      <c r="C514" s="332" t="s">
        <v>1160</v>
      </c>
      <c r="D514" s="178" t="s">
        <v>22</v>
      </c>
      <c r="E514" s="333" t="s">
        <v>1177</v>
      </c>
      <c r="F514" s="179" t="str">
        <f>IF(AND(COUNTIF('Build &amp; Totals'!$A$4:$B$12,$C514)&gt;=1,Class=$B514),$A514,"")</f>
        <v/>
      </c>
    </row>
    <row r="515" spans="1:6">
      <c r="A515" s="331" t="s">
        <v>1178</v>
      </c>
      <c r="B515" s="332" t="s">
        <v>1034</v>
      </c>
      <c r="C515" s="332" t="s">
        <v>1160</v>
      </c>
      <c r="D515" s="178" t="s">
        <v>98</v>
      </c>
      <c r="E515" s="333" t="s">
        <v>1179</v>
      </c>
      <c r="F515" s="179" t="str">
        <f>IF(AND(COUNTIF('Build &amp; Totals'!$A$4:$B$12,$C515)&gt;=1,Class=$B515),$A515,"")</f>
        <v/>
      </c>
    </row>
    <row r="516" spans="1:6">
      <c r="A516" s="331" t="s">
        <v>1180</v>
      </c>
      <c r="B516" s="332" t="s">
        <v>1034</v>
      </c>
      <c r="C516" s="332" t="s">
        <v>1160</v>
      </c>
      <c r="D516" s="178" t="s">
        <v>24</v>
      </c>
      <c r="E516" s="333" t="s">
        <v>1181</v>
      </c>
      <c r="F516" s="179" t="str">
        <f>IF(AND(COUNTIF('Build &amp; Totals'!$A$4:$B$12,$C516)&gt;=1,Class=$B516),$A516,"")</f>
        <v/>
      </c>
    </row>
    <row r="517" spans="1:6" ht="35.25">
      <c r="A517" s="331" t="s">
        <v>1182</v>
      </c>
      <c r="B517" s="332" t="s">
        <v>1034</v>
      </c>
      <c r="C517" s="332" t="s">
        <v>1160</v>
      </c>
      <c r="D517" s="178" t="s">
        <v>24</v>
      </c>
      <c r="E517" s="333" t="s">
        <v>1183</v>
      </c>
      <c r="F517" s="179" t="str">
        <f>IF(AND(COUNTIF('Build &amp; Totals'!$A$4:$B$12,$C517)&gt;=1,Class=$B517),$A517,"")</f>
        <v/>
      </c>
    </row>
    <row r="518" spans="1:6">
      <c r="A518" s="331" t="s">
        <v>1184</v>
      </c>
      <c r="B518" s="332" t="s">
        <v>1034</v>
      </c>
      <c r="C518" s="332" t="s">
        <v>1160</v>
      </c>
      <c r="D518" s="178" t="s">
        <v>24</v>
      </c>
      <c r="E518" s="333" t="s">
        <v>1185</v>
      </c>
      <c r="F518" s="179" t="str">
        <f>IF(AND(COUNTIF('Build &amp; Totals'!$A$4:$B$12,$C518)&gt;=1,Class=$B518),$A518,"")</f>
        <v/>
      </c>
    </row>
    <row r="519" spans="1:6">
      <c r="A519" s="331" t="s">
        <v>725</v>
      </c>
      <c r="B519" s="332" t="s">
        <v>1034</v>
      </c>
      <c r="C519" s="332" t="s">
        <v>1186</v>
      </c>
      <c r="D519" s="178" t="s">
        <v>238</v>
      </c>
      <c r="E519" s="333" t="s">
        <v>1187</v>
      </c>
      <c r="F519" s="179" t="str">
        <f>IF(AND(COUNTIF('Build &amp; Totals'!$A$4:$B$12,$C519)&gt;=1,Class=$B519),$A519,"")</f>
        <v/>
      </c>
    </row>
    <row r="520" spans="1:6" ht="35.25">
      <c r="A520" s="331" t="s">
        <v>1188</v>
      </c>
      <c r="B520" s="332" t="s">
        <v>1034</v>
      </c>
      <c r="C520" s="332" t="s">
        <v>1186</v>
      </c>
      <c r="D520" s="178" t="s">
        <v>94</v>
      </c>
      <c r="E520" s="333" t="s">
        <v>1189</v>
      </c>
      <c r="F520" s="179" t="str">
        <f>IF(AND(COUNTIF('Build &amp; Totals'!$A$4:$B$12,$C520)&gt;=1,Class=$B520),$A520,"")</f>
        <v/>
      </c>
    </row>
    <row r="521" spans="1:6">
      <c r="A521" s="331" t="s">
        <v>1190</v>
      </c>
      <c r="B521" s="332" t="s">
        <v>1034</v>
      </c>
      <c r="C521" s="332" t="s">
        <v>1186</v>
      </c>
      <c r="D521" s="178" t="s">
        <v>19</v>
      </c>
      <c r="E521" s="333" t="s">
        <v>1191</v>
      </c>
      <c r="F521" s="179" t="str">
        <f>IF(AND(COUNTIF('Build &amp; Totals'!$A$4:$B$12,$C521)&gt;=1,Class=$B521),$A521,"")</f>
        <v/>
      </c>
    </row>
    <row r="522" spans="1:6">
      <c r="A522" s="331" t="s">
        <v>1192</v>
      </c>
      <c r="B522" s="332" t="s">
        <v>1034</v>
      </c>
      <c r="C522" s="332" t="s">
        <v>1186</v>
      </c>
      <c r="D522" s="178" t="s">
        <v>19</v>
      </c>
      <c r="E522" s="333" t="s">
        <v>1193</v>
      </c>
      <c r="F522" s="179" t="str">
        <f>IF(AND(COUNTIF('Build &amp; Totals'!$A$4:$B$12,$C522)&gt;=1,Class=$B522),$A522,"")</f>
        <v/>
      </c>
    </row>
    <row r="523" spans="1:6">
      <c r="A523" s="331" t="s">
        <v>1194</v>
      </c>
      <c r="B523" s="332" t="s">
        <v>1034</v>
      </c>
      <c r="C523" s="332" t="s">
        <v>1186</v>
      </c>
      <c r="D523" s="178" t="s">
        <v>19</v>
      </c>
      <c r="E523" s="333" t="s">
        <v>1195</v>
      </c>
      <c r="F523" s="179" t="str">
        <f>IF(AND(COUNTIF('Build &amp; Totals'!$A$4:$B$12,$C523)&gt;=1,Class=$B523),$A523,"")</f>
        <v/>
      </c>
    </row>
    <row r="524" spans="1:6">
      <c r="A524" s="331" t="s">
        <v>1196</v>
      </c>
      <c r="B524" s="332" t="s">
        <v>1034</v>
      </c>
      <c r="C524" s="332" t="s">
        <v>1186</v>
      </c>
      <c r="D524" s="178" t="s">
        <v>95</v>
      </c>
      <c r="E524" s="333" t="s">
        <v>1197</v>
      </c>
      <c r="F524" s="179" t="str">
        <f>IF(AND(COUNTIF('Build &amp; Totals'!$A$4:$B$12,$C524)&gt;=1,Class=$B524),$A524,"")</f>
        <v/>
      </c>
    </row>
    <row r="525" spans="1:6">
      <c r="A525" s="331" t="s">
        <v>1198</v>
      </c>
      <c r="B525" s="332" t="s">
        <v>1034</v>
      </c>
      <c r="C525" s="332" t="s">
        <v>1186</v>
      </c>
      <c r="D525" s="178" t="s">
        <v>22</v>
      </c>
      <c r="E525" s="333" t="s">
        <v>1199</v>
      </c>
      <c r="F525" s="179" t="str">
        <f>IF(AND(COUNTIF('Build &amp; Totals'!$A$4:$B$12,$C525)&gt;=1,Class=$B525),$A525,"")</f>
        <v/>
      </c>
    </row>
    <row r="526" spans="1:6">
      <c r="A526" s="331" t="s">
        <v>1200</v>
      </c>
      <c r="B526" s="332" t="s">
        <v>1034</v>
      </c>
      <c r="C526" s="332" t="s">
        <v>1186</v>
      </c>
      <c r="D526" s="178" t="s">
        <v>22</v>
      </c>
      <c r="E526" s="333" t="s">
        <v>1201</v>
      </c>
      <c r="F526" s="179" t="str">
        <f>IF(AND(COUNTIF('Build &amp; Totals'!$A$4:$B$12,$C526)&gt;=1,Class=$B526),$A526,"")</f>
        <v/>
      </c>
    </row>
    <row r="527" spans="1:6">
      <c r="A527" s="331" t="s">
        <v>1202</v>
      </c>
      <c r="B527" s="332" t="s">
        <v>1034</v>
      </c>
      <c r="C527" s="332" t="s">
        <v>1186</v>
      </c>
      <c r="D527" s="178" t="s">
        <v>22</v>
      </c>
      <c r="E527" s="333" t="s">
        <v>1203</v>
      </c>
      <c r="F527" s="179" t="str">
        <f>IF(AND(COUNTIF('Build &amp; Totals'!$A$4:$B$12,$C527)&gt;=1,Class=$B527),$A527,"")</f>
        <v/>
      </c>
    </row>
    <row r="528" spans="1:6">
      <c r="A528" s="331" t="s">
        <v>1204</v>
      </c>
      <c r="B528" s="332" t="s">
        <v>1034</v>
      </c>
      <c r="C528" s="332" t="s">
        <v>1186</v>
      </c>
      <c r="D528" s="178" t="s">
        <v>98</v>
      </c>
      <c r="E528" s="333" t="s">
        <v>1205</v>
      </c>
      <c r="F528" s="179" t="str">
        <f>IF(AND(COUNTIF('Build &amp; Totals'!$A$4:$B$12,$C528)&gt;=1,Class=$B528),$A528,"")</f>
        <v/>
      </c>
    </row>
    <row r="529" spans="1:6">
      <c r="A529" s="331" t="s">
        <v>1206</v>
      </c>
      <c r="B529" s="332" t="s">
        <v>1034</v>
      </c>
      <c r="C529" s="332" t="s">
        <v>1186</v>
      </c>
      <c r="D529" s="178" t="s">
        <v>24</v>
      </c>
      <c r="E529" s="333" t="s">
        <v>1207</v>
      </c>
      <c r="F529" s="179" t="str">
        <f>IF(AND(COUNTIF('Build &amp; Totals'!$A$4:$B$12,$C529)&gt;=1,Class=$B529),$A529,"")</f>
        <v/>
      </c>
    </row>
    <row r="530" spans="1:6">
      <c r="A530" s="331" t="s">
        <v>1208</v>
      </c>
      <c r="B530" s="332" t="s">
        <v>1034</v>
      </c>
      <c r="C530" s="332" t="s">
        <v>1186</v>
      </c>
      <c r="D530" s="178" t="s">
        <v>24</v>
      </c>
      <c r="E530" s="333" t="s">
        <v>1209</v>
      </c>
      <c r="F530" s="179" t="str">
        <f>IF(AND(COUNTIF('Build &amp; Totals'!$A$4:$B$12,$C530)&gt;=1,Class=$B530),$A530,"")</f>
        <v/>
      </c>
    </row>
    <row r="531" spans="1:6" ht="23.25">
      <c r="A531" s="331" t="s">
        <v>1210</v>
      </c>
      <c r="B531" s="332" t="s">
        <v>1034</v>
      </c>
      <c r="C531" s="332" t="s">
        <v>1186</v>
      </c>
      <c r="D531" s="178" t="s">
        <v>24</v>
      </c>
      <c r="E531" s="333" t="s">
        <v>1211</v>
      </c>
      <c r="F531" s="179" t="str">
        <f>IF(AND(COUNTIF('Build &amp; Totals'!$A$4:$B$12,$C531)&gt;=1,Class=$B531),$A531,"")</f>
        <v/>
      </c>
    </row>
    <row r="532" spans="1:6">
      <c r="A532" s="331" t="s">
        <v>928</v>
      </c>
      <c r="B532" s="332" t="s">
        <v>1034</v>
      </c>
      <c r="C532" s="332" t="s">
        <v>1212</v>
      </c>
      <c r="D532" s="178" t="s">
        <v>238</v>
      </c>
      <c r="E532" s="333" t="s">
        <v>930</v>
      </c>
      <c r="F532" s="179" t="str">
        <f>IF(AND(COUNTIF('Build &amp; Totals'!$A$4:$B$12,$C532)&gt;=1,Class=$B532),$A532,"")</f>
        <v/>
      </c>
    </row>
    <row r="533" spans="1:6" ht="35.25">
      <c r="A533" s="331" t="s">
        <v>1213</v>
      </c>
      <c r="B533" s="332" t="s">
        <v>1034</v>
      </c>
      <c r="C533" s="332" t="s">
        <v>1212</v>
      </c>
      <c r="D533" s="178" t="s">
        <v>94</v>
      </c>
      <c r="E533" s="333" t="s">
        <v>1214</v>
      </c>
      <c r="F533" s="179" t="str">
        <f>IF(AND(COUNTIF('Build &amp; Totals'!$A$4:$B$12,$C533)&gt;=1,Class=$B533),$A533,"")</f>
        <v/>
      </c>
    </row>
    <row r="534" spans="1:6" ht="23.25">
      <c r="A534" s="331" t="s">
        <v>1215</v>
      </c>
      <c r="B534" s="332" t="s">
        <v>1034</v>
      </c>
      <c r="C534" s="332" t="s">
        <v>1212</v>
      </c>
      <c r="D534" s="178" t="s">
        <v>19</v>
      </c>
      <c r="E534" s="333" t="s">
        <v>1216</v>
      </c>
      <c r="F534" s="179" t="str">
        <f>IF(AND(COUNTIF('Build &amp; Totals'!$A$4:$B$12,$C534)&gt;=1,Class=$B534),$A534,"")</f>
        <v/>
      </c>
    </row>
    <row r="535" spans="1:6">
      <c r="A535" s="331" t="s">
        <v>1217</v>
      </c>
      <c r="B535" s="332" t="s">
        <v>1034</v>
      </c>
      <c r="C535" s="332" t="s">
        <v>1212</v>
      </c>
      <c r="D535" s="178" t="s">
        <v>19</v>
      </c>
      <c r="E535" s="333" t="s">
        <v>1218</v>
      </c>
      <c r="F535" s="179" t="str">
        <f>IF(AND(COUNTIF('Build &amp; Totals'!$A$4:$B$12,$C535)&gt;=1,Class=$B535),$A535,"")</f>
        <v/>
      </c>
    </row>
    <row r="536" spans="1:6" ht="23.25">
      <c r="A536" s="331" t="s">
        <v>1219</v>
      </c>
      <c r="B536" s="332" t="s">
        <v>1034</v>
      </c>
      <c r="C536" s="332" t="s">
        <v>1212</v>
      </c>
      <c r="D536" s="178" t="s">
        <v>19</v>
      </c>
      <c r="E536" s="333" t="s">
        <v>1220</v>
      </c>
      <c r="F536" s="179" t="str">
        <f>IF(AND(COUNTIF('Build &amp; Totals'!$A$4:$B$12,$C536)&gt;=1,Class=$B536),$A536,"")</f>
        <v/>
      </c>
    </row>
    <row r="537" spans="1:6" ht="23.25">
      <c r="A537" s="331" t="s">
        <v>1221</v>
      </c>
      <c r="B537" s="332" t="s">
        <v>1034</v>
      </c>
      <c r="C537" s="332" t="s">
        <v>1212</v>
      </c>
      <c r="D537" s="178" t="s">
        <v>95</v>
      </c>
      <c r="E537" s="333" t="s">
        <v>1222</v>
      </c>
      <c r="F537" s="179" t="str">
        <f>IF(AND(COUNTIF('Build &amp; Totals'!$A$4:$B$12,$C537)&gt;=1,Class=$B537),$A537,"")</f>
        <v/>
      </c>
    </row>
    <row r="538" spans="1:6" ht="23.25">
      <c r="A538" s="331" t="s">
        <v>1223</v>
      </c>
      <c r="B538" s="332" t="s">
        <v>1034</v>
      </c>
      <c r="C538" s="332" t="s">
        <v>1212</v>
      </c>
      <c r="D538" s="178" t="s">
        <v>22</v>
      </c>
      <c r="E538" s="333" t="s">
        <v>1224</v>
      </c>
      <c r="F538" s="179" t="str">
        <f>IF(AND(COUNTIF('Build &amp; Totals'!$A$4:$B$12,$C538)&gt;=1,Class=$B538),$A538,"")</f>
        <v/>
      </c>
    </row>
    <row r="539" spans="1:6">
      <c r="A539" s="331" t="s">
        <v>1225</v>
      </c>
      <c r="B539" s="332" t="s">
        <v>1034</v>
      </c>
      <c r="C539" s="332" t="s">
        <v>1212</v>
      </c>
      <c r="D539" s="178" t="s">
        <v>22</v>
      </c>
      <c r="E539" s="333" t="s">
        <v>1226</v>
      </c>
      <c r="F539" s="179" t="str">
        <f>IF(AND(COUNTIF('Build &amp; Totals'!$A$4:$B$12,$C539)&gt;=1,Class=$B539),$A539,"")</f>
        <v/>
      </c>
    </row>
    <row r="540" spans="1:6" ht="23.25">
      <c r="A540" s="331" t="s">
        <v>1227</v>
      </c>
      <c r="B540" s="332" t="s">
        <v>1034</v>
      </c>
      <c r="C540" s="332" t="s">
        <v>1212</v>
      </c>
      <c r="D540" s="178" t="s">
        <v>22</v>
      </c>
      <c r="E540" s="333" t="s">
        <v>1228</v>
      </c>
      <c r="F540" s="179" t="str">
        <f>IF(AND(COUNTIF('Build &amp; Totals'!$A$4:$B$12,$C540)&gt;=1,Class=$B540),$A540,"")</f>
        <v/>
      </c>
    </row>
    <row r="541" spans="1:6" ht="23.25">
      <c r="A541" s="331" t="s">
        <v>1229</v>
      </c>
      <c r="B541" s="332" t="s">
        <v>1034</v>
      </c>
      <c r="C541" s="332" t="s">
        <v>1212</v>
      </c>
      <c r="D541" s="178" t="s">
        <v>98</v>
      </c>
      <c r="E541" s="333" t="s">
        <v>1230</v>
      </c>
      <c r="F541" s="179" t="str">
        <f>IF(AND(COUNTIF('Build &amp; Totals'!$A$4:$B$12,$C541)&gt;=1,Class=$B541),$A541,"")</f>
        <v/>
      </c>
    </row>
    <row r="542" spans="1:6">
      <c r="A542" s="331" t="s">
        <v>1231</v>
      </c>
      <c r="B542" s="332" t="s">
        <v>1034</v>
      </c>
      <c r="C542" s="332" t="s">
        <v>1212</v>
      </c>
      <c r="D542" s="178" t="s">
        <v>24</v>
      </c>
      <c r="E542" s="333" t="s">
        <v>1232</v>
      </c>
      <c r="F542" s="179" t="str">
        <f>IF(AND(COUNTIF('Build &amp; Totals'!$A$4:$B$12,$C542)&gt;=1,Class=$B542),$A542,"")</f>
        <v/>
      </c>
    </row>
    <row r="543" spans="1:6" ht="23.25">
      <c r="A543" s="331" t="s">
        <v>1233</v>
      </c>
      <c r="B543" s="332" t="s">
        <v>1034</v>
      </c>
      <c r="C543" s="332" t="s">
        <v>1212</v>
      </c>
      <c r="D543" s="178" t="s">
        <v>24</v>
      </c>
      <c r="E543" s="333" t="s">
        <v>1234</v>
      </c>
      <c r="F543" s="179" t="str">
        <f>IF(AND(COUNTIF('Build &amp; Totals'!$A$4:$B$12,$C543)&gt;=1,Class=$B543),$A543,"")</f>
        <v/>
      </c>
    </row>
    <row r="544" spans="1:6" ht="23.25">
      <c r="A544" s="331" t="s">
        <v>1235</v>
      </c>
      <c r="B544" s="332" t="s">
        <v>1034</v>
      </c>
      <c r="C544" s="332" t="s">
        <v>1212</v>
      </c>
      <c r="D544" s="178" t="s">
        <v>24</v>
      </c>
      <c r="E544" s="333" t="s">
        <v>1236</v>
      </c>
      <c r="F544" s="179" t="str">
        <f>IF(AND(COUNTIF('Build &amp; Totals'!$A$4:$B$12,$C544)&gt;=1,Class=$B544),$A544,"")</f>
        <v/>
      </c>
    </row>
    <row r="545" spans="1:6" ht="35.25">
      <c r="A545" s="331" t="s">
        <v>1237</v>
      </c>
      <c r="B545" s="332" t="s">
        <v>1034</v>
      </c>
      <c r="C545" s="332" t="s">
        <v>1238</v>
      </c>
      <c r="D545" s="178" t="s">
        <v>94</v>
      </c>
      <c r="E545" s="333" t="s">
        <v>1239</v>
      </c>
      <c r="F545" s="179" t="str">
        <f>IF(AND(COUNTIF('Build &amp; Totals'!$A$4:$B$12,$C545)&gt;=1,Class=$B545),$A545,"")</f>
        <v/>
      </c>
    </row>
    <row r="546" spans="1:6">
      <c r="A546" s="331" t="s">
        <v>1240</v>
      </c>
      <c r="B546" s="332" t="s">
        <v>1034</v>
      </c>
      <c r="C546" s="332" t="s">
        <v>1238</v>
      </c>
      <c r="D546" s="178" t="s">
        <v>19</v>
      </c>
      <c r="E546" s="333" t="s">
        <v>1241</v>
      </c>
      <c r="F546" s="179" t="str">
        <f>IF(AND(COUNTIF('Build &amp; Totals'!$A$4:$B$12,$C546)&gt;=1,Class=$B546),$A546,"")</f>
        <v/>
      </c>
    </row>
    <row r="547" spans="1:6">
      <c r="A547" s="331" t="s">
        <v>1242</v>
      </c>
      <c r="B547" s="332" t="s">
        <v>1034</v>
      </c>
      <c r="C547" s="332" t="s">
        <v>1238</v>
      </c>
      <c r="D547" s="178" t="s">
        <v>19</v>
      </c>
      <c r="E547" s="333" t="s">
        <v>1243</v>
      </c>
      <c r="F547" s="179" t="str">
        <f>IF(AND(COUNTIF('Build &amp; Totals'!$A$4:$B$12,$C547)&gt;=1,Class=$B547),$A547,"")</f>
        <v/>
      </c>
    </row>
    <row r="548" spans="1:6">
      <c r="A548" s="331" t="s">
        <v>1244</v>
      </c>
      <c r="B548" s="332" t="s">
        <v>1034</v>
      </c>
      <c r="C548" s="332" t="s">
        <v>1238</v>
      </c>
      <c r="D548" s="178" t="s">
        <v>19</v>
      </c>
      <c r="E548" s="333" t="s">
        <v>1245</v>
      </c>
      <c r="F548" s="179" t="str">
        <f>IF(AND(COUNTIF('Build &amp; Totals'!$A$4:$B$12,$C548)&gt;=1,Class=$B548),$A548,"")</f>
        <v/>
      </c>
    </row>
    <row r="549" spans="1:6">
      <c r="A549" s="331" t="s">
        <v>1246</v>
      </c>
      <c r="B549" s="332" t="s">
        <v>1034</v>
      </c>
      <c r="C549" s="332" t="s">
        <v>1238</v>
      </c>
      <c r="D549" s="178" t="s">
        <v>95</v>
      </c>
      <c r="E549" s="333" t="s">
        <v>1247</v>
      </c>
      <c r="F549" s="179" t="str">
        <f>IF(AND(COUNTIF('Build &amp; Totals'!$A$4:$B$12,$C549)&gt;=1,Class=$B549),$A549,"")</f>
        <v/>
      </c>
    </row>
    <row r="550" spans="1:6">
      <c r="A550" s="331" t="s">
        <v>1248</v>
      </c>
      <c r="B550" s="332" t="s">
        <v>1034</v>
      </c>
      <c r="C550" s="332" t="s">
        <v>1238</v>
      </c>
      <c r="D550" s="178" t="s">
        <v>22</v>
      </c>
      <c r="E550" s="333" t="s">
        <v>1249</v>
      </c>
      <c r="F550" s="179" t="str">
        <f>IF(AND(COUNTIF('Build &amp; Totals'!$A$4:$B$12,$C550)&gt;=1,Class=$B550),$A550,"")</f>
        <v/>
      </c>
    </row>
    <row r="551" spans="1:6">
      <c r="A551" s="331" t="s">
        <v>1250</v>
      </c>
      <c r="B551" s="332" t="s">
        <v>1034</v>
      </c>
      <c r="C551" s="332" t="s">
        <v>1238</v>
      </c>
      <c r="D551" s="178" t="s">
        <v>22</v>
      </c>
      <c r="E551" s="333" t="s">
        <v>1251</v>
      </c>
      <c r="F551" s="179" t="str">
        <f>IF(AND(COUNTIF('Build &amp; Totals'!$A$4:$B$12,$C551)&gt;=1,Class=$B551),$A551,"")</f>
        <v/>
      </c>
    </row>
    <row r="552" spans="1:6">
      <c r="A552" s="331" t="s">
        <v>1252</v>
      </c>
      <c r="B552" s="332" t="s">
        <v>1034</v>
      </c>
      <c r="C552" s="332" t="s">
        <v>1238</v>
      </c>
      <c r="D552" s="178" t="s">
        <v>22</v>
      </c>
      <c r="E552" s="333" t="s">
        <v>1253</v>
      </c>
      <c r="F552" s="179" t="str">
        <f>IF(AND(COUNTIF('Build &amp; Totals'!$A$4:$B$12,$C552)&gt;=1,Class=$B552),$A552,"")</f>
        <v/>
      </c>
    </row>
    <row r="553" spans="1:6">
      <c r="A553" s="331" t="s">
        <v>1254</v>
      </c>
      <c r="B553" s="332" t="s">
        <v>1034</v>
      </c>
      <c r="C553" s="332" t="s">
        <v>1238</v>
      </c>
      <c r="D553" s="178" t="s">
        <v>98</v>
      </c>
      <c r="E553" s="333" t="s">
        <v>1255</v>
      </c>
      <c r="F553" s="179" t="str">
        <f>IF(AND(COUNTIF('Build &amp; Totals'!$A$4:$B$12,$C553)&gt;=1,Class=$B553),$A553,"")</f>
        <v/>
      </c>
    </row>
    <row r="554" spans="1:6" ht="23.25">
      <c r="A554" s="331" t="s">
        <v>1256</v>
      </c>
      <c r="B554" s="332" t="s">
        <v>1034</v>
      </c>
      <c r="C554" s="332" t="s">
        <v>1238</v>
      </c>
      <c r="D554" s="178" t="s">
        <v>24</v>
      </c>
      <c r="E554" s="333" t="s">
        <v>1257</v>
      </c>
      <c r="F554" s="179" t="str">
        <f>IF(AND(COUNTIF('Build &amp; Totals'!$A$4:$B$12,$C554)&gt;=1,Class=$B554),$A554,"")</f>
        <v/>
      </c>
    </row>
    <row r="555" spans="1:6" ht="23.25">
      <c r="A555" s="331" t="s">
        <v>1258</v>
      </c>
      <c r="B555" s="332" t="s">
        <v>1034</v>
      </c>
      <c r="C555" s="332" t="s">
        <v>1238</v>
      </c>
      <c r="D555" s="178" t="s">
        <v>24</v>
      </c>
      <c r="E555" s="333" t="s">
        <v>1259</v>
      </c>
      <c r="F555" s="179" t="str">
        <f>IF(AND(COUNTIF('Build &amp; Totals'!$A$4:$B$12,$C555)&gt;=1,Class=$B555),$A555,"")</f>
        <v/>
      </c>
    </row>
    <row r="556" spans="1:6" ht="23.25">
      <c r="A556" s="331" t="s">
        <v>1260</v>
      </c>
      <c r="B556" s="332" t="s">
        <v>1034</v>
      </c>
      <c r="C556" s="332" t="s">
        <v>1238</v>
      </c>
      <c r="D556" s="178" t="s">
        <v>24</v>
      </c>
      <c r="E556" s="333" t="s">
        <v>1261</v>
      </c>
      <c r="F556" s="179" t="str">
        <f>IF(AND(COUNTIF('Build &amp; Totals'!$A$4:$B$12,$C556)&gt;=1,Class=$B556),$A556,"")</f>
        <v/>
      </c>
    </row>
    <row r="557" spans="1:6">
      <c r="A557" s="331" t="s">
        <v>1262</v>
      </c>
      <c r="B557" s="332" t="s">
        <v>1263</v>
      </c>
      <c r="C557" s="332" t="s">
        <v>1264</v>
      </c>
      <c r="D557" s="178" t="s">
        <v>94</v>
      </c>
      <c r="E557" s="333" t="s">
        <v>1265</v>
      </c>
      <c r="F557" s="179" t="str">
        <f>IF(AND(COUNTIF('Build &amp; Totals'!$A$4:$B$12,$C557)&gt;=1,Class=$B557),$A557,"")</f>
        <v/>
      </c>
    </row>
    <row r="558" spans="1:6">
      <c r="A558" s="331" t="s">
        <v>1266</v>
      </c>
      <c r="B558" s="332" t="s">
        <v>1263</v>
      </c>
      <c r="C558" s="332" t="s">
        <v>1264</v>
      </c>
      <c r="D558" s="178" t="s">
        <v>19</v>
      </c>
      <c r="E558" s="333" t="s">
        <v>1267</v>
      </c>
      <c r="F558" s="179" t="str">
        <f>IF(AND(COUNTIF('Build &amp; Totals'!$A$4:$B$12,$C558)&gt;=1,Class=$B558),$A558,"")</f>
        <v/>
      </c>
    </row>
    <row r="559" spans="1:6">
      <c r="A559" s="331" t="s">
        <v>1268</v>
      </c>
      <c r="B559" s="332" t="s">
        <v>1263</v>
      </c>
      <c r="C559" s="332" t="s">
        <v>1264</v>
      </c>
      <c r="D559" s="178" t="s">
        <v>19</v>
      </c>
      <c r="E559" s="333" t="s">
        <v>1269</v>
      </c>
      <c r="F559" s="179" t="str">
        <f>IF(AND(COUNTIF('Build &amp; Totals'!$A$4:$B$12,$C559)&gt;=1,Class=$B559),$A559,"")</f>
        <v/>
      </c>
    </row>
    <row r="560" spans="1:6" ht="23.25">
      <c r="A560" s="331" t="s">
        <v>1270</v>
      </c>
      <c r="B560" s="332" t="s">
        <v>1263</v>
      </c>
      <c r="C560" s="332" t="s">
        <v>1264</v>
      </c>
      <c r="D560" s="178" t="s">
        <v>19</v>
      </c>
      <c r="E560" s="333" t="s">
        <v>1271</v>
      </c>
      <c r="F560" s="179" t="str">
        <f>IF(AND(COUNTIF('Build &amp; Totals'!$A$4:$B$12,$C560)&gt;=1,Class=$B560),$A560,"")</f>
        <v/>
      </c>
    </row>
    <row r="561" spans="1:6">
      <c r="A561" s="331" t="s">
        <v>1272</v>
      </c>
      <c r="B561" s="332" t="s">
        <v>1263</v>
      </c>
      <c r="C561" s="332" t="s">
        <v>1264</v>
      </c>
      <c r="D561" s="178" t="s">
        <v>95</v>
      </c>
      <c r="E561" s="333" t="s">
        <v>1273</v>
      </c>
      <c r="F561" s="179" t="str">
        <f>IF(AND(COUNTIF('Build &amp; Totals'!$A$4:$B$12,$C561)&gt;=1,Class=$B561),$A561,"")</f>
        <v/>
      </c>
    </row>
    <row r="562" spans="1:6">
      <c r="A562" s="331" t="s">
        <v>1274</v>
      </c>
      <c r="B562" s="332" t="s">
        <v>1263</v>
      </c>
      <c r="C562" s="332" t="s">
        <v>1264</v>
      </c>
      <c r="D562" s="178" t="s">
        <v>22</v>
      </c>
      <c r="E562" s="333" t="s">
        <v>1275</v>
      </c>
      <c r="F562" s="179" t="str">
        <f>IF(AND(COUNTIF('Build &amp; Totals'!$A$4:$B$12,$C562)&gt;=1,Class=$B562),$A562,"")</f>
        <v/>
      </c>
    </row>
    <row r="563" spans="1:6">
      <c r="A563" s="331" t="s">
        <v>1276</v>
      </c>
      <c r="B563" s="332" t="s">
        <v>1263</v>
      </c>
      <c r="C563" s="332" t="s">
        <v>1264</v>
      </c>
      <c r="D563" s="178" t="s">
        <v>22</v>
      </c>
      <c r="E563" s="333" t="s">
        <v>1277</v>
      </c>
      <c r="F563" s="179" t="str">
        <f>IF(AND(COUNTIF('Build &amp; Totals'!$A$4:$B$12,$C563)&gt;=1,Class=$B563),$A563,"")</f>
        <v/>
      </c>
    </row>
    <row r="564" spans="1:6">
      <c r="A564" s="331" t="s">
        <v>1278</v>
      </c>
      <c r="B564" s="332" t="s">
        <v>1263</v>
      </c>
      <c r="C564" s="332" t="s">
        <v>1264</v>
      </c>
      <c r="D564" s="178" t="s">
        <v>22</v>
      </c>
      <c r="E564" s="333" t="s">
        <v>1279</v>
      </c>
      <c r="F564" s="179" t="str">
        <f>IF(AND(COUNTIF('Build &amp; Totals'!$A$4:$B$12,$C564)&gt;=1,Class=$B564),$A564,"")</f>
        <v/>
      </c>
    </row>
    <row r="565" spans="1:6">
      <c r="A565" s="331" t="s">
        <v>1280</v>
      </c>
      <c r="B565" s="332" t="s">
        <v>1263</v>
      </c>
      <c r="C565" s="332" t="s">
        <v>1264</v>
      </c>
      <c r="D565" s="178" t="s">
        <v>98</v>
      </c>
      <c r="E565" s="333" t="s">
        <v>1281</v>
      </c>
      <c r="F565" s="179" t="str">
        <f>IF(AND(COUNTIF('Build &amp; Totals'!$A$4:$B$12,$C565)&gt;=1,Class=$B565),$A565,"")</f>
        <v/>
      </c>
    </row>
    <row r="566" spans="1:6" ht="23.25">
      <c r="A566" s="331" t="s">
        <v>1282</v>
      </c>
      <c r="B566" s="332" t="s">
        <v>1263</v>
      </c>
      <c r="C566" s="332" t="s">
        <v>1264</v>
      </c>
      <c r="D566" s="178" t="s">
        <v>24</v>
      </c>
      <c r="E566" s="333" t="s">
        <v>1283</v>
      </c>
      <c r="F566" s="179" t="str">
        <f>IF(AND(COUNTIF('Build &amp; Totals'!$A$4:$B$12,$C566)&gt;=1,Class=$B566),$A566,"")</f>
        <v/>
      </c>
    </row>
    <row r="567" spans="1:6" ht="35.25">
      <c r="A567" s="331" t="s">
        <v>1284</v>
      </c>
      <c r="B567" s="332" t="s">
        <v>1263</v>
      </c>
      <c r="C567" s="332" t="s">
        <v>1264</v>
      </c>
      <c r="D567" s="178" t="s">
        <v>24</v>
      </c>
      <c r="E567" s="333" t="s">
        <v>1285</v>
      </c>
      <c r="F567" s="179" t="str">
        <f>IF(AND(COUNTIF('Build &amp; Totals'!$A$4:$B$12,$C567)&gt;=1,Class=$B567),$A567,"")</f>
        <v/>
      </c>
    </row>
    <row r="568" spans="1:6">
      <c r="A568" s="331" t="s">
        <v>1286</v>
      </c>
      <c r="B568" s="332" t="s">
        <v>1263</v>
      </c>
      <c r="C568" s="332" t="s">
        <v>1264</v>
      </c>
      <c r="D568" s="178" t="s">
        <v>24</v>
      </c>
      <c r="E568" s="333" t="s">
        <v>1287</v>
      </c>
      <c r="F568" s="179" t="str">
        <f>IF(AND(COUNTIF('Build &amp; Totals'!$A$4:$B$12,$C568)&gt;=1,Class=$B568),$A568,"")</f>
        <v/>
      </c>
    </row>
    <row r="569" spans="1:6">
      <c r="A569" s="331" t="s">
        <v>1288</v>
      </c>
      <c r="B569" s="332" t="s">
        <v>1263</v>
      </c>
      <c r="C569" s="332" t="s">
        <v>1289</v>
      </c>
      <c r="D569" s="178" t="s">
        <v>94</v>
      </c>
      <c r="E569" s="333" t="s">
        <v>1290</v>
      </c>
      <c r="F569" s="179" t="str">
        <f>IF(AND(COUNTIF('Build &amp; Totals'!$A$4:$B$12,$C569)&gt;=1,Class=$B569),$A569,"")</f>
        <v/>
      </c>
    </row>
    <row r="570" spans="1:6">
      <c r="A570" s="331" t="s">
        <v>1291</v>
      </c>
      <c r="B570" s="332" t="s">
        <v>1263</v>
      </c>
      <c r="C570" s="332" t="s">
        <v>1289</v>
      </c>
      <c r="D570" s="178" t="s">
        <v>19</v>
      </c>
      <c r="E570" s="333" t="s">
        <v>1292</v>
      </c>
      <c r="F570" s="179" t="str">
        <f>IF(AND(COUNTIF('Build &amp; Totals'!$A$4:$B$12,$C570)&gt;=1,Class=$B570),$A570,"")</f>
        <v/>
      </c>
    </row>
    <row r="571" spans="1:6">
      <c r="A571" s="331" t="s">
        <v>1293</v>
      </c>
      <c r="B571" s="332" t="s">
        <v>1263</v>
      </c>
      <c r="C571" s="332" t="s">
        <v>1289</v>
      </c>
      <c r="D571" s="178" t="s">
        <v>19</v>
      </c>
      <c r="E571" s="333" t="s">
        <v>1294</v>
      </c>
      <c r="F571" s="179" t="str">
        <f>IF(AND(COUNTIF('Build &amp; Totals'!$A$4:$B$12,$C571)&gt;=1,Class=$B571),$A571,"")</f>
        <v/>
      </c>
    </row>
    <row r="572" spans="1:6" ht="23.25">
      <c r="A572" s="331" t="s">
        <v>1295</v>
      </c>
      <c r="B572" s="332" t="s">
        <v>1263</v>
      </c>
      <c r="C572" s="332" t="s">
        <v>1289</v>
      </c>
      <c r="D572" s="178" t="s">
        <v>19</v>
      </c>
      <c r="E572" s="333" t="s">
        <v>1296</v>
      </c>
      <c r="F572" s="179" t="str">
        <f>IF(AND(COUNTIF('Build &amp; Totals'!$A$4:$B$12,$C572)&gt;=1,Class=$B572),$A572,"")</f>
        <v/>
      </c>
    </row>
    <row r="573" spans="1:6">
      <c r="A573" s="331" t="s">
        <v>1297</v>
      </c>
      <c r="B573" s="332" t="s">
        <v>1263</v>
      </c>
      <c r="C573" s="332" t="s">
        <v>1289</v>
      </c>
      <c r="D573" s="178" t="s">
        <v>95</v>
      </c>
      <c r="E573" s="333" t="s">
        <v>1298</v>
      </c>
      <c r="F573" s="179" t="str">
        <f>IF(AND(COUNTIF('Build &amp; Totals'!$A$4:$B$12,$C573)&gt;=1,Class=$B573),$A573,"")</f>
        <v/>
      </c>
    </row>
    <row r="574" spans="1:6">
      <c r="A574" s="331" t="s">
        <v>1299</v>
      </c>
      <c r="B574" s="332" t="s">
        <v>1263</v>
      </c>
      <c r="C574" s="332" t="s">
        <v>1289</v>
      </c>
      <c r="D574" s="178" t="s">
        <v>22</v>
      </c>
      <c r="E574" s="333" t="s">
        <v>1300</v>
      </c>
      <c r="F574" s="179" t="str">
        <f>IF(AND(COUNTIF('Build &amp; Totals'!$A$4:$B$12,$C574)&gt;=1,Class=$B574),$A574,"")</f>
        <v/>
      </c>
    </row>
    <row r="575" spans="1:6">
      <c r="A575" s="331" t="s">
        <v>1301</v>
      </c>
      <c r="B575" s="332" t="s">
        <v>1263</v>
      </c>
      <c r="C575" s="332" t="s">
        <v>1289</v>
      </c>
      <c r="D575" s="178" t="s">
        <v>22</v>
      </c>
      <c r="E575" s="333" t="s">
        <v>1302</v>
      </c>
      <c r="F575" s="179" t="str">
        <f>IF(AND(COUNTIF('Build &amp; Totals'!$A$4:$B$12,$C575)&gt;=1,Class=$B575),$A575,"")</f>
        <v/>
      </c>
    </row>
    <row r="576" spans="1:6">
      <c r="A576" s="331" t="s">
        <v>1303</v>
      </c>
      <c r="B576" s="332" t="s">
        <v>1263</v>
      </c>
      <c r="C576" s="332" t="s">
        <v>1289</v>
      </c>
      <c r="D576" s="178" t="s">
        <v>22</v>
      </c>
      <c r="E576" s="333" t="s">
        <v>1304</v>
      </c>
      <c r="F576" s="179" t="str">
        <f>IF(AND(COUNTIF('Build &amp; Totals'!$A$4:$B$12,$C576)&gt;=1,Class=$B576),$A576,"")</f>
        <v/>
      </c>
    </row>
    <row r="577" spans="1:6">
      <c r="A577" s="331" t="s">
        <v>1305</v>
      </c>
      <c r="B577" s="332" t="s">
        <v>1263</v>
      </c>
      <c r="C577" s="332" t="s">
        <v>1289</v>
      </c>
      <c r="D577" s="178" t="s">
        <v>98</v>
      </c>
      <c r="E577" s="333" t="s">
        <v>1306</v>
      </c>
      <c r="F577" s="179" t="str">
        <f>IF(AND(COUNTIF('Build &amp; Totals'!$A$4:$B$12,$C577)&gt;=1,Class=$B577),$A577,"")</f>
        <v/>
      </c>
    </row>
    <row r="578" spans="1:6" ht="23.25">
      <c r="A578" s="331" t="s">
        <v>1307</v>
      </c>
      <c r="B578" s="332" t="s">
        <v>1263</v>
      </c>
      <c r="C578" s="332" t="s">
        <v>1289</v>
      </c>
      <c r="D578" s="178" t="s">
        <v>24</v>
      </c>
      <c r="E578" s="333" t="s">
        <v>1308</v>
      </c>
      <c r="F578" s="179" t="str">
        <f>IF(AND(COUNTIF('Build &amp; Totals'!$A$4:$B$12,$C578)&gt;=1,Class=$B578),$A578,"")</f>
        <v/>
      </c>
    </row>
    <row r="579" spans="1:6" ht="23.25">
      <c r="A579" s="331" t="s">
        <v>1309</v>
      </c>
      <c r="B579" s="332" t="s">
        <v>1263</v>
      </c>
      <c r="C579" s="332" t="s">
        <v>1289</v>
      </c>
      <c r="D579" s="178" t="s">
        <v>24</v>
      </c>
      <c r="E579" s="333" t="s">
        <v>1310</v>
      </c>
      <c r="F579" s="179" t="str">
        <f>IF(AND(COUNTIF('Build &amp; Totals'!$A$4:$B$12,$C579)&gt;=1,Class=$B579),$A579,"")</f>
        <v/>
      </c>
    </row>
    <row r="580" spans="1:6" ht="23.25">
      <c r="A580" s="331" t="s">
        <v>1311</v>
      </c>
      <c r="B580" s="332" t="s">
        <v>1263</v>
      </c>
      <c r="C580" s="332" t="s">
        <v>1289</v>
      </c>
      <c r="D580" s="178" t="s">
        <v>24</v>
      </c>
      <c r="E580" s="333" t="s">
        <v>1312</v>
      </c>
      <c r="F580" s="179" t="str">
        <f>IF(AND(COUNTIF('Build &amp; Totals'!$A$4:$B$12,$C580)&gt;=1,Class=$B580),$A580,"")</f>
        <v/>
      </c>
    </row>
    <row r="581" spans="1:6" ht="23.25">
      <c r="A581" s="331" t="s">
        <v>1313</v>
      </c>
      <c r="B581" s="332" t="s">
        <v>1263</v>
      </c>
      <c r="C581" s="332" t="s">
        <v>1314</v>
      </c>
      <c r="D581" s="178" t="s">
        <v>94</v>
      </c>
      <c r="E581" s="333" t="s">
        <v>1315</v>
      </c>
      <c r="F581" s="179" t="str">
        <f>IF(AND(COUNTIF('Build &amp; Totals'!$A$4:$B$12,$C581)&gt;=1,Class=$B581),$A581,"")</f>
        <v/>
      </c>
    </row>
    <row r="582" spans="1:6">
      <c r="A582" s="331" t="s">
        <v>1316</v>
      </c>
      <c r="B582" s="332" t="s">
        <v>1263</v>
      </c>
      <c r="C582" s="332" t="s">
        <v>1314</v>
      </c>
      <c r="D582" s="178" t="s">
        <v>19</v>
      </c>
      <c r="E582" s="333" t="s">
        <v>1317</v>
      </c>
      <c r="F582" s="179" t="str">
        <f>IF(AND(COUNTIF('Build &amp; Totals'!$A$4:$B$12,$C582)&gt;=1,Class=$B582),$A582,"")</f>
        <v/>
      </c>
    </row>
    <row r="583" spans="1:6">
      <c r="A583" s="331" t="s">
        <v>1318</v>
      </c>
      <c r="B583" s="332" t="s">
        <v>1263</v>
      </c>
      <c r="C583" s="332" t="s">
        <v>1314</v>
      </c>
      <c r="D583" s="178" t="s">
        <v>19</v>
      </c>
      <c r="E583" s="333" t="s">
        <v>1319</v>
      </c>
      <c r="F583" s="179" t="str">
        <f>IF(AND(COUNTIF('Build &amp; Totals'!$A$4:$B$12,$C583)&gt;=1,Class=$B583),$A583,"")</f>
        <v/>
      </c>
    </row>
    <row r="584" spans="1:6" ht="23.25">
      <c r="A584" s="331" t="s">
        <v>1320</v>
      </c>
      <c r="B584" s="332" t="s">
        <v>1263</v>
      </c>
      <c r="C584" s="332" t="s">
        <v>1314</v>
      </c>
      <c r="D584" s="178" t="s">
        <v>19</v>
      </c>
      <c r="E584" s="333" t="s">
        <v>1321</v>
      </c>
      <c r="F584" s="179" t="str">
        <f>IF(AND(COUNTIF('Build &amp; Totals'!$A$4:$B$12,$C584)&gt;=1,Class=$B584),$A584,"")</f>
        <v/>
      </c>
    </row>
    <row r="585" spans="1:6">
      <c r="A585" s="331" t="s">
        <v>1322</v>
      </c>
      <c r="B585" s="332" t="s">
        <v>1263</v>
      </c>
      <c r="C585" s="332" t="s">
        <v>1314</v>
      </c>
      <c r="D585" s="178" t="s">
        <v>95</v>
      </c>
      <c r="E585" s="333" t="s">
        <v>1323</v>
      </c>
      <c r="F585" s="179" t="str">
        <f>IF(AND(COUNTIF('Build &amp; Totals'!$A$4:$B$12,$C585)&gt;=1,Class=$B585),$A585,"")</f>
        <v/>
      </c>
    </row>
    <row r="586" spans="1:6">
      <c r="A586" s="331" t="s">
        <v>1324</v>
      </c>
      <c r="B586" s="332" t="s">
        <v>1263</v>
      </c>
      <c r="C586" s="332" t="s">
        <v>1314</v>
      </c>
      <c r="D586" s="178" t="s">
        <v>22</v>
      </c>
      <c r="E586" s="333" t="s">
        <v>1325</v>
      </c>
      <c r="F586" s="179" t="str">
        <f>IF(AND(COUNTIF('Build &amp; Totals'!$A$4:$B$12,$C586)&gt;=1,Class=$B586),$A586,"")</f>
        <v/>
      </c>
    </row>
    <row r="587" spans="1:6" ht="23.25">
      <c r="A587" s="331" t="s">
        <v>1326</v>
      </c>
      <c r="B587" s="332" t="s">
        <v>1263</v>
      </c>
      <c r="C587" s="332" t="s">
        <v>1314</v>
      </c>
      <c r="D587" s="178" t="s">
        <v>22</v>
      </c>
      <c r="E587" s="333" t="s">
        <v>1327</v>
      </c>
      <c r="F587" s="179" t="str">
        <f>IF(AND(COUNTIF('Build &amp; Totals'!$A$4:$B$12,$C587)&gt;=1,Class=$B587),$A587,"")</f>
        <v/>
      </c>
    </row>
    <row r="588" spans="1:6">
      <c r="A588" s="331" t="s">
        <v>1328</v>
      </c>
      <c r="B588" s="332" t="s">
        <v>1263</v>
      </c>
      <c r="C588" s="332" t="s">
        <v>1314</v>
      </c>
      <c r="D588" s="178" t="s">
        <v>22</v>
      </c>
      <c r="E588" s="333" t="s">
        <v>1329</v>
      </c>
      <c r="F588" s="179" t="str">
        <f>IF(AND(COUNTIF('Build &amp; Totals'!$A$4:$B$12,$C588)&gt;=1,Class=$B588),$A588,"")</f>
        <v/>
      </c>
    </row>
    <row r="589" spans="1:6">
      <c r="A589" s="331" t="s">
        <v>1330</v>
      </c>
      <c r="B589" s="332" t="s">
        <v>1263</v>
      </c>
      <c r="C589" s="332" t="s">
        <v>1314</v>
      </c>
      <c r="D589" s="178" t="s">
        <v>98</v>
      </c>
      <c r="E589" s="333" t="s">
        <v>1331</v>
      </c>
      <c r="F589" s="179" t="str">
        <f>IF(AND(COUNTIF('Build &amp; Totals'!$A$4:$B$12,$C589)&gt;=1,Class=$B589),$A589,"")</f>
        <v/>
      </c>
    </row>
    <row r="590" spans="1:6" ht="23.25">
      <c r="A590" s="331" t="s">
        <v>1332</v>
      </c>
      <c r="B590" s="332" t="s">
        <v>1263</v>
      </c>
      <c r="C590" s="332" t="s">
        <v>1314</v>
      </c>
      <c r="D590" s="178" t="s">
        <v>24</v>
      </c>
      <c r="E590" s="333" t="s">
        <v>1333</v>
      </c>
      <c r="F590" s="179" t="str">
        <f>IF(AND(COUNTIF('Build &amp; Totals'!$A$4:$B$12,$C590)&gt;=1,Class=$B590),$A590,"")</f>
        <v/>
      </c>
    </row>
    <row r="591" spans="1:6">
      <c r="A591" s="331" t="s">
        <v>1334</v>
      </c>
      <c r="B591" s="332" t="s">
        <v>1263</v>
      </c>
      <c r="C591" s="332" t="s">
        <v>1314</v>
      </c>
      <c r="D591" s="178" t="s">
        <v>24</v>
      </c>
      <c r="E591" s="333" t="s">
        <v>1335</v>
      </c>
      <c r="F591" s="179" t="str">
        <f>IF(AND(COUNTIF('Build &amp; Totals'!$A$4:$B$12,$C591)&gt;=1,Class=$B591),$A591,"")</f>
        <v/>
      </c>
    </row>
    <row r="592" spans="1:6" ht="23.25">
      <c r="A592" s="331" t="s">
        <v>1336</v>
      </c>
      <c r="B592" s="332" t="s">
        <v>1263</v>
      </c>
      <c r="C592" s="332" t="s">
        <v>1314</v>
      </c>
      <c r="D592" s="178" t="s">
        <v>24</v>
      </c>
      <c r="E592" s="333" t="s">
        <v>1337</v>
      </c>
      <c r="F592" s="179" t="str">
        <f>IF(AND(COUNTIF('Build &amp; Totals'!$A$4:$B$12,$C592)&gt;=1,Class=$B592),$A592,"")</f>
        <v/>
      </c>
    </row>
    <row r="593" spans="1:6">
      <c r="A593" s="331" t="s">
        <v>1338</v>
      </c>
      <c r="B593" s="332" t="s">
        <v>1263</v>
      </c>
      <c r="C593" s="332" t="s">
        <v>1339</v>
      </c>
      <c r="D593" s="178" t="s">
        <v>94</v>
      </c>
      <c r="E593" s="333" t="s">
        <v>1340</v>
      </c>
      <c r="F593" s="179" t="str">
        <f>IF(AND(COUNTIF('Build &amp; Totals'!$A$4:$B$12,$C593)&gt;=1,Class=$B593),$A593,"")</f>
        <v/>
      </c>
    </row>
    <row r="594" spans="1:6">
      <c r="A594" s="331" t="s">
        <v>1341</v>
      </c>
      <c r="B594" s="332" t="s">
        <v>1263</v>
      </c>
      <c r="C594" s="332" t="s">
        <v>1339</v>
      </c>
      <c r="D594" s="178" t="s">
        <v>19</v>
      </c>
      <c r="E594" s="333" t="s">
        <v>1342</v>
      </c>
      <c r="F594" s="179" t="str">
        <f>IF(AND(COUNTIF('Build &amp; Totals'!$A$4:$B$12,$C594)&gt;=1,Class=$B594),$A594,"")</f>
        <v/>
      </c>
    </row>
    <row r="595" spans="1:6">
      <c r="A595" s="331" t="s">
        <v>1343</v>
      </c>
      <c r="B595" s="332" t="s">
        <v>1263</v>
      </c>
      <c r="C595" s="332" t="s">
        <v>1339</v>
      </c>
      <c r="D595" s="178" t="s">
        <v>19</v>
      </c>
      <c r="E595" s="333" t="s">
        <v>1344</v>
      </c>
      <c r="F595" s="179" t="str">
        <f>IF(AND(COUNTIF('Build &amp; Totals'!$A$4:$B$12,$C595)&gt;=1,Class=$B595),$A595,"")</f>
        <v/>
      </c>
    </row>
    <row r="596" spans="1:6">
      <c r="A596" s="331" t="s">
        <v>1345</v>
      </c>
      <c r="B596" s="332" t="s">
        <v>1263</v>
      </c>
      <c r="C596" s="332" t="s">
        <v>1339</v>
      </c>
      <c r="D596" s="178" t="s">
        <v>19</v>
      </c>
      <c r="E596" s="333" t="s">
        <v>1346</v>
      </c>
      <c r="F596" s="179" t="str">
        <f>IF(AND(COUNTIF('Build &amp; Totals'!$A$4:$B$12,$C596)&gt;=1,Class=$B596),$A596,"")</f>
        <v/>
      </c>
    </row>
    <row r="597" spans="1:6">
      <c r="A597" s="331" t="s">
        <v>1347</v>
      </c>
      <c r="B597" s="332" t="s">
        <v>1263</v>
      </c>
      <c r="C597" s="332" t="s">
        <v>1339</v>
      </c>
      <c r="D597" s="178" t="s">
        <v>95</v>
      </c>
      <c r="E597" s="333" t="s">
        <v>1348</v>
      </c>
      <c r="F597" s="179" t="str">
        <f>IF(AND(COUNTIF('Build &amp; Totals'!$A$4:$B$12,$C597)&gt;=1,Class=$B597),$A597,"")</f>
        <v/>
      </c>
    </row>
    <row r="598" spans="1:6">
      <c r="A598" s="331" t="s">
        <v>1349</v>
      </c>
      <c r="B598" s="332" t="s">
        <v>1263</v>
      </c>
      <c r="C598" s="332" t="s">
        <v>1339</v>
      </c>
      <c r="D598" s="178" t="s">
        <v>22</v>
      </c>
      <c r="E598" s="333" t="s">
        <v>1350</v>
      </c>
      <c r="F598" s="179" t="str">
        <f>IF(AND(COUNTIF('Build &amp; Totals'!$A$4:$B$12,$C598)&gt;=1,Class=$B598),$A598,"")</f>
        <v/>
      </c>
    </row>
    <row r="599" spans="1:6" ht="23.25">
      <c r="A599" s="331" t="s">
        <v>1351</v>
      </c>
      <c r="B599" s="332" t="s">
        <v>1263</v>
      </c>
      <c r="C599" s="332" t="s">
        <v>1339</v>
      </c>
      <c r="D599" s="178" t="s">
        <v>22</v>
      </c>
      <c r="E599" s="333" t="s">
        <v>1352</v>
      </c>
      <c r="F599" s="179" t="str">
        <f>IF(AND(COUNTIF('Build &amp; Totals'!$A$4:$B$12,$C599)&gt;=1,Class=$B599),$A599,"")</f>
        <v/>
      </c>
    </row>
    <row r="600" spans="1:6">
      <c r="A600" s="331" t="s">
        <v>1353</v>
      </c>
      <c r="B600" s="332" t="s">
        <v>1263</v>
      </c>
      <c r="C600" s="332" t="s">
        <v>1339</v>
      </c>
      <c r="D600" s="178" t="s">
        <v>22</v>
      </c>
      <c r="E600" s="333" t="s">
        <v>1354</v>
      </c>
      <c r="F600" s="179" t="str">
        <f>IF(AND(COUNTIF('Build &amp; Totals'!$A$4:$B$12,$C600)&gt;=1,Class=$B600),$A600,"")</f>
        <v/>
      </c>
    </row>
    <row r="601" spans="1:6">
      <c r="A601" s="331" t="s">
        <v>1355</v>
      </c>
      <c r="B601" s="332" t="s">
        <v>1263</v>
      </c>
      <c r="C601" s="332" t="s">
        <v>1339</v>
      </c>
      <c r="D601" s="178" t="s">
        <v>98</v>
      </c>
      <c r="E601" s="333" t="s">
        <v>1356</v>
      </c>
      <c r="F601" s="179" t="str">
        <f>IF(AND(COUNTIF('Build &amp; Totals'!$A$4:$B$12,$C601)&gt;=1,Class=$B601),$A601,"")</f>
        <v/>
      </c>
    </row>
    <row r="602" spans="1:6">
      <c r="A602" s="331" t="s">
        <v>1357</v>
      </c>
      <c r="B602" s="332" t="s">
        <v>1263</v>
      </c>
      <c r="C602" s="332" t="s">
        <v>1339</v>
      </c>
      <c r="D602" s="178" t="s">
        <v>24</v>
      </c>
      <c r="E602" s="333" t="s">
        <v>1358</v>
      </c>
      <c r="F602" s="179" t="str">
        <f>IF(AND(COUNTIF('Build &amp; Totals'!$A$4:$B$12,$C602)&gt;=1,Class=$B602),$A602,"")</f>
        <v/>
      </c>
    </row>
    <row r="603" spans="1:6" ht="23.25">
      <c r="A603" s="331" t="s">
        <v>1359</v>
      </c>
      <c r="B603" s="332" t="s">
        <v>1263</v>
      </c>
      <c r="C603" s="332" t="s">
        <v>1339</v>
      </c>
      <c r="D603" s="178" t="s">
        <v>24</v>
      </c>
      <c r="E603" s="333" t="s">
        <v>1360</v>
      </c>
      <c r="F603" s="179" t="str">
        <f>IF(AND(COUNTIF('Build &amp; Totals'!$A$4:$B$12,$C603)&gt;=1,Class=$B603),$A603,"")</f>
        <v/>
      </c>
    </row>
    <row r="604" spans="1:6" ht="23.25">
      <c r="A604" s="331" t="s">
        <v>1361</v>
      </c>
      <c r="B604" s="332" t="s">
        <v>1263</v>
      </c>
      <c r="C604" s="332" t="s">
        <v>1339</v>
      </c>
      <c r="D604" s="178" t="s">
        <v>24</v>
      </c>
      <c r="E604" s="333" t="s">
        <v>1362</v>
      </c>
      <c r="F604" s="179" t="str">
        <f>IF(AND(COUNTIF('Build &amp; Totals'!$A$4:$B$12,$C604)&gt;=1,Class=$B604),$A604,"")</f>
        <v/>
      </c>
    </row>
    <row r="605" spans="1:6">
      <c r="A605" s="331" t="s">
        <v>1363</v>
      </c>
      <c r="B605" s="332" t="s">
        <v>1263</v>
      </c>
      <c r="C605" s="332" t="s">
        <v>1364</v>
      </c>
      <c r="D605" s="178" t="s">
        <v>94</v>
      </c>
      <c r="E605" s="333" t="s">
        <v>1365</v>
      </c>
      <c r="F605" s="179" t="str">
        <f>IF(AND(COUNTIF('Build &amp; Totals'!$A$4:$B$12,$C605)&gt;=1,Class=$B605),$A605,"")</f>
        <v/>
      </c>
    </row>
    <row r="606" spans="1:6">
      <c r="A606" s="331" t="s">
        <v>1366</v>
      </c>
      <c r="B606" s="332" t="s">
        <v>1263</v>
      </c>
      <c r="C606" s="332" t="s">
        <v>1364</v>
      </c>
      <c r="D606" s="178" t="s">
        <v>19</v>
      </c>
      <c r="E606" s="333" t="s">
        <v>1367</v>
      </c>
      <c r="F606" s="179" t="str">
        <f>IF(AND(COUNTIF('Build &amp; Totals'!$A$4:$B$12,$C606)&gt;=1,Class=$B606),$A606,"")</f>
        <v/>
      </c>
    </row>
    <row r="607" spans="1:6">
      <c r="A607" s="331" t="s">
        <v>1368</v>
      </c>
      <c r="B607" s="332" t="s">
        <v>1263</v>
      </c>
      <c r="C607" s="332" t="s">
        <v>1364</v>
      </c>
      <c r="D607" s="178" t="s">
        <v>19</v>
      </c>
      <c r="E607" s="333" t="s">
        <v>1369</v>
      </c>
      <c r="F607" s="179" t="str">
        <f>IF(AND(COUNTIF('Build &amp; Totals'!$A$4:$B$12,$C607)&gt;=1,Class=$B607),$A607,"")</f>
        <v/>
      </c>
    </row>
    <row r="608" spans="1:6">
      <c r="A608" s="331" t="s">
        <v>1370</v>
      </c>
      <c r="B608" s="332" t="s">
        <v>1263</v>
      </c>
      <c r="C608" s="332" t="s">
        <v>1364</v>
      </c>
      <c r="D608" s="178" t="s">
        <v>19</v>
      </c>
      <c r="E608" s="333" t="s">
        <v>1371</v>
      </c>
      <c r="F608" s="179" t="str">
        <f>IF(AND(COUNTIF('Build &amp; Totals'!$A$4:$B$12,$C608)&gt;=1,Class=$B608),$A608,"")</f>
        <v/>
      </c>
    </row>
    <row r="609" spans="1:6">
      <c r="A609" s="331" t="s">
        <v>1372</v>
      </c>
      <c r="B609" s="332" t="s">
        <v>1263</v>
      </c>
      <c r="C609" s="332" t="s">
        <v>1364</v>
      </c>
      <c r="D609" s="178" t="s">
        <v>95</v>
      </c>
      <c r="E609" s="333" t="s">
        <v>1373</v>
      </c>
      <c r="F609" s="179" t="str">
        <f>IF(AND(COUNTIF('Build &amp; Totals'!$A$4:$B$12,$C609)&gt;=1,Class=$B609),$A609,"")</f>
        <v/>
      </c>
    </row>
    <row r="610" spans="1:6" ht="23.25">
      <c r="A610" s="331" t="s">
        <v>1374</v>
      </c>
      <c r="B610" s="332" t="s">
        <v>1263</v>
      </c>
      <c r="C610" s="332" t="s">
        <v>1364</v>
      </c>
      <c r="D610" s="178" t="s">
        <v>22</v>
      </c>
      <c r="E610" s="333" t="s">
        <v>1375</v>
      </c>
      <c r="F610" s="179" t="str">
        <f>IF(AND(COUNTIF('Build &amp; Totals'!$A$4:$B$12,$C610)&gt;=1,Class=$B610),$A610,"")</f>
        <v/>
      </c>
    </row>
    <row r="611" spans="1:6">
      <c r="A611" s="331" t="s">
        <v>1376</v>
      </c>
      <c r="B611" s="332" t="s">
        <v>1263</v>
      </c>
      <c r="C611" s="332" t="s">
        <v>1364</v>
      </c>
      <c r="D611" s="178" t="s">
        <v>22</v>
      </c>
      <c r="E611" s="333" t="s">
        <v>1377</v>
      </c>
      <c r="F611" s="179" t="str">
        <f>IF(AND(COUNTIF('Build &amp; Totals'!$A$4:$B$12,$C611)&gt;=1,Class=$B611),$A611,"")</f>
        <v/>
      </c>
    </row>
    <row r="612" spans="1:6" ht="23.25">
      <c r="A612" s="331" t="s">
        <v>1378</v>
      </c>
      <c r="B612" s="332" t="s">
        <v>1263</v>
      </c>
      <c r="C612" s="332" t="s">
        <v>1364</v>
      </c>
      <c r="D612" s="178" t="s">
        <v>22</v>
      </c>
      <c r="E612" s="333" t="s">
        <v>1379</v>
      </c>
      <c r="F612" s="179" t="str">
        <f>IF(AND(COUNTIF('Build &amp; Totals'!$A$4:$B$12,$C612)&gt;=1,Class=$B612),$A612,"")</f>
        <v/>
      </c>
    </row>
    <row r="613" spans="1:6">
      <c r="A613" s="331" t="s">
        <v>1380</v>
      </c>
      <c r="B613" s="332" t="s">
        <v>1263</v>
      </c>
      <c r="C613" s="332" t="s">
        <v>1364</v>
      </c>
      <c r="D613" s="178" t="s">
        <v>98</v>
      </c>
      <c r="E613" s="333" t="s">
        <v>1381</v>
      </c>
      <c r="F613" s="179" t="str">
        <f>IF(AND(COUNTIF('Build &amp; Totals'!$A$4:$B$12,$C613)&gt;=1,Class=$B613),$A613,"")</f>
        <v/>
      </c>
    </row>
    <row r="614" spans="1:6">
      <c r="A614" s="331" t="s">
        <v>1382</v>
      </c>
      <c r="B614" s="332" t="s">
        <v>1263</v>
      </c>
      <c r="C614" s="332" t="s">
        <v>1364</v>
      </c>
      <c r="D614" s="178" t="s">
        <v>24</v>
      </c>
      <c r="E614" s="333" t="s">
        <v>1383</v>
      </c>
      <c r="F614" s="179" t="str">
        <f>IF(AND(COUNTIF('Build &amp; Totals'!$A$4:$B$12,$C614)&gt;=1,Class=$B614),$A614,"")</f>
        <v/>
      </c>
    </row>
    <row r="615" spans="1:6">
      <c r="A615" s="331" t="s">
        <v>1384</v>
      </c>
      <c r="B615" s="332" t="s">
        <v>1263</v>
      </c>
      <c r="C615" s="332" t="s">
        <v>1364</v>
      </c>
      <c r="D615" s="178" t="s">
        <v>24</v>
      </c>
      <c r="E615" s="333" t="s">
        <v>1385</v>
      </c>
      <c r="F615" s="179" t="str">
        <f>IF(AND(COUNTIF('Build &amp; Totals'!$A$4:$B$12,$C615)&gt;=1,Class=$B615),$A615,"")</f>
        <v/>
      </c>
    </row>
    <row r="616" spans="1:6">
      <c r="A616" s="331" t="s">
        <v>1386</v>
      </c>
      <c r="B616" s="332" t="s">
        <v>1263</v>
      </c>
      <c r="C616" s="332" t="s">
        <v>1364</v>
      </c>
      <c r="D616" s="178" t="s">
        <v>24</v>
      </c>
      <c r="E616" s="333" t="s">
        <v>1387</v>
      </c>
      <c r="F616" s="179" t="str">
        <f>IF(AND(COUNTIF('Build &amp; Totals'!$A$4:$B$12,$C616)&gt;=1,Class=$B616),$A616,"")</f>
        <v/>
      </c>
    </row>
    <row r="617" spans="1:6">
      <c r="A617" s="331" t="s">
        <v>1159</v>
      </c>
      <c r="B617" s="332" t="s">
        <v>1263</v>
      </c>
      <c r="C617" s="332" t="s">
        <v>1388</v>
      </c>
      <c r="D617" s="178" t="s">
        <v>238</v>
      </c>
      <c r="E617" s="333" t="s">
        <v>1161</v>
      </c>
      <c r="F617" s="179" t="str">
        <f>IF(AND(COUNTIF('Build &amp; Totals'!$A$4:$B$12,$C617)&gt;=1,Class=$B617),$A617,"")</f>
        <v/>
      </c>
    </row>
    <row r="618" spans="1:6">
      <c r="A618" s="331" t="s">
        <v>1389</v>
      </c>
      <c r="B618" s="332" t="s">
        <v>1263</v>
      </c>
      <c r="C618" s="332" t="s">
        <v>1388</v>
      </c>
      <c r="D618" s="178" t="s">
        <v>94</v>
      </c>
      <c r="E618" s="333" t="s">
        <v>1390</v>
      </c>
      <c r="F618" s="179" t="str">
        <f>IF(AND(COUNTIF('Build &amp; Totals'!$A$4:$B$12,$C618)&gt;=1,Class=$B618),$A618,"")</f>
        <v/>
      </c>
    </row>
    <row r="619" spans="1:6">
      <c r="A619" s="331" t="s">
        <v>1391</v>
      </c>
      <c r="B619" s="332" t="s">
        <v>1263</v>
      </c>
      <c r="C619" s="332" t="s">
        <v>1388</v>
      </c>
      <c r="D619" s="178" t="s">
        <v>19</v>
      </c>
      <c r="E619" s="333" t="s">
        <v>1392</v>
      </c>
      <c r="F619" s="179" t="str">
        <f>IF(AND(COUNTIF('Build &amp; Totals'!$A$4:$B$12,$C619)&gt;=1,Class=$B619),$A619,"")</f>
        <v/>
      </c>
    </row>
    <row r="620" spans="1:6">
      <c r="A620" s="331" t="s">
        <v>1393</v>
      </c>
      <c r="B620" s="332" t="s">
        <v>1263</v>
      </c>
      <c r="C620" s="332" t="s">
        <v>1388</v>
      </c>
      <c r="D620" s="178" t="s">
        <v>19</v>
      </c>
      <c r="E620" s="333" t="s">
        <v>1394</v>
      </c>
      <c r="F620" s="179" t="str">
        <f>IF(AND(COUNTIF('Build &amp; Totals'!$A$4:$B$12,$C620)&gt;=1,Class=$B620),$A620,"")</f>
        <v/>
      </c>
    </row>
    <row r="621" spans="1:6">
      <c r="A621" s="331" t="s">
        <v>1395</v>
      </c>
      <c r="B621" s="332" t="s">
        <v>1263</v>
      </c>
      <c r="C621" s="332" t="s">
        <v>1388</v>
      </c>
      <c r="D621" s="178" t="s">
        <v>19</v>
      </c>
      <c r="E621" s="333" t="s">
        <v>1396</v>
      </c>
      <c r="F621" s="179" t="str">
        <f>IF(AND(COUNTIF('Build &amp; Totals'!$A$4:$B$12,$C621)&gt;=1,Class=$B621),$A621,"")</f>
        <v/>
      </c>
    </row>
    <row r="622" spans="1:6" ht="23.25">
      <c r="A622" s="331" t="s">
        <v>1397</v>
      </c>
      <c r="B622" s="332" t="s">
        <v>1263</v>
      </c>
      <c r="C622" s="332" t="s">
        <v>1388</v>
      </c>
      <c r="D622" s="178" t="s">
        <v>95</v>
      </c>
      <c r="E622" s="333" t="s">
        <v>1398</v>
      </c>
      <c r="F622" s="179" t="str">
        <f>IF(AND(COUNTIF('Build &amp; Totals'!$A$4:$B$12,$C622)&gt;=1,Class=$B622),$A622,"")</f>
        <v/>
      </c>
    </row>
    <row r="623" spans="1:6" ht="23.25">
      <c r="A623" s="331" t="s">
        <v>1399</v>
      </c>
      <c r="B623" s="332" t="s">
        <v>1263</v>
      </c>
      <c r="C623" s="332" t="s">
        <v>1388</v>
      </c>
      <c r="D623" s="178" t="s">
        <v>22</v>
      </c>
      <c r="E623" s="333" t="s">
        <v>1400</v>
      </c>
      <c r="F623" s="179" t="str">
        <f>IF(AND(COUNTIF('Build &amp; Totals'!$A$4:$B$12,$C623)&gt;=1,Class=$B623),$A623,"")</f>
        <v/>
      </c>
    </row>
    <row r="624" spans="1:6">
      <c r="A624" s="331" t="s">
        <v>1401</v>
      </c>
      <c r="B624" s="332" t="s">
        <v>1263</v>
      </c>
      <c r="C624" s="332" t="s">
        <v>1388</v>
      </c>
      <c r="D624" s="178" t="s">
        <v>22</v>
      </c>
      <c r="E624" s="333" t="s">
        <v>1402</v>
      </c>
      <c r="F624" s="179" t="str">
        <f>IF(AND(COUNTIF('Build &amp; Totals'!$A$4:$B$12,$C624)&gt;=1,Class=$B624),$A624,"")</f>
        <v/>
      </c>
    </row>
    <row r="625" spans="1:6" ht="23.25">
      <c r="A625" s="331" t="s">
        <v>1403</v>
      </c>
      <c r="B625" s="332" t="s">
        <v>1263</v>
      </c>
      <c r="C625" s="332" t="s">
        <v>1388</v>
      </c>
      <c r="D625" s="178" t="s">
        <v>22</v>
      </c>
      <c r="E625" s="333" t="s">
        <v>1404</v>
      </c>
      <c r="F625" s="179" t="str">
        <f>IF(AND(COUNTIF('Build &amp; Totals'!$A$4:$B$12,$C625)&gt;=1,Class=$B625),$A625,"")</f>
        <v/>
      </c>
    </row>
    <row r="626" spans="1:6">
      <c r="A626" s="331" t="s">
        <v>1405</v>
      </c>
      <c r="B626" s="332" t="s">
        <v>1263</v>
      </c>
      <c r="C626" s="332" t="s">
        <v>1388</v>
      </c>
      <c r="D626" s="178" t="s">
        <v>98</v>
      </c>
      <c r="E626" s="333" t="s">
        <v>1406</v>
      </c>
      <c r="F626" s="179" t="str">
        <f>IF(AND(COUNTIF('Build &amp; Totals'!$A$4:$B$12,$C626)&gt;=1,Class=$B626),$A626,"")</f>
        <v/>
      </c>
    </row>
    <row r="627" spans="1:6" ht="23.25">
      <c r="A627" s="331" t="s">
        <v>1407</v>
      </c>
      <c r="B627" s="332" t="s">
        <v>1263</v>
      </c>
      <c r="C627" s="332" t="s">
        <v>1388</v>
      </c>
      <c r="D627" s="178" t="s">
        <v>24</v>
      </c>
      <c r="E627" s="333" t="s">
        <v>1408</v>
      </c>
      <c r="F627" s="179" t="str">
        <f>IF(AND(COUNTIF('Build &amp; Totals'!$A$4:$B$12,$C627)&gt;=1,Class=$B627),$A627,"")</f>
        <v/>
      </c>
    </row>
    <row r="628" spans="1:6" ht="23.25">
      <c r="A628" s="331" t="s">
        <v>1409</v>
      </c>
      <c r="B628" s="332" t="s">
        <v>1263</v>
      </c>
      <c r="C628" s="332" t="s">
        <v>1388</v>
      </c>
      <c r="D628" s="178" t="s">
        <v>24</v>
      </c>
      <c r="E628" s="333" t="s">
        <v>1410</v>
      </c>
      <c r="F628" s="179" t="str">
        <f>IF(AND(COUNTIF('Build &amp; Totals'!$A$4:$B$12,$C628)&gt;=1,Class=$B628),$A628,"")</f>
        <v/>
      </c>
    </row>
    <row r="629" spans="1:6" ht="23.25">
      <c r="A629" s="331" t="s">
        <v>1411</v>
      </c>
      <c r="B629" s="332" t="s">
        <v>1263</v>
      </c>
      <c r="C629" s="332" t="s">
        <v>1388</v>
      </c>
      <c r="D629" s="178" t="s">
        <v>24</v>
      </c>
      <c r="E629" s="333" t="s">
        <v>1412</v>
      </c>
      <c r="F629" s="179" t="str">
        <f>IF(AND(COUNTIF('Build &amp; Totals'!$A$4:$B$12,$C629)&gt;=1,Class=$B629),$A629,"")</f>
        <v/>
      </c>
    </row>
    <row r="630" spans="1:6">
      <c r="A630" s="331" t="s">
        <v>1413</v>
      </c>
      <c r="B630" s="332" t="s">
        <v>1263</v>
      </c>
      <c r="C630" s="332" t="s">
        <v>1414</v>
      </c>
      <c r="D630" s="178" t="s">
        <v>238</v>
      </c>
      <c r="E630" s="333" t="s">
        <v>1415</v>
      </c>
      <c r="F630" s="179" t="str">
        <f>IF(AND(COUNTIF('Build &amp; Totals'!$A$4:$B$12,$C630)&gt;=1,Class=$B630),$A630,"")</f>
        <v/>
      </c>
    </row>
    <row r="631" spans="1:6" ht="23.25">
      <c r="A631" s="331" t="s">
        <v>1416</v>
      </c>
      <c r="B631" s="332" t="s">
        <v>1263</v>
      </c>
      <c r="C631" s="332" t="s">
        <v>1414</v>
      </c>
      <c r="D631" s="178" t="s">
        <v>94</v>
      </c>
      <c r="E631" s="333" t="s">
        <v>1417</v>
      </c>
      <c r="F631" s="179" t="str">
        <f>IF(AND(COUNTIF('Build &amp; Totals'!$A$4:$B$12,$C631)&gt;=1,Class=$B631),$A631,"")</f>
        <v/>
      </c>
    </row>
    <row r="632" spans="1:6">
      <c r="A632" s="331" t="s">
        <v>1418</v>
      </c>
      <c r="B632" s="332" t="s">
        <v>1263</v>
      </c>
      <c r="C632" s="332" t="s">
        <v>1414</v>
      </c>
      <c r="D632" s="178" t="s">
        <v>19</v>
      </c>
      <c r="E632" s="333" t="s">
        <v>1419</v>
      </c>
      <c r="F632" s="179" t="str">
        <f>IF(AND(COUNTIF('Build &amp; Totals'!$A$4:$B$12,$C632)&gt;=1,Class=$B632),$A632,"")</f>
        <v/>
      </c>
    </row>
    <row r="633" spans="1:6">
      <c r="A633" s="331" t="s">
        <v>1420</v>
      </c>
      <c r="B633" s="332" t="s">
        <v>1263</v>
      </c>
      <c r="C633" s="332" t="s">
        <v>1414</v>
      </c>
      <c r="D633" s="178" t="s">
        <v>19</v>
      </c>
      <c r="E633" s="333" t="s">
        <v>1421</v>
      </c>
      <c r="F633" s="179" t="str">
        <f>IF(AND(COUNTIF('Build &amp; Totals'!$A$4:$B$12,$C633)&gt;=1,Class=$B633),$A633,"")</f>
        <v/>
      </c>
    </row>
    <row r="634" spans="1:6" ht="23.25">
      <c r="A634" s="331" t="s">
        <v>1422</v>
      </c>
      <c r="B634" s="332" t="s">
        <v>1263</v>
      </c>
      <c r="C634" s="332" t="s">
        <v>1414</v>
      </c>
      <c r="D634" s="178" t="s">
        <v>19</v>
      </c>
      <c r="E634" s="333" t="s">
        <v>1423</v>
      </c>
      <c r="F634" s="179" t="str">
        <f>IF(AND(COUNTIF('Build &amp; Totals'!$A$4:$B$12,$C634)&gt;=1,Class=$B634),$A634,"")</f>
        <v/>
      </c>
    </row>
    <row r="635" spans="1:6">
      <c r="A635" s="331" t="s">
        <v>1424</v>
      </c>
      <c r="B635" s="332" t="s">
        <v>1263</v>
      </c>
      <c r="C635" s="332" t="s">
        <v>1414</v>
      </c>
      <c r="D635" s="178" t="s">
        <v>95</v>
      </c>
      <c r="E635" s="333" t="s">
        <v>1425</v>
      </c>
      <c r="F635" s="179" t="str">
        <f>IF(AND(COUNTIF('Build &amp; Totals'!$A$4:$B$12,$C635)&gt;=1,Class=$B635),$A635,"")</f>
        <v/>
      </c>
    </row>
    <row r="636" spans="1:6" ht="23.25">
      <c r="A636" s="331" t="s">
        <v>1426</v>
      </c>
      <c r="B636" s="332" t="s">
        <v>1263</v>
      </c>
      <c r="C636" s="332" t="s">
        <v>1414</v>
      </c>
      <c r="D636" s="178" t="s">
        <v>22</v>
      </c>
      <c r="E636" s="333" t="s">
        <v>1427</v>
      </c>
      <c r="F636" s="179" t="str">
        <f>IF(AND(COUNTIF('Build &amp; Totals'!$A$4:$B$12,$C636)&gt;=1,Class=$B636),$A636,"")</f>
        <v/>
      </c>
    </row>
    <row r="637" spans="1:6" ht="23.25">
      <c r="A637" s="331" t="s">
        <v>1428</v>
      </c>
      <c r="B637" s="332" t="s">
        <v>1263</v>
      </c>
      <c r="C637" s="332" t="s">
        <v>1414</v>
      </c>
      <c r="D637" s="178" t="s">
        <v>22</v>
      </c>
      <c r="E637" s="333" t="s">
        <v>1429</v>
      </c>
      <c r="F637" s="179" t="str">
        <f>IF(AND(COUNTIF('Build &amp; Totals'!$A$4:$B$12,$C637)&gt;=1,Class=$B637),$A637,"")</f>
        <v/>
      </c>
    </row>
    <row r="638" spans="1:6">
      <c r="A638" s="331" t="s">
        <v>1430</v>
      </c>
      <c r="B638" s="332" t="s">
        <v>1263</v>
      </c>
      <c r="C638" s="332" t="s">
        <v>1414</v>
      </c>
      <c r="D638" s="178" t="s">
        <v>22</v>
      </c>
      <c r="E638" s="333" t="s">
        <v>1431</v>
      </c>
      <c r="F638" s="179" t="str">
        <f>IF(AND(COUNTIF('Build &amp; Totals'!$A$4:$B$12,$C638)&gt;=1,Class=$B638),$A638,"")</f>
        <v/>
      </c>
    </row>
    <row r="639" spans="1:6" ht="23.25">
      <c r="A639" s="331" t="s">
        <v>1432</v>
      </c>
      <c r="B639" s="332" t="s">
        <v>1263</v>
      </c>
      <c r="C639" s="332" t="s">
        <v>1414</v>
      </c>
      <c r="D639" s="178" t="s">
        <v>98</v>
      </c>
      <c r="E639" s="333" t="s">
        <v>1433</v>
      </c>
      <c r="F639" s="179" t="str">
        <f>IF(AND(COUNTIF('Build &amp; Totals'!$A$4:$B$12,$C639)&gt;=1,Class=$B639),$A639,"")</f>
        <v/>
      </c>
    </row>
    <row r="640" spans="1:6" ht="23.25">
      <c r="A640" s="331" t="s">
        <v>1434</v>
      </c>
      <c r="B640" s="332" t="s">
        <v>1263</v>
      </c>
      <c r="C640" s="332" t="s">
        <v>1414</v>
      </c>
      <c r="D640" s="178" t="s">
        <v>24</v>
      </c>
      <c r="E640" s="333" t="s">
        <v>1435</v>
      </c>
      <c r="F640" s="179" t="str">
        <f>IF(AND(COUNTIF('Build &amp; Totals'!$A$4:$B$12,$C640)&gt;=1,Class=$B640),$A640,"")</f>
        <v/>
      </c>
    </row>
    <row r="641" spans="1:6">
      <c r="A641" s="331" t="s">
        <v>1436</v>
      </c>
      <c r="B641" s="332" t="s">
        <v>1263</v>
      </c>
      <c r="C641" s="332" t="s">
        <v>1414</v>
      </c>
      <c r="D641" s="178" t="s">
        <v>24</v>
      </c>
      <c r="E641" s="333" t="s">
        <v>1437</v>
      </c>
      <c r="F641" s="179" t="str">
        <f>IF(AND(COUNTIF('Build &amp; Totals'!$A$4:$B$12,$C641)&gt;=1,Class=$B641),$A641,"")</f>
        <v/>
      </c>
    </row>
    <row r="642" spans="1:6" ht="23.25">
      <c r="A642" s="331" t="s">
        <v>1438</v>
      </c>
      <c r="B642" s="332" t="s">
        <v>1263</v>
      </c>
      <c r="C642" s="332" t="s">
        <v>1414</v>
      </c>
      <c r="D642" s="178" t="s">
        <v>24</v>
      </c>
      <c r="E642" s="333" t="s">
        <v>1439</v>
      </c>
      <c r="F642" s="179" t="str">
        <f>IF(AND(COUNTIF('Build &amp; Totals'!$A$4:$B$12,$C642)&gt;=1,Class=$B642),$A642,"")</f>
        <v/>
      </c>
    </row>
    <row r="643" spans="1:6">
      <c r="A643" s="331" t="s">
        <v>1440</v>
      </c>
      <c r="B643" s="332" t="s">
        <v>1263</v>
      </c>
      <c r="C643" s="332" t="s">
        <v>1441</v>
      </c>
      <c r="D643" s="178" t="s">
        <v>238</v>
      </c>
      <c r="E643" s="333" t="s">
        <v>1442</v>
      </c>
      <c r="F643" s="179" t="str">
        <f>IF(AND(COUNTIF('Build &amp; Totals'!$A$4:$B$12,$C643)&gt;=1,Class=$B643),$A643,"")</f>
        <v/>
      </c>
    </row>
    <row r="644" spans="1:6" ht="23.25">
      <c r="A644" s="331" t="s">
        <v>1441</v>
      </c>
      <c r="B644" s="332" t="s">
        <v>1263</v>
      </c>
      <c r="C644" s="332" t="s">
        <v>1441</v>
      </c>
      <c r="D644" s="178" t="s">
        <v>94</v>
      </c>
      <c r="E644" s="333" t="s">
        <v>1443</v>
      </c>
      <c r="F644" s="179" t="str">
        <f>IF(AND(COUNTIF('Build &amp; Totals'!$A$4:$B$12,$C644)&gt;=1,Class=$B644),$A644,"")</f>
        <v/>
      </c>
    </row>
    <row r="645" spans="1:6" ht="23.25">
      <c r="A645" s="331" t="s">
        <v>1444</v>
      </c>
      <c r="B645" s="332" t="s">
        <v>1263</v>
      </c>
      <c r="C645" s="332" t="s">
        <v>1441</v>
      </c>
      <c r="D645" s="178" t="s">
        <v>19</v>
      </c>
      <c r="E645" s="333" t="s">
        <v>1445</v>
      </c>
      <c r="F645" s="179" t="str">
        <f>IF(AND(COUNTIF('Build &amp; Totals'!$A$4:$B$12,$C645)&gt;=1,Class=$B645),$A645,"")</f>
        <v/>
      </c>
    </row>
    <row r="646" spans="1:6" ht="23.25">
      <c r="A646" s="331" t="s">
        <v>1446</v>
      </c>
      <c r="B646" s="332" t="s">
        <v>1263</v>
      </c>
      <c r="C646" s="332" t="s">
        <v>1441</v>
      </c>
      <c r="D646" s="178" t="s">
        <v>19</v>
      </c>
      <c r="E646" s="333" t="s">
        <v>1447</v>
      </c>
      <c r="F646" s="179" t="str">
        <f>IF(AND(COUNTIF('Build &amp; Totals'!$A$4:$B$12,$C646)&gt;=1,Class=$B646),$A646,"")</f>
        <v/>
      </c>
    </row>
    <row r="647" spans="1:6" ht="35.25">
      <c r="A647" s="331" t="s">
        <v>1448</v>
      </c>
      <c r="B647" s="332" t="s">
        <v>1263</v>
      </c>
      <c r="C647" s="332" t="s">
        <v>1441</v>
      </c>
      <c r="D647" s="178" t="s">
        <v>19</v>
      </c>
      <c r="E647" s="333" t="s">
        <v>1449</v>
      </c>
      <c r="F647" s="179" t="str">
        <f>IF(AND(COUNTIF('Build &amp; Totals'!$A$4:$B$12,$C647)&gt;=1,Class=$B647),$A647,"")</f>
        <v/>
      </c>
    </row>
    <row r="648" spans="1:6" ht="23.25">
      <c r="A648" s="331" t="s">
        <v>1450</v>
      </c>
      <c r="B648" s="332" t="s">
        <v>1263</v>
      </c>
      <c r="C648" s="332" t="s">
        <v>1441</v>
      </c>
      <c r="D648" s="178" t="s">
        <v>95</v>
      </c>
      <c r="E648" s="333" t="s">
        <v>1451</v>
      </c>
      <c r="F648" s="179" t="str">
        <f>IF(AND(COUNTIF('Build &amp; Totals'!$A$4:$B$12,$C648)&gt;=1,Class=$B648),$A648,"")</f>
        <v/>
      </c>
    </row>
    <row r="649" spans="1:6">
      <c r="A649" s="331" t="s">
        <v>1452</v>
      </c>
      <c r="B649" s="332" t="s">
        <v>1263</v>
      </c>
      <c r="C649" s="332" t="s">
        <v>1441</v>
      </c>
      <c r="D649" s="178" t="s">
        <v>22</v>
      </c>
      <c r="E649" s="333" t="s">
        <v>1453</v>
      </c>
      <c r="F649" s="179" t="str">
        <f>IF(AND(COUNTIF('Build &amp; Totals'!$A$4:$B$12,$C649)&gt;=1,Class=$B649),$A649,"")</f>
        <v/>
      </c>
    </row>
    <row r="650" spans="1:6">
      <c r="A650" s="331" t="s">
        <v>1454</v>
      </c>
      <c r="B650" s="332" t="s">
        <v>1263</v>
      </c>
      <c r="C650" s="332" t="s">
        <v>1441</v>
      </c>
      <c r="D650" s="178" t="s">
        <v>22</v>
      </c>
      <c r="E650" s="333" t="s">
        <v>1455</v>
      </c>
      <c r="F650" s="179" t="str">
        <f>IF(AND(COUNTIF('Build &amp; Totals'!$A$4:$B$12,$C650)&gt;=1,Class=$B650),$A650,"")</f>
        <v/>
      </c>
    </row>
    <row r="651" spans="1:6" ht="23.25">
      <c r="A651" s="331" t="s">
        <v>1456</v>
      </c>
      <c r="B651" s="332" t="s">
        <v>1263</v>
      </c>
      <c r="C651" s="332" t="s">
        <v>1441</v>
      </c>
      <c r="D651" s="178" t="s">
        <v>22</v>
      </c>
      <c r="E651" s="333" t="s">
        <v>1457</v>
      </c>
      <c r="F651" s="179" t="str">
        <f>IF(AND(COUNTIF('Build &amp; Totals'!$A$4:$B$12,$C651)&gt;=1,Class=$B651),$A651,"")</f>
        <v/>
      </c>
    </row>
    <row r="652" spans="1:6" ht="23.25">
      <c r="A652" s="331" t="s">
        <v>1458</v>
      </c>
      <c r="B652" s="332" t="s">
        <v>1263</v>
      </c>
      <c r="C652" s="332" t="s">
        <v>1441</v>
      </c>
      <c r="D652" s="178" t="s">
        <v>98</v>
      </c>
      <c r="E652" s="333" t="s">
        <v>1459</v>
      </c>
      <c r="F652" s="179" t="str">
        <f>IF(AND(COUNTIF('Build &amp; Totals'!$A$4:$B$12,$C652)&gt;=1,Class=$B652),$A652,"")</f>
        <v/>
      </c>
    </row>
    <row r="653" spans="1:6">
      <c r="A653" s="331" t="s">
        <v>1460</v>
      </c>
      <c r="B653" s="332" t="s">
        <v>1263</v>
      </c>
      <c r="C653" s="332" t="s">
        <v>1441</v>
      </c>
      <c r="D653" s="178" t="s">
        <v>24</v>
      </c>
      <c r="E653" s="333" t="s">
        <v>1461</v>
      </c>
      <c r="F653" s="179" t="str">
        <f>IF(AND(COUNTIF('Build &amp; Totals'!$A$4:$B$12,$C653)&gt;=1,Class=$B653),$A653,"")</f>
        <v/>
      </c>
    </row>
    <row r="654" spans="1:6" ht="35.25">
      <c r="A654" s="331" t="s">
        <v>1462</v>
      </c>
      <c r="B654" s="332" t="s">
        <v>1263</v>
      </c>
      <c r="C654" s="332" t="s">
        <v>1441</v>
      </c>
      <c r="D654" s="178" t="s">
        <v>24</v>
      </c>
      <c r="E654" s="333" t="s">
        <v>1463</v>
      </c>
      <c r="F654" s="179" t="str">
        <f>IF(AND(COUNTIF('Build &amp; Totals'!$A$4:$B$12,$C654)&gt;=1,Class=$B654),$A654,"")</f>
        <v/>
      </c>
    </row>
    <row r="655" spans="1:6">
      <c r="A655" s="331" t="s">
        <v>1464</v>
      </c>
      <c r="B655" s="332" t="s">
        <v>1263</v>
      </c>
      <c r="C655" s="332" t="s">
        <v>1441</v>
      </c>
      <c r="D655" s="178" t="s">
        <v>24</v>
      </c>
      <c r="E655" s="333" t="s">
        <v>1465</v>
      </c>
      <c r="F655" s="179" t="str">
        <f>IF(AND(COUNTIF('Build &amp; Totals'!$A$4:$B$12,$C655)&gt;=1,Class=$B655),$A655,"")</f>
        <v/>
      </c>
    </row>
    <row r="656" spans="1:6" ht="35.25">
      <c r="A656" s="331" t="s">
        <v>1466</v>
      </c>
      <c r="B656" s="332" t="s">
        <v>1263</v>
      </c>
      <c r="C656" s="332" t="s">
        <v>1467</v>
      </c>
      <c r="D656" s="178" t="s">
        <v>94</v>
      </c>
      <c r="E656" s="333" t="s">
        <v>1468</v>
      </c>
      <c r="F656" s="179" t="str">
        <f>IF(AND(COUNTIF('Build &amp; Totals'!$A$4:$B$12,$C656)&gt;=1,Class=$B656),$A656,"")</f>
        <v/>
      </c>
    </row>
    <row r="657" spans="1:6" ht="23.25">
      <c r="A657" s="331" t="s">
        <v>1469</v>
      </c>
      <c r="B657" s="332" t="s">
        <v>1263</v>
      </c>
      <c r="C657" s="332" t="s">
        <v>1467</v>
      </c>
      <c r="D657" s="178" t="s">
        <v>19</v>
      </c>
      <c r="E657" s="333" t="s">
        <v>1470</v>
      </c>
      <c r="F657" s="179" t="str">
        <f>IF(AND(COUNTIF('Build &amp; Totals'!$A$4:$B$12,$C657)&gt;=1,Class=$B657),$A657,"")</f>
        <v/>
      </c>
    </row>
    <row r="658" spans="1:6">
      <c r="A658" s="331" t="s">
        <v>1471</v>
      </c>
      <c r="B658" s="332" t="s">
        <v>1263</v>
      </c>
      <c r="C658" s="332" t="s">
        <v>1467</v>
      </c>
      <c r="D658" s="178" t="s">
        <v>19</v>
      </c>
      <c r="E658" s="333" t="s">
        <v>1472</v>
      </c>
      <c r="F658" s="179" t="str">
        <f>IF(AND(COUNTIF('Build &amp; Totals'!$A$4:$B$12,$C658)&gt;=1,Class=$B658),$A658,"")</f>
        <v/>
      </c>
    </row>
    <row r="659" spans="1:6" ht="23.25">
      <c r="A659" s="331" t="s">
        <v>1473</v>
      </c>
      <c r="B659" s="332" t="s">
        <v>1263</v>
      </c>
      <c r="C659" s="332" t="s">
        <v>1467</v>
      </c>
      <c r="D659" s="178" t="s">
        <v>19</v>
      </c>
      <c r="E659" s="333" t="s">
        <v>1474</v>
      </c>
      <c r="F659" s="179" t="str">
        <f>IF(AND(COUNTIF('Build &amp; Totals'!$A$4:$B$12,$C659)&gt;=1,Class=$B659),$A659,"")</f>
        <v/>
      </c>
    </row>
    <row r="660" spans="1:6" ht="23.25">
      <c r="A660" s="331" t="s">
        <v>1475</v>
      </c>
      <c r="B660" s="332" t="s">
        <v>1263</v>
      </c>
      <c r="C660" s="332" t="s">
        <v>1467</v>
      </c>
      <c r="D660" s="178" t="s">
        <v>95</v>
      </c>
      <c r="E660" s="333" t="s">
        <v>1476</v>
      </c>
      <c r="F660" s="179" t="str">
        <f>IF(AND(COUNTIF('Build &amp; Totals'!$A$4:$B$12,$C660)&gt;=1,Class=$B660),$A660,"")</f>
        <v/>
      </c>
    </row>
    <row r="661" spans="1:6" ht="23.25">
      <c r="A661" s="331" t="s">
        <v>1477</v>
      </c>
      <c r="B661" s="332" t="s">
        <v>1263</v>
      </c>
      <c r="C661" s="332" t="s">
        <v>1467</v>
      </c>
      <c r="D661" s="178" t="s">
        <v>22</v>
      </c>
      <c r="E661" s="333" t="s">
        <v>1478</v>
      </c>
      <c r="F661" s="179" t="str">
        <f>IF(AND(COUNTIF('Build &amp; Totals'!$A$4:$B$12,$C661)&gt;=1,Class=$B661),$A661,"")</f>
        <v/>
      </c>
    </row>
    <row r="662" spans="1:6" ht="23.25">
      <c r="A662" s="331" t="s">
        <v>1479</v>
      </c>
      <c r="B662" s="332" t="s">
        <v>1263</v>
      </c>
      <c r="C662" s="332" t="s">
        <v>1467</v>
      </c>
      <c r="D662" s="178" t="s">
        <v>22</v>
      </c>
      <c r="E662" s="333" t="s">
        <v>1480</v>
      </c>
      <c r="F662" s="179" t="str">
        <f>IF(AND(COUNTIF('Build &amp; Totals'!$A$4:$B$12,$C662)&gt;=1,Class=$B662),$A662,"")</f>
        <v/>
      </c>
    </row>
    <row r="663" spans="1:6">
      <c r="A663" s="331" t="s">
        <v>1481</v>
      </c>
      <c r="B663" s="332" t="s">
        <v>1263</v>
      </c>
      <c r="C663" s="332" t="s">
        <v>1467</v>
      </c>
      <c r="D663" s="178" t="s">
        <v>22</v>
      </c>
      <c r="E663" s="333" t="s">
        <v>1482</v>
      </c>
      <c r="F663" s="179" t="str">
        <f>IF(AND(COUNTIF('Build &amp; Totals'!$A$4:$B$12,$C663)&gt;=1,Class=$B663),$A663,"")</f>
        <v/>
      </c>
    </row>
    <row r="664" spans="1:6">
      <c r="A664" s="331" t="s">
        <v>1483</v>
      </c>
      <c r="B664" s="332" t="s">
        <v>1263</v>
      </c>
      <c r="C664" s="332" t="s">
        <v>1467</v>
      </c>
      <c r="D664" s="178" t="s">
        <v>98</v>
      </c>
      <c r="E664" s="333" t="s">
        <v>1484</v>
      </c>
      <c r="F664" s="179" t="str">
        <f>IF(AND(COUNTIF('Build &amp; Totals'!$A$4:$B$12,$C664)&gt;=1,Class=$B664),$A664,"")</f>
        <v/>
      </c>
    </row>
    <row r="665" spans="1:6" ht="23.25">
      <c r="A665" s="331" t="s">
        <v>1485</v>
      </c>
      <c r="B665" s="332" t="s">
        <v>1263</v>
      </c>
      <c r="C665" s="332" t="s">
        <v>1467</v>
      </c>
      <c r="D665" s="178" t="s">
        <v>24</v>
      </c>
      <c r="E665" s="333" t="s">
        <v>1486</v>
      </c>
      <c r="F665" s="179" t="str">
        <f>IF(AND(COUNTIF('Build &amp; Totals'!$A$4:$B$12,$C665)&gt;=1,Class=$B665),$A665,"")</f>
        <v/>
      </c>
    </row>
    <row r="666" spans="1:6">
      <c r="A666" s="331" t="s">
        <v>1487</v>
      </c>
      <c r="B666" s="332" t="s">
        <v>1263</v>
      </c>
      <c r="C666" s="332" t="s">
        <v>1467</v>
      </c>
      <c r="D666" s="178" t="s">
        <v>24</v>
      </c>
      <c r="E666" s="333" t="s">
        <v>1488</v>
      </c>
      <c r="F666" s="179" t="str">
        <f>IF(AND(COUNTIF('Build &amp; Totals'!$A$4:$B$12,$C666)&gt;=1,Class=$B666),$A666,"")</f>
        <v/>
      </c>
    </row>
    <row r="667" spans="1:6" ht="23.25">
      <c r="A667" s="331" t="s">
        <v>1489</v>
      </c>
      <c r="B667" s="332" t="s">
        <v>1263</v>
      </c>
      <c r="C667" s="332" t="s">
        <v>1467</v>
      </c>
      <c r="D667" s="178" t="s">
        <v>24</v>
      </c>
      <c r="E667" s="333" t="s">
        <v>1490</v>
      </c>
      <c r="F667" s="179" t="str">
        <f>IF(AND(COUNTIF('Build &amp; Totals'!$A$4:$B$12,$C667)&gt;=1,Class=$B667),$A667,"")</f>
        <v/>
      </c>
    </row>
    <row r="668" spans="1:6">
      <c r="A668" s="331" t="s">
        <v>1491</v>
      </c>
      <c r="B668" s="332" t="s">
        <v>1492</v>
      </c>
      <c r="C668" s="332" t="s">
        <v>1493</v>
      </c>
      <c r="D668" s="178" t="s">
        <v>94</v>
      </c>
      <c r="E668" s="333" t="s">
        <v>1494</v>
      </c>
      <c r="F668" s="179" t="str">
        <f>IF(AND(COUNTIF('Build &amp; Totals'!$A$4:$B$12,$C668)&gt;=1,Class=$B668),$A668,"")</f>
        <v/>
      </c>
    </row>
    <row r="669" spans="1:6">
      <c r="A669" s="331" t="s">
        <v>1495</v>
      </c>
      <c r="B669" s="332" t="s">
        <v>1492</v>
      </c>
      <c r="C669" s="332" t="s">
        <v>1493</v>
      </c>
      <c r="D669" s="178" t="s">
        <v>19</v>
      </c>
      <c r="E669" s="333" t="s">
        <v>1496</v>
      </c>
      <c r="F669" s="179" t="str">
        <f>IF(AND(COUNTIF('Build &amp; Totals'!$A$4:$B$12,$C669)&gt;=1,Class=$B669),$A669,"")</f>
        <v/>
      </c>
    </row>
    <row r="670" spans="1:6">
      <c r="A670" s="331" t="s">
        <v>1497</v>
      </c>
      <c r="B670" s="332" t="s">
        <v>1492</v>
      </c>
      <c r="C670" s="332" t="s">
        <v>1493</v>
      </c>
      <c r="D670" s="178" t="s">
        <v>19</v>
      </c>
      <c r="E670" s="333" t="s">
        <v>1498</v>
      </c>
      <c r="F670" s="179" t="str">
        <f>IF(AND(COUNTIF('Build &amp; Totals'!$A$4:$B$12,$C670)&gt;=1,Class=$B670),$A670,"")</f>
        <v/>
      </c>
    </row>
    <row r="671" spans="1:6">
      <c r="A671" s="331" t="s">
        <v>1499</v>
      </c>
      <c r="B671" s="332" t="s">
        <v>1492</v>
      </c>
      <c r="C671" s="332" t="s">
        <v>1493</v>
      </c>
      <c r="D671" s="178" t="s">
        <v>19</v>
      </c>
      <c r="E671" s="333" t="s">
        <v>1500</v>
      </c>
      <c r="F671" s="179" t="str">
        <f>IF(AND(COUNTIF('Build &amp; Totals'!$A$4:$B$12,$C671)&gt;=1,Class=$B671),$A671,"")</f>
        <v/>
      </c>
    </row>
    <row r="672" spans="1:6">
      <c r="A672" s="331" t="s">
        <v>1501</v>
      </c>
      <c r="B672" s="332" t="s">
        <v>1492</v>
      </c>
      <c r="C672" s="332" t="s">
        <v>1493</v>
      </c>
      <c r="D672" s="178" t="s">
        <v>95</v>
      </c>
      <c r="E672" s="333" t="s">
        <v>1502</v>
      </c>
      <c r="F672" s="179" t="str">
        <f>IF(AND(COUNTIF('Build &amp; Totals'!$A$4:$B$12,$C672)&gt;=1,Class=$B672),$A672,"")</f>
        <v/>
      </c>
    </row>
    <row r="673" spans="1:6">
      <c r="A673" s="331" t="s">
        <v>1503</v>
      </c>
      <c r="B673" s="332" t="s">
        <v>1492</v>
      </c>
      <c r="C673" s="332" t="s">
        <v>1493</v>
      </c>
      <c r="D673" s="178" t="s">
        <v>22</v>
      </c>
      <c r="E673" s="333" t="s">
        <v>1504</v>
      </c>
      <c r="F673" s="179" t="str">
        <f>IF(AND(COUNTIF('Build &amp; Totals'!$A$4:$B$12,$C673)&gt;=1,Class=$B673),$A673,"")</f>
        <v/>
      </c>
    </row>
    <row r="674" spans="1:6" ht="23.25">
      <c r="A674" s="331" t="s">
        <v>1505</v>
      </c>
      <c r="B674" s="332" t="s">
        <v>1492</v>
      </c>
      <c r="C674" s="332" t="s">
        <v>1493</v>
      </c>
      <c r="D674" s="178" t="s">
        <v>22</v>
      </c>
      <c r="E674" s="333" t="s">
        <v>1506</v>
      </c>
      <c r="F674" s="179" t="str">
        <f>IF(AND(COUNTIF('Build &amp; Totals'!$A$4:$B$12,$C674)&gt;=1,Class=$B674),$A674,"")</f>
        <v/>
      </c>
    </row>
    <row r="675" spans="1:6" ht="23.25">
      <c r="A675" s="331" t="s">
        <v>1507</v>
      </c>
      <c r="B675" s="332" t="s">
        <v>1492</v>
      </c>
      <c r="C675" s="332" t="s">
        <v>1493</v>
      </c>
      <c r="D675" s="178" t="s">
        <v>22</v>
      </c>
      <c r="E675" s="333" t="s">
        <v>1508</v>
      </c>
      <c r="F675" s="179" t="str">
        <f>IF(AND(COUNTIF('Build &amp; Totals'!$A$4:$B$12,$C675)&gt;=1,Class=$B675),$A675,"")</f>
        <v/>
      </c>
    </row>
    <row r="676" spans="1:6">
      <c r="A676" s="331" t="s">
        <v>1509</v>
      </c>
      <c r="B676" s="332" t="s">
        <v>1492</v>
      </c>
      <c r="C676" s="332" t="s">
        <v>1493</v>
      </c>
      <c r="D676" s="178" t="s">
        <v>98</v>
      </c>
      <c r="E676" s="333" t="s">
        <v>1510</v>
      </c>
      <c r="F676" s="179" t="str">
        <f>IF(AND(COUNTIF('Build &amp; Totals'!$A$4:$B$12,$C676)&gt;=1,Class=$B676),$A676,"")</f>
        <v/>
      </c>
    </row>
    <row r="677" spans="1:6" ht="23.25">
      <c r="A677" s="331" t="s">
        <v>1511</v>
      </c>
      <c r="B677" s="332" t="s">
        <v>1492</v>
      </c>
      <c r="C677" s="332" t="s">
        <v>1493</v>
      </c>
      <c r="D677" s="178" t="s">
        <v>24</v>
      </c>
      <c r="E677" s="333" t="s">
        <v>1512</v>
      </c>
      <c r="F677" s="179" t="str">
        <f>IF(AND(COUNTIF('Build &amp; Totals'!$A$4:$B$12,$C677)&gt;=1,Class=$B677),$A677,"")</f>
        <v/>
      </c>
    </row>
    <row r="678" spans="1:6" ht="23.25">
      <c r="A678" s="331" t="s">
        <v>1513</v>
      </c>
      <c r="B678" s="332" t="s">
        <v>1492</v>
      </c>
      <c r="C678" s="332" t="s">
        <v>1493</v>
      </c>
      <c r="D678" s="178" t="s">
        <v>24</v>
      </c>
      <c r="E678" s="333" t="s">
        <v>1514</v>
      </c>
      <c r="F678" s="179" t="str">
        <f>IF(AND(COUNTIF('Build &amp; Totals'!$A$4:$B$12,$C678)&gt;=1,Class=$B678),$A678,"")</f>
        <v/>
      </c>
    </row>
    <row r="679" spans="1:6">
      <c r="A679" s="331" t="s">
        <v>1515</v>
      </c>
      <c r="B679" s="332" t="s">
        <v>1492</v>
      </c>
      <c r="C679" s="332" t="s">
        <v>1493</v>
      </c>
      <c r="D679" s="178" t="s">
        <v>24</v>
      </c>
      <c r="E679" s="333" t="s">
        <v>1516</v>
      </c>
      <c r="F679" s="179" t="str">
        <f>IF(AND(COUNTIF('Build &amp; Totals'!$A$4:$B$12,$C679)&gt;=1,Class=$B679),$A679,"")</f>
        <v/>
      </c>
    </row>
    <row r="680" spans="1:6">
      <c r="A680" s="331" t="s">
        <v>1155</v>
      </c>
      <c r="B680" s="332" t="s">
        <v>1492</v>
      </c>
      <c r="C680" s="332" t="s">
        <v>1517</v>
      </c>
      <c r="D680" s="178" t="s">
        <v>94</v>
      </c>
      <c r="E680" s="333" t="s">
        <v>1518</v>
      </c>
      <c r="F680" s="179" t="str">
        <f>IF(AND(COUNTIF('Build &amp; Totals'!$A$4:$B$12,$C680)&gt;=1,Class=$B680),$A680,"")</f>
        <v/>
      </c>
    </row>
    <row r="681" spans="1:6">
      <c r="A681" s="331" t="s">
        <v>1519</v>
      </c>
      <c r="B681" s="332" t="s">
        <v>1492</v>
      </c>
      <c r="C681" s="332" t="s">
        <v>1517</v>
      </c>
      <c r="D681" s="178" t="s">
        <v>19</v>
      </c>
      <c r="E681" s="333" t="s">
        <v>1520</v>
      </c>
      <c r="F681" s="179" t="str">
        <f>IF(AND(COUNTIF('Build &amp; Totals'!$A$4:$B$12,$C681)&gt;=1,Class=$B681),$A681,"")</f>
        <v/>
      </c>
    </row>
    <row r="682" spans="1:6">
      <c r="A682" s="331" t="s">
        <v>1521</v>
      </c>
      <c r="B682" s="332" t="s">
        <v>1492</v>
      </c>
      <c r="C682" s="332" t="s">
        <v>1517</v>
      </c>
      <c r="D682" s="178" t="s">
        <v>19</v>
      </c>
      <c r="E682" s="333" t="s">
        <v>1522</v>
      </c>
      <c r="F682" s="179" t="str">
        <f>IF(AND(COUNTIF('Build &amp; Totals'!$A$4:$B$12,$C682)&gt;=1,Class=$B682),$A682,"")</f>
        <v/>
      </c>
    </row>
    <row r="683" spans="1:6">
      <c r="A683" s="331" t="s">
        <v>1523</v>
      </c>
      <c r="B683" s="332" t="s">
        <v>1492</v>
      </c>
      <c r="C683" s="332" t="s">
        <v>1517</v>
      </c>
      <c r="D683" s="178" t="s">
        <v>19</v>
      </c>
      <c r="E683" s="333" t="s">
        <v>1302</v>
      </c>
      <c r="F683" s="179" t="str">
        <f>IF(AND(COUNTIF('Build &amp; Totals'!$A$4:$B$12,$C683)&gt;=1,Class=$B683),$A683,"")</f>
        <v/>
      </c>
    </row>
    <row r="684" spans="1:6">
      <c r="A684" s="331" t="s">
        <v>1524</v>
      </c>
      <c r="B684" s="332" t="s">
        <v>1492</v>
      </c>
      <c r="C684" s="332" t="s">
        <v>1517</v>
      </c>
      <c r="D684" s="178" t="s">
        <v>95</v>
      </c>
      <c r="E684" s="333" t="s">
        <v>1525</v>
      </c>
      <c r="F684" s="179" t="str">
        <f>IF(AND(COUNTIF('Build &amp; Totals'!$A$4:$B$12,$C684)&gt;=1,Class=$B684),$A684,"")</f>
        <v/>
      </c>
    </row>
    <row r="685" spans="1:6">
      <c r="A685" s="331" t="s">
        <v>1526</v>
      </c>
      <c r="B685" s="332" t="s">
        <v>1492</v>
      </c>
      <c r="C685" s="332" t="s">
        <v>1517</v>
      </c>
      <c r="D685" s="178" t="s">
        <v>22</v>
      </c>
      <c r="E685" s="333" t="s">
        <v>1527</v>
      </c>
      <c r="F685" s="179" t="str">
        <f>IF(AND(COUNTIF('Build &amp; Totals'!$A$4:$B$12,$C685)&gt;=1,Class=$B685),$A685,"")</f>
        <v/>
      </c>
    </row>
    <row r="686" spans="1:6">
      <c r="A686" s="331" t="s">
        <v>1528</v>
      </c>
      <c r="B686" s="332" t="s">
        <v>1492</v>
      </c>
      <c r="C686" s="332" t="s">
        <v>1517</v>
      </c>
      <c r="D686" s="178" t="s">
        <v>22</v>
      </c>
      <c r="E686" s="333" t="s">
        <v>1529</v>
      </c>
      <c r="F686" s="179" t="str">
        <f>IF(AND(COUNTIF('Build &amp; Totals'!$A$4:$B$12,$C686)&gt;=1,Class=$B686),$A686,"")</f>
        <v/>
      </c>
    </row>
    <row r="687" spans="1:6" ht="23.25">
      <c r="A687" s="331" t="s">
        <v>1530</v>
      </c>
      <c r="B687" s="332" t="s">
        <v>1492</v>
      </c>
      <c r="C687" s="332" t="s">
        <v>1517</v>
      </c>
      <c r="D687" s="178" t="s">
        <v>22</v>
      </c>
      <c r="E687" s="333" t="s">
        <v>1531</v>
      </c>
      <c r="F687" s="179" t="str">
        <f>IF(AND(COUNTIF('Build &amp; Totals'!$A$4:$B$12,$C687)&gt;=1,Class=$B687),$A687,"")</f>
        <v/>
      </c>
    </row>
    <row r="688" spans="1:6">
      <c r="A688" s="331" t="s">
        <v>1532</v>
      </c>
      <c r="B688" s="332" t="s">
        <v>1492</v>
      </c>
      <c r="C688" s="332" t="s">
        <v>1517</v>
      </c>
      <c r="D688" s="178" t="s">
        <v>98</v>
      </c>
      <c r="E688" s="333" t="s">
        <v>1533</v>
      </c>
      <c r="F688" s="179" t="str">
        <f>IF(AND(COUNTIF('Build &amp; Totals'!$A$4:$B$12,$C688)&gt;=1,Class=$B688),$A688,"")</f>
        <v/>
      </c>
    </row>
    <row r="689" spans="1:6">
      <c r="A689" s="331" t="s">
        <v>1534</v>
      </c>
      <c r="B689" s="332" t="s">
        <v>1492</v>
      </c>
      <c r="C689" s="332" t="s">
        <v>1517</v>
      </c>
      <c r="D689" s="178" t="s">
        <v>24</v>
      </c>
      <c r="E689" s="333" t="s">
        <v>1535</v>
      </c>
      <c r="F689" s="179" t="str">
        <f>IF(AND(COUNTIF('Build &amp; Totals'!$A$4:$B$12,$C689)&gt;=1,Class=$B689),$A689,"")</f>
        <v/>
      </c>
    </row>
    <row r="690" spans="1:6">
      <c r="A690" s="331" t="s">
        <v>1536</v>
      </c>
      <c r="B690" s="332" t="s">
        <v>1492</v>
      </c>
      <c r="C690" s="332" t="s">
        <v>1517</v>
      </c>
      <c r="D690" s="178" t="s">
        <v>24</v>
      </c>
      <c r="E690" s="333" t="s">
        <v>1537</v>
      </c>
      <c r="F690" s="179" t="str">
        <f>IF(AND(COUNTIF('Build &amp; Totals'!$A$4:$B$12,$C690)&gt;=1,Class=$B690),$A690,"")</f>
        <v/>
      </c>
    </row>
    <row r="691" spans="1:6" ht="23.25">
      <c r="A691" s="331" t="s">
        <v>1538</v>
      </c>
      <c r="B691" s="332" t="s">
        <v>1492</v>
      </c>
      <c r="C691" s="332" t="s">
        <v>1517</v>
      </c>
      <c r="D691" s="178" t="s">
        <v>24</v>
      </c>
      <c r="E691" s="333" t="s">
        <v>1539</v>
      </c>
      <c r="F691" s="179" t="str">
        <f>IF(AND(COUNTIF('Build &amp; Totals'!$A$4:$B$12,$C691)&gt;=1,Class=$B691),$A691,"")</f>
        <v/>
      </c>
    </row>
    <row r="692" spans="1:6">
      <c r="A692" s="331" t="s">
        <v>1540</v>
      </c>
      <c r="B692" s="332" t="s">
        <v>1492</v>
      </c>
      <c r="C692" s="332" t="s">
        <v>1541</v>
      </c>
      <c r="D692" s="178" t="s">
        <v>94</v>
      </c>
      <c r="E692" s="333" t="s">
        <v>1542</v>
      </c>
      <c r="F692" s="179" t="str">
        <f>IF(AND(COUNTIF('Build &amp; Totals'!$A$4:$B$12,$C692)&gt;=1,Class=$B692),$A692,"")</f>
        <v/>
      </c>
    </row>
    <row r="693" spans="1:6">
      <c r="A693" s="331" t="s">
        <v>1543</v>
      </c>
      <c r="B693" s="332" t="s">
        <v>1492</v>
      </c>
      <c r="C693" s="332" t="s">
        <v>1541</v>
      </c>
      <c r="D693" s="178" t="s">
        <v>19</v>
      </c>
      <c r="E693" s="333" t="s">
        <v>1544</v>
      </c>
      <c r="F693" s="179" t="str">
        <f>IF(AND(COUNTIF('Build &amp; Totals'!$A$4:$B$12,$C693)&gt;=1,Class=$B693),$A693,"")</f>
        <v/>
      </c>
    </row>
    <row r="694" spans="1:6">
      <c r="A694" s="331" t="s">
        <v>1545</v>
      </c>
      <c r="B694" s="332" t="s">
        <v>1492</v>
      </c>
      <c r="C694" s="332" t="s">
        <v>1541</v>
      </c>
      <c r="D694" s="178" t="s">
        <v>19</v>
      </c>
      <c r="E694" s="333" t="s">
        <v>1546</v>
      </c>
      <c r="F694" s="179" t="str">
        <f>IF(AND(COUNTIF('Build &amp; Totals'!$A$4:$B$12,$C694)&gt;=1,Class=$B694),$A694,"")</f>
        <v/>
      </c>
    </row>
    <row r="695" spans="1:6">
      <c r="A695" s="331" t="s">
        <v>1547</v>
      </c>
      <c r="B695" s="332" t="s">
        <v>1492</v>
      </c>
      <c r="C695" s="332" t="s">
        <v>1541</v>
      </c>
      <c r="D695" s="178" t="s">
        <v>19</v>
      </c>
      <c r="E695" s="333" t="s">
        <v>1548</v>
      </c>
      <c r="F695" s="179" t="str">
        <f>IF(AND(COUNTIF('Build &amp; Totals'!$A$4:$B$12,$C695)&gt;=1,Class=$B695),$A695,"")</f>
        <v/>
      </c>
    </row>
    <row r="696" spans="1:6" ht="23.25">
      <c r="A696" s="331" t="s">
        <v>1549</v>
      </c>
      <c r="B696" s="332" t="s">
        <v>1492</v>
      </c>
      <c r="C696" s="332" t="s">
        <v>1541</v>
      </c>
      <c r="D696" s="178" t="s">
        <v>95</v>
      </c>
      <c r="E696" s="333" t="s">
        <v>1550</v>
      </c>
      <c r="F696" s="179" t="str">
        <f>IF(AND(COUNTIF('Build &amp; Totals'!$A$4:$B$12,$C696)&gt;=1,Class=$B696),$A696,"")</f>
        <v/>
      </c>
    </row>
    <row r="697" spans="1:6" ht="23.25">
      <c r="A697" s="331" t="s">
        <v>1551</v>
      </c>
      <c r="B697" s="332" t="s">
        <v>1492</v>
      </c>
      <c r="C697" s="332" t="s">
        <v>1541</v>
      </c>
      <c r="D697" s="178" t="s">
        <v>22</v>
      </c>
      <c r="E697" s="333" t="s">
        <v>1552</v>
      </c>
      <c r="F697" s="179" t="str">
        <f>IF(AND(COUNTIF('Build &amp; Totals'!$A$4:$B$12,$C697)&gt;=1,Class=$B697),$A697,"")</f>
        <v/>
      </c>
    </row>
    <row r="698" spans="1:6" ht="23.25">
      <c r="A698" s="331" t="s">
        <v>1553</v>
      </c>
      <c r="B698" s="332" t="s">
        <v>1492</v>
      </c>
      <c r="C698" s="332" t="s">
        <v>1541</v>
      </c>
      <c r="D698" s="178" t="s">
        <v>22</v>
      </c>
      <c r="E698" s="333" t="s">
        <v>1554</v>
      </c>
      <c r="F698" s="179" t="str">
        <f>IF(AND(COUNTIF('Build &amp; Totals'!$A$4:$B$12,$C698)&gt;=1,Class=$B698),$A698,"")</f>
        <v/>
      </c>
    </row>
    <row r="699" spans="1:6" ht="23.25">
      <c r="A699" s="331" t="s">
        <v>1555</v>
      </c>
      <c r="B699" s="332" t="s">
        <v>1492</v>
      </c>
      <c r="C699" s="332" t="s">
        <v>1541</v>
      </c>
      <c r="D699" s="178" t="s">
        <v>22</v>
      </c>
      <c r="E699" s="333" t="s">
        <v>1556</v>
      </c>
      <c r="F699" s="179" t="str">
        <f>IF(AND(COUNTIF('Build &amp; Totals'!$A$4:$B$12,$C699)&gt;=1,Class=$B699),$A699,"")</f>
        <v/>
      </c>
    </row>
    <row r="700" spans="1:6">
      <c r="A700" s="331" t="s">
        <v>1557</v>
      </c>
      <c r="B700" s="332" t="s">
        <v>1492</v>
      </c>
      <c r="C700" s="332" t="s">
        <v>1541</v>
      </c>
      <c r="D700" s="178" t="s">
        <v>98</v>
      </c>
      <c r="E700" s="333" t="s">
        <v>1558</v>
      </c>
      <c r="F700" s="179" t="str">
        <f>IF(AND(COUNTIF('Build &amp; Totals'!$A$4:$B$12,$C700)&gt;=1,Class=$B700),$A700,"")</f>
        <v/>
      </c>
    </row>
    <row r="701" spans="1:6" ht="23.25">
      <c r="A701" s="331" t="s">
        <v>1559</v>
      </c>
      <c r="B701" s="332" t="s">
        <v>1492</v>
      </c>
      <c r="C701" s="332" t="s">
        <v>1541</v>
      </c>
      <c r="D701" s="178" t="s">
        <v>24</v>
      </c>
      <c r="E701" s="333" t="s">
        <v>1560</v>
      </c>
      <c r="F701" s="179" t="str">
        <f>IF(AND(COUNTIF('Build &amp; Totals'!$A$4:$B$12,$C701)&gt;=1,Class=$B701),$A701,"")</f>
        <v/>
      </c>
    </row>
    <row r="702" spans="1:6">
      <c r="A702" s="331" t="s">
        <v>1561</v>
      </c>
      <c r="B702" s="332" t="s">
        <v>1492</v>
      </c>
      <c r="C702" s="332" t="s">
        <v>1541</v>
      </c>
      <c r="D702" s="178" t="s">
        <v>24</v>
      </c>
      <c r="E702" s="333" t="s">
        <v>1562</v>
      </c>
      <c r="F702" s="179" t="str">
        <f>IF(AND(COUNTIF('Build &amp; Totals'!$A$4:$B$12,$C702)&gt;=1,Class=$B702),$A702,"")</f>
        <v/>
      </c>
    </row>
    <row r="703" spans="1:6" ht="23.25">
      <c r="A703" s="331" t="s">
        <v>1563</v>
      </c>
      <c r="B703" s="332" t="s">
        <v>1492</v>
      </c>
      <c r="C703" s="332" t="s">
        <v>1541</v>
      </c>
      <c r="D703" s="178" t="s">
        <v>24</v>
      </c>
      <c r="E703" s="333" t="s">
        <v>1564</v>
      </c>
      <c r="F703" s="179" t="str">
        <f>IF(AND(COUNTIF('Build &amp; Totals'!$A$4:$B$12,$C703)&gt;=1,Class=$B703),$A703,"")</f>
        <v/>
      </c>
    </row>
    <row r="704" spans="1:6">
      <c r="A704" s="331" t="s">
        <v>1565</v>
      </c>
      <c r="B704" s="332" t="s">
        <v>1492</v>
      </c>
      <c r="C704" s="332" t="s">
        <v>1566</v>
      </c>
      <c r="D704" s="178" t="s">
        <v>94</v>
      </c>
      <c r="E704" s="333" t="s">
        <v>1567</v>
      </c>
      <c r="F704" s="179" t="str">
        <f>IF(AND(COUNTIF('Build &amp; Totals'!$A$4:$B$12,$C704)&gt;=1,Class=$B704),$A704,"")</f>
        <v/>
      </c>
    </row>
    <row r="705" spans="1:6">
      <c r="A705" s="331" t="s">
        <v>1568</v>
      </c>
      <c r="B705" s="332" t="s">
        <v>1492</v>
      </c>
      <c r="C705" s="332" t="s">
        <v>1566</v>
      </c>
      <c r="D705" s="178" t="s">
        <v>19</v>
      </c>
      <c r="E705" s="333" t="s">
        <v>1569</v>
      </c>
      <c r="F705" s="179" t="str">
        <f>IF(AND(COUNTIF('Build &amp; Totals'!$A$4:$B$12,$C705)&gt;=1,Class=$B705),$A705,"")</f>
        <v/>
      </c>
    </row>
    <row r="706" spans="1:6" ht="23.25">
      <c r="A706" s="331" t="s">
        <v>1570</v>
      </c>
      <c r="B706" s="332" t="s">
        <v>1492</v>
      </c>
      <c r="C706" s="332" t="s">
        <v>1566</v>
      </c>
      <c r="D706" s="178" t="s">
        <v>19</v>
      </c>
      <c r="E706" s="333" t="s">
        <v>1571</v>
      </c>
      <c r="F706" s="179" t="str">
        <f>IF(AND(COUNTIF('Build &amp; Totals'!$A$4:$B$12,$C706)&gt;=1,Class=$B706),$A706,"")</f>
        <v/>
      </c>
    </row>
    <row r="707" spans="1:6">
      <c r="A707" s="331" t="s">
        <v>1572</v>
      </c>
      <c r="B707" s="332" t="s">
        <v>1492</v>
      </c>
      <c r="C707" s="332" t="s">
        <v>1566</v>
      </c>
      <c r="D707" s="178" t="s">
        <v>19</v>
      </c>
      <c r="E707" s="333" t="s">
        <v>1573</v>
      </c>
      <c r="F707" s="179" t="str">
        <f>IF(AND(COUNTIF('Build &amp; Totals'!$A$4:$B$12,$C707)&gt;=1,Class=$B707),$A707,"")</f>
        <v/>
      </c>
    </row>
    <row r="708" spans="1:6" ht="23.25">
      <c r="A708" s="331" t="s">
        <v>1574</v>
      </c>
      <c r="B708" s="332" t="s">
        <v>1492</v>
      </c>
      <c r="C708" s="332" t="s">
        <v>1566</v>
      </c>
      <c r="D708" s="178" t="s">
        <v>95</v>
      </c>
      <c r="E708" s="333" t="s">
        <v>1575</v>
      </c>
      <c r="F708" s="179" t="str">
        <f>IF(AND(COUNTIF('Build &amp; Totals'!$A$4:$B$12,$C708)&gt;=1,Class=$B708),$A708,"")</f>
        <v/>
      </c>
    </row>
    <row r="709" spans="1:6">
      <c r="A709" s="331" t="s">
        <v>1576</v>
      </c>
      <c r="B709" s="332" t="s">
        <v>1492</v>
      </c>
      <c r="C709" s="332" t="s">
        <v>1566</v>
      </c>
      <c r="D709" s="178" t="s">
        <v>22</v>
      </c>
      <c r="E709" s="333" t="s">
        <v>1577</v>
      </c>
      <c r="F709" s="179" t="str">
        <f>IF(AND(COUNTIF('Build &amp; Totals'!$A$4:$B$12,$C709)&gt;=1,Class=$B709),$A709,"")</f>
        <v/>
      </c>
    </row>
    <row r="710" spans="1:6">
      <c r="A710" s="331" t="s">
        <v>1578</v>
      </c>
      <c r="B710" s="332" t="s">
        <v>1492</v>
      </c>
      <c r="C710" s="332" t="s">
        <v>1566</v>
      </c>
      <c r="D710" s="178" t="s">
        <v>22</v>
      </c>
      <c r="E710" s="333" t="s">
        <v>1579</v>
      </c>
      <c r="F710" s="179" t="str">
        <f>IF(AND(COUNTIF('Build &amp; Totals'!$A$4:$B$12,$C710)&gt;=1,Class=$B710),$A710,"")</f>
        <v/>
      </c>
    </row>
    <row r="711" spans="1:6" ht="23.25">
      <c r="A711" s="331" t="s">
        <v>1580</v>
      </c>
      <c r="B711" s="332" t="s">
        <v>1492</v>
      </c>
      <c r="C711" s="332" t="s">
        <v>1566</v>
      </c>
      <c r="D711" s="178" t="s">
        <v>22</v>
      </c>
      <c r="E711" s="333" t="s">
        <v>1581</v>
      </c>
      <c r="F711" s="179" t="str">
        <f>IF(AND(COUNTIF('Build &amp; Totals'!$A$4:$B$12,$C711)&gt;=1,Class=$B711),$A711,"")</f>
        <v/>
      </c>
    </row>
    <row r="712" spans="1:6">
      <c r="A712" s="331" t="s">
        <v>1582</v>
      </c>
      <c r="B712" s="332" t="s">
        <v>1492</v>
      </c>
      <c r="C712" s="332" t="s">
        <v>1566</v>
      </c>
      <c r="D712" s="178" t="s">
        <v>98</v>
      </c>
      <c r="E712" s="333" t="s">
        <v>1583</v>
      </c>
      <c r="F712" s="179" t="str">
        <f>IF(AND(COUNTIF('Build &amp; Totals'!$A$4:$B$12,$C712)&gt;=1,Class=$B712),$A712,"")</f>
        <v/>
      </c>
    </row>
    <row r="713" spans="1:6">
      <c r="A713" s="331" t="s">
        <v>1584</v>
      </c>
      <c r="B713" s="332" t="s">
        <v>1492</v>
      </c>
      <c r="C713" s="332" t="s">
        <v>1566</v>
      </c>
      <c r="D713" s="178" t="s">
        <v>24</v>
      </c>
      <c r="E713" s="333" t="s">
        <v>1585</v>
      </c>
      <c r="F713" s="179" t="str">
        <f>IF(AND(COUNTIF('Build &amp; Totals'!$A$4:$B$12,$C713)&gt;=1,Class=$B713),$A713,"")</f>
        <v/>
      </c>
    </row>
    <row r="714" spans="1:6">
      <c r="A714" s="331" t="s">
        <v>1586</v>
      </c>
      <c r="B714" s="332" t="s">
        <v>1492</v>
      </c>
      <c r="C714" s="332" t="s">
        <v>1566</v>
      </c>
      <c r="D714" s="178" t="s">
        <v>24</v>
      </c>
      <c r="E714" s="333" t="s">
        <v>1587</v>
      </c>
      <c r="F714" s="179" t="str">
        <f>IF(AND(COUNTIF('Build &amp; Totals'!$A$4:$B$12,$C714)&gt;=1,Class=$B714),$A714,"")</f>
        <v/>
      </c>
    </row>
    <row r="715" spans="1:6">
      <c r="A715" s="331" t="s">
        <v>1588</v>
      </c>
      <c r="B715" s="332" t="s">
        <v>1492</v>
      </c>
      <c r="C715" s="332" t="s">
        <v>1566</v>
      </c>
      <c r="D715" s="178" t="s">
        <v>24</v>
      </c>
      <c r="E715" s="333" t="s">
        <v>1589</v>
      </c>
      <c r="F715" s="179" t="str">
        <f>IF(AND(COUNTIF('Build &amp; Totals'!$A$4:$B$12,$C715)&gt;=1,Class=$B715),$A715,"")</f>
        <v/>
      </c>
    </row>
    <row r="716" spans="1:6">
      <c r="A716" s="331" t="s">
        <v>1590</v>
      </c>
      <c r="B716" s="332" t="s">
        <v>1492</v>
      </c>
      <c r="C716" s="332" t="s">
        <v>1591</v>
      </c>
      <c r="D716" s="178" t="s">
        <v>94</v>
      </c>
      <c r="E716" s="333" t="s">
        <v>1592</v>
      </c>
      <c r="F716" s="179" t="str">
        <f>IF(AND(COUNTIF('Build &amp; Totals'!$A$4:$B$12,$C716)&gt;=1,Class=$B716),$A716,"")</f>
        <v/>
      </c>
    </row>
    <row r="717" spans="1:6">
      <c r="A717" s="331" t="s">
        <v>1593</v>
      </c>
      <c r="B717" s="332" t="s">
        <v>1492</v>
      </c>
      <c r="C717" s="332" t="s">
        <v>1591</v>
      </c>
      <c r="D717" s="178" t="s">
        <v>19</v>
      </c>
      <c r="E717" s="333" t="s">
        <v>1594</v>
      </c>
      <c r="F717" s="179" t="str">
        <f>IF(AND(COUNTIF('Build &amp; Totals'!$A$4:$B$12,$C717)&gt;=1,Class=$B717),$A717,"")</f>
        <v/>
      </c>
    </row>
    <row r="718" spans="1:6">
      <c r="A718" s="331" t="s">
        <v>1595</v>
      </c>
      <c r="B718" s="332" t="s">
        <v>1492</v>
      </c>
      <c r="C718" s="332" t="s">
        <v>1591</v>
      </c>
      <c r="D718" s="178" t="s">
        <v>19</v>
      </c>
      <c r="E718" s="333" t="s">
        <v>1596</v>
      </c>
      <c r="F718" s="179" t="str">
        <f>IF(AND(COUNTIF('Build &amp; Totals'!$A$4:$B$12,$C718)&gt;=1,Class=$B718),$A718,"")</f>
        <v/>
      </c>
    </row>
    <row r="719" spans="1:6">
      <c r="A719" s="331" t="s">
        <v>1597</v>
      </c>
      <c r="B719" s="332" t="s">
        <v>1492</v>
      </c>
      <c r="C719" s="332" t="s">
        <v>1591</v>
      </c>
      <c r="D719" s="178" t="s">
        <v>19</v>
      </c>
      <c r="E719" s="333" t="s">
        <v>1598</v>
      </c>
      <c r="F719" s="179" t="str">
        <f>IF(AND(COUNTIF('Build &amp; Totals'!$A$4:$B$12,$C719)&gt;=1,Class=$B719),$A719,"")</f>
        <v/>
      </c>
    </row>
    <row r="720" spans="1:6" ht="23.25">
      <c r="A720" s="331" t="s">
        <v>1599</v>
      </c>
      <c r="B720" s="332" t="s">
        <v>1492</v>
      </c>
      <c r="C720" s="332" t="s">
        <v>1591</v>
      </c>
      <c r="D720" s="178" t="s">
        <v>95</v>
      </c>
      <c r="E720" s="333" t="s">
        <v>1600</v>
      </c>
      <c r="F720" s="179" t="str">
        <f>IF(AND(COUNTIF('Build &amp; Totals'!$A$4:$B$12,$C720)&gt;=1,Class=$B720),$A720,"")</f>
        <v/>
      </c>
    </row>
    <row r="721" spans="1:6" ht="23.25">
      <c r="A721" s="331" t="s">
        <v>1601</v>
      </c>
      <c r="B721" s="332" t="s">
        <v>1492</v>
      </c>
      <c r="C721" s="332" t="s">
        <v>1591</v>
      </c>
      <c r="D721" s="178" t="s">
        <v>22</v>
      </c>
      <c r="E721" s="333" t="s">
        <v>1602</v>
      </c>
      <c r="F721" s="179" t="str">
        <f>IF(AND(COUNTIF('Build &amp; Totals'!$A$4:$B$12,$C721)&gt;=1,Class=$B721),$A721,"")</f>
        <v/>
      </c>
    </row>
    <row r="722" spans="1:6">
      <c r="A722" s="331" t="s">
        <v>1603</v>
      </c>
      <c r="B722" s="332" t="s">
        <v>1492</v>
      </c>
      <c r="C722" s="332" t="s">
        <v>1591</v>
      </c>
      <c r="D722" s="178" t="s">
        <v>22</v>
      </c>
      <c r="E722" s="333" t="s">
        <v>1604</v>
      </c>
      <c r="F722" s="179" t="str">
        <f>IF(AND(COUNTIF('Build &amp; Totals'!$A$4:$B$12,$C722)&gt;=1,Class=$B722),$A722,"")</f>
        <v/>
      </c>
    </row>
    <row r="723" spans="1:6">
      <c r="A723" s="331" t="s">
        <v>1605</v>
      </c>
      <c r="B723" s="332" t="s">
        <v>1492</v>
      </c>
      <c r="C723" s="332" t="s">
        <v>1591</v>
      </c>
      <c r="D723" s="178" t="s">
        <v>22</v>
      </c>
      <c r="E723" s="333" t="s">
        <v>1606</v>
      </c>
      <c r="F723" s="179" t="str">
        <f>IF(AND(COUNTIF('Build &amp; Totals'!$A$4:$B$12,$C723)&gt;=1,Class=$B723),$A723,"")</f>
        <v/>
      </c>
    </row>
    <row r="724" spans="1:6">
      <c r="A724" s="331" t="s">
        <v>1607</v>
      </c>
      <c r="B724" s="332" t="s">
        <v>1492</v>
      </c>
      <c r="C724" s="332" t="s">
        <v>1591</v>
      </c>
      <c r="D724" s="178" t="s">
        <v>98</v>
      </c>
      <c r="E724" s="333" t="s">
        <v>1608</v>
      </c>
      <c r="F724" s="179" t="str">
        <f>IF(AND(COUNTIF('Build &amp; Totals'!$A$4:$B$12,$C724)&gt;=1,Class=$B724),$A724,"")</f>
        <v/>
      </c>
    </row>
    <row r="725" spans="1:6">
      <c r="A725" s="331" t="s">
        <v>1609</v>
      </c>
      <c r="B725" s="332" t="s">
        <v>1492</v>
      </c>
      <c r="C725" s="332" t="s">
        <v>1591</v>
      </c>
      <c r="D725" s="178" t="s">
        <v>24</v>
      </c>
      <c r="E725" s="333" t="s">
        <v>1610</v>
      </c>
      <c r="F725" s="179" t="str">
        <f>IF(AND(COUNTIF('Build &amp; Totals'!$A$4:$B$12,$C725)&gt;=1,Class=$B725),$A725,"")</f>
        <v/>
      </c>
    </row>
    <row r="726" spans="1:6">
      <c r="A726" s="331" t="s">
        <v>1611</v>
      </c>
      <c r="B726" s="332" t="s">
        <v>1492</v>
      </c>
      <c r="C726" s="332" t="s">
        <v>1591</v>
      </c>
      <c r="D726" s="178" t="s">
        <v>24</v>
      </c>
      <c r="E726" s="333" t="s">
        <v>1612</v>
      </c>
      <c r="F726" s="179" t="str">
        <f>IF(AND(COUNTIF('Build &amp; Totals'!$A$4:$B$12,$C726)&gt;=1,Class=$B726),$A726,"")</f>
        <v/>
      </c>
    </row>
    <row r="727" spans="1:6">
      <c r="A727" s="331" t="s">
        <v>1613</v>
      </c>
      <c r="B727" s="332" t="s">
        <v>1492</v>
      </c>
      <c r="C727" s="332" t="s">
        <v>1591</v>
      </c>
      <c r="D727" s="178" t="s">
        <v>24</v>
      </c>
      <c r="E727" s="333" t="s">
        <v>1614</v>
      </c>
      <c r="F727" s="179" t="str">
        <f>IF(AND(COUNTIF('Build &amp; Totals'!$A$4:$B$12,$C727)&gt;=1,Class=$B727),$A727,"")</f>
        <v/>
      </c>
    </row>
    <row r="728" spans="1:6">
      <c r="A728" s="331" t="s">
        <v>1615</v>
      </c>
      <c r="B728" s="332" t="s">
        <v>1492</v>
      </c>
      <c r="C728" s="332" t="s">
        <v>1616</v>
      </c>
      <c r="D728" s="178" t="s">
        <v>238</v>
      </c>
      <c r="E728" s="333" t="s">
        <v>1617</v>
      </c>
      <c r="F728" s="179" t="str">
        <f>IF(AND(COUNTIF('Build &amp; Totals'!$A$4:$B$12,$C728)&gt;=1,Class=$B728),$A728,"")</f>
        <v/>
      </c>
    </row>
    <row r="729" spans="1:6" ht="23.25">
      <c r="A729" s="331" t="s">
        <v>1618</v>
      </c>
      <c r="B729" s="332" t="s">
        <v>1492</v>
      </c>
      <c r="C729" s="332" t="s">
        <v>1616</v>
      </c>
      <c r="D729" s="178" t="s">
        <v>94</v>
      </c>
      <c r="E729" s="333" t="s">
        <v>1619</v>
      </c>
      <c r="F729" s="179" t="str">
        <f>IF(AND(COUNTIF('Build &amp; Totals'!$A$4:$B$12,$C729)&gt;=1,Class=$B729),$A729,"")</f>
        <v/>
      </c>
    </row>
    <row r="730" spans="1:6">
      <c r="A730" s="331" t="s">
        <v>1620</v>
      </c>
      <c r="B730" s="332" t="s">
        <v>1492</v>
      </c>
      <c r="C730" s="332" t="s">
        <v>1616</v>
      </c>
      <c r="D730" s="178" t="s">
        <v>19</v>
      </c>
      <c r="E730" s="333" t="s">
        <v>1621</v>
      </c>
      <c r="F730" s="179" t="str">
        <f>IF(AND(COUNTIF('Build &amp; Totals'!$A$4:$B$12,$C730)&gt;=1,Class=$B730),$A730,"")</f>
        <v/>
      </c>
    </row>
    <row r="731" spans="1:6">
      <c r="A731" s="331" t="s">
        <v>1622</v>
      </c>
      <c r="B731" s="332" t="s">
        <v>1492</v>
      </c>
      <c r="C731" s="332" t="s">
        <v>1616</v>
      </c>
      <c r="D731" s="178" t="s">
        <v>19</v>
      </c>
      <c r="E731" s="333" t="s">
        <v>1623</v>
      </c>
      <c r="F731" s="179" t="str">
        <f>IF(AND(COUNTIF('Build &amp; Totals'!$A$4:$B$12,$C731)&gt;=1,Class=$B731),$A731,"")</f>
        <v/>
      </c>
    </row>
    <row r="732" spans="1:6">
      <c r="A732" s="331" t="s">
        <v>1624</v>
      </c>
      <c r="B732" s="332" t="s">
        <v>1492</v>
      </c>
      <c r="C732" s="332" t="s">
        <v>1616</v>
      </c>
      <c r="D732" s="178" t="s">
        <v>19</v>
      </c>
      <c r="E732" s="333" t="s">
        <v>1625</v>
      </c>
      <c r="F732" s="179" t="str">
        <f>IF(AND(COUNTIF('Build &amp; Totals'!$A$4:$B$12,$C732)&gt;=1,Class=$B732),$A732,"")</f>
        <v/>
      </c>
    </row>
    <row r="733" spans="1:6">
      <c r="A733" s="331" t="s">
        <v>1626</v>
      </c>
      <c r="B733" s="332" t="s">
        <v>1492</v>
      </c>
      <c r="C733" s="332" t="s">
        <v>1616</v>
      </c>
      <c r="D733" s="178" t="s">
        <v>95</v>
      </c>
      <c r="E733" s="333" t="s">
        <v>1627</v>
      </c>
      <c r="F733" s="179" t="str">
        <f>IF(AND(COUNTIF('Build &amp; Totals'!$A$4:$B$12,$C733)&gt;=1,Class=$B733),$A733,"")</f>
        <v/>
      </c>
    </row>
    <row r="734" spans="1:6" ht="23.25">
      <c r="A734" s="331" t="s">
        <v>1628</v>
      </c>
      <c r="B734" s="332" t="s">
        <v>1492</v>
      </c>
      <c r="C734" s="332" t="s">
        <v>1616</v>
      </c>
      <c r="D734" s="178" t="s">
        <v>22</v>
      </c>
      <c r="E734" s="333" t="s">
        <v>1629</v>
      </c>
      <c r="F734" s="179" t="str">
        <f>IF(AND(COUNTIF('Build &amp; Totals'!$A$4:$B$12,$C734)&gt;=1,Class=$B734),$A734,"")</f>
        <v/>
      </c>
    </row>
    <row r="735" spans="1:6">
      <c r="A735" s="331" t="s">
        <v>1630</v>
      </c>
      <c r="B735" s="332" t="s">
        <v>1492</v>
      </c>
      <c r="C735" s="332" t="s">
        <v>1616</v>
      </c>
      <c r="D735" s="178" t="s">
        <v>22</v>
      </c>
      <c r="E735" s="333" t="s">
        <v>1631</v>
      </c>
      <c r="F735" s="179" t="str">
        <f>IF(AND(COUNTIF('Build &amp; Totals'!$A$4:$B$12,$C735)&gt;=1,Class=$B735),$A735,"")</f>
        <v/>
      </c>
    </row>
    <row r="736" spans="1:6">
      <c r="A736" s="331" t="s">
        <v>1632</v>
      </c>
      <c r="B736" s="332" t="s">
        <v>1492</v>
      </c>
      <c r="C736" s="332" t="s">
        <v>1616</v>
      </c>
      <c r="D736" s="178" t="s">
        <v>22</v>
      </c>
      <c r="E736" s="333" t="s">
        <v>1633</v>
      </c>
      <c r="F736" s="179" t="str">
        <f>IF(AND(COUNTIF('Build &amp; Totals'!$A$4:$B$12,$C736)&gt;=1,Class=$B736),$A736,"")</f>
        <v/>
      </c>
    </row>
    <row r="737" spans="1:6">
      <c r="A737" s="331" t="s">
        <v>1634</v>
      </c>
      <c r="B737" s="332" t="s">
        <v>1492</v>
      </c>
      <c r="C737" s="332" t="s">
        <v>1616</v>
      </c>
      <c r="D737" s="178" t="s">
        <v>98</v>
      </c>
      <c r="E737" s="333" t="s">
        <v>1635</v>
      </c>
      <c r="F737" s="179" t="str">
        <f>IF(AND(COUNTIF('Build &amp; Totals'!$A$4:$B$12,$C737)&gt;=1,Class=$B737),$A737,"")</f>
        <v/>
      </c>
    </row>
    <row r="738" spans="1:6">
      <c r="A738" s="331" t="s">
        <v>1636</v>
      </c>
      <c r="B738" s="332" t="s">
        <v>1492</v>
      </c>
      <c r="C738" s="332" t="s">
        <v>1616</v>
      </c>
      <c r="D738" s="178" t="s">
        <v>24</v>
      </c>
      <c r="E738" s="333" t="s">
        <v>1637</v>
      </c>
      <c r="F738" s="179" t="str">
        <f>IF(AND(COUNTIF('Build &amp; Totals'!$A$4:$B$12,$C738)&gt;=1,Class=$B738),$A738,"")</f>
        <v/>
      </c>
    </row>
    <row r="739" spans="1:6">
      <c r="A739" s="331" t="s">
        <v>1638</v>
      </c>
      <c r="B739" s="332" t="s">
        <v>1492</v>
      </c>
      <c r="C739" s="332" t="s">
        <v>1616</v>
      </c>
      <c r="D739" s="178" t="s">
        <v>24</v>
      </c>
      <c r="E739" s="333" t="s">
        <v>1639</v>
      </c>
      <c r="F739" s="179" t="str">
        <f>IF(AND(COUNTIF('Build &amp; Totals'!$A$4:$B$12,$C739)&gt;=1,Class=$B739),$A739,"")</f>
        <v/>
      </c>
    </row>
    <row r="740" spans="1:6" ht="23.25">
      <c r="A740" s="331" t="s">
        <v>1640</v>
      </c>
      <c r="B740" s="332" t="s">
        <v>1492</v>
      </c>
      <c r="C740" s="332" t="s">
        <v>1616</v>
      </c>
      <c r="D740" s="178" t="s">
        <v>24</v>
      </c>
      <c r="E740" s="333" t="s">
        <v>1641</v>
      </c>
      <c r="F740" s="179" t="str">
        <f>IF(AND(COUNTIF('Build &amp; Totals'!$A$4:$B$12,$C740)&gt;=1,Class=$B740),$A740,"")</f>
        <v/>
      </c>
    </row>
    <row r="741" spans="1:6">
      <c r="A741" s="331" t="s">
        <v>291</v>
      </c>
      <c r="B741" s="332" t="s">
        <v>1492</v>
      </c>
      <c r="C741" s="332" t="s">
        <v>1642</v>
      </c>
      <c r="D741" s="178" t="s">
        <v>238</v>
      </c>
      <c r="E741" s="333" t="s">
        <v>956</v>
      </c>
      <c r="F741" s="179" t="str">
        <f>IF(AND(COUNTIF('Build &amp; Totals'!$A$4:$B$12,$C741)&gt;=1,Class=$B741),$A741,"")</f>
        <v/>
      </c>
    </row>
    <row r="742" spans="1:6" ht="23.25">
      <c r="A742" s="331" t="s">
        <v>1642</v>
      </c>
      <c r="B742" s="332" t="s">
        <v>1492</v>
      </c>
      <c r="C742" s="332" t="s">
        <v>1642</v>
      </c>
      <c r="D742" s="178" t="s">
        <v>94</v>
      </c>
      <c r="E742" s="333" t="s">
        <v>1643</v>
      </c>
      <c r="F742" s="179" t="str">
        <f>IF(AND(COUNTIF('Build &amp; Totals'!$A$4:$B$12,$C742)&gt;=1,Class=$B742),$A742,"")</f>
        <v/>
      </c>
    </row>
    <row r="743" spans="1:6">
      <c r="A743" s="331" t="s">
        <v>1644</v>
      </c>
      <c r="B743" s="332" t="s">
        <v>1492</v>
      </c>
      <c r="C743" s="332" t="s">
        <v>1642</v>
      </c>
      <c r="D743" s="178" t="s">
        <v>19</v>
      </c>
      <c r="E743" s="333" t="s">
        <v>1645</v>
      </c>
      <c r="F743" s="179" t="str">
        <f>IF(AND(COUNTIF('Build &amp; Totals'!$A$4:$B$12,$C743)&gt;=1,Class=$B743),$A743,"")</f>
        <v/>
      </c>
    </row>
    <row r="744" spans="1:6">
      <c r="A744" s="331" t="s">
        <v>1646</v>
      </c>
      <c r="B744" s="332" t="s">
        <v>1492</v>
      </c>
      <c r="C744" s="332" t="s">
        <v>1642</v>
      </c>
      <c r="D744" s="178" t="s">
        <v>19</v>
      </c>
      <c r="E744" s="333" t="s">
        <v>1647</v>
      </c>
      <c r="F744" s="179" t="str">
        <f>IF(AND(COUNTIF('Build &amp; Totals'!$A$4:$B$12,$C744)&gt;=1,Class=$B744),$A744,"")</f>
        <v/>
      </c>
    </row>
    <row r="745" spans="1:6" ht="23.25">
      <c r="A745" s="331" t="s">
        <v>1648</v>
      </c>
      <c r="B745" s="332" t="s">
        <v>1492</v>
      </c>
      <c r="C745" s="332" t="s">
        <v>1642</v>
      </c>
      <c r="D745" s="178" t="s">
        <v>19</v>
      </c>
      <c r="E745" s="333" t="s">
        <v>1649</v>
      </c>
      <c r="F745" s="179" t="str">
        <f>IF(AND(COUNTIF('Build &amp; Totals'!$A$4:$B$12,$C745)&gt;=1,Class=$B745),$A745,"")</f>
        <v/>
      </c>
    </row>
    <row r="746" spans="1:6">
      <c r="A746" s="331" t="s">
        <v>1650</v>
      </c>
      <c r="B746" s="332" t="s">
        <v>1492</v>
      </c>
      <c r="C746" s="332" t="s">
        <v>1642</v>
      </c>
      <c r="D746" s="178" t="s">
        <v>95</v>
      </c>
      <c r="E746" s="333" t="s">
        <v>1651</v>
      </c>
      <c r="F746" s="179" t="str">
        <f>IF(AND(COUNTIF('Build &amp; Totals'!$A$4:$B$12,$C746)&gt;=1,Class=$B746),$A746,"")</f>
        <v/>
      </c>
    </row>
    <row r="747" spans="1:6">
      <c r="A747" s="331" t="s">
        <v>1652</v>
      </c>
      <c r="B747" s="332" t="s">
        <v>1492</v>
      </c>
      <c r="C747" s="332" t="s">
        <v>1642</v>
      </c>
      <c r="D747" s="178" t="s">
        <v>22</v>
      </c>
      <c r="E747" s="333" t="s">
        <v>1653</v>
      </c>
      <c r="F747" s="179" t="str">
        <f>IF(AND(COUNTIF('Build &amp; Totals'!$A$4:$B$12,$C747)&gt;=1,Class=$B747),$A747,"")</f>
        <v/>
      </c>
    </row>
    <row r="748" spans="1:6" ht="23.25">
      <c r="A748" s="331" t="s">
        <v>1654</v>
      </c>
      <c r="B748" s="332" t="s">
        <v>1492</v>
      </c>
      <c r="C748" s="332" t="s">
        <v>1642</v>
      </c>
      <c r="D748" s="178" t="s">
        <v>22</v>
      </c>
      <c r="E748" s="333" t="s">
        <v>1655</v>
      </c>
      <c r="F748" s="179" t="str">
        <f>IF(AND(COUNTIF('Build &amp; Totals'!$A$4:$B$12,$C748)&gt;=1,Class=$B748),$A748,"")</f>
        <v/>
      </c>
    </row>
    <row r="749" spans="1:6">
      <c r="A749" s="331" t="s">
        <v>1656</v>
      </c>
      <c r="B749" s="332" t="s">
        <v>1492</v>
      </c>
      <c r="C749" s="332" t="s">
        <v>1642</v>
      </c>
      <c r="D749" s="178" t="s">
        <v>22</v>
      </c>
      <c r="E749" s="333" t="s">
        <v>1657</v>
      </c>
      <c r="F749" s="179" t="str">
        <f>IF(AND(COUNTIF('Build &amp; Totals'!$A$4:$B$12,$C749)&gt;=1,Class=$B749),$A749,"")</f>
        <v/>
      </c>
    </row>
    <row r="750" spans="1:6">
      <c r="A750" s="331" t="s">
        <v>1658</v>
      </c>
      <c r="B750" s="332" t="s">
        <v>1492</v>
      </c>
      <c r="C750" s="332" t="s">
        <v>1642</v>
      </c>
      <c r="D750" s="178" t="s">
        <v>98</v>
      </c>
      <c r="E750" s="333" t="s">
        <v>1659</v>
      </c>
      <c r="F750" s="179" t="str">
        <f>IF(AND(COUNTIF('Build &amp; Totals'!$A$4:$B$12,$C750)&gt;=1,Class=$B750),$A750,"")</f>
        <v/>
      </c>
    </row>
    <row r="751" spans="1:6" ht="23.25">
      <c r="A751" s="331" t="s">
        <v>1660</v>
      </c>
      <c r="B751" s="332" t="s">
        <v>1492</v>
      </c>
      <c r="C751" s="332" t="s">
        <v>1642</v>
      </c>
      <c r="D751" s="178" t="s">
        <v>24</v>
      </c>
      <c r="E751" s="333" t="s">
        <v>1661</v>
      </c>
      <c r="F751" s="179" t="str">
        <f>IF(AND(COUNTIF('Build &amp; Totals'!$A$4:$B$12,$C751)&gt;=1,Class=$B751),$A751,"")</f>
        <v/>
      </c>
    </row>
    <row r="752" spans="1:6" ht="23.25">
      <c r="A752" s="331" t="s">
        <v>1662</v>
      </c>
      <c r="B752" s="332" t="s">
        <v>1492</v>
      </c>
      <c r="C752" s="332" t="s">
        <v>1642</v>
      </c>
      <c r="D752" s="178" t="s">
        <v>24</v>
      </c>
      <c r="E752" s="333" t="s">
        <v>1663</v>
      </c>
      <c r="F752" s="179" t="str">
        <f>IF(AND(COUNTIF('Build &amp; Totals'!$A$4:$B$12,$C752)&gt;=1,Class=$B752),$A752,"")</f>
        <v/>
      </c>
    </row>
    <row r="753" spans="1:6">
      <c r="A753" s="331" t="s">
        <v>1664</v>
      </c>
      <c r="B753" s="332" t="s">
        <v>1492</v>
      </c>
      <c r="C753" s="332" t="s">
        <v>1642</v>
      </c>
      <c r="D753" s="178" t="s">
        <v>24</v>
      </c>
      <c r="E753" s="333" t="s">
        <v>1665</v>
      </c>
      <c r="F753" s="179" t="str">
        <f>IF(AND(COUNTIF('Build &amp; Totals'!$A$4:$B$12,$C753)&gt;=1,Class=$B753),$A753,"")</f>
        <v/>
      </c>
    </row>
    <row r="754" spans="1:6">
      <c r="A754" s="331" t="s">
        <v>928</v>
      </c>
      <c r="B754" s="332" t="s">
        <v>1492</v>
      </c>
      <c r="C754" s="332" t="s">
        <v>1666</v>
      </c>
      <c r="D754" s="178" t="s">
        <v>238</v>
      </c>
      <c r="E754" s="333" t="s">
        <v>930</v>
      </c>
      <c r="F754" s="179" t="str">
        <f>IF(AND(COUNTIF('Build &amp; Totals'!$A$4:$B$12,$C754)&gt;=1,Class=$B754),$A754,"")</f>
        <v/>
      </c>
    </row>
    <row r="755" spans="1:6" ht="23.25">
      <c r="A755" s="331" t="s">
        <v>1667</v>
      </c>
      <c r="B755" s="332" t="s">
        <v>1492</v>
      </c>
      <c r="C755" s="332" t="s">
        <v>1666</v>
      </c>
      <c r="D755" s="178" t="s">
        <v>94</v>
      </c>
      <c r="E755" s="333" t="s">
        <v>1668</v>
      </c>
      <c r="F755" s="179" t="str">
        <f>IF(AND(COUNTIF('Build &amp; Totals'!$A$4:$B$12,$C755)&gt;=1,Class=$B755),$A755,"")</f>
        <v/>
      </c>
    </row>
    <row r="756" spans="1:6" ht="23.25">
      <c r="A756" s="331" t="s">
        <v>1669</v>
      </c>
      <c r="B756" s="332" t="s">
        <v>1492</v>
      </c>
      <c r="C756" s="332" t="s">
        <v>1666</v>
      </c>
      <c r="D756" s="178" t="s">
        <v>19</v>
      </c>
      <c r="E756" s="333" t="s">
        <v>1670</v>
      </c>
      <c r="F756" s="179" t="str">
        <f>IF(AND(COUNTIF('Build &amp; Totals'!$A$4:$B$12,$C756)&gt;=1,Class=$B756),$A756,"")</f>
        <v/>
      </c>
    </row>
    <row r="757" spans="1:6">
      <c r="A757" s="331" t="s">
        <v>1671</v>
      </c>
      <c r="B757" s="332" t="s">
        <v>1492</v>
      </c>
      <c r="C757" s="332" t="s">
        <v>1666</v>
      </c>
      <c r="D757" s="178" t="s">
        <v>19</v>
      </c>
      <c r="E757" s="333" t="s">
        <v>1672</v>
      </c>
      <c r="F757" s="179" t="str">
        <f>IF(AND(COUNTIF('Build &amp; Totals'!$A$4:$B$12,$C757)&gt;=1,Class=$B757),$A757,"")</f>
        <v/>
      </c>
    </row>
    <row r="758" spans="1:6">
      <c r="A758" s="331" t="s">
        <v>1673</v>
      </c>
      <c r="B758" s="332" t="s">
        <v>1492</v>
      </c>
      <c r="C758" s="332" t="s">
        <v>1666</v>
      </c>
      <c r="D758" s="178" t="s">
        <v>19</v>
      </c>
      <c r="E758" s="333" t="s">
        <v>1674</v>
      </c>
      <c r="F758" s="179" t="str">
        <f>IF(AND(COUNTIF('Build &amp; Totals'!$A$4:$B$12,$C758)&gt;=1,Class=$B758),$A758,"")</f>
        <v/>
      </c>
    </row>
    <row r="759" spans="1:6">
      <c r="A759" s="331" t="s">
        <v>1675</v>
      </c>
      <c r="B759" s="332" t="s">
        <v>1492</v>
      </c>
      <c r="C759" s="332" t="s">
        <v>1666</v>
      </c>
      <c r="D759" s="178" t="s">
        <v>95</v>
      </c>
      <c r="E759" s="333" t="s">
        <v>1676</v>
      </c>
      <c r="F759" s="179" t="str">
        <f>IF(AND(COUNTIF('Build &amp; Totals'!$A$4:$B$12,$C759)&gt;=1,Class=$B759),$A759,"")</f>
        <v/>
      </c>
    </row>
    <row r="760" spans="1:6" ht="23.25">
      <c r="A760" s="331" t="s">
        <v>1677</v>
      </c>
      <c r="B760" s="332" t="s">
        <v>1492</v>
      </c>
      <c r="C760" s="332" t="s">
        <v>1666</v>
      </c>
      <c r="D760" s="178" t="s">
        <v>22</v>
      </c>
      <c r="E760" s="333" t="s">
        <v>1678</v>
      </c>
      <c r="F760" s="179" t="str">
        <f>IF(AND(COUNTIF('Build &amp; Totals'!$A$4:$B$12,$C760)&gt;=1,Class=$B760),$A760,"")</f>
        <v/>
      </c>
    </row>
    <row r="761" spans="1:6">
      <c r="A761" s="331" t="s">
        <v>1679</v>
      </c>
      <c r="B761" s="332" t="s">
        <v>1492</v>
      </c>
      <c r="C761" s="332" t="s">
        <v>1666</v>
      </c>
      <c r="D761" s="178" t="s">
        <v>22</v>
      </c>
      <c r="E761" s="333" t="s">
        <v>1680</v>
      </c>
      <c r="F761" s="179" t="str">
        <f>IF(AND(COUNTIF('Build &amp; Totals'!$A$4:$B$12,$C761)&gt;=1,Class=$B761),$A761,"")</f>
        <v/>
      </c>
    </row>
    <row r="762" spans="1:6" ht="23.25">
      <c r="A762" s="331" t="s">
        <v>1681</v>
      </c>
      <c r="B762" s="332" t="s">
        <v>1492</v>
      </c>
      <c r="C762" s="332" t="s">
        <v>1666</v>
      </c>
      <c r="D762" s="178" t="s">
        <v>22</v>
      </c>
      <c r="E762" s="333" t="s">
        <v>1682</v>
      </c>
      <c r="F762" s="179" t="str">
        <f>IF(AND(COUNTIF('Build &amp; Totals'!$A$4:$B$12,$C762)&gt;=1,Class=$B762),$A762,"")</f>
        <v/>
      </c>
    </row>
    <row r="763" spans="1:6" ht="23.25">
      <c r="A763" s="331" t="s">
        <v>1683</v>
      </c>
      <c r="B763" s="332" t="s">
        <v>1492</v>
      </c>
      <c r="C763" s="332" t="s">
        <v>1666</v>
      </c>
      <c r="D763" s="178" t="s">
        <v>98</v>
      </c>
      <c r="E763" s="333" t="s">
        <v>1684</v>
      </c>
      <c r="F763" s="179" t="str">
        <f>IF(AND(COUNTIF('Build &amp; Totals'!$A$4:$B$12,$C763)&gt;=1,Class=$B763),$A763,"")</f>
        <v/>
      </c>
    </row>
    <row r="764" spans="1:6">
      <c r="A764" s="331" t="s">
        <v>1685</v>
      </c>
      <c r="B764" s="332" t="s">
        <v>1492</v>
      </c>
      <c r="C764" s="332" t="s">
        <v>1666</v>
      </c>
      <c r="D764" s="178" t="s">
        <v>24</v>
      </c>
      <c r="E764" s="333" t="s">
        <v>1686</v>
      </c>
      <c r="F764" s="179" t="str">
        <f>IF(AND(COUNTIF('Build &amp; Totals'!$A$4:$B$12,$C764)&gt;=1,Class=$B764),$A764,"")</f>
        <v/>
      </c>
    </row>
    <row r="765" spans="1:6" ht="23.25">
      <c r="A765" s="331" t="s">
        <v>1687</v>
      </c>
      <c r="B765" s="332" t="s">
        <v>1492</v>
      </c>
      <c r="C765" s="332" t="s">
        <v>1666</v>
      </c>
      <c r="D765" s="178" t="s">
        <v>24</v>
      </c>
      <c r="E765" s="333" t="s">
        <v>1688</v>
      </c>
      <c r="F765" s="179" t="str">
        <f>IF(AND(COUNTIF('Build &amp; Totals'!$A$4:$B$12,$C765)&gt;=1,Class=$B765),$A765,"")</f>
        <v/>
      </c>
    </row>
    <row r="766" spans="1:6" ht="23.25">
      <c r="A766" s="331" t="s">
        <v>1689</v>
      </c>
      <c r="B766" s="332" t="s">
        <v>1492</v>
      </c>
      <c r="C766" s="332" t="s">
        <v>1666</v>
      </c>
      <c r="D766" s="178" t="s">
        <v>24</v>
      </c>
      <c r="E766" s="333" t="s">
        <v>1690</v>
      </c>
      <c r="F766" s="179" t="str">
        <f>IF(AND(COUNTIF('Build &amp; Totals'!$A$4:$B$12,$C766)&gt;=1,Class=$B766),$A766,"")</f>
        <v/>
      </c>
    </row>
    <row r="767" spans="1:6" ht="46.5">
      <c r="A767" s="331" t="s">
        <v>1691</v>
      </c>
      <c r="B767" s="332" t="s">
        <v>1492</v>
      </c>
      <c r="C767" s="332" t="s">
        <v>1692</v>
      </c>
      <c r="D767" s="178" t="s">
        <v>94</v>
      </c>
      <c r="E767" s="333" t="s">
        <v>1693</v>
      </c>
      <c r="F767" s="179" t="str">
        <f>IF(AND(COUNTIF('Build &amp; Totals'!$A$4:$B$12,$C767)&gt;=1,Class=$B767),$A767,"")</f>
        <v/>
      </c>
    </row>
    <row r="768" spans="1:6">
      <c r="A768" s="331" t="s">
        <v>1694</v>
      </c>
      <c r="B768" s="332" t="s">
        <v>1492</v>
      </c>
      <c r="C768" s="332" t="s">
        <v>1692</v>
      </c>
      <c r="D768" s="178" t="s">
        <v>19</v>
      </c>
      <c r="E768" s="333" t="s">
        <v>1695</v>
      </c>
      <c r="F768" s="179" t="str">
        <f>IF(AND(COUNTIF('Build &amp; Totals'!$A$4:$B$12,$C768)&gt;=1,Class=$B768),$A768,"")</f>
        <v/>
      </c>
    </row>
    <row r="769" spans="1:6">
      <c r="A769" s="331" t="s">
        <v>1696</v>
      </c>
      <c r="B769" s="332" t="s">
        <v>1492</v>
      </c>
      <c r="C769" s="332" t="s">
        <v>1692</v>
      </c>
      <c r="D769" s="178" t="s">
        <v>19</v>
      </c>
      <c r="E769" s="333" t="s">
        <v>1697</v>
      </c>
      <c r="F769" s="179" t="str">
        <f>IF(AND(COUNTIF('Build &amp; Totals'!$A$4:$B$12,$C769)&gt;=1,Class=$B769),$A769,"")</f>
        <v/>
      </c>
    </row>
    <row r="770" spans="1:6">
      <c r="A770" s="331" t="s">
        <v>1698</v>
      </c>
      <c r="B770" s="332" t="s">
        <v>1492</v>
      </c>
      <c r="C770" s="332" t="s">
        <v>1692</v>
      </c>
      <c r="D770" s="178" t="s">
        <v>19</v>
      </c>
      <c r="E770" s="333" t="s">
        <v>1699</v>
      </c>
      <c r="F770" s="179" t="str">
        <f>IF(AND(COUNTIF('Build &amp; Totals'!$A$4:$B$12,$C770)&gt;=1,Class=$B770),$A770,"")</f>
        <v/>
      </c>
    </row>
    <row r="771" spans="1:6">
      <c r="A771" s="331" t="s">
        <v>1700</v>
      </c>
      <c r="B771" s="332" t="s">
        <v>1492</v>
      </c>
      <c r="C771" s="332" t="s">
        <v>1692</v>
      </c>
      <c r="D771" s="178" t="s">
        <v>95</v>
      </c>
      <c r="E771" s="333" t="s">
        <v>1701</v>
      </c>
      <c r="F771" s="179" t="str">
        <f>IF(AND(COUNTIF('Build &amp; Totals'!$A$4:$B$12,$C771)&gt;=1,Class=$B771),$A771,"")</f>
        <v/>
      </c>
    </row>
    <row r="772" spans="1:6">
      <c r="A772" s="331" t="s">
        <v>1702</v>
      </c>
      <c r="B772" s="332" t="s">
        <v>1492</v>
      </c>
      <c r="C772" s="332" t="s">
        <v>1692</v>
      </c>
      <c r="D772" s="178" t="s">
        <v>22</v>
      </c>
      <c r="E772" s="333" t="s">
        <v>1703</v>
      </c>
      <c r="F772" s="179" t="str">
        <f>IF(AND(COUNTIF('Build &amp; Totals'!$A$4:$B$12,$C772)&gt;=1,Class=$B772),$A772,"")</f>
        <v/>
      </c>
    </row>
    <row r="773" spans="1:6">
      <c r="A773" s="331" t="s">
        <v>1704</v>
      </c>
      <c r="B773" s="332" t="s">
        <v>1492</v>
      </c>
      <c r="C773" s="332" t="s">
        <v>1692</v>
      </c>
      <c r="D773" s="178" t="s">
        <v>22</v>
      </c>
      <c r="E773" s="333" t="s">
        <v>1705</v>
      </c>
      <c r="F773" s="179" t="str">
        <f>IF(AND(COUNTIF('Build &amp; Totals'!$A$4:$B$12,$C773)&gt;=1,Class=$B773),$A773,"")</f>
        <v/>
      </c>
    </row>
    <row r="774" spans="1:6">
      <c r="A774" s="331" t="s">
        <v>1706</v>
      </c>
      <c r="B774" s="332" t="s">
        <v>1492</v>
      </c>
      <c r="C774" s="332" t="s">
        <v>1692</v>
      </c>
      <c r="D774" s="178" t="s">
        <v>22</v>
      </c>
      <c r="E774" s="333" t="s">
        <v>1707</v>
      </c>
      <c r="F774" s="179" t="str">
        <f>IF(AND(COUNTIF('Build &amp; Totals'!$A$4:$B$12,$C774)&gt;=1,Class=$B774),$A774,"")</f>
        <v/>
      </c>
    </row>
    <row r="775" spans="1:6">
      <c r="A775" s="331" t="s">
        <v>1708</v>
      </c>
      <c r="B775" s="332" t="s">
        <v>1492</v>
      </c>
      <c r="C775" s="332" t="s">
        <v>1692</v>
      </c>
      <c r="D775" s="178" t="s">
        <v>98</v>
      </c>
      <c r="E775" s="333" t="s">
        <v>1709</v>
      </c>
      <c r="F775" s="179" t="str">
        <f>IF(AND(COUNTIF('Build &amp; Totals'!$A$4:$B$12,$C775)&gt;=1,Class=$B775),$A775,"")</f>
        <v/>
      </c>
    </row>
    <row r="776" spans="1:6" ht="23.25">
      <c r="A776" s="331" t="s">
        <v>1710</v>
      </c>
      <c r="B776" s="332" t="s">
        <v>1492</v>
      </c>
      <c r="C776" s="332" t="s">
        <v>1692</v>
      </c>
      <c r="D776" s="178" t="s">
        <v>24</v>
      </c>
      <c r="E776" s="333" t="s">
        <v>1711</v>
      </c>
      <c r="F776" s="179" t="str">
        <f>IF(AND(COUNTIF('Build &amp; Totals'!$A$4:$B$12,$C776)&gt;=1,Class=$B776),$A776,"")</f>
        <v/>
      </c>
    </row>
    <row r="777" spans="1:6" ht="23.25">
      <c r="A777" s="331" t="s">
        <v>1712</v>
      </c>
      <c r="B777" s="332" t="s">
        <v>1492</v>
      </c>
      <c r="C777" s="332" t="s">
        <v>1692</v>
      </c>
      <c r="D777" s="178" t="s">
        <v>24</v>
      </c>
      <c r="E777" s="333" t="s">
        <v>1713</v>
      </c>
      <c r="F777" s="179" t="str">
        <f>IF(AND(COUNTIF('Build &amp; Totals'!$A$4:$B$12,$C777)&gt;=1,Class=$B777),$A777,"")</f>
        <v/>
      </c>
    </row>
    <row r="778" spans="1:6" ht="35.25">
      <c r="A778" s="331" t="s">
        <v>1714</v>
      </c>
      <c r="B778" s="332" t="s">
        <v>1492</v>
      </c>
      <c r="C778" s="332" t="s">
        <v>1692</v>
      </c>
      <c r="D778" s="178" t="s">
        <v>24</v>
      </c>
      <c r="E778" s="333" t="s">
        <v>1715</v>
      </c>
      <c r="F778" s="179" t="str">
        <f>IF(AND(COUNTIF('Build &amp; Totals'!$A$4:$B$12,$C778)&gt;=1,Class=$B778),$A778,"")</f>
        <v/>
      </c>
    </row>
    <row r="779" spans="1:6" ht="23.25">
      <c r="A779" s="331" t="s">
        <v>1716</v>
      </c>
      <c r="B779" s="332" t="s">
        <v>1717</v>
      </c>
      <c r="C779" s="332" t="s">
        <v>1718</v>
      </c>
      <c r="D779" s="178" t="s">
        <v>94</v>
      </c>
      <c r="E779" s="333" t="s">
        <v>1719</v>
      </c>
      <c r="F779" s="179" t="str">
        <f>IF(AND(COUNTIF('Build &amp; Totals'!$A$4:$B$12,$C779)&gt;=1,Class=$B779),$A779,"")</f>
        <v/>
      </c>
    </row>
    <row r="780" spans="1:6" ht="23.25">
      <c r="A780" s="331" t="s">
        <v>1720</v>
      </c>
      <c r="B780" s="332" t="s">
        <v>1717</v>
      </c>
      <c r="C780" s="332" t="s">
        <v>1718</v>
      </c>
      <c r="D780" s="178" t="s">
        <v>19</v>
      </c>
      <c r="E780" s="333" t="s">
        <v>1721</v>
      </c>
      <c r="F780" s="179" t="str">
        <f>IF(AND(COUNTIF('Build &amp; Totals'!$A$4:$B$12,$C780)&gt;=1,Class=$B780),$A780,"")</f>
        <v/>
      </c>
    </row>
    <row r="781" spans="1:6">
      <c r="A781" s="331" t="s">
        <v>1722</v>
      </c>
      <c r="B781" s="332" t="s">
        <v>1717</v>
      </c>
      <c r="C781" s="332" t="s">
        <v>1718</v>
      </c>
      <c r="D781" s="178" t="s">
        <v>19</v>
      </c>
      <c r="E781" s="333" t="s">
        <v>1723</v>
      </c>
      <c r="F781" s="179" t="str">
        <f>IF(AND(COUNTIF('Build &amp; Totals'!$A$4:$B$12,$C781)&gt;=1,Class=$B781),$A781,"")</f>
        <v/>
      </c>
    </row>
    <row r="782" spans="1:6">
      <c r="A782" s="331" t="s">
        <v>1724</v>
      </c>
      <c r="B782" s="332" t="s">
        <v>1717</v>
      </c>
      <c r="C782" s="332" t="s">
        <v>1718</v>
      </c>
      <c r="D782" s="178" t="s">
        <v>19</v>
      </c>
      <c r="E782" s="333" t="s">
        <v>1725</v>
      </c>
      <c r="F782" s="179" t="str">
        <f>IF(AND(COUNTIF('Build &amp; Totals'!$A$4:$B$12,$C782)&gt;=1,Class=$B782),$A782,"")</f>
        <v/>
      </c>
    </row>
    <row r="783" spans="1:6">
      <c r="A783" s="331" t="s">
        <v>1726</v>
      </c>
      <c r="B783" s="332" t="s">
        <v>1717</v>
      </c>
      <c r="C783" s="332" t="s">
        <v>1718</v>
      </c>
      <c r="D783" s="178" t="s">
        <v>95</v>
      </c>
      <c r="E783" s="333" t="s">
        <v>1727</v>
      </c>
      <c r="F783" s="179" t="str">
        <f>IF(AND(COUNTIF('Build &amp; Totals'!$A$4:$B$12,$C783)&gt;=1,Class=$B783),$A783,"")</f>
        <v/>
      </c>
    </row>
    <row r="784" spans="1:6">
      <c r="A784" s="331" t="s">
        <v>1728</v>
      </c>
      <c r="B784" s="332" t="s">
        <v>1717</v>
      </c>
      <c r="C784" s="332" t="s">
        <v>1718</v>
      </c>
      <c r="D784" s="178" t="s">
        <v>22</v>
      </c>
      <c r="E784" s="333" t="s">
        <v>1729</v>
      </c>
      <c r="F784" s="179" t="str">
        <f>IF(AND(COUNTIF('Build &amp; Totals'!$A$4:$B$12,$C784)&gt;=1,Class=$B784),$A784,"")</f>
        <v/>
      </c>
    </row>
    <row r="785" spans="1:6">
      <c r="A785" s="331" t="s">
        <v>1730</v>
      </c>
      <c r="B785" s="332" t="s">
        <v>1717</v>
      </c>
      <c r="C785" s="332" t="s">
        <v>1718</v>
      </c>
      <c r="D785" s="178" t="s">
        <v>22</v>
      </c>
      <c r="E785" s="333" t="s">
        <v>1731</v>
      </c>
      <c r="F785" s="179" t="str">
        <f>IF(AND(COUNTIF('Build &amp; Totals'!$A$4:$B$12,$C785)&gt;=1,Class=$B785),$A785,"")</f>
        <v/>
      </c>
    </row>
    <row r="786" spans="1:6">
      <c r="A786" s="331" t="s">
        <v>1732</v>
      </c>
      <c r="B786" s="332" t="s">
        <v>1717</v>
      </c>
      <c r="C786" s="332" t="s">
        <v>1718</v>
      </c>
      <c r="D786" s="178" t="s">
        <v>22</v>
      </c>
      <c r="E786" s="333" t="s">
        <v>1733</v>
      </c>
      <c r="F786" s="179" t="str">
        <f>IF(AND(COUNTIF('Build &amp; Totals'!$A$4:$B$12,$C786)&gt;=1,Class=$B786),$A786,"")</f>
        <v/>
      </c>
    </row>
    <row r="787" spans="1:6">
      <c r="A787" s="331" t="s">
        <v>1734</v>
      </c>
      <c r="B787" s="332" t="s">
        <v>1717</v>
      </c>
      <c r="C787" s="332" t="s">
        <v>1718</v>
      </c>
      <c r="D787" s="178" t="s">
        <v>98</v>
      </c>
      <c r="E787" s="333" t="s">
        <v>822</v>
      </c>
      <c r="F787" s="179" t="str">
        <f>IF(AND(COUNTIF('Build &amp; Totals'!$A$4:$B$12,$C787)&gt;=1,Class=$B787),$A787,"")</f>
        <v/>
      </c>
    </row>
    <row r="788" spans="1:6" ht="23.25">
      <c r="A788" s="331" t="s">
        <v>1735</v>
      </c>
      <c r="B788" s="332" t="s">
        <v>1717</v>
      </c>
      <c r="C788" s="332" t="s">
        <v>1718</v>
      </c>
      <c r="D788" s="178" t="s">
        <v>24</v>
      </c>
      <c r="E788" s="333" t="s">
        <v>1736</v>
      </c>
      <c r="F788" s="179" t="str">
        <f>IF(AND(COUNTIF('Build &amp; Totals'!$A$4:$B$12,$C788)&gt;=1,Class=$B788),$A788,"")</f>
        <v/>
      </c>
    </row>
    <row r="789" spans="1:6">
      <c r="A789" s="331" t="s">
        <v>1737</v>
      </c>
      <c r="B789" s="332" t="s">
        <v>1717</v>
      </c>
      <c r="C789" s="332" t="s">
        <v>1718</v>
      </c>
      <c r="D789" s="178" t="s">
        <v>24</v>
      </c>
      <c r="E789" s="333" t="s">
        <v>1738</v>
      </c>
      <c r="F789" s="179" t="str">
        <f>IF(AND(COUNTIF('Build &amp; Totals'!$A$4:$B$12,$C789)&gt;=1,Class=$B789),$A789,"")</f>
        <v/>
      </c>
    </row>
    <row r="790" spans="1:6" ht="23.25">
      <c r="A790" s="331" t="s">
        <v>1739</v>
      </c>
      <c r="B790" s="332" t="s">
        <v>1717</v>
      </c>
      <c r="C790" s="332" t="s">
        <v>1718</v>
      </c>
      <c r="D790" s="178" t="s">
        <v>24</v>
      </c>
      <c r="E790" s="333" t="s">
        <v>1740</v>
      </c>
      <c r="F790" s="179" t="str">
        <f>IF(AND(COUNTIF('Build &amp; Totals'!$A$4:$B$12,$C790)&gt;=1,Class=$B790),$A790,"")</f>
        <v/>
      </c>
    </row>
    <row r="791" spans="1:6">
      <c r="A791" s="331" t="s">
        <v>1741</v>
      </c>
      <c r="B791" s="332" t="s">
        <v>1717</v>
      </c>
      <c r="C791" s="332" t="s">
        <v>1742</v>
      </c>
      <c r="D791" s="178" t="s">
        <v>94</v>
      </c>
      <c r="E791" s="333" t="s">
        <v>1743</v>
      </c>
      <c r="F791" s="179" t="str">
        <f>IF(AND(COUNTIF('Build &amp; Totals'!$A$4:$B$12,$C791)&gt;=1,Class=$B791),$A791,"")</f>
        <v/>
      </c>
    </row>
    <row r="792" spans="1:6">
      <c r="A792" s="331" t="s">
        <v>1744</v>
      </c>
      <c r="B792" s="332" t="s">
        <v>1717</v>
      </c>
      <c r="C792" s="332" t="s">
        <v>1742</v>
      </c>
      <c r="D792" s="178" t="s">
        <v>19</v>
      </c>
      <c r="E792" s="333" t="s">
        <v>1745</v>
      </c>
      <c r="F792" s="179" t="str">
        <f>IF(AND(COUNTIF('Build &amp; Totals'!$A$4:$B$12,$C792)&gt;=1,Class=$B792),$A792,"")</f>
        <v/>
      </c>
    </row>
    <row r="793" spans="1:6">
      <c r="A793" s="331" t="s">
        <v>1746</v>
      </c>
      <c r="B793" s="332" t="s">
        <v>1717</v>
      </c>
      <c r="C793" s="332" t="s">
        <v>1742</v>
      </c>
      <c r="D793" s="178" t="s">
        <v>19</v>
      </c>
      <c r="E793" s="333" t="s">
        <v>1065</v>
      </c>
      <c r="F793" s="179" t="str">
        <f>IF(AND(COUNTIF('Build &amp; Totals'!$A$4:$B$12,$C793)&gt;=1,Class=$B793),$A793,"")</f>
        <v/>
      </c>
    </row>
    <row r="794" spans="1:6" ht="23.25">
      <c r="A794" s="331" t="s">
        <v>1747</v>
      </c>
      <c r="B794" s="332" t="s">
        <v>1717</v>
      </c>
      <c r="C794" s="332" t="s">
        <v>1742</v>
      </c>
      <c r="D794" s="178" t="s">
        <v>19</v>
      </c>
      <c r="E794" s="333" t="s">
        <v>1748</v>
      </c>
      <c r="F794" s="179" t="str">
        <f>IF(AND(COUNTIF('Build &amp; Totals'!$A$4:$B$12,$C794)&gt;=1,Class=$B794),$A794,"")</f>
        <v/>
      </c>
    </row>
    <row r="795" spans="1:6">
      <c r="A795" s="331" t="s">
        <v>1749</v>
      </c>
      <c r="B795" s="332" t="s">
        <v>1717</v>
      </c>
      <c r="C795" s="332" t="s">
        <v>1742</v>
      </c>
      <c r="D795" s="178" t="s">
        <v>95</v>
      </c>
      <c r="E795" s="333" t="s">
        <v>1750</v>
      </c>
      <c r="F795" s="179" t="str">
        <f>IF(AND(COUNTIF('Build &amp; Totals'!$A$4:$B$12,$C795)&gt;=1,Class=$B795),$A795,"")</f>
        <v/>
      </c>
    </row>
    <row r="796" spans="1:6">
      <c r="A796" s="331" t="s">
        <v>1751</v>
      </c>
      <c r="B796" s="332" t="s">
        <v>1717</v>
      </c>
      <c r="C796" s="332" t="s">
        <v>1742</v>
      </c>
      <c r="D796" s="178" t="s">
        <v>22</v>
      </c>
      <c r="E796" s="333" t="s">
        <v>1752</v>
      </c>
      <c r="F796" s="179" t="str">
        <f>IF(AND(COUNTIF('Build &amp; Totals'!$A$4:$B$12,$C796)&gt;=1,Class=$B796),$A796,"")</f>
        <v/>
      </c>
    </row>
    <row r="797" spans="1:6">
      <c r="A797" s="331" t="s">
        <v>1753</v>
      </c>
      <c r="B797" s="332" t="s">
        <v>1717</v>
      </c>
      <c r="C797" s="332" t="s">
        <v>1742</v>
      </c>
      <c r="D797" s="178" t="s">
        <v>22</v>
      </c>
      <c r="E797" s="333" t="s">
        <v>1754</v>
      </c>
      <c r="F797" s="179" t="str">
        <f>IF(AND(COUNTIF('Build &amp; Totals'!$A$4:$B$12,$C797)&gt;=1,Class=$B797),$A797,"")</f>
        <v/>
      </c>
    </row>
    <row r="798" spans="1:6" ht="23.25">
      <c r="A798" s="331" t="s">
        <v>1755</v>
      </c>
      <c r="B798" s="332" t="s">
        <v>1717</v>
      </c>
      <c r="C798" s="332" t="s">
        <v>1742</v>
      </c>
      <c r="D798" s="178" t="s">
        <v>22</v>
      </c>
      <c r="E798" s="333" t="s">
        <v>1756</v>
      </c>
      <c r="F798" s="179" t="str">
        <f>IF(AND(COUNTIF('Build &amp; Totals'!$A$4:$B$12,$C798)&gt;=1,Class=$B798),$A798,"")</f>
        <v/>
      </c>
    </row>
    <row r="799" spans="1:6">
      <c r="A799" s="331" t="s">
        <v>1757</v>
      </c>
      <c r="B799" s="332" t="s">
        <v>1717</v>
      </c>
      <c r="C799" s="332" t="s">
        <v>1742</v>
      </c>
      <c r="D799" s="178" t="s">
        <v>98</v>
      </c>
      <c r="E799" s="333" t="s">
        <v>1298</v>
      </c>
      <c r="F799" s="179" t="str">
        <f>IF(AND(COUNTIF('Build &amp; Totals'!$A$4:$B$12,$C799)&gt;=1,Class=$B799),$A799,"")</f>
        <v/>
      </c>
    </row>
    <row r="800" spans="1:6" ht="35.25">
      <c r="A800" s="331" t="s">
        <v>1758</v>
      </c>
      <c r="B800" s="332" t="s">
        <v>1717</v>
      </c>
      <c r="C800" s="332" t="s">
        <v>1742</v>
      </c>
      <c r="D800" s="178" t="s">
        <v>24</v>
      </c>
      <c r="E800" s="333" t="s">
        <v>1759</v>
      </c>
      <c r="F800" s="179" t="str">
        <f>IF(AND(COUNTIF('Build &amp; Totals'!$A$4:$B$12,$C800)&gt;=1,Class=$B800),$A800,"")</f>
        <v/>
      </c>
    </row>
    <row r="801" spans="1:6" ht="23.25">
      <c r="A801" s="331" t="s">
        <v>1760</v>
      </c>
      <c r="B801" s="332" t="s">
        <v>1717</v>
      </c>
      <c r="C801" s="332" t="s">
        <v>1742</v>
      </c>
      <c r="D801" s="178" t="s">
        <v>24</v>
      </c>
      <c r="E801" s="333" t="s">
        <v>1761</v>
      </c>
      <c r="F801" s="179" t="str">
        <f>IF(AND(COUNTIF('Build &amp; Totals'!$A$4:$B$12,$C801)&gt;=1,Class=$B801),$A801,"")</f>
        <v/>
      </c>
    </row>
    <row r="802" spans="1:6">
      <c r="A802" s="331" t="s">
        <v>1762</v>
      </c>
      <c r="B802" s="332" t="s">
        <v>1717</v>
      </c>
      <c r="C802" s="332" t="s">
        <v>1742</v>
      </c>
      <c r="D802" s="178" t="s">
        <v>24</v>
      </c>
      <c r="E802" s="333" t="s">
        <v>1763</v>
      </c>
      <c r="F802" s="179" t="str">
        <f>IF(AND(COUNTIF('Build &amp; Totals'!$A$4:$B$12,$C802)&gt;=1,Class=$B802),$A802,"")</f>
        <v/>
      </c>
    </row>
    <row r="803" spans="1:6">
      <c r="A803" s="331" t="s">
        <v>1764</v>
      </c>
      <c r="B803" s="332" t="s">
        <v>1717</v>
      </c>
      <c r="C803" s="332" t="s">
        <v>1765</v>
      </c>
      <c r="D803" s="178" t="s">
        <v>94</v>
      </c>
      <c r="E803" s="333" t="s">
        <v>1766</v>
      </c>
      <c r="F803" s="179" t="str">
        <f>IF(AND(COUNTIF('Build &amp; Totals'!$A$4:$B$12,$C803)&gt;=1,Class=$B803),$A803,"")</f>
        <v/>
      </c>
    </row>
    <row r="804" spans="1:6">
      <c r="A804" s="331" t="s">
        <v>1767</v>
      </c>
      <c r="B804" s="332" t="s">
        <v>1717</v>
      </c>
      <c r="C804" s="332" t="s">
        <v>1765</v>
      </c>
      <c r="D804" s="178" t="s">
        <v>19</v>
      </c>
      <c r="E804" s="333" t="s">
        <v>1768</v>
      </c>
      <c r="F804" s="179" t="str">
        <f>IF(AND(COUNTIF('Build &amp; Totals'!$A$4:$B$12,$C804)&gt;=1,Class=$B804),$A804,"")</f>
        <v/>
      </c>
    </row>
    <row r="805" spans="1:6">
      <c r="A805" s="331" t="s">
        <v>35</v>
      </c>
      <c r="B805" s="332" t="s">
        <v>1717</v>
      </c>
      <c r="C805" s="332" t="s">
        <v>1765</v>
      </c>
      <c r="D805" s="178" t="s">
        <v>19</v>
      </c>
      <c r="E805" s="333" t="s">
        <v>1769</v>
      </c>
      <c r="F805" s="179" t="str">
        <f>IF(AND(COUNTIF('Build &amp; Totals'!$A$4:$B$12,$C805)&gt;=1,Class=$B805),$A805,"")</f>
        <v/>
      </c>
    </row>
    <row r="806" spans="1:6">
      <c r="A806" s="331" t="s">
        <v>1770</v>
      </c>
      <c r="B806" s="332" t="s">
        <v>1717</v>
      </c>
      <c r="C806" s="332" t="s">
        <v>1765</v>
      </c>
      <c r="D806" s="178" t="s">
        <v>19</v>
      </c>
      <c r="E806" s="333" t="s">
        <v>1771</v>
      </c>
      <c r="F806" s="179" t="str">
        <f>IF(AND(COUNTIF('Build &amp; Totals'!$A$4:$B$12,$C806)&gt;=1,Class=$B806),$A806,"")</f>
        <v/>
      </c>
    </row>
    <row r="807" spans="1:6" ht="23.25">
      <c r="A807" s="331" t="s">
        <v>1772</v>
      </c>
      <c r="B807" s="332" t="s">
        <v>1717</v>
      </c>
      <c r="C807" s="332" t="s">
        <v>1765</v>
      </c>
      <c r="D807" s="178" t="s">
        <v>95</v>
      </c>
      <c r="E807" s="333" t="s">
        <v>1773</v>
      </c>
      <c r="F807" s="179" t="str">
        <f>IF(AND(COUNTIF('Build &amp; Totals'!$A$4:$B$12,$C807)&gt;=1,Class=$B807),$A807,"")</f>
        <v/>
      </c>
    </row>
    <row r="808" spans="1:6" ht="35.25">
      <c r="A808" s="331" t="s">
        <v>1774</v>
      </c>
      <c r="B808" s="332" t="s">
        <v>1717</v>
      </c>
      <c r="C808" s="332" t="s">
        <v>1765</v>
      </c>
      <c r="D808" s="178" t="s">
        <v>22</v>
      </c>
      <c r="E808" s="333" t="s">
        <v>1775</v>
      </c>
      <c r="F808" s="179" t="str">
        <f>IF(AND(COUNTIF('Build &amp; Totals'!$A$4:$B$12,$C808)&gt;=1,Class=$B808),$A808,"")</f>
        <v/>
      </c>
    </row>
    <row r="809" spans="1:6">
      <c r="A809" s="331" t="s">
        <v>1776</v>
      </c>
      <c r="B809" s="332" t="s">
        <v>1717</v>
      </c>
      <c r="C809" s="332" t="s">
        <v>1765</v>
      </c>
      <c r="D809" s="178" t="s">
        <v>22</v>
      </c>
      <c r="E809" s="333" t="s">
        <v>1777</v>
      </c>
      <c r="F809" s="179" t="str">
        <f>IF(AND(COUNTIF('Build &amp; Totals'!$A$4:$B$12,$C809)&gt;=1,Class=$B809),$A809,"")</f>
        <v/>
      </c>
    </row>
    <row r="810" spans="1:6" ht="23.25">
      <c r="A810" s="331" t="s">
        <v>1778</v>
      </c>
      <c r="B810" s="332" t="s">
        <v>1717</v>
      </c>
      <c r="C810" s="332" t="s">
        <v>1765</v>
      </c>
      <c r="D810" s="178" t="s">
        <v>22</v>
      </c>
      <c r="E810" s="333" t="s">
        <v>1779</v>
      </c>
      <c r="F810" s="179" t="str">
        <f>IF(AND(COUNTIF('Build &amp; Totals'!$A$4:$B$12,$C810)&gt;=1,Class=$B810),$A810,"")</f>
        <v/>
      </c>
    </row>
    <row r="811" spans="1:6">
      <c r="A811" s="331" t="s">
        <v>1780</v>
      </c>
      <c r="B811" s="332" t="s">
        <v>1717</v>
      </c>
      <c r="C811" s="332" t="s">
        <v>1765</v>
      </c>
      <c r="D811" s="178" t="s">
        <v>98</v>
      </c>
      <c r="E811" s="333" t="s">
        <v>1781</v>
      </c>
      <c r="F811" s="179" t="str">
        <f>IF(AND(COUNTIF('Build &amp; Totals'!$A$4:$B$12,$C811)&gt;=1,Class=$B811),$A811,"")</f>
        <v/>
      </c>
    </row>
    <row r="812" spans="1:6" ht="23.25">
      <c r="A812" s="331" t="s">
        <v>1782</v>
      </c>
      <c r="B812" s="332" t="s">
        <v>1717</v>
      </c>
      <c r="C812" s="332" t="s">
        <v>1765</v>
      </c>
      <c r="D812" s="178" t="s">
        <v>24</v>
      </c>
      <c r="E812" s="333" t="s">
        <v>1783</v>
      </c>
      <c r="F812" s="179" t="str">
        <f>IF(AND(COUNTIF('Build &amp; Totals'!$A$4:$B$12,$C812)&gt;=1,Class=$B812),$A812,"")</f>
        <v/>
      </c>
    </row>
    <row r="813" spans="1:6">
      <c r="A813" s="331" t="s">
        <v>1784</v>
      </c>
      <c r="B813" s="332" t="s">
        <v>1717</v>
      </c>
      <c r="C813" s="332" t="s">
        <v>1765</v>
      </c>
      <c r="D813" s="178" t="s">
        <v>24</v>
      </c>
      <c r="E813" s="333" t="s">
        <v>1785</v>
      </c>
      <c r="F813" s="179" t="str">
        <f>IF(AND(COUNTIF('Build &amp; Totals'!$A$4:$B$12,$C813)&gt;=1,Class=$B813),$A813,"")</f>
        <v/>
      </c>
    </row>
    <row r="814" spans="1:6" ht="23.25">
      <c r="A814" s="331" t="s">
        <v>1786</v>
      </c>
      <c r="B814" s="332" t="s">
        <v>1717</v>
      </c>
      <c r="C814" s="332" t="s">
        <v>1765</v>
      </c>
      <c r="D814" s="178" t="s">
        <v>24</v>
      </c>
      <c r="E814" s="333" t="s">
        <v>1787</v>
      </c>
      <c r="F814" s="179" t="str">
        <f>IF(AND(COUNTIF('Build &amp; Totals'!$A$4:$B$12,$C814)&gt;=1,Class=$B814),$A814,"")</f>
        <v/>
      </c>
    </row>
    <row r="815" spans="1:6">
      <c r="A815" s="331" t="s">
        <v>1788</v>
      </c>
      <c r="B815" s="332" t="s">
        <v>1717</v>
      </c>
      <c r="C815" s="332" t="s">
        <v>27</v>
      </c>
      <c r="D815" s="178" t="s">
        <v>94</v>
      </c>
      <c r="E815" s="333" t="s">
        <v>1789</v>
      </c>
      <c r="F815" s="179" t="str">
        <f>IF(AND(COUNTIF('Build &amp; Totals'!$A$4:$B$12,$C815)&gt;=1,Class=$B815),$A815,"")</f>
        <v/>
      </c>
    </row>
    <row r="816" spans="1:6">
      <c r="A816" s="331" t="s">
        <v>1790</v>
      </c>
      <c r="B816" s="332" t="s">
        <v>1717</v>
      </c>
      <c r="C816" s="332" t="s">
        <v>27</v>
      </c>
      <c r="D816" s="178" t="s">
        <v>19</v>
      </c>
      <c r="E816" s="333" t="s">
        <v>1791</v>
      </c>
      <c r="F816" s="179" t="str">
        <f>IF(AND(COUNTIF('Build &amp; Totals'!$A$4:$B$12,$C816)&gt;=1,Class=$B816),$A816,"")</f>
        <v/>
      </c>
    </row>
    <row r="817" spans="1:6">
      <c r="A817" s="331" t="s">
        <v>1792</v>
      </c>
      <c r="B817" s="332" t="s">
        <v>1717</v>
      </c>
      <c r="C817" s="332" t="s">
        <v>27</v>
      </c>
      <c r="D817" s="178" t="s">
        <v>19</v>
      </c>
      <c r="E817" s="333" t="s">
        <v>1793</v>
      </c>
      <c r="F817" s="179" t="str">
        <f>IF(AND(COUNTIF('Build &amp; Totals'!$A$4:$B$12,$C817)&gt;=1,Class=$B817),$A817,"")</f>
        <v/>
      </c>
    </row>
    <row r="818" spans="1:6">
      <c r="A818" s="331" t="s">
        <v>1794</v>
      </c>
      <c r="B818" s="332" t="s">
        <v>1717</v>
      </c>
      <c r="C818" s="332" t="s">
        <v>27</v>
      </c>
      <c r="D818" s="178" t="s">
        <v>19</v>
      </c>
      <c r="E818" s="333" t="s">
        <v>1795</v>
      </c>
      <c r="F818" s="179" t="str">
        <f>IF(AND(COUNTIF('Build &amp; Totals'!$A$4:$B$12,$C818)&gt;=1,Class=$B818),$A818,"")</f>
        <v/>
      </c>
    </row>
    <row r="819" spans="1:6">
      <c r="A819" s="331" t="s">
        <v>1796</v>
      </c>
      <c r="B819" s="332" t="s">
        <v>1717</v>
      </c>
      <c r="C819" s="332" t="s">
        <v>27</v>
      </c>
      <c r="D819" s="178" t="s">
        <v>95</v>
      </c>
      <c r="E819" s="333" t="s">
        <v>1797</v>
      </c>
      <c r="F819" s="179" t="str">
        <f>IF(AND(COUNTIF('Build &amp; Totals'!$A$4:$B$12,$C819)&gt;=1,Class=$B819),$A819,"")</f>
        <v/>
      </c>
    </row>
    <row r="820" spans="1:6">
      <c r="A820" s="331" t="s">
        <v>30</v>
      </c>
      <c r="B820" s="332" t="s">
        <v>1717</v>
      </c>
      <c r="C820" s="332" t="s">
        <v>27</v>
      </c>
      <c r="D820" s="178" t="s">
        <v>22</v>
      </c>
      <c r="E820" s="333" t="s">
        <v>1798</v>
      </c>
      <c r="F820" s="179" t="str">
        <f>IF(AND(COUNTIF('Build &amp; Totals'!$A$4:$B$12,$C820)&gt;=1,Class=$B820),$A820,"")</f>
        <v/>
      </c>
    </row>
    <row r="821" spans="1:6">
      <c r="A821" s="331" t="s">
        <v>1799</v>
      </c>
      <c r="B821" s="332" t="s">
        <v>1717</v>
      </c>
      <c r="C821" s="332" t="s">
        <v>27</v>
      </c>
      <c r="D821" s="178" t="s">
        <v>22</v>
      </c>
      <c r="E821" s="333" t="s">
        <v>1800</v>
      </c>
      <c r="F821" s="179" t="str">
        <f>IF(AND(COUNTIF('Build &amp; Totals'!$A$4:$B$12,$C821)&gt;=1,Class=$B821),$A821,"")</f>
        <v/>
      </c>
    </row>
    <row r="822" spans="1:6">
      <c r="A822" s="331" t="s">
        <v>1801</v>
      </c>
      <c r="B822" s="332" t="s">
        <v>1717</v>
      </c>
      <c r="C822" s="332" t="s">
        <v>27</v>
      </c>
      <c r="D822" s="178" t="s">
        <v>22</v>
      </c>
      <c r="E822" s="333" t="s">
        <v>1802</v>
      </c>
      <c r="F822" s="179" t="str">
        <f>IF(AND(COUNTIF('Build &amp; Totals'!$A$4:$B$12,$C822)&gt;=1,Class=$B822),$A822,"")</f>
        <v/>
      </c>
    </row>
    <row r="823" spans="1:6" ht="23.25">
      <c r="A823" s="331" t="s">
        <v>1803</v>
      </c>
      <c r="B823" s="332" t="s">
        <v>1717</v>
      </c>
      <c r="C823" s="332" t="s">
        <v>27</v>
      </c>
      <c r="D823" s="178" t="s">
        <v>98</v>
      </c>
      <c r="E823" s="333" t="s">
        <v>1804</v>
      </c>
      <c r="F823" s="179" t="str">
        <f>IF(AND(COUNTIF('Build &amp; Totals'!$A$4:$B$12,$C823)&gt;=1,Class=$B823),$A823,"")</f>
        <v/>
      </c>
    </row>
    <row r="824" spans="1:6">
      <c r="A824" s="331" t="s">
        <v>1805</v>
      </c>
      <c r="B824" s="332" t="s">
        <v>1717</v>
      </c>
      <c r="C824" s="332" t="s">
        <v>27</v>
      </c>
      <c r="D824" s="178" t="s">
        <v>24</v>
      </c>
      <c r="E824" s="333" t="s">
        <v>1806</v>
      </c>
      <c r="F824" s="179" t="str">
        <f>IF(AND(COUNTIF('Build &amp; Totals'!$A$4:$B$12,$C824)&gt;=1,Class=$B824),$A824,"")</f>
        <v/>
      </c>
    </row>
    <row r="825" spans="1:6">
      <c r="A825" s="331" t="s">
        <v>1807</v>
      </c>
      <c r="B825" s="332" t="s">
        <v>1717</v>
      </c>
      <c r="C825" s="332" t="s">
        <v>27</v>
      </c>
      <c r="D825" s="178" t="s">
        <v>24</v>
      </c>
      <c r="E825" s="333" t="s">
        <v>1808</v>
      </c>
      <c r="F825" s="179" t="str">
        <f>IF(AND(COUNTIF('Build &amp; Totals'!$A$4:$B$12,$C825)&gt;=1,Class=$B825),$A825,"")</f>
        <v/>
      </c>
    </row>
    <row r="826" spans="1:6">
      <c r="A826" s="331" t="s">
        <v>1809</v>
      </c>
      <c r="B826" s="332" t="s">
        <v>1717</v>
      </c>
      <c r="C826" s="332" t="s">
        <v>27</v>
      </c>
      <c r="D826" s="178" t="s">
        <v>24</v>
      </c>
      <c r="E826" s="333" t="s">
        <v>1810</v>
      </c>
      <c r="F826" s="179" t="str">
        <f>IF(AND(COUNTIF('Build &amp; Totals'!$A$4:$B$12,$C826)&gt;=1,Class=$B826),$A826,"")</f>
        <v/>
      </c>
    </row>
    <row r="827" spans="1:6">
      <c r="A827" s="331" t="s">
        <v>1811</v>
      </c>
      <c r="B827" s="332" t="s">
        <v>1717</v>
      </c>
      <c r="C827" s="332" t="s">
        <v>17</v>
      </c>
      <c r="D827" s="178" t="s">
        <v>94</v>
      </c>
      <c r="E827" s="333" t="s">
        <v>1812</v>
      </c>
      <c r="F827" s="179" t="str">
        <f>IF(AND(COUNTIF('Build &amp; Totals'!$A$4:$B$12,$C827)&gt;=1,Class=$B827),$A827,"")</f>
        <v/>
      </c>
    </row>
    <row r="828" spans="1:6">
      <c r="A828" s="331" t="s">
        <v>1813</v>
      </c>
      <c r="B828" s="332" t="s">
        <v>1717</v>
      </c>
      <c r="C828" s="332" t="s">
        <v>17</v>
      </c>
      <c r="D828" s="178" t="s">
        <v>19</v>
      </c>
      <c r="E828" s="333" t="s">
        <v>1814</v>
      </c>
      <c r="F828" s="179" t="str">
        <f>IF(AND(COUNTIF('Build &amp; Totals'!$A$4:$B$12,$C828)&gt;=1,Class=$B828),$A828,"")</f>
        <v/>
      </c>
    </row>
    <row r="829" spans="1:6">
      <c r="A829" s="331" t="s">
        <v>20</v>
      </c>
      <c r="B829" s="332" t="s">
        <v>1717</v>
      </c>
      <c r="C829" s="332" t="s">
        <v>17</v>
      </c>
      <c r="D829" s="178" t="s">
        <v>19</v>
      </c>
      <c r="E829" s="333" t="s">
        <v>1815</v>
      </c>
      <c r="F829" s="179" t="str">
        <f>IF(AND(COUNTIF('Build &amp; Totals'!$A$4:$B$12,$C829)&gt;=1,Class=$B829),$A829,"")</f>
        <v/>
      </c>
    </row>
    <row r="830" spans="1:6">
      <c r="A830" s="331" t="s">
        <v>1816</v>
      </c>
      <c r="B830" s="332" t="s">
        <v>1717</v>
      </c>
      <c r="C830" s="332" t="s">
        <v>17</v>
      </c>
      <c r="D830" s="178" t="s">
        <v>19</v>
      </c>
      <c r="E830" s="333" t="s">
        <v>1817</v>
      </c>
      <c r="F830" s="179" t="str">
        <f>IF(AND(COUNTIF('Build &amp; Totals'!$A$4:$B$12,$C830)&gt;=1,Class=$B830),$A830,"")</f>
        <v/>
      </c>
    </row>
    <row r="831" spans="1:6" ht="23.25">
      <c r="A831" s="331" t="s">
        <v>1818</v>
      </c>
      <c r="B831" s="332" t="s">
        <v>1717</v>
      </c>
      <c r="C831" s="332" t="s">
        <v>17</v>
      </c>
      <c r="D831" s="178" t="s">
        <v>95</v>
      </c>
      <c r="E831" s="333" t="s">
        <v>1819</v>
      </c>
      <c r="F831" s="179" t="str">
        <f>IF(AND(COUNTIF('Build &amp; Totals'!$A$4:$B$12,$C831)&gt;=1,Class=$B831),$A831,"")</f>
        <v/>
      </c>
    </row>
    <row r="832" spans="1:6">
      <c r="A832" s="331" t="s">
        <v>1820</v>
      </c>
      <c r="B832" s="332" t="s">
        <v>1717</v>
      </c>
      <c r="C832" s="332" t="s">
        <v>17</v>
      </c>
      <c r="D832" s="178" t="s">
        <v>22</v>
      </c>
      <c r="E832" s="333" t="s">
        <v>1821</v>
      </c>
      <c r="F832" s="179" t="str">
        <f>IF(AND(COUNTIF('Build &amp; Totals'!$A$4:$B$12,$C832)&gt;=1,Class=$B832),$A832,"")</f>
        <v/>
      </c>
    </row>
    <row r="833" spans="1:6">
      <c r="A833" s="331" t="s">
        <v>1822</v>
      </c>
      <c r="B833" s="332" t="s">
        <v>1717</v>
      </c>
      <c r="C833" s="332" t="s">
        <v>17</v>
      </c>
      <c r="D833" s="178" t="s">
        <v>22</v>
      </c>
      <c r="E833" s="333" t="s">
        <v>1823</v>
      </c>
      <c r="F833" s="179" t="str">
        <f>IF(AND(COUNTIF('Build &amp; Totals'!$A$4:$B$12,$C833)&gt;=1,Class=$B833),$A833,"")</f>
        <v/>
      </c>
    </row>
    <row r="834" spans="1:6">
      <c r="A834" s="331" t="s">
        <v>1824</v>
      </c>
      <c r="B834" s="332" t="s">
        <v>1717</v>
      </c>
      <c r="C834" s="332" t="s">
        <v>17</v>
      </c>
      <c r="D834" s="178" t="s">
        <v>22</v>
      </c>
      <c r="E834" s="333" t="s">
        <v>1825</v>
      </c>
      <c r="F834" s="179" t="str">
        <f>IF(AND(COUNTIF('Build &amp; Totals'!$A$4:$B$12,$C834)&gt;=1,Class=$B834),$A834,"")</f>
        <v/>
      </c>
    </row>
    <row r="835" spans="1:6">
      <c r="A835" s="331" t="s">
        <v>1826</v>
      </c>
      <c r="B835" s="332" t="s">
        <v>1717</v>
      </c>
      <c r="C835" s="332" t="s">
        <v>17</v>
      </c>
      <c r="D835" s="178" t="s">
        <v>98</v>
      </c>
      <c r="E835" s="333" t="s">
        <v>1827</v>
      </c>
      <c r="F835" s="179" t="str">
        <f>IF(AND(COUNTIF('Build &amp; Totals'!$A$4:$B$12,$C835)&gt;=1,Class=$B835),$A835,"")</f>
        <v/>
      </c>
    </row>
    <row r="836" spans="1:6" ht="23.25">
      <c r="A836" s="331" t="s">
        <v>1828</v>
      </c>
      <c r="B836" s="332" t="s">
        <v>1717</v>
      </c>
      <c r="C836" s="332" t="s">
        <v>17</v>
      </c>
      <c r="D836" s="178" t="s">
        <v>24</v>
      </c>
      <c r="E836" s="333" t="s">
        <v>1829</v>
      </c>
      <c r="F836" s="179" t="str">
        <f>IF(AND(COUNTIF('Build &amp; Totals'!$A$4:$B$12,$C836)&gt;=1,Class=$B836),$A836,"")</f>
        <v/>
      </c>
    </row>
    <row r="837" spans="1:6">
      <c r="A837" s="331" t="s">
        <v>1830</v>
      </c>
      <c r="B837" s="332" t="s">
        <v>1717</v>
      </c>
      <c r="C837" s="332" t="s">
        <v>17</v>
      </c>
      <c r="D837" s="178" t="s">
        <v>24</v>
      </c>
      <c r="E837" s="333" t="s">
        <v>1831</v>
      </c>
      <c r="F837" s="179" t="str">
        <f>IF(AND(COUNTIF('Build &amp; Totals'!$A$4:$B$12,$C837)&gt;=1,Class=$B837),$A837,"")</f>
        <v/>
      </c>
    </row>
    <row r="838" spans="1:6">
      <c r="A838" s="331" t="s">
        <v>1832</v>
      </c>
      <c r="B838" s="332" t="s">
        <v>1717</v>
      </c>
      <c r="C838" s="332" t="s">
        <v>17</v>
      </c>
      <c r="D838" s="178" t="s">
        <v>24</v>
      </c>
      <c r="E838" s="333" t="s">
        <v>1833</v>
      </c>
      <c r="F838" s="179" t="str">
        <f>IF(AND(COUNTIF('Build &amp; Totals'!$A$4:$B$12,$C838)&gt;=1,Class=$B838),$A838,"")</f>
        <v/>
      </c>
    </row>
    <row r="839" spans="1:6">
      <c r="A839" s="331" t="s">
        <v>466</v>
      </c>
      <c r="B839" s="332" t="s">
        <v>1717</v>
      </c>
      <c r="C839" s="332" t="s">
        <v>1834</v>
      </c>
      <c r="D839" s="178" t="s">
        <v>238</v>
      </c>
      <c r="E839" s="333" t="s">
        <v>1835</v>
      </c>
      <c r="F839" s="179" t="str">
        <f>IF(AND(COUNTIF('Build &amp; Totals'!$A$4:$B$12,$C839)&gt;=1,Class=$B839),$A839,"")</f>
        <v/>
      </c>
    </row>
    <row r="840" spans="1:6">
      <c r="A840" s="331" t="s">
        <v>1836</v>
      </c>
      <c r="B840" s="332" t="s">
        <v>1717</v>
      </c>
      <c r="C840" s="332" t="s">
        <v>1834</v>
      </c>
      <c r="D840" s="178" t="s">
        <v>94</v>
      </c>
      <c r="E840" s="333" t="s">
        <v>1837</v>
      </c>
      <c r="F840" s="179" t="str">
        <f>IF(AND(COUNTIF('Build &amp; Totals'!$A$4:$B$12,$C840)&gt;=1,Class=$B840),$A840,"")</f>
        <v/>
      </c>
    </row>
    <row r="841" spans="1:6" ht="23.25">
      <c r="A841" s="331" t="s">
        <v>1838</v>
      </c>
      <c r="B841" s="332" t="s">
        <v>1717</v>
      </c>
      <c r="C841" s="332" t="s">
        <v>1834</v>
      </c>
      <c r="D841" s="178" t="s">
        <v>19</v>
      </c>
      <c r="E841" s="333" t="s">
        <v>1839</v>
      </c>
      <c r="F841" s="179" t="str">
        <f>IF(AND(COUNTIF('Build &amp; Totals'!$A$4:$B$12,$C841)&gt;=1,Class=$B841),$A841,"")</f>
        <v/>
      </c>
    </row>
    <row r="842" spans="1:6" ht="23.25">
      <c r="A842" s="331" t="s">
        <v>1840</v>
      </c>
      <c r="B842" s="332" t="s">
        <v>1717</v>
      </c>
      <c r="C842" s="332" t="s">
        <v>1834</v>
      </c>
      <c r="D842" s="178" t="s">
        <v>19</v>
      </c>
      <c r="E842" s="333" t="s">
        <v>1841</v>
      </c>
      <c r="F842" s="179" t="str">
        <f>IF(AND(COUNTIF('Build &amp; Totals'!$A$4:$B$12,$C842)&gt;=1,Class=$B842),$A842,"")</f>
        <v/>
      </c>
    </row>
    <row r="843" spans="1:6">
      <c r="A843" s="331" t="s">
        <v>1842</v>
      </c>
      <c r="B843" s="332" t="s">
        <v>1717</v>
      </c>
      <c r="C843" s="332" t="s">
        <v>1834</v>
      </c>
      <c r="D843" s="178" t="s">
        <v>19</v>
      </c>
      <c r="E843" s="333" t="s">
        <v>1843</v>
      </c>
      <c r="F843" s="179" t="str">
        <f>IF(AND(COUNTIF('Build &amp; Totals'!$A$4:$B$12,$C843)&gt;=1,Class=$B843),$A843,"")</f>
        <v/>
      </c>
    </row>
    <row r="844" spans="1:6" ht="23.25">
      <c r="A844" s="331" t="s">
        <v>1844</v>
      </c>
      <c r="B844" s="332" t="s">
        <v>1717</v>
      </c>
      <c r="C844" s="332" t="s">
        <v>1834</v>
      </c>
      <c r="D844" s="178" t="s">
        <v>95</v>
      </c>
      <c r="E844" s="333" t="s">
        <v>1845</v>
      </c>
      <c r="F844" s="179" t="str">
        <f>IF(AND(COUNTIF('Build &amp; Totals'!$A$4:$B$12,$C844)&gt;=1,Class=$B844),$A844,"")</f>
        <v/>
      </c>
    </row>
    <row r="845" spans="1:6">
      <c r="A845" s="331" t="s">
        <v>1846</v>
      </c>
      <c r="B845" s="332" t="s">
        <v>1717</v>
      </c>
      <c r="C845" s="332" t="s">
        <v>1834</v>
      </c>
      <c r="D845" s="178" t="s">
        <v>22</v>
      </c>
      <c r="E845" s="333" t="s">
        <v>1847</v>
      </c>
      <c r="F845" s="179" t="str">
        <f>IF(AND(COUNTIF('Build &amp; Totals'!$A$4:$B$12,$C845)&gt;=1,Class=$B845),$A845,"")</f>
        <v/>
      </c>
    </row>
    <row r="846" spans="1:6">
      <c r="A846" s="331" t="s">
        <v>1848</v>
      </c>
      <c r="B846" s="332" t="s">
        <v>1717</v>
      </c>
      <c r="C846" s="332" t="s">
        <v>1834</v>
      </c>
      <c r="D846" s="178" t="s">
        <v>22</v>
      </c>
      <c r="E846" s="333" t="s">
        <v>1849</v>
      </c>
      <c r="F846" s="179" t="str">
        <f>IF(AND(COUNTIF('Build &amp; Totals'!$A$4:$B$12,$C846)&gt;=1,Class=$B846),$A846,"")</f>
        <v/>
      </c>
    </row>
    <row r="847" spans="1:6">
      <c r="A847" s="331" t="s">
        <v>1850</v>
      </c>
      <c r="B847" s="332" t="s">
        <v>1717</v>
      </c>
      <c r="C847" s="332" t="s">
        <v>1834</v>
      </c>
      <c r="D847" s="178" t="s">
        <v>22</v>
      </c>
      <c r="E847" s="333" t="s">
        <v>1851</v>
      </c>
      <c r="F847" s="179" t="str">
        <f>IF(AND(COUNTIF('Build &amp; Totals'!$A$4:$B$12,$C847)&gt;=1,Class=$B847),$A847,"")</f>
        <v/>
      </c>
    </row>
    <row r="848" spans="1:6">
      <c r="A848" s="331" t="s">
        <v>1852</v>
      </c>
      <c r="B848" s="332" t="s">
        <v>1717</v>
      </c>
      <c r="C848" s="332" t="s">
        <v>1834</v>
      </c>
      <c r="D848" s="178" t="s">
        <v>98</v>
      </c>
      <c r="E848" s="333" t="s">
        <v>1853</v>
      </c>
      <c r="F848" s="179" t="str">
        <f>IF(AND(COUNTIF('Build &amp; Totals'!$A$4:$B$12,$C848)&gt;=1,Class=$B848),$A848,"")</f>
        <v/>
      </c>
    </row>
    <row r="849" spans="1:6" ht="23.25">
      <c r="A849" s="331" t="s">
        <v>1854</v>
      </c>
      <c r="B849" s="332" t="s">
        <v>1717</v>
      </c>
      <c r="C849" s="332" t="s">
        <v>1834</v>
      </c>
      <c r="D849" s="178" t="s">
        <v>24</v>
      </c>
      <c r="E849" s="333" t="s">
        <v>1855</v>
      </c>
      <c r="F849" s="179" t="str">
        <f>IF(AND(COUNTIF('Build &amp; Totals'!$A$4:$B$12,$C849)&gt;=1,Class=$B849),$A849,"")</f>
        <v/>
      </c>
    </row>
    <row r="850" spans="1:6" ht="23.25">
      <c r="A850" s="331" t="s">
        <v>1856</v>
      </c>
      <c r="B850" s="332" t="s">
        <v>1717</v>
      </c>
      <c r="C850" s="332" t="s">
        <v>1834</v>
      </c>
      <c r="D850" s="178" t="s">
        <v>24</v>
      </c>
      <c r="E850" s="333" t="s">
        <v>1857</v>
      </c>
      <c r="F850" s="179" t="str">
        <f>IF(AND(COUNTIF('Build &amp; Totals'!$A$4:$B$12,$C850)&gt;=1,Class=$B850),$A850,"")</f>
        <v/>
      </c>
    </row>
    <row r="851" spans="1:6" ht="35.25">
      <c r="A851" s="331" t="s">
        <v>1858</v>
      </c>
      <c r="B851" s="332" t="s">
        <v>1717</v>
      </c>
      <c r="C851" s="332" t="s">
        <v>1834</v>
      </c>
      <c r="D851" s="178" t="s">
        <v>24</v>
      </c>
      <c r="E851" s="333" t="s">
        <v>1859</v>
      </c>
      <c r="F851" s="179" t="str">
        <f>IF(AND(COUNTIF('Build &amp; Totals'!$A$4:$B$12,$C851)&gt;=1,Class=$B851),$A851,"")</f>
        <v/>
      </c>
    </row>
    <row r="852" spans="1:6">
      <c r="A852" s="331" t="s">
        <v>264</v>
      </c>
      <c r="B852" s="332" t="s">
        <v>1717</v>
      </c>
      <c r="C852" s="332" t="s">
        <v>1860</v>
      </c>
      <c r="D852" s="178" t="s">
        <v>238</v>
      </c>
      <c r="E852" s="333" t="s">
        <v>1861</v>
      </c>
      <c r="F852" s="179" t="str">
        <f>IF(AND(COUNTIF('Build &amp; Totals'!$A$4:$B$12,$C852)&gt;=1,Class=$B852),$A852,"")</f>
        <v/>
      </c>
    </row>
    <row r="853" spans="1:6" ht="23.25">
      <c r="A853" s="331" t="s">
        <v>1862</v>
      </c>
      <c r="B853" s="332" t="s">
        <v>1717</v>
      </c>
      <c r="C853" s="332" t="s">
        <v>1860</v>
      </c>
      <c r="D853" s="178" t="s">
        <v>94</v>
      </c>
      <c r="E853" s="333" t="s">
        <v>1863</v>
      </c>
      <c r="F853" s="179" t="str">
        <f>IF(AND(COUNTIF('Build &amp; Totals'!$A$4:$B$12,$C853)&gt;=1,Class=$B853),$A853,"")</f>
        <v/>
      </c>
    </row>
    <row r="854" spans="1:6">
      <c r="A854" s="331" t="s">
        <v>1864</v>
      </c>
      <c r="B854" s="332" t="s">
        <v>1717</v>
      </c>
      <c r="C854" s="332" t="s">
        <v>1860</v>
      </c>
      <c r="D854" s="178" t="s">
        <v>19</v>
      </c>
      <c r="E854" s="333" t="s">
        <v>1865</v>
      </c>
      <c r="F854" s="179" t="str">
        <f>IF(AND(COUNTIF('Build &amp; Totals'!$A$4:$B$12,$C854)&gt;=1,Class=$B854),$A854,"")</f>
        <v/>
      </c>
    </row>
    <row r="855" spans="1:6" ht="23.25">
      <c r="A855" s="331" t="s">
        <v>1866</v>
      </c>
      <c r="B855" s="332" t="s">
        <v>1717</v>
      </c>
      <c r="C855" s="332" t="s">
        <v>1860</v>
      </c>
      <c r="D855" s="178" t="s">
        <v>19</v>
      </c>
      <c r="E855" s="333" t="s">
        <v>1867</v>
      </c>
      <c r="F855" s="179" t="str">
        <f>IF(AND(COUNTIF('Build &amp; Totals'!$A$4:$B$12,$C855)&gt;=1,Class=$B855),$A855,"")</f>
        <v/>
      </c>
    </row>
    <row r="856" spans="1:6" ht="23.25">
      <c r="A856" s="331" t="s">
        <v>1868</v>
      </c>
      <c r="B856" s="332" t="s">
        <v>1717</v>
      </c>
      <c r="C856" s="332" t="s">
        <v>1860</v>
      </c>
      <c r="D856" s="178" t="s">
        <v>19</v>
      </c>
      <c r="E856" s="333" t="s">
        <v>1869</v>
      </c>
      <c r="F856" s="179" t="str">
        <f>IF(AND(COUNTIF('Build &amp; Totals'!$A$4:$B$12,$C856)&gt;=1,Class=$B856),$A856,"")</f>
        <v/>
      </c>
    </row>
    <row r="857" spans="1:6">
      <c r="A857" s="331" t="s">
        <v>1870</v>
      </c>
      <c r="B857" s="332" t="s">
        <v>1717</v>
      </c>
      <c r="C857" s="332" t="s">
        <v>1860</v>
      </c>
      <c r="D857" s="178" t="s">
        <v>95</v>
      </c>
      <c r="E857" s="333" t="s">
        <v>1871</v>
      </c>
      <c r="F857" s="179" t="str">
        <f>IF(AND(COUNTIF('Build &amp; Totals'!$A$4:$B$12,$C857)&gt;=1,Class=$B857),$A857,"")</f>
        <v/>
      </c>
    </row>
    <row r="858" spans="1:6" ht="23.25">
      <c r="A858" s="331" t="s">
        <v>1872</v>
      </c>
      <c r="B858" s="332" t="s">
        <v>1717</v>
      </c>
      <c r="C858" s="332" t="s">
        <v>1860</v>
      </c>
      <c r="D858" s="178" t="s">
        <v>22</v>
      </c>
      <c r="E858" s="333" t="s">
        <v>1873</v>
      </c>
      <c r="F858" s="179" t="str">
        <f>IF(AND(COUNTIF('Build &amp; Totals'!$A$4:$B$12,$C858)&gt;=1,Class=$B858),$A858,"")</f>
        <v/>
      </c>
    </row>
    <row r="859" spans="1:6">
      <c r="A859" s="331" t="s">
        <v>1874</v>
      </c>
      <c r="B859" s="332" t="s">
        <v>1717</v>
      </c>
      <c r="C859" s="332" t="s">
        <v>1860</v>
      </c>
      <c r="D859" s="178" t="s">
        <v>22</v>
      </c>
      <c r="E859" s="333" t="s">
        <v>1875</v>
      </c>
      <c r="F859" s="179" t="str">
        <f>IF(AND(COUNTIF('Build &amp; Totals'!$A$4:$B$12,$C859)&gt;=1,Class=$B859),$A859,"")</f>
        <v/>
      </c>
    </row>
    <row r="860" spans="1:6">
      <c r="A860" s="331" t="s">
        <v>1876</v>
      </c>
      <c r="B860" s="332" t="s">
        <v>1717</v>
      </c>
      <c r="C860" s="332" t="s">
        <v>1860</v>
      </c>
      <c r="D860" s="178" t="s">
        <v>22</v>
      </c>
      <c r="E860" s="333" t="s">
        <v>1877</v>
      </c>
      <c r="F860" s="179" t="str">
        <f>IF(AND(COUNTIF('Build &amp; Totals'!$A$4:$B$12,$C860)&gt;=1,Class=$B860),$A860,"")</f>
        <v/>
      </c>
    </row>
    <row r="861" spans="1:6">
      <c r="A861" s="331" t="s">
        <v>1878</v>
      </c>
      <c r="B861" s="332" t="s">
        <v>1717</v>
      </c>
      <c r="C861" s="332" t="s">
        <v>1860</v>
      </c>
      <c r="D861" s="178" t="s">
        <v>98</v>
      </c>
      <c r="E861" s="333" t="s">
        <v>1879</v>
      </c>
      <c r="F861" s="179" t="str">
        <f>IF(AND(COUNTIF('Build &amp; Totals'!$A$4:$B$12,$C861)&gt;=1,Class=$B861),$A861,"")</f>
        <v/>
      </c>
    </row>
    <row r="862" spans="1:6">
      <c r="A862" s="331" t="s">
        <v>1880</v>
      </c>
      <c r="B862" s="332" t="s">
        <v>1717</v>
      </c>
      <c r="C862" s="332" t="s">
        <v>1860</v>
      </c>
      <c r="D862" s="178" t="s">
        <v>24</v>
      </c>
      <c r="E862" s="333" t="s">
        <v>1881</v>
      </c>
      <c r="F862" s="179" t="str">
        <f>IF(AND(COUNTIF('Build &amp; Totals'!$A$4:$B$12,$C862)&gt;=1,Class=$B862),$A862,"")</f>
        <v/>
      </c>
    </row>
    <row r="863" spans="1:6">
      <c r="A863" s="331" t="s">
        <v>1882</v>
      </c>
      <c r="B863" s="332" t="s">
        <v>1717</v>
      </c>
      <c r="C863" s="332" t="s">
        <v>1860</v>
      </c>
      <c r="D863" s="178" t="s">
        <v>24</v>
      </c>
      <c r="E863" s="333" t="s">
        <v>1883</v>
      </c>
      <c r="F863" s="179" t="str">
        <f>IF(AND(COUNTIF('Build &amp; Totals'!$A$4:$B$12,$C863)&gt;=1,Class=$B863),$A863,"")</f>
        <v/>
      </c>
    </row>
    <row r="864" spans="1:6" ht="23.25">
      <c r="A864" s="331" t="s">
        <v>1884</v>
      </c>
      <c r="B864" s="332" t="s">
        <v>1717</v>
      </c>
      <c r="C864" s="332" t="s">
        <v>1860</v>
      </c>
      <c r="D864" s="178" t="s">
        <v>24</v>
      </c>
      <c r="E864" s="333" t="s">
        <v>1885</v>
      </c>
      <c r="F864" s="179" t="str">
        <f>IF(AND(COUNTIF('Build &amp; Totals'!$A$4:$B$12,$C864)&gt;=1,Class=$B864),$A864,"")</f>
        <v/>
      </c>
    </row>
    <row r="865" spans="1:6">
      <c r="A865" s="331" t="s">
        <v>725</v>
      </c>
      <c r="B865" s="332" t="s">
        <v>1717</v>
      </c>
      <c r="C865" s="332" t="s">
        <v>1886</v>
      </c>
      <c r="D865" s="178" t="s">
        <v>238</v>
      </c>
      <c r="E865" s="333" t="s">
        <v>1887</v>
      </c>
      <c r="F865" s="179" t="str">
        <f>IF(AND(COUNTIF('Build &amp; Totals'!$A$4:$B$12,$C865)&gt;=1,Class=$B865),$A865,"")</f>
        <v/>
      </c>
    </row>
    <row r="866" spans="1:6" ht="35.25">
      <c r="A866" s="331" t="s">
        <v>1888</v>
      </c>
      <c r="B866" s="332" t="s">
        <v>1717</v>
      </c>
      <c r="C866" s="332" t="s">
        <v>1886</v>
      </c>
      <c r="D866" s="178" t="s">
        <v>94</v>
      </c>
      <c r="E866" s="333" t="s">
        <v>1889</v>
      </c>
      <c r="F866" s="179" t="str">
        <f>IF(AND(COUNTIF('Build &amp; Totals'!$A$4:$B$12,$C866)&gt;=1,Class=$B866),$A866,"")</f>
        <v/>
      </c>
    </row>
    <row r="867" spans="1:6">
      <c r="A867" s="331" t="s">
        <v>1890</v>
      </c>
      <c r="B867" s="332" t="s">
        <v>1717</v>
      </c>
      <c r="C867" s="332" t="s">
        <v>1886</v>
      </c>
      <c r="D867" s="178" t="s">
        <v>19</v>
      </c>
      <c r="E867" s="333" t="s">
        <v>1891</v>
      </c>
      <c r="F867" s="179" t="str">
        <f>IF(AND(COUNTIF('Build &amp; Totals'!$A$4:$B$12,$C867)&gt;=1,Class=$B867),$A867,"")</f>
        <v/>
      </c>
    </row>
    <row r="868" spans="1:6">
      <c r="A868" s="331" t="s">
        <v>1892</v>
      </c>
      <c r="B868" s="332" t="s">
        <v>1717</v>
      </c>
      <c r="C868" s="332" t="s">
        <v>1886</v>
      </c>
      <c r="D868" s="178" t="s">
        <v>19</v>
      </c>
      <c r="E868" s="333" t="s">
        <v>1893</v>
      </c>
      <c r="F868" s="179" t="str">
        <f>IF(AND(COUNTIF('Build &amp; Totals'!$A$4:$B$12,$C868)&gt;=1,Class=$B868),$A868,"")</f>
        <v/>
      </c>
    </row>
    <row r="869" spans="1:6">
      <c r="A869" s="331" t="s">
        <v>1894</v>
      </c>
      <c r="B869" s="332" t="s">
        <v>1717</v>
      </c>
      <c r="C869" s="332" t="s">
        <v>1886</v>
      </c>
      <c r="D869" s="178" t="s">
        <v>19</v>
      </c>
      <c r="E869" s="333" t="s">
        <v>1895</v>
      </c>
      <c r="F869" s="179" t="str">
        <f>IF(AND(COUNTIF('Build &amp; Totals'!$A$4:$B$12,$C869)&gt;=1,Class=$B869),$A869,"")</f>
        <v/>
      </c>
    </row>
    <row r="870" spans="1:6" ht="23.25">
      <c r="A870" s="331" t="s">
        <v>1896</v>
      </c>
      <c r="B870" s="332" t="s">
        <v>1717</v>
      </c>
      <c r="C870" s="332" t="s">
        <v>1886</v>
      </c>
      <c r="D870" s="178" t="s">
        <v>95</v>
      </c>
      <c r="E870" s="333" t="s">
        <v>1897</v>
      </c>
      <c r="F870" s="179" t="str">
        <f>IF(AND(COUNTIF('Build &amp; Totals'!$A$4:$B$12,$C870)&gt;=1,Class=$B870),$A870,"")</f>
        <v/>
      </c>
    </row>
    <row r="871" spans="1:6">
      <c r="A871" s="331" t="s">
        <v>1898</v>
      </c>
      <c r="B871" s="332" t="s">
        <v>1717</v>
      </c>
      <c r="C871" s="332" t="s">
        <v>1886</v>
      </c>
      <c r="D871" s="178" t="s">
        <v>22</v>
      </c>
      <c r="E871" s="333" t="s">
        <v>1899</v>
      </c>
      <c r="F871" s="179" t="str">
        <f>IF(AND(COUNTIF('Build &amp; Totals'!$A$4:$B$12,$C871)&gt;=1,Class=$B871),$A871,"")</f>
        <v/>
      </c>
    </row>
    <row r="872" spans="1:6" ht="23.25">
      <c r="A872" s="331" t="s">
        <v>1900</v>
      </c>
      <c r="B872" s="332" t="s">
        <v>1717</v>
      </c>
      <c r="C872" s="332" t="s">
        <v>1886</v>
      </c>
      <c r="D872" s="178" t="s">
        <v>22</v>
      </c>
      <c r="E872" s="333" t="s">
        <v>1901</v>
      </c>
      <c r="F872" s="179" t="str">
        <f>IF(AND(COUNTIF('Build &amp; Totals'!$A$4:$B$12,$C872)&gt;=1,Class=$B872),$A872,"")</f>
        <v/>
      </c>
    </row>
    <row r="873" spans="1:6">
      <c r="A873" s="331" t="s">
        <v>1902</v>
      </c>
      <c r="B873" s="332" t="s">
        <v>1717</v>
      </c>
      <c r="C873" s="332" t="s">
        <v>1886</v>
      </c>
      <c r="D873" s="178" t="s">
        <v>22</v>
      </c>
      <c r="E873" s="333" t="s">
        <v>1903</v>
      </c>
      <c r="F873" s="179" t="str">
        <f>IF(AND(COUNTIF('Build &amp; Totals'!$A$4:$B$12,$C873)&gt;=1,Class=$B873),$A873,"")</f>
        <v/>
      </c>
    </row>
    <row r="874" spans="1:6">
      <c r="A874" s="331" t="s">
        <v>1904</v>
      </c>
      <c r="B874" s="332" t="s">
        <v>1717</v>
      </c>
      <c r="C874" s="332" t="s">
        <v>1886</v>
      </c>
      <c r="D874" s="178" t="s">
        <v>98</v>
      </c>
      <c r="E874" s="333" t="s">
        <v>1905</v>
      </c>
      <c r="F874" s="179" t="str">
        <f>IF(AND(COUNTIF('Build &amp; Totals'!$A$4:$B$12,$C874)&gt;=1,Class=$B874),$A874,"")</f>
        <v/>
      </c>
    </row>
    <row r="875" spans="1:6" ht="23.25">
      <c r="A875" s="331" t="s">
        <v>1906</v>
      </c>
      <c r="B875" s="332" t="s">
        <v>1717</v>
      </c>
      <c r="C875" s="332" t="s">
        <v>1886</v>
      </c>
      <c r="D875" s="178" t="s">
        <v>24</v>
      </c>
      <c r="E875" s="333" t="s">
        <v>1907</v>
      </c>
      <c r="F875" s="179" t="str">
        <f>IF(AND(COUNTIF('Build &amp; Totals'!$A$4:$B$12,$C875)&gt;=1,Class=$B875),$A875,"")</f>
        <v/>
      </c>
    </row>
    <row r="876" spans="1:6" ht="23.25">
      <c r="A876" s="331" t="s">
        <v>1908</v>
      </c>
      <c r="B876" s="332" t="s">
        <v>1717</v>
      </c>
      <c r="C876" s="332" t="s">
        <v>1886</v>
      </c>
      <c r="D876" s="178" t="s">
        <v>24</v>
      </c>
      <c r="E876" s="333" t="s">
        <v>1909</v>
      </c>
      <c r="F876" s="179" t="str">
        <f>IF(AND(COUNTIF('Build &amp; Totals'!$A$4:$B$12,$C876)&gt;=1,Class=$B876),$A876,"")</f>
        <v/>
      </c>
    </row>
    <row r="877" spans="1:6">
      <c r="A877" s="331" t="s">
        <v>1910</v>
      </c>
      <c r="B877" s="332" t="s">
        <v>1717</v>
      </c>
      <c r="C877" s="332" t="s">
        <v>1886</v>
      </c>
      <c r="D877" s="178" t="s">
        <v>24</v>
      </c>
      <c r="E877" s="333" t="s">
        <v>1911</v>
      </c>
      <c r="F877" s="179" t="str">
        <f>IF(AND(COUNTIF('Build &amp; Totals'!$A$4:$B$12,$C877)&gt;=1,Class=$B877),$A877,"")</f>
        <v/>
      </c>
    </row>
    <row r="878" spans="1:6" ht="35.25">
      <c r="A878" s="331" t="s">
        <v>1912</v>
      </c>
      <c r="B878" s="332" t="s">
        <v>1717</v>
      </c>
      <c r="C878" s="332" t="s">
        <v>34</v>
      </c>
      <c r="D878" s="178" t="s">
        <v>94</v>
      </c>
      <c r="E878" s="333" t="s">
        <v>1913</v>
      </c>
      <c r="F878" s="179" t="str">
        <f>IF(AND(COUNTIF('Build &amp; Totals'!$A$4:$B$12,$C878)&gt;=1,Class=$B878),$A878,"")</f>
        <v/>
      </c>
    </row>
    <row r="879" spans="1:6">
      <c r="A879" s="331" t="s">
        <v>1914</v>
      </c>
      <c r="B879" s="332" t="s">
        <v>1717</v>
      </c>
      <c r="C879" s="332" t="s">
        <v>34</v>
      </c>
      <c r="D879" s="178" t="s">
        <v>19</v>
      </c>
      <c r="E879" s="333" t="s">
        <v>1915</v>
      </c>
      <c r="F879" s="179" t="str">
        <f>IF(AND(COUNTIF('Build &amp; Totals'!$A$4:$B$12,$C879)&gt;=1,Class=$B879),$A879,"")</f>
        <v/>
      </c>
    </row>
    <row r="880" spans="1:6">
      <c r="A880" s="331" t="s">
        <v>1916</v>
      </c>
      <c r="B880" s="332" t="s">
        <v>1717</v>
      </c>
      <c r="C880" s="332" t="s">
        <v>34</v>
      </c>
      <c r="D880" s="178" t="s">
        <v>19</v>
      </c>
      <c r="E880" s="333" t="s">
        <v>1917</v>
      </c>
      <c r="F880" s="179" t="str">
        <f>IF(AND(COUNTIF('Build &amp; Totals'!$A$4:$B$12,$C880)&gt;=1,Class=$B880),$A880,"")</f>
        <v/>
      </c>
    </row>
    <row r="881" spans="1:6">
      <c r="A881" s="331" t="s">
        <v>1918</v>
      </c>
      <c r="B881" s="332" t="s">
        <v>1717</v>
      </c>
      <c r="C881" s="332" t="s">
        <v>34</v>
      </c>
      <c r="D881" s="178" t="s">
        <v>19</v>
      </c>
      <c r="E881" s="333" t="s">
        <v>1919</v>
      </c>
      <c r="F881" s="179" t="str">
        <f>IF(AND(COUNTIF('Build &amp; Totals'!$A$4:$B$12,$C881)&gt;=1,Class=$B881),$A881,"")</f>
        <v/>
      </c>
    </row>
    <row r="882" spans="1:6">
      <c r="A882" s="331" t="s">
        <v>1920</v>
      </c>
      <c r="B882" s="332" t="s">
        <v>1717</v>
      </c>
      <c r="C882" s="332" t="s">
        <v>34</v>
      </c>
      <c r="D882" s="178" t="s">
        <v>95</v>
      </c>
      <c r="E882" s="333" t="s">
        <v>1921</v>
      </c>
      <c r="F882" s="179" t="str">
        <f>IF(AND(COUNTIF('Build &amp; Totals'!$A$4:$B$12,$C882)&gt;=1,Class=$B882),$A882,"")</f>
        <v/>
      </c>
    </row>
    <row r="883" spans="1:6">
      <c r="A883" s="331" t="s">
        <v>1922</v>
      </c>
      <c r="B883" s="332" t="s">
        <v>1717</v>
      </c>
      <c r="C883" s="332" t="s">
        <v>34</v>
      </c>
      <c r="D883" s="178" t="s">
        <v>22</v>
      </c>
      <c r="E883" s="333" t="s">
        <v>1923</v>
      </c>
      <c r="F883" s="179" t="str">
        <f>IF(AND(COUNTIF('Build &amp; Totals'!$A$4:$B$12,$C883)&gt;=1,Class=$B883),$A883,"")</f>
        <v/>
      </c>
    </row>
    <row r="884" spans="1:6">
      <c r="A884" s="331" t="s">
        <v>1924</v>
      </c>
      <c r="B884" s="332" t="s">
        <v>1717</v>
      </c>
      <c r="C884" s="332" t="s">
        <v>34</v>
      </c>
      <c r="D884" s="178" t="s">
        <v>22</v>
      </c>
      <c r="E884" s="333" t="s">
        <v>1925</v>
      </c>
      <c r="F884" s="179" t="str">
        <f>IF(AND(COUNTIF('Build &amp; Totals'!$A$4:$B$12,$C884)&gt;=1,Class=$B884),$A884,"")</f>
        <v/>
      </c>
    </row>
    <row r="885" spans="1:6" ht="23.25">
      <c r="A885" s="331" t="s">
        <v>1926</v>
      </c>
      <c r="B885" s="332" t="s">
        <v>1717</v>
      </c>
      <c r="C885" s="332" t="s">
        <v>34</v>
      </c>
      <c r="D885" s="178" t="s">
        <v>22</v>
      </c>
      <c r="E885" s="333" t="s">
        <v>1927</v>
      </c>
      <c r="F885" s="179" t="str">
        <f>IF(AND(COUNTIF('Build &amp; Totals'!$A$4:$B$12,$C885)&gt;=1,Class=$B885),$A885,"")</f>
        <v/>
      </c>
    </row>
    <row r="886" spans="1:6">
      <c r="A886" s="331" t="s">
        <v>1928</v>
      </c>
      <c r="B886" s="332" t="s">
        <v>1717</v>
      </c>
      <c r="C886" s="332" t="s">
        <v>34</v>
      </c>
      <c r="D886" s="178" t="s">
        <v>98</v>
      </c>
      <c r="E886" s="333" t="s">
        <v>1929</v>
      </c>
      <c r="F886" s="179" t="str">
        <f>IF(AND(COUNTIF('Build &amp; Totals'!$A$4:$B$12,$C886)&gt;=1,Class=$B886),$A886,"")</f>
        <v/>
      </c>
    </row>
    <row r="887" spans="1:6" ht="23.25">
      <c r="A887" s="331" t="s">
        <v>1930</v>
      </c>
      <c r="B887" s="332" t="s">
        <v>1717</v>
      </c>
      <c r="C887" s="332" t="s">
        <v>34</v>
      </c>
      <c r="D887" s="178" t="s">
        <v>24</v>
      </c>
      <c r="E887" s="333" t="s">
        <v>1931</v>
      </c>
      <c r="F887" s="179" t="str">
        <f>IF(AND(COUNTIF('Build &amp; Totals'!$A$4:$B$12,$C887)&gt;=1,Class=$B887),$A887,"")</f>
        <v/>
      </c>
    </row>
    <row r="888" spans="1:6" ht="23.25">
      <c r="A888" s="331" t="s">
        <v>1932</v>
      </c>
      <c r="B888" s="332" t="s">
        <v>1717</v>
      </c>
      <c r="C888" s="332" t="s">
        <v>34</v>
      </c>
      <c r="D888" s="178" t="s">
        <v>24</v>
      </c>
      <c r="E888" s="333" t="s">
        <v>1933</v>
      </c>
      <c r="F888" s="179" t="str">
        <f>IF(AND(COUNTIF('Build &amp; Totals'!$A$4:$B$12,$C888)&gt;=1,Class=$B888),$A888,"")</f>
        <v/>
      </c>
    </row>
    <row r="889" spans="1:6" ht="23.25">
      <c r="A889" s="331" t="s">
        <v>1934</v>
      </c>
      <c r="B889" s="332" t="s">
        <v>1717</v>
      </c>
      <c r="C889" s="332" t="s">
        <v>34</v>
      </c>
      <c r="D889" s="178" t="s">
        <v>24</v>
      </c>
      <c r="E889" s="333" t="s">
        <v>1935</v>
      </c>
      <c r="F889" s="179" t="str">
        <f>IF(AND(COUNTIF('Build &amp; Totals'!$A$4:$B$12,$C889)&gt;=1,Class=$B889),$A889,"")</f>
        <v/>
      </c>
    </row>
    <row r="890" spans="1:6">
      <c r="A890" s="331" t="s">
        <v>1936</v>
      </c>
      <c r="B890" s="332" t="s">
        <v>1937</v>
      </c>
      <c r="C890" s="332" t="s">
        <v>1938</v>
      </c>
      <c r="D890" s="178" t="s">
        <v>94</v>
      </c>
      <c r="E890" s="333" t="s">
        <v>1939</v>
      </c>
      <c r="F890" s="179" t="str">
        <f>IF(AND(COUNTIF('Build &amp; Totals'!$A$4:$B$12,$C890)&gt;=1,Class=$B890),$A890,"")</f>
        <v/>
      </c>
    </row>
    <row r="891" spans="1:6">
      <c r="A891" s="331" t="s">
        <v>1940</v>
      </c>
      <c r="B891" s="332" t="s">
        <v>1937</v>
      </c>
      <c r="C891" s="332" t="s">
        <v>1938</v>
      </c>
      <c r="D891" s="178" t="s">
        <v>19</v>
      </c>
      <c r="E891" s="333" t="s">
        <v>1941</v>
      </c>
      <c r="F891" s="179" t="str">
        <f>IF(AND(COUNTIF('Build &amp; Totals'!$A$4:$B$12,$C891)&gt;=1,Class=$B891),$A891,"")</f>
        <v/>
      </c>
    </row>
    <row r="892" spans="1:6">
      <c r="A892" s="331" t="s">
        <v>1942</v>
      </c>
      <c r="B892" s="332" t="s">
        <v>1937</v>
      </c>
      <c r="C892" s="332" t="s">
        <v>1938</v>
      </c>
      <c r="D892" s="178" t="s">
        <v>19</v>
      </c>
      <c r="E892" s="333" t="s">
        <v>1943</v>
      </c>
      <c r="F892" s="179" t="str">
        <f>IF(AND(COUNTIF('Build &amp; Totals'!$A$4:$B$12,$C892)&gt;=1,Class=$B892),$A892,"")</f>
        <v/>
      </c>
    </row>
    <row r="893" spans="1:6">
      <c r="A893" s="331" t="s">
        <v>1944</v>
      </c>
      <c r="B893" s="332" t="s">
        <v>1937</v>
      </c>
      <c r="C893" s="332" t="s">
        <v>1938</v>
      </c>
      <c r="D893" s="178" t="s">
        <v>19</v>
      </c>
      <c r="E893" s="333" t="s">
        <v>1945</v>
      </c>
      <c r="F893" s="179" t="str">
        <f>IF(AND(COUNTIF('Build &amp; Totals'!$A$4:$B$12,$C893)&gt;=1,Class=$B893),$A893,"")</f>
        <v/>
      </c>
    </row>
    <row r="894" spans="1:6" ht="23.25">
      <c r="A894" s="331" t="s">
        <v>1946</v>
      </c>
      <c r="B894" s="332" t="s">
        <v>1937</v>
      </c>
      <c r="C894" s="332" t="s">
        <v>1938</v>
      </c>
      <c r="D894" s="178" t="s">
        <v>95</v>
      </c>
      <c r="E894" s="333" t="s">
        <v>1947</v>
      </c>
      <c r="F894" s="179" t="str">
        <f>IF(AND(COUNTIF('Build &amp; Totals'!$A$4:$B$12,$C894)&gt;=1,Class=$B894),$A894,"")</f>
        <v/>
      </c>
    </row>
    <row r="895" spans="1:6">
      <c r="A895" s="331" t="s">
        <v>1948</v>
      </c>
      <c r="B895" s="332" t="s">
        <v>1937</v>
      </c>
      <c r="C895" s="332" t="s">
        <v>1938</v>
      </c>
      <c r="D895" s="178" t="s">
        <v>22</v>
      </c>
      <c r="E895" s="333" t="s">
        <v>1949</v>
      </c>
      <c r="F895" s="179" t="str">
        <f>IF(AND(COUNTIF('Build &amp; Totals'!$A$4:$B$12,$C895)&gt;=1,Class=$B895),$A895,"")</f>
        <v/>
      </c>
    </row>
    <row r="896" spans="1:6">
      <c r="A896" s="331" t="s">
        <v>1950</v>
      </c>
      <c r="B896" s="332" t="s">
        <v>1937</v>
      </c>
      <c r="C896" s="332" t="s">
        <v>1938</v>
      </c>
      <c r="D896" s="178" t="s">
        <v>22</v>
      </c>
      <c r="E896" s="333" t="s">
        <v>1951</v>
      </c>
      <c r="F896" s="179" t="str">
        <f>IF(AND(COUNTIF('Build &amp; Totals'!$A$4:$B$12,$C896)&gt;=1,Class=$B896),$A896,"")</f>
        <v/>
      </c>
    </row>
    <row r="897" spans="1:6" ht="23.25">
      <c r="A897" s="331" t="s">
        <v>1952</v>
      </c>
      <c r="B897" s="332" t="s">
        <v>1937</v>
      </c>
      <c r="C897" s="332" t="s">
        <v>1938</v>
      </c>
      <c r="D897" s="178" t="s">
        <v>22</v>
      </c>
      <c r="E897" s="333" t="s">
        <v>1953</v>
      </c>
      <c r="F897" s="179" t="str">
        <f>IF(AND(COUNTIF('Build &amp; Totals'!$A$4:$B$12,$C897)&gt;=1,Class=$B897),$A897,"")</f>
        <v/>
      </c>
    </row>
    <row r="898" spans="1:6">
      <c r="A898" s="331" t="s">
        <v>1954</v>
      </c>
      <c r="B898" s="332" t="s">
        <v>1937</v>
      </c>
      <c r="C898" s="332" t="s">
        <v>1938</v>
      </c>
      <c r="D898" s="178" t="s">
        <v>98</v>
      </c>
      <c r="E898" s="333" t="s">
        <v>1955</v>
      </c>
      <c r="F898" s="179" t="str">
        <f>IF(AND(COUNTIF('Build &amp; Totals'!$A$4:$B$12,$C898)&gt;=1,Class=$B898),$A898,"")</f>
        <v/>
      </c>
    </row>
    <row r="899" spans="1:6">
      <c r="A899" s="331" t="s">
        <v>1956</v>
      </c>
      <c r="B899" s="332" t="s">
        <v>1937</v>
      </c>
      <c r="C899" s="332" t="s">
        <v>1938</v>
      </c>
      <c r="D899" s="178" t="s">
        <v>24</v>
      </c>
      <c r="E899" s="333" t="s">
        <v>1957</v>
      </c>
      <c r="F899" s="179" t="str">
        <f>IF(AND(COUNTIF('Build &amp; Totals'!$A$4:$B$12,$C899)&gt;=1,Class=$B899),$A899,"")</f>
        <v/>
      </c>
    </row>
    <row r="900" spans="1:6">
      <c r="A900" s="331" t="s">
        <v>1958</v>
      </c>
      <c r="B900" s="332" t="s">
        <v>1937</v>
      </c>
      <c r="C900" s="332" t="s">
        <v>1938</v>
      </c>
      <c r="D900" s="178" t="s">
        <v>24</v>
      </c>
      <c r="E900" s="333" t="s">
        <v>1535</v>
      </c>
      <c r="F900" s="179" t="str">
        <f>IF(AND(COUNTIF('Build &amp; Totals'!$A$4:$B$12,$C900)&gt;=1,Class=$B900),$A900,"")</f>
        <v/>
      </c>
    </row>
    <row r="901" spans="1:6">
      <c r="A901" s="331" t="s">
        <v>1959</v>
      </c>
      <c r="B901" s="332" t="s">
        <v>1937</v>
      </c>
      <c r="C901" s="332" t="s">
        <v>1938</v>
      </c>
      <c r="D901" s="178" t="s">
        <v>24</v>
      </c>
      <c r="E901" s="333" t="s">
        <v>1960</v>
      </c>
      <c r="F901" s="179" t="str">
        <f>IF(AND(COUNTIF('Build &amp; Totals'!$A$4:$B$12,$C901)&gt;=1,Class=$B901),$A901,"")</f>
        <v/>
      </c>
    </row>
    <row r="902" spans="1:6">
      <c r="A902" s="331" t="s">
        <v>1961</v>
      </c>
      <c r="B902" s="332" t="s">
        <v>1937</v>
      </c>
      <c r="C902" s="332" t="s">
        <v>1962</v>
      </c>
      <c r="D902" s="178" t="s">
        <v>94</v>
      </c>
      <c r="E902" s="333" t="s">
        <v>1963</v>
      </c>
      <c r="F902" s="179" t="str">
        <f>IF(AND(COUNTIF('Build &amp; Totals'!$A$4:$B$12,$C902)&gt;=1,Class=$B902),$A902,"")</f>
        <v/>
      </c>
    </row>
    <row r="903" spans="1:6" ht="23.25">
      <c r="A903" s="331" t="s">
        <v>1964</v>
      </c>
      <c r="B903" s="332" t="s">
        <v>1937</v>
      </c>
      <c r="C903" s="332" t="s">
        <v>1962</v>
      </c>
      <c r="D903" s="178" t="s">
        <v>19</v>
      </c>
      <c r="E903" s="333" t="s">
        <v>1965</v>
      </c>
      <c r="F903" s="179" t="str">
        <f>IF(AND(COUNTIF('Build &amp; Totals'!$A$4:$B$12,$C903)&gt;=1,Class=$B903),$A903,"")</f>
        <v/>
      </c>
    </row>
    <row r="904" spans="1:6">
      <c r="A904" s="331" t="s">
        <v>1966</v>
      </c>
      <c r="B904" s="332" t="s">
        <v>1937</v>
      </c>
      <c r="C904" s="332" t="s">
        <v>1962</v>
      </c>
      <c r="D904" s="178" t="s">
        <v>19</v>
      </c>
      <c r="E904" s="333" t="s">
        <v>1967</v>
      </c>
      <c r="F904" s="179" t="str">
        <f>IF(AND(COUNTIF('Build &amp; Totals'!$A$4:$B$12,$C904)&gt;=1,Class=$B904),$A904,"")</f>
        <v/>
      </c>
    </row>
    <row r="905" spans="1:6">
      <c r="A905" s="331" t="s">
        <v>1968</v>
      </c>
      <c r="B905" s="332" t="s">
        <v>1937</v>
      </c>
      <c r="C905" s="332" t="s">
        <v>1962</v>
      </c>
      <c r="D905" s="178" t="s">
        <v>19</v>
      </c>
      <c r="E905" s="333" t="s">
        <v>1969</v>
      </c>
      <c r="F905" s="179" t="str">
        <f>IF(AND(COUNTIF('Build &amp; Totals'!$A$4:$B$12,$C905)&gt;=1,Class=$B905),$A905,"")</f>
        <v/>
      </c>
    </row>
    <row r="906" spans="1:6">
      <c r="A906" s="331" t="s">
        <v>1970</v>
      </c>
      <c r="B906" s="332" t="s">
        <v>1937</v>
      </c>
      <c r="C906" s="332" t="s">
        <v>1962</v>
      </c>
      <c r="D906" s="178" t="s">
        <v>95</v>
      </c>
      <c r="E906" s="333" t="s">
        <v>1971</v>
      </c>
      <c r="F906" s="179" t="str">
        <f>IF(AND(COUNTIF('Build &amp; Totals'!$A$4:$B$12,$C906)&gt;=1,Class=$B906),$A906,"")</f>
        <v/>
      </c>
    </row>
    <row r="907" spans="1:6">
      <c r="A907" s="331" t="s">
        <v>1972</v>
      </c>
      <c r="B907" s="332" t="s">
        <v>1937</v>
      </c>
      <c r="C907" s="332" t="s">
        <v>1962</v>
      </c>
      <c r="D907" s="178" t="s">
        <v>22</v>
      </c>
      <c r="E907" s="333" t="s">
        <v>1973</v>
      </c>
      <c r="F907" s="179" t="str">
        <f>IF(AND(COUNTIF('Build &amp; Totals'!$A$4:$B$12,$C907)&gt;=1,Class=$B907),$A907,"")</f>
        <v/>
      </c>
    </row>
    <row r="908" spans="1:6">
      <c r="A908" s="331" t="s">
        <v>1974</v>
      </c>
      <c r="B908" s="332" t="s">
        <v>1937</v>
      </c>
      <c r="C908" s="332" t="s">
        <v>1962</v>
      </c>
      <c r="D908" s="178" t="s">
        <v>22</v>
      </c>
      <c r="E908" s="333" t="s">
        <v>1975</v>
      </c>
      <c r="F908" s="179" t="str">
        <f>IF(AND(COUNTIF('Build &amp; Totals'!$A$4:$B$12,$C908)&gt;=1,Class=$B908),$A908,"")</f>
        <v/>
      </c>
    </row>
    <row r="909" spans="1:6">
      <c r="A909" s="331" t="s">
        <v>1976</v>
      </c>
      <c r="B909" s="332" t="s">
        <v>1937</v>
      </c>
      <c r="C909" s="332" t="s">
        <v>1962</v>
      </c>
      <c r="D909" s="178" t="s">
        <v>22</v>
      </c>
      <c r="E909" s="333" t="s">
        <v>1977</v>
      </c>
      <c r="F909" s="179" t="str">
        <f>IF(AND(COUNTIF('Build &amp; Totals'!$A$4:$B$12,$C909)&gt;=1,Class=$B909),$A909,"")</f>
        <v/>
      </c>
    </row>
    <row r="910" spans="1:6">
      <c r="A910" s="331" t="s">
        <v>1978</v>
      </c>
      <c r="B910" s="332" t="s">
        <v>1937</v>
      </c>
      <c r="C910" s="332" t="s">
        <v>1962</v>
      </c>
      <c r="D910" s="178" t="s">
        <v>98</v>
      </c>
      <c r="E910" s="333" t="s">
        <v>1979</v>
      </c>
      <c r="F910" s="179" t="str">
        <f>IF(AND(COUNTIF('Build &amp; Totals'!$A$4:$B$12,$C910)&gt;=1,Class=$B910),$A910,"")</f>
        <v/>
      </c>
    </row>
    <row r="911" spans="1:6">
      <c r="A911" s="331" t="s">
        <v>1980</v>
      </c>
      <c r="B911" s="332" t="s">
        <v>1937</v>
      </c>
      <c r="C911" s="332" t="s">
        <v>1962</v>
      </c>
      <c r="D911" s="178" t="s">
        <v>24</v>
      </c>
      <c r="E911" s="333" t="s">
        <v>1981</v>
      </c>
      <c r="F911" s="179" t="str">
        <f>IF(AND(COUNTIF('Build &amp; Totals'!$A$4:$B$12,$C911)&gt;=1,Class=$B911),$A911,"")</f>
        <v/>
      </c>
    </row>
    <row r="912" spans="1:6">
      <c r="A912" s="331" t="s">
        <v>1982</v>
      </c>
      <c r="B912" s="332" t="s">
        <v>1937</v>
      </c>
      <c r="C912" s="332" t="s">
        <v>1962</v>
      </c>
      <c r="D912" s="178" t="s">
        <v>24</v>
      </c>
      <c r="E912" s="333" t="s">
        <v>1983</v>
      </c>
      <c r="F912" s="179" t="str">
        <f>IF(AND(COUNTIF('Build &amp; Totals'!$A$4:$B$12,$C912)&gt;=1,Class=$B912),$A912,"")</f>
        <v/>
      </c>
    </row>
    <row r="913" spans="1:6" ht="23.25">
      <c r="A913" s="331" t="s">
        <v>1984</v>
      </c>
      <c r="B913" s="332" t="s">
        <v>1937</v>
      </c>
      <c r="C913" s="332" t="s">
        <v>1962</v>
      </c>
      <c r="D913" s="178" t="s">
        <v>24</v>
      </c>
      <c r="E913" s="333" t="s">
        <v>1985</v>
      </c>
      <c r="F913" s="179" t="str">
        <f>IF(AND(COUNTIF('Build &amp; Totals'!$A$4:$B$12,$C913)&gt;=1,Class=$B913),$A913,"")</f>
        <v/>
      </c>
    </row>
    <row r="914" spans="1:6">
      <c r="A914" s="331" t="s">
        <v>1986</v>
      </c>
      <c r="B914" s="332" t="s">
        <v>1937</v>
      </c>
      <c r="C914" s="332" t="s">
        <v>1987</v>
      </c>
      <c r="D914" s="178" t="s">
        <v>94</v>
      </c>
      <c r="E914" s="333" t="s">
        <v>1988</v>
      </c>
      <c r="F914" s="179" t="str">
        <f>IF(AND(COUNTIF('Build &amp; Totals'!$A$4:$B$12,$C914)&gt;=1,Class=$B914),$A914,"")</f>
        <v/>
      </c>
    </row>
    <row r="915" spans="1:6" ht="23.25">
      <c r="A915" s="331" t="s">
        <v>1989</v>
      </c>
      <c r="B915" s="332" t="s">
        <v>1937</v>
      </c>
      <c r="C915" s="332" t="s">
        <v>1987</v>
      </c>
      <c r="D915" s="178" t="s">
        <v>19</v>
      </c>
      <c r="E915" s="333" t="s">
        <v>1990</v>
      </c>
      <c r="F915" s="179" t="str">
        <f>IF(AND(COUNTIF('Build &amp; Totals'!$A$4:$B$12,$C915)&gt;=1,Class=$B915),$A915,"")</f>
        <v/>
      </c>
    </row>
    <row r="916" spans="1:6">
      <c r="A916" s="331" t="s">
        <v>1991</v>
      </c>
      <c r="B916" s="332" t="s">
        <v>1937</v>
      </c>
      <c r="C916" s="332" t="s">
        <v>1987</v>
      </c>
      <c r="D916" s="178" t="s">
        <v>19</v>
      </c>
      <c r="E916" s="333" t="s">
        <v>1992</v>
      </c>
      <c r="F916" s="179" t="str">
        <f>IF(AND(COUNTIF('Build &amp; Totals'!$A$4:$B$12,$C916)&gt;=1,Class=$B916),$A916,"")</f>
        <v/>
      </c>
    </row>
    <row r="917" spans="1:6" ht="23.25">
      <c r="A917" s="331" t="s">
        <v>1993</v>
      </c>
      <c r="B917" s="332" t="s">
        <v>1937</v>
      </c>
      <c r="C917" s="332" t="s">
        <v>1987</v>
      </c>
      <c r="D917" s="178" t="s">
        <v>19</v>
      </c>
      <c r="E917" s="333" t="s">
        <v>1994</v>
      </c>
      <c r="F917" s="179" t="str">
        <f>IF(AND(COUNTIF('Build &amp; Totals'!$A$4:$B$12,$C917)&gt;=1,Class=$B917),$A917,"")</f>
        <v/>
      </c>
    </row>
    <row r="918" spans="1:6" ht="23.25">
      <c r="A918" s="331" t="s">
        <v>1995</v>
      </c>
      <c r="B918" s="332" t="s">
        <v>1937</v>
      </c>
      <c r="C918" s="332" t="s">
        <v>1987</v>
      </c>
      <c r="D918" s="178" t="s">
        <v>95</v>
      </c>
      <c r="E918" s="333" t="s">
        <v>1996</v>
      </c>
      <c r="F918" s="179" t="str">
        <f>IF(AND(COUNTIF('Build &amp; Totals'!$A$4:$B$12,$C918)&gt;=1,Class=$B918),$A918,"")</f>
        <v/>
      </c>
    </row>
    <row r="919" spans="1:6" ht="23.25">
      <c r="A919" s="331" t="s">
        <v>1997</v>
      </c>
      <c r="B919" s="332" t="s">
        <v>1937</v>
      </c>
      <c r="C919" s="332" t="s">
        <v>1987</v>
      </c>
      <c r="D919" s="178" t="s">
        <v>22</v>
      </c>
      <c r="E919" s="333" t="s">
        <v>1998</v>
      </c>
      <c r="F919" s="179" t="str">
        <f>IF(AND(COUNTIF('Build &amp; Totals'!$A$4:$B$12,$C919)&gt;=1,Class=$B919),$A919,"")</f>
        <v/>
      </c>
    </row>
    <row r="920" spans="1:6" ht="23.25">
      <c r="A920" s="331" t="s">
        <v>1999</v>
      </c>
      <c r="B920" s="332" t="s">
        <v>1937</v>
      </c>
      <c r="C920" s="332" t="s">
        <v>1987</v>
      </c>
      <c r="D920" s="178" t="s">
        <v>22</v>
      </c>
      <c r="E920" s="333" t="s">
        <v>2000</v>
      </c>
      <c r="F920" s="179" t="str">
        <f>IF(AND(COUNTIF('Build &amp; Totals'!$A$4:$B$12,$C920)&gt;=1,Class=$B920),$A920,"")</f>
        <v/>
      </c>
    </row>
    <row r="921" spans="1:6">
      <c r="A921" s="331" t="s">
        <v>2001</v>
      </c>
      <c r="B921" s="332" t="s">
        <v>1937</v>
      </c>
      <c r="C921" s="332" t="s">
        <v>1987</v>
      </c>
      <c r="D921" s="178" t="s">
        <v>22</v>
      </c>
      <c r="E921" s="333" t="s">
        <v>2002</v>
      </c>
      <c r="F921" s="179" t="str">
        <f>IF(AND(COUNTIF('Build &amp; Totals'!$A$4:$B$12,$C921)&gt;=1,Class=$B921),$A921,"")</f>
        <v/>
      </c>
    </row>
    <row r="922" spans="1:6">
      <c r="A922" s="331" t="s">
        <v>2003</v>
      </c>
      <c r="B922" s="332" t="s">
        <v>1937</v>
      </c>
      <c r="C922" s="332" t="s">
        <v>1987</v>
      </c>
      <c r="D922" s="178" t="s">
        <v>98</v>
      </c>
      <c r="E922" s="333" t="s">
        <v>2004</v>
      </c>
      <c r="F922" s="179" t="str">
        <f>IF(AND(COUNTIF('Build &amp; Totals'!$A$4:$B$12,$C922)&gt;=1,Class=$B922),$A922,"")</f>
        <v/>
      </c>
    </row>
    <row r="923" spans="1:6" ht="23.25">
      <c r="A923" s="331" t="s">
        <v>2005</v>
      </c>
      <c r="B923" s="332" t="s">
        <v>1937</v>
      </c>
      <c r="C923" s="332" t="s">
        <v>1987</v>
      </c>
      <c r="D923" s="178" t="s">
        <v>24</v>
      </c>
      <c r="E923" s="333" t="s">
        <v>2006</v>
      </c>
      <c r="F923" s="179" t="str">
        <f>IF(AND(COUNTIF('Build &amp; Totals'!$A$4:$B$12,$C923)&gt;=1,Class=$B923),$A923,"")</f>
        <v/>
      </c>
    </row>
    <row r="924" spans="1:6" ht="23.25">
      <c r="A924" s="331" t="s">
        <v>2007</v>
      </c>
      <c r="B924" s="332" t="s">
        <v>1937</v>
      </c>
      <c r="C924" s="332" t="s">
        <v>1987</v>
      </c>
      <c r="D924" s="178" t="s">
        <v>24</v>
      </c>
      <c r="E924" s="333" t="s">
        <v>2008</v>
      </c>
      <c r="F924" s="179" t="str">
        <f>IF(AND(COUNTIF('Build &amp; Totals'!$A$4:$B$12,$C924)&gt;=1,Class=$B924),$A924,"")</f>
        <v/>
      </c>
    </row>
    <row r="925" spans="1:6" ht="23.25">
      <c r="A925" s="331" t="s">
        <v>2009</v>
      </c>
      <c r="B925" s="332" t="s">
        <v>1937</v>
      </c>
      <c r="C925" s="332" t="s">
        <v>1987</v>
      </c>
      <c r="D925" s="178" t="s">
        <v>24</v>
      </c>
      <c r="E925" s="333" t="s">
        <v>2010</v>
      </c>
      <c r="F925" s="179" t="str">
        <f>IF(AND(COUNTIF('Build &amp; Totals'!$A$4:$B$12,$C925)&gt;=1,Class=$B925),$A925,"")</f>
        <v/>
      </c>
    </row>
    <row r="926" spans="1:6">
      <c r="A926" s="331" t="s">
        <v>2011</v>
      </c>
      <c r="B926" s="332" t="s">
        <v>1937</v>
      </c>
      <c r="C926" s="332" t="s">
        <v>2012</v>
      </c>
      <c r="D926" s="178" t="s">
        <v>94</v>
      </c>
      <c r="E926" s="333" t="s">
        <v>2013</v>
      </c>
      <c r="F926" s="179" t="str">
        <f>IF(AND(COUNTIF('Build &amp; Totals'!$A$4:$B$12,$C926)&gt;=1,Class=$B926),$A926,"")</f>
        <v/>
      </c>
    </row>
    <row r="927" spans="1:6">
      <c r="A927" s="331" t="s">
        <v>2014</v>
      </c>
      <c r="B927" s="332" t="s">
        <v>1937</v>
      </c>
      <c r="C927" s="332" t="s">
        <v>2012</v>
      </c>
      <c r="D927" s="178" t="s">
        <v>19</v>
      </c>
      <c r="E927" s="333" t="s">
        <v>2015</v>
      </c>
      <c r="F927" s="179" t="str">
        <f>IF(AND(COUNTIF('Build &amp; Totals'!$A$4:$B$12,$C927)&gt;=1,Class=$B927),$A927,"")</f>
        <v/>
      </c>
    </row>
    <row r="928" spans="1:6">
      <c r="A928" s="331" t="s">
        <v>2016</v>
      </c>
      <c r="B928" s="332" t="s">
        <v>1937</v>
      </c>
      <c r="C928" s="332" t="s">
        <v>2012</v>
      </c>
      <c r="D928" s="178" t="s">
        <v>19</v>
      </c>
      <c r="E928" s="333" t="s">
        <v>2017</v>
      </c>
      <c r="F928" s="179" t="str">
        <f>IF(AND(COUNTIF('Build &amp; Totals'!$A$4:$B$12,$C928)&gt;=1,Class=$B928),$A928,"")</f>
        <v/>
      </c>
    </row>
    <row r="929" spans="1:6" ht="23.25">
      <c r="A929" s="331" t="s">
        <v>2018</v>
      </c>
      <c r="B929" s="332" t="s">
        <v>1937</v>
      </c>
      <c r="C929" s="332" t="s">
        <v>2012</v>
      </c>
      <c r="D929" s="178" t="s">
        <v>19</v>
      </c>
      <c r="E929" s="333" t="s">
        <v>2019</v>
      </c>
      <c r="F929" s="179" t="str">
        <f>IF(AND(COUNTIF('Build &amp; Totals'!$A$4:$B$12,$C929)&gt;=1,Class=$B929),$A929,"")</f>
        <v/>
      </c>
    </row>
    <row r="930" spans="1:6">
      <c r="A930" s="331" t="s">
        <v>2020</v>
      </c>
      <c r="B930" s="332" t="s">
        <v>1937</v>
      </c>
      <c r="C930" s="332" t="s">
        <v>2012</v>
      </c>
      <c r="D930" s="178" t="s">
        <v>95</v>
      </c>
      <c r="E930" s="333" t="s">
        <v>2021</v>
      </c>
      <c r="F930" s="179" t="str">
        <f>IF(AND(COUNTIF('Build &amp; Totals'!$A$4:$B$12,$C930)&gt;=1,Class=$B930),$A930,"")</f>
        <v/>
      </c>
    </row>
    <row r="931" spans="1:6">
      <c r="A931" s="331" t="s">
        <v>2022</v>
      </c>
      <c r="B931" s="332" t="s">
        <v>1937</v>
      </c>
      <c r="C931" s="332" t="s">
        <v>2012</v>
      </c>
      <c r="D931" s="178" t="s">
        <v>22</v>
      </c>
      <c r="E931" s="333" t="s">
        <v>2023</v>
      </c>
      <c r="F931" s="179" t="str">
        <f>IF(AND(COUNTIF('Build &amp; Totals'!$A$4:$B$12,$C931)&gt;=1,Class=$B931),$A931,"")</f>
        <v/>
      </c>
    </row>
    <row r="932" spans="1:6">
      <c r="A932" s="331" t="s">
        <v>2024</v>
      </c>
      <c r="B932" s="332" t="s">
        <v>1937</v>
      </c>
      <c r="C932" s="332" t="s">
        <v>2012</v>
      </c>
      <c r="D932" s="178" t="s">
        <v>22</v>
      </c>
      <c r="E932" s="333" t="s">
        <v>2025</v>
      </c>
      <c r="F932" s="179" t="str">
        <f>IF(AND(COUNTIF('Build &amp; Totals'!$A$4:$B$12,$C932)&gt;=1,Class=$B932),$A932,"")</f>
        <v/>
      </c>
    </row>
    <row r="933" spans="1:6">
      <c r="A933" s="331" t="s">
        <v>2026</v>
      </c>
      <c r="B933" s="332" t="s">
        <v>1937</v>
      </c>
      <c r="C933" s="332" t="s">
        <v>2012</v>
      </c>
      <c r="D933" s="178" t="s">
        <v>22</v>
      </c>
      <c r="E933" s="333" t="s">
        <v>2027</v>
      </c>
      <c r="F933" s="179" t="str">
        <f>IF(AND(COUNTIF('Build &amp; Totals'!$A$4:$B$12,$C933)&gt;=1,Class=$B933),$A933,"")</f>
        <v/>
      </c>
    </row>
    <row r="934" spans="1:6" ht="23.25">
      <c r="A934" s="331" t="s">
        <v>2028</v>
      </c>
      <c r="B934" s="332" t="s">
        <v>1937</v>
      </c>
      <c r="C934" s="332" t="s">
        <v>2012</v>
      </c>
      <c r="D934" s="178" t="s">
        <v>98</v>
      </c>
      <c r="E934" s="333" t="s">
        <v>2029</v>
      </c>
      <c r="F934" s="179" t="str">
        <f>IF(AND(COUNTIF('Build &amp; Totals'!$A$4:$B$12,$C934)&gt;=1,Class=$B934),$A934,"")</f>
        <v/>
      </c>
    </row>
    <row r="935" spans="1:6">
      <c r="A935" s="331" t="s">
        <v>2030</v>
      </c>
      <c r="B935" s="332" t="s">
        <v>1937</v>
      </c>
      <c r="C935" s="332" t="s">
        <v>2012</v>
      </c>
      <c r="D935" s="178" t="s">
        <v>24</v>
      </c>
      <c r="E935" s="333" t="s">
        <v>2031</v>
      </c>
      <c r="F935" s="179" t="str">
        <f>IF(AND(COUNTIF('Build &amp; Totals'!$A$4:$B$12,$C935)&gt;=1,Class=$B935),$A935,"")</f>
        <v/>
      </c>
    </row>
    <row r="936" spans="1:6" ht="23.25">
      <c r="A936" s="331" t="s">
        <v>2032</v>
      </c>
      <c r="B936" s="332" t="s">
        <v>1937</v>
      </c>
      <c r="C936" s="332" t="s">
        <v>2012</v>
      </c>
      <c r="D936" s="178" t="s">
        <v>24</v>
      </c>
      <c r="E936" s="333" t="s">
        <v>2033</v>
      </c>
      <c r="F936" s="179" t="str">
        <f>IF(AND(COUNTIF('Build &amp; Totals'!$A$4:$B$12,$C936)&gt;=1,Class=$B936),$A936,"")</f>
        <v/>
      </c>
    </row>
    <row r="937" spans="1:6" ht="23.25">
      <c r="A937" s="331" t="s">
        <v>2034</v>
      </c>
      <c r="B937" s="332" t="s">
        <v>1937</v>
      </c>
      <c r="C937" s="332" t="s">
        <v>2012</v>
      </c>
      <c r="D937" s="178" t="s">
        <v>24</v>
      </c>
      <c r="E937" s="333" t="s">
        <v>2035</v>
      </c>
      <c r="F937" s="179" t="str">
        <f>IF(AND(COUNTIF('Build &amp; Totals'!$A$4:$B$12,$C937)&gt;=1,Class=$B937),$A937,"")</f>
        <v/>
      </c>
    </row>
    <row r="938" spans="1:6">
      <c r="A938" s="331" t="s">
        <v>2036</v>
      </c>
      <c r="B938" s="332" t="s">
        <v>1937</v>
      </c>
      <c r="C938" s="332" t="s">
        <v>2037</v>
      </c>
      <c r="D938" s="178" t="s">
        <v>94</v>
      </c>
      <c r="E938" s="333" t="s">
        <v>2038</v>
      </c>
      <c r="F938" s="179" t="str">
        <f>IF(AND(COUNTIF('Build &amp; Totals'!$A$4:$B$12,$C938)&gt;=1,Class=$B938),$A938,"")</f>
        <v/>
      </c>
    </row>
    <row r="939" spans="1:6">
      <c r="A939" s="331" t="s">
        <v>2039</v>
      </c>
      <c r="B939" s="332" t="s">
        <v>1937</v>
      </c>
      <c r="C939" s="332" t="s">
        <v>2037</v>
      </c>
      <c r="D939" s="178" t="s">
        <v>19</v>
      </c>
      <c r="E939" s="333" t="s">
        <v>2040</v>
      </c>
      <c r="F939" s="179" t="str">
        <f>IF(AND(COUNTIF('Build &amp; Totals'!$A$4:$B$12,$C939)&gt;=1,Class=$B939),$A939,"")</f>
        <v/>
      </c>
    </row>
    <row r="940" spans="1:6">
      <c r="A940" s="331" t="s">
        <v>2041</v>
      </c>
      <c r="B940" s="332" t="s">
        <v>1937</v>
      </c>
      <c r="C940" s="332" t="s">
        <v>2037</v>
      </c>
      <c r="D940" s="178" t="s">
        <v>19</v>
      </c>
      <c r="E940" s="333" t="s">
        <v>2042</v>
      </c>
      <c r="F940" s="179" t="str">
        <f>IF(AND(COUNTIF('Build &amp; Totals'!$A$4:$B$12,$C940)&gt;=1,Class=$B940),$A940,"")</f>
        <v/>
      </c>
    </row>
    <row r="941" spans="1:6">
      <c r="A941" s="331" t="s">
        <v>2043</v>
      </c>
      <c r="B941" s="332" t="s">
        <v>1937</v>
      </c>
      <c r="C941" s="332" t="s">
        <v>2037</v>
      </c>
      <c r="D941" s="178" t="s">
        <v>19</v>
      </c>
      <c r="E941" s="333" t="s">
        <v>2044</v>
      </c>
      <c r="F941" s="179" t="str">
        <f>IF(AND(COUNTIF('Build &amp; Totals'!$A$4:$B$12,$C941)&gt;=1,Class=$B941),$A941,"")</f>
        <v/>
      </c>
    </row>
    <row r="942" spans="1:6">
      <c r="A942" s="331" t="s">
        <v>2045</v>
      </c>
      <c r="B942" s="332" t="s">
        <v>1937</v>
      </c>
      <c r="C942" s="332" t="s">
        <v>2037</v>
      </c>
      <c r="D942" s="178" t="s">
        <v>95</v>
      </c>
      <c r="E942" s="333" t="s">
        <v>2046</v>
      </c>
      <c r="F942" s="179" t="str">
        <f>IF(AND(COUNTIF('Build &amp; Totals'!$A$4:$B$12,$C942)&gt;=1,Class=$B942),$A942,"")</f>
        <v/>
      </c>
    </row>
    <row r="943" spans="1:6">
      <c r="A943" s="331" t="s">
        <v>2047</v>
      </c>
      <c r="B943" s="332" t="s">
        <v>1937</v>
      </c>
      <c r="C943" s="332" t="s">
        <v>2037</v>
      </c>
      <c r="D943" s="178" t="s">
        <v>22</v>
      </c>
      <c r="E943" s="333" t="s">
        <v>2048</v>
      </c>
      <c r="F943" s="179" t="str">
        <f>IF(AND(COUNTIF('Build &amp; Totals'!$A$4:$B$12,$C943)&gt;=1,Class=$B943),$A943,"")</f>
        <v/>
      </c>
    </row>
    <row r="944" spans="1:6">
      <c r="A944" s="331" t="s">
        <v>2049</v>
      </c>
      <c r="B944" s="332" t="s">
        <v>1937</v>
      </c>
      <c r="C944" s="332" t="s">
        <v>2037</v>
      </c>
      <c r="D944" s="178" t="s">
        <v>22</v>
      </c>
      <c r="E944" s="333" t="s">
        <v>2050</v>
      </c>
      <c r="F944" s="179" t="str">
        <f>IF(AND(COUNTIF('Build &amp; Totals'!$A$4:$B$12,$C944)&gt;=1,Class=$B944),$A944,"")</f>
        <v/>
      </c>
    </row>
    <row r="945" spans="1:6">
      <c r="A945" s="331" t="s">
        <v>2051</v>
      </c>
      <c r="B945" s="332" t="s">
        <v>1937</v>
      </c>
      <c r="C945" s="332" t="s">
        <v>2037</v>
      </c>
      <c r="D945" s="178" t="s">
        <v>22</v>
      </c>
      <c r="E945" s="333" t="s">
        <v>2052</v>
      </c>
      <c r="F945" s="179" t="str">
        <f>IF(AND(COUNTIF('Build &amp; Totals'!$A$4:$B$12,$C945)&gt;=1,Class=$B945),$A945,"")</f>
        <v/>
      </c>
    </row>
    <row r="946" spans="1:6">
      <c r="A946" s="331" t="s">
        <v>2053</v>
      </c>
      <c r="B946" s="332" t="s">
        <v>1937</v>
      </c>
      <c r="C946" s="332" t="s">
        <v>2037</v>
      </c>
      <c r="D946" s="178" t="s">
        <v>98</v>
      </c>
      <c r="E946" s="333" t="s">
        <v>2054</v>
      </c>
      <c r="F946" s="179" t="str">
        <f>IF(AND(COUNTIF('Build &amp; Totals'!$A$4:$B$12,$C946)&gt;=1,Class=$B946),$A946,"")</f>
        <v/>
      </c>
    </row>
    <row r="947" spans="1:6" ht="23.25">
      <c r="A947" s="331" t="s">
        <v>2055</v>
      </c>
      <c r="B947" s="332" t="s">
        <v>1937</v>
      </c>
      <c r="C947" s="332" t="s">
        <v>2037</v>
      </c>
      <c r="D947" s="178" t="s">
        <v>24</v>
      </c>
      <c r="E947" s="333" t="s">
        <v>2056</v>
      </c>
      <c r="F947" s="179" t="str">
        <f>IF(AND(COUNTIF('Build &amp; Totals'!$A$4:$B$12,$C947)&gt;=1,Class=$B947),$A947,"")</f>
        <v/>
      </c>
    </row>
    <row r="948" spans="1:6">
      <c r="A948" s="331" t="s">
        <v>2057</v>
      </c>
      <c r="B948" s="332" t="s">
        <v>1937</v>
      </c>
      <c r="C948" s="332" t="s">
        <v>2037</v>
      </c>
      <c r="D948" s="178" t="s">
        <v>24</v>
      </c>
      <c r="E948" s="333" t="s">
        <v>2058</v>
      </c>
      <c r="F948" s="179" t="str">
        <f>IF(AND(COUNTIF('Build &amp; Totals'!$A$4:$B$12,$C948)&gt;=1,Class=$B948),$A948,"")</f>
        <v/>
      </c>
    </row>
    <row r="949" spans="1:6">
      <c r="A949" s="331" t="s">
        <v>2059</v>
      </c>
      <c r="B949" s="332" t="s">
        <v>1937</v>
      </c>
      <c r="C949" s="332" t="s">
        <v>2037</v>
      </c>
      <c r="D949" s="178" t="s">
        <v>24</v>
      </c>
      <c r="E949" s="333" t="s">
        <v>2060</v>
      </c>
      <c r="F949" s="179" t="str">
        <f>IF(AND(COUNTIF('Build &amp; Totals'!$A$4:$B$12,$C949)&gt;=1,Class=$B949),$A949,"")</f>
        <v/>
      </c>
    </row>
    <row r="950" spans="1:6">
      <c r="A950" s="331" t="s">
        <v>520</v>
      </c>
      <c r="B950" s="332" t="s">
        <v>1937</v>
      </c>
      <c r="C950" s="332" t="s">
        <v>2061</v>
      </c>
      <c r="D950" s="178" t="s">
        <v>238</v>
      </c>
      <c r="E950" s="333" t="s">
        <v>522</v>
      </c>
      <c r="F950" s="179" t="str">
        <f>IF(AND(COUNTIF('Build &amp; Totals'!$A$4:$B$12,$C950)&gt;=1,Class=$B950),$A950,"")</f>
        <v/>
      </c>
    </row>
    <row r="951" spans="1:6" ht="23.25">
      <c r="A951" s="331" t="s">
        <v>2062</v>
      </c>
      <c r="B951" s="332" t="s">
        <v>1937</v>
      </c>
      <c r="C951" s="332" t="s">
        <v>2061</v>
      </c>
      <c r="D951" s="178" t="s">
        <v>94</v>
      </c>
      <c r="E951" s="333" t="s">
        <v>2063</v>
      </c>
      <c r="F951" s="179" t="str">
        <f>IF(AND(COUNTIF('Build &amp; Totals'!$A$4:$B$12,$C951)&gt;=1,Class=$B951),$A951,"")</f>
        <v/>
      </c>
    </row>
    <row r="952" spans="1:6">
      <c r="A952" s="331" t="s">
        <v>2064</v>
      </c>
      <c r="B952" s="332" t="s">
        <v>1937</v>
      </c>
      <c r="C952" s="332" t="s">
        <v>2061</v>
      </c>
      <c r="D952" s="178" t="s">
        <v>19</v>
      </c>
      <c r="E952" s="333" t="s">
        <v>2065</v>
      </c>
      <c r="F952" s="179" t="str">
        <f>IF(AND(COUNTIF('Build &amp; Totals'!$A$4:$B$12,$C952)&gt;=1,Class=$B952),$A952,"")</f>
        <v/>
      </c>
    </row>
    <row r="953" spans="1:6">
      <c r="A953" s="331" t="s">
        <v>2066</v>
      </c>
      <c r="B953" s="332" t="s">
        <v>1937</v>
      </c>
      <c r="C953" s="332" t="s">
        <v>2061</v>
      </c>
      <c r="D953" s="178" t="s">
        <v>19</v>
      </c>
      <c r="E953" s="333" t="s">
        <v>2067</v>
      </c>
      <c r="F953" s="179" t="str">
        <f>IF(AND(COUNTIF('Build &amp; Totals'!$A$4:$B$12,$C953)&gt;=1,Class=$B953),$A953,"")</f>
        <v/>
      </c>
    </row>
    <row r="954" spans="1:6">
      <c r="A954" s="331" t="s">
        <v>2068</v>
      </c>
      <c r="B954" s="332" t="s">
        <v>1937</v>
      </c>
      <c r="C954" s="332" t="s">
        <v>2061</v>
      </c>
      <c r="D954" s="178" t="s">
        <v>19</v>
      </c>
      <c r="E954" s="333" t="s">
        <v>2069</v>
      </c>
      <c r="F954" s="179" t="str">
        <f>IF(AND(COUNTIF('Build &amp; Totals'!$A$4:$B$12,$C954)&gt;=1,Class=$B954),$A954,"")</f>
        <v/>
      </c>
    </row>
    <row r="955" spans="1:6">
      <c r="A955" s="331" t="s">
        <v>2070</v>
      </c>
      <c r="B955" s="332" t="s">
        <v>1937</v>
      </c>
      <c r="C955" s="332" t="s">
        <v>2061</v>
      </c>
      <c r="D955" s="178" t="s">
        <v>95</v>
      </c>
      <c r="E955" s="333" t="s">
        <v>2071</v>
      </c>
      <c r="F955" s="179" t="str">
        <f>IF(AND(COUNTIF('Build &amp; Totals'!$A$4:$B$12,$C955)&gt;=1,Class=$B955),$A955,"")</f>
        <v/>
      </c>
    </row>
    <row r="956" spans="1:6" ht="23.25">
      <c r="A956" s="331" t="s">
        <v>2072</v>
      </c>
      <c r="B956" s="332" t="s">
        <v>1937</v>
      </c>
      <c r="C956" s="332" t="s">
        <v>2061</v>
      </c>
      <c r="D956" s="178" t="s">
        <v>22</v>
      </c>
      <c r="E956" s="333" t="s">
        <v>2073</v>
      </c>
      <c r="F956" s="179" t="str">
        <f>IF(AND(COUNTIF('Build &amp; Totals'!$A$4:$B$12,$C956)&gt;=1,Class=$B956),$A956,"")</f>
        <v/>
      </c>
    </row>
    <row r="957" spans="1:6" ht="23.25">
      <c r="A957" s="331" t="s">
        <v>2074</v>
      </c>
      <c r="B957" s="332" t="s">
        <v>1937</v>
      </c>
      <c r="C957" s="332" t="s">
        <v>2061</v>
      </c>
      <c r="D957" s="178" t="s">
        <v>22</v>
      </c>
      <c r="E957" s="333" t="s">
        <v>2075</v>
      </c>
      <c r="F957" s="179" t="str">
        <f>IF(AND(COUNTIF('Build &amp; Totals'!$A$4:$B$12,$C957)&gt;=1,Class=$B957),$A957,"")</f>
        <v/>
      </c>
    </row>
    <row r="958" spans="1:6">
      <c r="A958" s="331" t="s">
        <v>2076</v>
      </c>
      <c r="B958" s="332" t="s">
        <v>1937</v>
      </c>
      <c r="C958" s="332" t="s">
        <v>2061</v>
      </c>
      <c r="D958" s="178" t="s">
        <v>22</v>
      </c>
      <c r="E958" s="333" t="s">
        <v>2077</v>
      </c>
      <c r="F958" s="179" t="str">
        <f>IF(AND(COUNTIF('Build &amp; Totals'!$A$4:$B$12,$C958)&gt;=1,Class=$B958),$A958,"")</f>
        <v/>
      </c>
    </row>
    <row r="959" spans="1:6">
      <c r="A959" s="331" t="s">
        <v>2078</v>
      </c>
      <c r="B959" s="332" t="s">
        <v>1937</v>
      </c>
      <c r="C959" s="332" t="s">
        <v>2061</v>
      </c>
      <c r="D959" s="178" t="s">
        <v>98</v>
      </c>
      <c r="E959" s="333" t="s">
        <v>2079</v>
      </c>
      <c r="F959" s="179" t="str">
        <f>IF(AND(COUNTIF('Build &amp; Totals'!$A$4:$B$12,$C959)&gt;=1,Class=$B959),$A959,"")</f>
        <v/>
      </c>
    </row>
    <row r="960" spans="1:6" ht="23.25">
      <c r="A960" s="331" t="s">
        <v>2080</v>
      </c>
      <c r="B960" s="332" t="s">
        <v>1937</v>
      </c>
      <c r="C960" s="332" t="s">
        <v>2061</v>
      </c>
      <c r="D960" s="178" t="s">
        <v>24</v>
      </c>
      <c r="E960" s="333" t="s">
        <v>2081</v>
      </c>
      <c r="F960" s="179" t="str">
        <f>IF(AND(COUNTIF('Build &amp; Totals'!$A$4:$B$12,$C960)&gt;=1,Class=$B960),$A960,"")</f>
        <v/>
      </c>
    </row>
    <row r="961" spans="1:6">
      <c r="A961" s="331" t="s">
        <v>2082</v>
      </c>
      <c r="B961" s="332" t="s">
        <v>1937</v>
      </c>
      <c r="C961" s="332" t="s">
        <v>2061</v>
      </c>
      <c r="D961" s="178" t="s">
        <v>24</v>
      </c>
      <c r="E961" s="333" t="s">
        <v>2083</v>
      </c>
      <c r="F961" s="179" t="str">
        <f>IF(AND(COUNTIF('Build &amp; Totals'!$A$4:$B$12,$C961)&gt;=1,Class=$B961),$A961,"")</f>
        <v/>
      </c>
    </row>
    <row r="962" spans="1:6" ht="23.25">
      <c r="A962" s="331" t="s">
        <v>2084</v>
      </c>
      <c r="B962" s="332" t="s">
        <v>1937</v>
      </c>
      <c r="C962" s="332" t="s">
        <v>2061</v>
      </c>
      <c r="D962" s="178" t="s">
        <v>24</v>
      </c>
      <c r="E962" s="333" t="s">
        <v>2085</v>
      </c>
      <c r="F962" s="179" t="str">
        <f>IF(AND(COUNTIF('Build &amp; Totals'!$A$4:$B$12,$C962)&gt;=1,Class=$B962),$A962,"")</f>
        <v/>
      </c>
    </row>
    <row r="963" spans="1:6">
      <c r="A963" s="331" t="s">
        <v>698</v>
      </c>
      <c r="B963" s="332" t="s">
        <v>1937</v>
      </c>
      <c r="C963" s="332" t="s">
        <v>2086</v>
      </c>
      <c r="D963" s="178" t="s">
        <v>238</v>
      </c>
      <c r="E963" s="333" t="s">
        <v>2087</v>
      </c>
      <c r="F963" s="179" t="str">
        <f>IF(AND(COUNTIF('Build &amp; Totals'!$A$4:$B$12,$C963)&gt;=1,Class=$B963),$A963,"")</f>
        <v/>
      </c>
    </row>
    <row r="964" spans="1:6" ht="23.25">
      <c r="A964" s="331" t="s">
        <v>2088</v>
      </c>
      <c r="B964" s="332" t="s">
        <v>1937</v>
      </c>
      <c r="C964" s="332" t="s">
        <v>2086</v>
      </c>
      <c r="D964" s="178" t="s">
        <v>94</v>
      </c>
      <c r="E964" s="333" t="s">
        <v>2089</v>
      </c>
      <c r="F964" s="179" t="str">
        <f>IF(AND(COUNTIF('Build &amp; Totals'!$A$4:$B$12,$C964)&gt;=1,Class=$B964),$A964,"")</f>
        <v/>
      </c>
    </row>
    <row r="965" spans="1:6" ht="23.25">
      <c r="A965" s="331" t="s">
        <v>2090</v>
      </c>
      <c r="B965" s="332" t="s">
        <v>1937</v>
      </c>
      <c r="C965" s="332" t="s">
        <v>2086</v>
      </c>
      <c r="D965" s="178" t="s">
        <v>19</v>
      </c>
      <c r="E965" s="333" t="s">
        <v>2091</v>
      </c>
      <c r="F965" s="179" t="str">
        <f>IF(AND(COUNTIF('Build &amp; Totals'!$A$4:$B$12,$C965)&gt;=1,Class=$B965),$A965,"")</f>
        <v/>
      </c>
    </row>
    <row r="966" spans="1:6">
      <c r="A966" s="331" t="s">
        <v>2092</v>
      </c>
      <c r="B966" s="332" t="s">
        <v>1937</v>
      </c>
      <c r="C966" s="332" t="s">
        <v>2086</v>
      </c>
      <c r="D966" s="178" t="s">
        <v>19</v>
      </c>
      <c r="E966" s="333" t="s">
        <v>2093</v>
      </c>
      <c r="F966" s="179" t="str">
        <f>IF(AND(COUNTIF('Build &amp; Totals'!$A$4:$B$12,$C966)&gt;=1,Class=$B966),$A966,"")</f>
        <v/>
      </c>
    </row>
    <row r="967" spans="1:6">
      <c r="A967" s="331" t="s">
        <v>2094</v>
      </c>
      <c r="B967" s="332" t="s">
        <v>1937</v>
      </c>
      <c r="C967" s="332" t="s">
        <v>2086</v>
      </c>
      <c r="D967" s="178" t="s">
        <v>19</v>
      </c>
      <c r="E967" s="333" t="s">
        <v>2095</v>
      </c>
      <c r="F967" s="179" t="str">
        <f>IF(AND(COUNTIF('Build &amp; Totals'!$A$4:$B$12,$C967)&gt;=1,Class=$B967),$A967,"")</f>
        <v/>
      </c>
    </row>
    <row r="968" spans="1:6">
      <c r="A968" s="331" t="s">
        <v>2096</v>
      </c>
      <c r="B968" s="332" t="s">
        <v>1937</v>
      </c>
      <c r="C968" s="332" t="s">
        <v>2086</v>
      </c>
      <c r="D968" s="178" t="s">
        <v>95</v>
      </c>
      <c r="E968" s="333" t="s">
        <v>2097</v>
      </c>
      <c r="F968" s="179" t="str">
        <f>IF(AND(COUNTIF('Build &amp; Totals'!$A$4:$B$12,$C968)&gt;=1,Class=$B968),$A968,"")</f>
        <v/>
      </c>
    </row>
    <row r="969" spans="1:6">
      <c r="A969" s="331" t="s">
        <v>2098</v>
      </c>
      <c r="B969" s="332" t="s">
        <v>1937</v>
      </c>
      <c r="C969" s="332" t="s">
        <v>2086</v>
      </c>
      <c r="D969" s="178" t="s">
        <v>22</v>
      </c>
      <c r="E969" s="333" t="s">
        <v>2099</v>
      </c>
      <c r="F969" s="179" t="str">
        <f>IF(AND(COUNTIF('Build &amp; Totals'!$A$4:$B$12,$C969)&gt;=1,Class=$B969),$A969,"")</f>
        <v/>
      </c>
    </row>
    <row r="970" spans="1:6">
      <c r="A970" s="331" t="s">
        <v>2100</v>
      </c>
      <c r="B970" s="332" t="s">
        <v>1937</v>
      </c>
      <c r="C970" s="332" t="s">
        <v>2086</v>
      </c>
      <c r="D970" s="178" t="s">
        <v>22</v>
      </c>
      <c r="E970" s="333" t="s">
        <v>2101</v>
      </c>
      <c r="F970" s="179" t="str">
        <f>IF(AND(COUNTIF('Build &amp; Totals'!$A$4:$B$12,$C970)&gt;=1,Class=$B970),$A970,"")</f>
        <v/>
      </c>
    </row>
    <row r="971" spans="1:6">
      <c r="A971" s="331" t="s">
        <v>2102</v>
      </c>
      <c r="B971" s="332" t="s">
        <v>1937</v>
      </c>
      <c r="C971" s="332" t="s">
        <v>2086</v>
      </c>
      <c r="D971" s="178" t="s">
        <v>22</v>
      </c>
      <c r="E971" s="333" t="s">
        <v>2103</v>
      </c>
      <c r="F971" s="179" t="str">
        <f>IF(AND(COUNTIF('Build &amp; Totals'!$A$4:$B$12,$C971)&gt;=1,Class=$B971),$A971,"")</f>
        <v/>
      </c>
    </row>
    <row r="972" spans="1:6">
      <c r="A972" s="331" t="s">
        <v>2104</v>
      </c>
      <c r="B972" s="332" t="s">
        <v>1937</v>
      </c>
      <c r="C972" s="332" t="s">
        <v>2086</v>
      </c>
      <c r="D972" s="178" t="s">
        <v>98</v>
      </c>
      <c r="E972" s="333" t="s">
        <v>2105</v>
      </c>
      <c r="F972" s="179" t="str">
        <f>IF(AND(COUNTIF('Build &amp; Totals'!$A$4:$B$12,$C972)&gt;=1,Class=$B972),$A972,"")</f>
        <v/>
      </c>
    </row>
    <row r="973" spans="1:6" ht="23.25">
      <c r="A973" s="331" t="s">
        <v>2106</v>
      </c>
      <c r="B973" s="332" t="s">
        <v>1937</v>
      </c>
      <c r="C973" s="332" t="s">
        <v>2086</v>
      </c>
      <c r="D973" s="178" t="s">
        <v>24</v>
      </c>
      <c r="E973" s="333" t="s">
        <v>2107</v>
      </c>
      <c r="F973" s="179" t="str">
        <f>IF(AND(COUNTIF('Build &amp; Totals'!$A$4:$B$12,$C973)&gt;=1,Class=$B973),$A973,"")</f>
        <v/>
      </c>
    </row>
    <row r="974" spans="1:6" ht="23.25">
      <c r="A974" s="331" t="s">
        <v>2108</v>
      </c>
      <c r="B974" s="332" t="s">
        <v>1937</v>
      </c>
      <c r="C974" s="332" t="s">
        <v>2086</v>
      </c>
      <c r="D974" s="178" t="s">
        <v>24</v>
      </c>
      <c r="E974" s="333" t="s">
        <v>2109</v>
      </c>
      <c r="F974" s="179" t="str">
        <f>IF(AND(COUNTIF('Build &amp; Totals'!$A$4:$B$12,$C974)&gt;=1,Class=$B974),$A974,"")</f>
        <v/>
      </c>
    </row>
    <row r="975" spans="1:6" ht="23.25">
      <c r="A975" s="331" t="s">
        <v>2110</v>
      </c>
      <c r="B975" s="332" t="s">
        <v>1937</v>
      </c>
      <c r="C975" s="332" t="s">
        <v>2086</v>
      </c>
      <c r="D975" s="178" t="s">
        <v>24</v>
      </c>
      <c r="E975" s="333" t="s">
        <v>2111</v>
      </c>
      <c r="F975" s="179" t="str">
        <f>IF(AND(COUNTIF('Build &amp; Totals'!$A$4:$B$12,$C975)&gt;=1,Class=$B975),$A975,"")</f>
        <v/>
      </c>
    </row>
    <row r="976" spans="1:6">
      <c r="A976" s="331" t="s">
        <v>752</v>
      </c>
      <c r="B976" s="332" t="s">
        <v>1937</v>
      </c>
      <c r="C976" s="332" t="s">
        <v>2112</v>
      </c>
      <c r="D976" s="178" t="s">
        <v>238</v>
      </c>
      <c r="E976" s="333" t="s">
        <v>754</v>
      </c>
      <c r="F976" s="179" t="str">
        <f>IF(AND(COUNTIF('Build &amp; Totals'!$A$4:$B$12,$C976)&gt;=1,Class=$B976),$A976,"")</f>
        <v/>
      </c>
    </row>
    <row r="977" spans="1:6" ht="35.25">
      <c r="A977" s="331" t="s">
        <v>2113</v>
      </c>
      <c r="B977" s="332" t="s">
        <v>1937</v>
      </c>
      <c r="C977" s="332" t="s">
        <v>2112</v>
      </c>
      <c r="D977" s="178" t="s">
        <v>94</v>
      </c>
      <c r="E977" s="333" t="s">
        <v>2114</v>
      </c>
      <c r="F977" s="179" t="str">
        <f>IF(AND(COUNTIF('Build &amp; Totals'!$A$4:$B$12,$C977)&gt;=1,Class=$B977),$A977,"")</f>
        <v/>
      </c>
    </row>
    <row r="978" spans="1:6" ht="23.25">
      <c r="A978" s="331" t="s">
        <v>2115</v>
      </c>
      <c r="B978" s="332" t="s">
        <v>1937</v>
      </c>
      <c r="C978" s="332" t="s">
        <v>2112</v>
      </c>
      <c r="D978" s="178" t="s">
        <v>19</v>
      </c>
      <c r="E978" s="333" t="s">
        <v>2116</v>
      </c>
      <c r="F978" s="179" t="str">
        <f>IF(AND(COUNTIF('Build &amp; Totals'!$A$4:$B$12,$C978)&gt;=1,Class=$B978),$A978,"")</f>
        <v/>
      </c>
    </row>
    <row r="979" spans="1:6">
      <c r="A979" s="331" t="s">
        <v>2117</v>
      </c>
      <c r="B979" s="332" t="s">
        <v>1937</v>
      </c>
      <c r="C979" s="332" t="s">
        <v>2112</v>
      </c>
      <c r="D979" s="178" t="s">
        <v>19</v>
      </c>
      <c r="E979" s="333" t="s">
        <v>2118</v>
      </c>
      <c r="F979" s="179" t="str">
        <f>IF(AND(COUNTIF('Build &amp; Totals'!$A$4:$B$12,$C979)&gt;=1,Class=$B979),$A979,"")</f>
        <v/>
      </c>
    </row>
    <row r="980" spans="1:6">
      <c r="A980" s="331" t="s">
        <v>2119</v>
      </c>
      <c r="B980" s="332" t="s">
        <v>1937</v>
      </c>
      <c r="C980" s="332" t="s">
        <v>2112</v>
      </c>
      <c r="D980" s="178" t="s">
        <v>19</v>
      </c>
      <c r="E980" s="333" t="s">
        <v>2120</v>
      </c>
      <c r="F980" s="179" t="str">
        <f>IF(AND(COUNTIF('Build &amp; Totals'!$A$4:$B$12,$C980)&gt;=1,Class=$B980),$A980,"")</f>
        <v/>
      </c>
    </row>
    <row r="981" spans="1:6">
      <c r="A981" s="331" t="s">
        <v>2121</v>
      </c>
      <c r="B981" s="332" t="s">
        <v>1937</v>
      </c>
      <c r="C981" s="332" t="s">
        <v>2112</v>
      </c>
      <c r="D981" s="178" t="s">
        <v>95</v>
      </c>
      <c r="E981" s="333" t="s">
        <v>2122</v>
      </c>
      <c r="F981" s="179" t="str">
        <f>IF(AND(COUNTIF('Build &amp; Totals'!$A$4:$B$12,$C981)&gt;=1,Class=$B981),$A981,"")</f>
        <v/>
      </c>
    </row>
    <row r="982" spans="1:6">
      <c r="A982" s="331" t="s">
        <v>2123</v>
      </c>
      <c r="B982" s="332" t="s">
        <v>1937</v>
      </c>
      <c r="C982" s="332" t="s">
        <v>2112</v>
      </c>
      <c r="D982" s="178" t="s">
        <v>22</v>
      </c>
      <c r="E982" s="333" t="s">
        <v>2124</v>
      </c>
      <c r="F982" s="179" t="str">
        <f>IF(AND(COUNTIF('Build &amp; Totals'!$A$4:$B$12,$C982)&gt;=1,Class=$B982),$A982,"")</f>
        <v/>
      </c>
    </row>
    <row r="983" spans="1:6" ht="23.25">
      <c r="A983" s="331" t="s">
        <v>2125</v>
      </c>
      <c r="B983" s="332" t="s">
        <v>1937</v>
      </c>
      <c r="C983" s="332" t="s">
        <v>2112</v>
      </c>
      <c r="D983" s="178" t="s">
        <v>22</v>
      </c>
      <c r="E983" s="333" t="s">
        <v>2126</v>
      </c>
      <c r="F983" s="179" t="str">
        <f>IF(AND(COUNTIF('Build &amp; Totals'!$A$4:$B$12,$C983)&gt;=1,Class=$B983),$A983,"")</f>
        <v/>
      </c>
    </row>
    <row r="984" spans="1:6">
      <c r="A984" s="331" t="s">
        <v>2127</v>
      </c>
      <c r="B984" s="332" t="s">
        <v>1937</v>
      </c>
      <c r="C984" s="332" t="s">
        <v>2112</v>
      </c>
      <c r="D984" s="178" t="s">
        <v>22</v>
      </c>
      <c r="E984" s="333" t="s">
        <v>2128</v>
      </c>
      <c r="F984" s="179" t="str">
        <f>IF(AND(COUNTIF('Build &amp; Totals'!$A$4:$B$12,$C984)&gt;=1,Class=$B984),$A984,"")</f>
        <v/>
      </c>
    </row>
    <row r="985" spans="1:6">
      <c r="A985" s="331" t="s">
        <v>2129</v>
      </c>
      <c r="B985" s="332" t="s">
        <v>1937</v>
      </c>
      <c r="C985" s="332" t="s">
        <v>2112</v>
      </c>
      <c r="D985" s="178" t="s">
        <v>98</v>
      </c>
      <c r="E985" s="333" t="s">
        <v>2130</v>
      </c>
      <c r="F985" s="179" t="str">
        <f>IF(AND(COUNTIF('Build &amp; Totals'!$A$4:$B$12,$C985)&gt;=1,Class=$B985),$A985,"")</f>
        <v/>
      </c>
    </row>
    <row r="986" spans="1:6" ht="23.25">
      <c r="A986" s="331" t="s">
        <v>2131</v>
      </c>
      <c r="B986" s="332" t="s">
        <v>1937</v>
      </c>
      <c r="C986" s="332" t="s">
        <v>2112</v>
      </c>
      <c r="D986" s="178" t="s">
        <v>24</v>
      </c>
      <c r="E986" s="333" t="s">
        <v>2132</v>
      </c>
      <c r="F986" s="179" t="str">
        <f>IF(AND(COUNTIF('Build &amp; Totals'!$A$4:$B$12,$C986)&gt;=1,Class=$B986),$A986,"")</f>
        <v/>
      </c>
    </row>
    <row r="987" spans="1:6" ht="23.25">
      <c r="A987" s="331" t="s">
        <v>2133</v>
      </c>
      <c r="B987" s="332" t="s">
        <v>1937</v>
      </c>
      <c r="C987" s="332" t="s">
        <v>2112</v>
      </c>
      <c r="D987" s="178" t="s">
        <v>24</v>
      </c>
      <c r="E987" s="333" t="s">
        <v>2134</v>
      </c>
      <c r="F987" s="179" t="str">
        <f>IF(AND(COUNTIF('Build &amp; Totals'!$A$4:$B$12,$C987)&gt;=1,Class=$B987),$A987,"")</f>
        <v/>
      </c>
    </row>
    <row r="988" spans="1:6" ht="23.25">
      <c r="A988" s="331" t="s">
        <v>2135</v>
      </c>
      <c r="B988" s="332" t="s">
        <v>1937</v>
      </c>
      <c r="C988" s="332" t="s">
        <v>2112</v>
      </c>
      <c r="D988" s="178" t="s">
        <v>24</v>
      </c>
      <c r="E988" s="333" t="s">
        <v>2136</v>
      </c>
      <c r="F988" s="179" t="str">
        <f>IF(AND(COUNTIF('Build &amp; Totals'!$A$4:$B$12,$C988)&gt;=1,Class=$B988),$A988,"")</f>
        <v/>
      </c>
    </row>
    <row r="989" spans="1:6" ht="35.25">
      <c r="A989" s="331" t="s">
        <v>2137</v>
      </c>
      <c r="B989" s="332" t="s">
        <v>1937</v>
      </c>
      <c r="C989" s="332" t="s">
        <v>2138</v>
      </c>
      <c r="D989" s="178" t="s">
        <v>94</v>
      </c>
      <c r="E989" s="333" t="s">
        <v>2139</v>
      </c>
      <c r="F989" s="179" t="str">
        <f>IF(AND(COUNTIF('Build &amp; Totals'!$A$4:$B$12,$C989)&gt;=1,Class=$B989),$A989,"")</f>
        <v/>
      </c>
    </row>
    <row r="990" spans="1:6">
      <c r="A990" s="331" t="s">
        <v>2140</v>
      </c>
      <c r="B990" s="332" t="s">
        <v>1937</v>
      </c>
      <c r="C990" s="332" t="s">
        <v>2138</v>
      </c>
      <c r="D990" s="178" t="s">
        <v>19</v>
      </c>
      <c r="E990" s="333" t="s">
        <v>2141</v>
      </c>
      <c r="F990" s="179" t="str">
        <f>IF(AND(COUNTIF('Build &amp; Totals'!$A$4:$B$12,$C990)&gt;=1,Class=$B990),$A990,"")</f>
        <v/>
      </c>
    </row>
    <row r="991" spans="1:6">
      <c r="A991" s="331" t="s">
        <v>2142</v>
      </c>
      <c r="B991" s="332" t="s">
        <v>1937</v>
      </c>
      <c r="C991" s="332" t="s">
        <v>2138</v>
      </c>
      <c r="D991" s="178" t="s">
        <v>19</v>
      </c>
      <c r="E991" s="333" t="s">
        <v>2143</v>
      </c>
      <c r="F991" s="179" t="str">
        <f>IF(AND(COUNTIF('Build &amp; Totals'!$A$4:$B$12,$C991)&gt;=1,Class=$B991),$A991,"")</f>
        <v/>
      </c>
    </row>
    <row r="992" spans="1:6" ht="23.25">
      <c r="A992" s="331" t="s">
        <v>2144</v>
      </c>
      <c r="B992" s="332" t="s">
        <v>1937</v>
      </c>
      <c r="C992" s="332" t="s">
        <v>2138</v>
      </c>
      <c r="D992" s="178" t="s">
        <v>19</v>
      </c>
      <c r="E992" s="333" t="s">
        <v>2145</v>
      </c>
      <c r="F992" s="179" t="str">
        <f>IF(AND(COUNTIF('Build &amp; Totals'!$A$4:$B$12,$C992)&gt;=1,Class=$B992),$A992,"")</f>
        <v/>
      </c>
    </row>
    <row r="993" spans="1:6">
      <c r="A993" s="331" t="s">
        <v>2146</v>
      </c>
      <c r="B993" s="332" t="s">
        <v>1937</v>
      </c>
      <c r="C993" s="332" t="s">
        <v>2138</v>
      </c>
      <c r="D993" s="178" t="s">
        <v>95</v>
      </c>
      <c r="E993" s="333" t="s">
        <v>2147</v>
      </c>
      <c r="F993" s="179" t="str">
        <f>IF(AND(COUNTIF('Build &amp; Totals'!$A$4:$B$12,$C993)&gt;=1,Class=$B993),$A993,"")</f>
        <v/>
      </c>
    </row>
    <row r="994" spans="1:6">
      <c r="A994" s="331" t="s">
        <v>2148</v>
      </c>
      <c r="B994" s="332" t="s">
        <v>1937</v>
      </c>
      <c r="C994" s="332" t="s">
        <v>2138</v>
      </c>
      <c r="D994" s="178" t="s">
        <v>22</v>
      </c>
      <c r="E994" s="333" t="s">
        <v>2149</v>
      </c>
      <c r="F994" s="179" t="str">
        <f>IF(AND(COUNTIF('Build &amp; Totals'!$A$4:$B$12,$C994)&gt;=1,Class=$B994),$A994,"")</f>
        <v/>
      </c>
    </row>
    <row r="995" spans="1:6">
      <c r="A995" s="331" t="s">
        <v>2150</v>
      </c>
      <c r="B995" s="332" t="s">
        <v>1937</v>
      </c>
      <c r="C995" s="332" t="s">
        <v>2138</v>
      </c>
      <c r="D995" s="178" t="s">
        <v>22</v>
      </c>
      <c r="E995" s="333" t="s">
        <v>2151</v>
      </c>
      <c r="F995" s="179" t="str">
        <f>IF(AND(COUNTIF('Build &amp; Totals'!$A$4:$B$12,$C995)&gt;=1,Class=$B995),$A995,"")</f>
        <v/>
      </c>
    </row>
    <row r="996" spans="1:6" ht="23.25">
      <c r="A996" s="331" t="s">
        <v>2152</v>
      </c>
      <c r="B996" s="332" t="s">
        <v>1937</v>
      </c>
      <c r="C996" s="332" t="s">
        <v>2138</v>
      </c>
      <c r="D996" s="178" t="s">
        <v>22</v>
      </c>
      <c r="E996" s="333" t="s">
        <v>2153</v>
      </c>
      <c r="F996" s="179" t="str">
        <f>IF(AND(COUNTIF('Build &amp; Totals'!$A$4:$B$12,$C996)&gt;=1,Class=$B996),$A996,"")</f>
        <v/>
      </c>
    </row>
    <row r="997" spans="1:6" ht="23.25">
      <c r="A997" s="331" t="s">
        <v>2154</v>
      </c>
      <c r="B997" s="332" t="s">
        <v>1937</v>
      </c>
      <c r="C997" s="332" t="s">
        <v>2138</v>
      </c>
      <c r="D997" s="178" t="s">
        <v>98</v>
      </c>
      <c r="E997" s="333" t="s">
        <v>2155</v>
      </c>
      <c r="F997" s="179" t="str">
        <f>IF(AND(COUNTIF('Build &amp; Totals'!$A$4:$B$12,$C997)&gt;=1,Class=$B997),$A997,"")</f>
        <v/>
      </c>
    </row>
    <row r="998" spans="1:6" ht="23.25">
      <c r="A998" s="331" t="s">
        <v>2156</v>
      </c>
      <c r="B998" s="332" t="s">
        <v>1937</v>
      </c>
      <c r="C998" s="332" t="s">
        <v>2138</v>
      </c>
      <c r="D998" s="178" t="s">
        <v>24</v>
      </c>
      <c r="E998" s="333" t="s">
        <v>2157</v>
      </c>
      <c r="F998" s="179" t="str">
        <f>IF(AND(COUNTIF('Build &amp; Totals'!$A$4:$B$12,$C998)&gt;=1,Class=$B998),$A998,"")</f>
        <v/>
      </c>
    </row>
    <row r="999" spans="1:6" ht="23.25">
      <c r="A999" s="331" t="s">
        <v>2158</v>
      </c>
      <c r="B999" s="332" t="s">
        <v>1937</v>
      </c>
      <c r="C999" s="332" t="s">
        <v>2138</v>
      </c>
      <c r="D999" s="178" t="s">
        <v>24</v>
      </c>
      <c r="E999" s="333" t="s">
        <v>2159</v>
      </c>
      <c r="F999" s="179" t="str">
        <f>IF(AND(COUNTIF('Build &amp; Totals'!$A$4:$B$12,$C999)&gt;=1,Class=$B999),$A999,"")</f>
        <v/>
      </c>
    </row>
    <row r="1000" spans="1:6">
      <c r="A1000" s="331" t="s">
        <v>2160</v>
      </c>
      <c r="B1000" s="332" t="s">
        <v>1937</v>
      </c>
      <c r="C1000" s="332" t="s">
        <v>2138</v>
      </c>
      <c r="D1000" s="178" t="s">
        <v>24</v>
      </c>
      <c r="E1000" s="333" t="s">
        <v>2161</v>
      </c>
      <c r="F1000" s="179" t="str">
        <f>IF(AND(COUNTIF('Build &amp; Totals'!$A$4:$B$12,$C1000)&gt;=1,Class=$B1000),$A1000,"")</f>
        <v/>
      </c>
    </row>
  </sheetData>
  <sheetProtection sheet="1" objects="1" scenarios="1"/>
  <conditionalFormatting sqref="A2:F1000">
    <cfRule type="expression" dxfId="70" priority="1">
      <formula>$A2=Spec3MinorGrandmaster</formula>
    </cfRule>
    <cfRule type="expression" dxfId="69" priority="2">
      <formula>$A2=Spec3MinorMaster</formula>
    </cfRule>
    <cfRule type="expression" dxfId="68" priority="3">
      <formula>$A2=Spec3MinorAdept</formula>
    </cfRule>
    <cfRule type="expression" dxfId="67" priority="4">
      <formula>$A2=Spec2MinorGrandmaster</formula>
    </cfRule>
    <cfRule type="expression" dxfId="66" priority="5">
      <formula>$A2=Spec2MinorMaster</formula>
    </cfRule>
    <cfRule type="expression" dxfId="65" priority="6">
      <formula>$A2=Spec2MinorAdept</formula>
    </cfRule>
    <cfRule type="expression" dxfId="64" priority="7">
      <formula>$A2=Spec1MinorGrandmaster</formula>
    </cfRule>
    <cfRule type="expression" dxfId="63" priority="8">
      <formula>$A2=Spec1MinorMaster</formula>
    </cfRule>
    <cfRule type="expression" dxfId="62" priority="9">
      <formula>$A2=Spec1MinorAdept</formula>
    </cfRule>
    <cfRule type="expression" dxfId="61" priority="10">
      <formula>$A2=Spec3MajorGrandmaster</formula>
    </cfRule>
    <cfRule type="expression" dxfId="60" priority="11">
      <formula>$A2=Spec3MajorMaster</formula>
    </cfRule>
    <cfRule type="expression" dxfId="59" priority="12">
      <formula>$A2=Spec3MajorAdept</formula>
    </cfRule>
    <cfRule type="expression" dxfId="58" priority="13">
      <formula>$A2=Spec2MajorGrandmaster</formula>
    </cfRule>
    <cfRule type="expression" dxfId="57" priority="14">
      <formula>$A2=Spec2MajorMaster</formula>
    </cfRule>
    <cfRule type="expression" dxfId="56" priority="15">
      <formula>$A2=Spec2MajorAdept</formula>
    </cfRule>
    <cfRule type="expression" dxfId="55" priority="16">
      <formula>$A2=Spec1MajorGrandmaster</formula>
    </cfRule>
    <cfRule type="expression" dxfId="54" priority="17">
      <formula>$A2=Spec1MajorMaster</formula>
    </cfRule>
    <cfRule type="expression" dxfId="53" priority="18">
      <formula>$A2=Spec1MajorAdept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950AD-F9DA-46BF-AE54-0F5A996A23C3}">
  <dimension ref="A1:AB209"/>
  <sheetViews>
    <sheetView topLeftCell="A60" workbookViewId="0">
      <selection activeCell="D25" sqref="D25"/>
    </sheetView>
  </sheetViews>
  <sheetFormatPr defaultColWidth="9.140625" defaultRowHeight="14.25"/>
  <cols>
    <col min="1" max="1" width="22.5703125" style="177" bestFit="1" customWidth="1"/>
    <col min="2" max="2" width="12.5703125" style="178" bestFit="1" customWidth="1"/>
    <col min="3" max="4" width="17.5703125" style="178" bestFit="1" customWidth="1"/>
    <col min="5" max="5" width="17.140625" style="178" bestFit="1" customWidth="1"/>
    <col min="6" max="6" width="12.5703125" style="455" customWidth="1"/>
    <col min="7" max="7" width="18.28515625" style="178" customWidth="1"/>
    <col min="8" max="8" width="20.5703125" style="178" customWidth="1"/>
    <col min="9" max="9" width="16.85546875" style="178" bestFit="1" customWidth="1"/>
    <col min="10" max="10" width="36.5703125" style="178" customWidth="1"/>
    <col min="11" max="11" width="47.5703125" style="178" customWidth="1"/>
    <col min="12" max="12" width="48.28515625" style="178" bestFit="1" customWidth="1"/>
    <col min="13" max="13" width="17.5703125" style="179" bestFit="1" customWidth="1"/>
    <col min="14" max="14" width="17.5703125" style="173" bestFit="1" customWidth="1"/>
    <col min="15" max="15" width="36.5703125" style="173" bestFit="1" customWidth="1"/>
    <col min="16" max="16" width="9.140625" style="173"/>
    <col min="17" max="19" width="36.5703125" style="173" bestFit="1" customWidth="1"/>
    <col min="20" max="20" width="12" style="173" bestFit="1" customWidth="1"/>
    <col min="21" max="23" width="17.42578125" style="173" bestFit="1" customWidth="1"/>
    <col min="24" max="24" width="33.85546875" style="173" bestFit="1" customWidth="1"/>
    <col min="25" max="25" width="12.5703125" style="173" bestFit="1" customWidth="1"/>
    <col min="26" max="26" width="17.5703125" style="173" bestFit="1" customWidth="1"/>
    <col min="27" max="27" width="19" style="173" bestFit="1" customWidth="1"/>
    <col min="28" max="28" width="57.42578125" style="174" customWidth="1"/>
    <col min="29" max="29" width="36.5703125" style="173" bestFit="1" customWidth="1"/>
    <col min="30" max="16384" width="9.140625" style="173"/>
  </cols>
  <sheetData>
    <row r="1" spans="1:22">
      <c r="A1" s="219" t="s">
        <v>90</v>
      </c>
      <c r="B1" s="282" t="s">
        <v>103</v>
      </c>
      <c r="C1" s="282" t="s">
        <v>104</v>
      </c>
      <c r="D1" s="282" t="s">
        <v>105</v>
      </c>
      <c r="E1" s="282" t="s">
        <v>2162</v>
      </c>
      <c r="F1" s="282" t="s">
        <v>2163</v>
      </c>
      <c r="G1" s="282" t="s">
        <v>2164</v>
      </c>
      <c r="H1" s="282" t="s">
        <v>2165</v>
      </c>
      <c r="I1" s="282" t="s">
        <v>2166</v>
      </c>
      <c r="J1" s="282" t="s">
        <v>2167</v>
      </c>
      <c r="K1" s="282" t="s">
        <v>2168</v>
      </c>
      <c r="L1" s="282" t="s">
        <v>2169</v>
      </c>
      <c r="M1" s="283" t="s">
        <v>2170</v>
      </c>
    </row>
    <row r="2" spans="1:22">
      <c r="A2" s="177" t="s">
        <v>1532</v>
      </c>
      <c r="B2" s="178" t="s">
        <v>1492</v>
      </c>
      <c r="C2" s="178" t="s">
        <v>1517</v>
      </c>
      <c r="D2" s="178" t="s">
        <v>98</v>
      </c>
      <c r="E2" s="178" t="s">
        <v>13</v>
      </c>
      <c r="F2" s="455">
        <v>150</v>
      </c>
      <c r="G2" s="178" t="s">
        <v>2171</v>
      </c>
      <c r="L2" s="178" t="s">
        <v>2172</v>
      </c>
    </row>
    <row r="3" spans="1:22">
      <c r="A3" s="177" t="s">
        <v>1532</v>
      </c>
      <c r="B3" s="178" t="s">
        <v>1492</v>
      </c>
      <c r="C3" s="178" t="s">
        <v>1517</v>
      </c>
      <c r="D3" s="178" t="s">
        <v>98</v>
      </c>
      <c r="E3" s="178" t="s">
        <v>13</v>
      </c>
      <c r="F3" s="455">
        <v>150</v>
      </c>
      <c r="G3" s="178" t="s">
        <v>2171</v>
      </c>
      <c r="L3" s="178" t="s">
        <v>2172</v>
      </c>
    </row>
    <row r="4" spans="1:22">
      <c r="A4" s="177" t="s">
        <v>1611</v>
      </c>
      <c r="B4" s="178" t="s">
        <v>1492</v>
      </c>
      <c r="C4" s="178" t="s">
        <v>1591</v>
      </c>
      <c r="D4" s="178" t="s">
        <v>24</v>
      </c>
      <c r="E4" s="178" t="s">
        <v>13</v>
      </c>
      <c r="F4" s="455">
        <v>150</v>
      </c>
      <c r="G4" s="178" t="s">
        <v>2171</v>
      </c>
      <c r="I4" s="178" t="s">
        <v>2173</v>
      </c>
      <c r="J4" s="178" t="s">
        <v>2174</v>
      </c>
      <c r="L4" s="178" t="s">
        <v>2175</v>
      </c>
      <c r="Q4" s="174"/>
    </row>
    <row r="5" spans="1:22">
      <c r="A5" s="177" t="s">
        <v>1503</v>
      </c>
      <c r="B5" s="178" t="s">
        <v>1492</v>
      </c>
      <c r="C5" s="178" t="s">
        <v>1493</v>
      </c>
      <c r="D5" s="178" t="s">
        <v>22</v>
      </c>
      <c r="E5" s="178" t="s">
        <v>11</v>
      </c>
      <c r="F5" s="455">
        <v>180</v>
      </c>
      <c r="G5" s="178" t="s">
        <v>2171</v>
      </c>
      <c r="L5" s="178" t="s">
        <v>2176</v>
      </c>
    </row>
    <row r="6" spans="1:22">
      <c r="A6" s="177" t="s">
        <v>2177</v>
      </c>
      <c r="B6" s="178" t="s">
        <v>1492</v>
      </c>
      <c r="C6" s="178" t="s">
        <v>1591</v>
      </c>
      <c r="D6" s="178" t="s">
        <v>98</v>
      </c>
      <c r="E6" s="178" t="s">
        <v>10</v>
      </c>
      <c r="F6" s="455">
        <v>180</v>
      </c>
      <c r="G6" s="178" t="s">
        <v>2171</v>
      </c>
      <c r="L6" s="178" t="s">
        <v>2178</v>
      </c>
    </row>
    <row r="7" spans="1:22">
      <c r="A7" s="177" t="s">
        <v>1658</v>
      </c>
      <c r="B7" s="178" t="s">
        <v>1492</v>
      </c>
      <c r="C7" s="178" t="s">
        <v>1642</v>
      </c>
      <c r="D7" s="178" t="s">
        <v>98</v>
      </c>
      <c r="E7" s="178" t="s">
        <v>6</v>
      </c>
      <c r="F7" s="455">
        <v>200</v>
      </c>
      <c r="G7" s="178" t="s">
        <v>2171</v>
      </c>
      <c r="I7" s="178" t="s">
        <v>2173</v>
      </c>
      <c r="J7" s="178" t="s">
        <v>2179</v>
      </c>
      <c r="L7" s="178" t="s">
        <v>2180</v>
      </c>
    </row>
    <row r="8" spans="1:22">
      <c r="A8" s="177" t="s">
        <v>1658</v>
      </c>
      <c r="B8" s="178" t="s">
        <v>1492</v>
      </c>
      <c r="C8" s="178" t="s">
        <v>1642</v>
      </c>
      <c r="D8" s="178" t="s">
        <v>98</v>
      </c>
      <c r="E8" s="178" t="s">
        <v>14</v>
      </c>
      <c r="F8" s="455">
        <v>200</v>
      </c>
      <c r="G8" s="178" t="s">
        <v>2171</v>
      </c>
      <c r="I8" s="178" t="s">
        <v>2173</v>
      </c>
      <c r="J8" s="178" t="s">
        <v>2181</v>
      </c>
      <c r="L8" s="178" t="s">
        <v>2182</v>
      </c>
    </row>
    <row r="9" spans="1:22">
      <c r="A9" s="177" t="s">
        <v>1658</v>
      </c>
      <c r="B9" s="178" t="s">
        <v>1492</v>
      </c>
      <c r="C9" s="178" t="s">
        <v>1642</v>
      </c>
      <c r="D9" s="178" t="s">
        <v>98</v>
      </c>
      <c r="E9" s="178" t="s">
        <v>13</v>
      </c>
      <c r="F9" s="455">
        <v>200</v>
      </c>
      <c r="G9" s="178" t="s">
        <v>2171</v>
      </c>
      <c r="I9" s="178" t="s">
        <v>2173</v>
      </c>
      <c r="J9" s="178" t="s">
        <v>2183</v>
      </c>
      <c r="L9" s="178" t="s">
        <v>2184</v>
      </c>
    </row>
    <row r="10" spans="1:22">
      <c r="A10" s="177" t="s">
        <v>1658</v>
      </c>
      <c r="B10" s="178" t="s">
        <v>1492</v>
      </c>
      <c r="C10" s="178" t="s">
        <v>1642</v>
      </c>
      <c r="D10" s="178" t="s">
        <v>98</v>
      </c>
      <c r="E10" s="178" t="s">
        <v>9</v>
      </c>
      <c r="F10" s="455">
        <v>200</v>
      </c>
      <c r="G10" s="178" t="s">
        <v>2171</v>
      </c>
      <c r="I10" s="178" t="s">
        <v>2173</v>
      </c>
      <c r="J10" s="178" t="s">
        <v>2185</v>
      </c>
      <c r="L10" s="178" t="s">
        <v>2186</v>
      </c>
    </row>
    <row r="11" spans="1:22">
      <c r="A11" s="177" t="s">
        <v>1660</v>
      </c>
      <c r="B11" s="178" t="s">
        <v>1492</v>
      </c>
      <c r="C11" s="178" t="s">
        <v>1642</v>
      </c>
      <c r="D11" s="178" t="s">
        <v>24</v>
      </c>
      <c r="E11" s="178" t="s">
        <v>11</v>
      </c>
      <c r="F11" s="455">
        <v>7.0000000000000007E-2</v>
      </c>
      <c r="G11" s="178" t="s">
        <v>2187</v>
      </c>
      <c r="I11" s="178" t="s">
        <v>2173</v>
      </c>
      <c r="J11" s="178" t="s">
        <v>2188</v>
      </c>
      <c r="L11" s="178" t="s">
        <v>2189</v>
      </c>
    </row>
    <row r="12" spans="1:22">
      <c r="A12" s="177" t="s">
        <v>1660</v>
      </c>
      <c r="B12" s="178" t="s">
        <v>1492</v>
      </c>
      <c r="C12" s="178" t="s">
        <v>1642</v>
      </c>
      <c r="D12" s="178" t="s">
        <v>24</v>
      </c>
      <c r="E12" s="178" t="s">
        <v>7</v>
      </c>
      <c r="F12" s="455">
        <v>0.13</v>
      </c>
      <c r="G12" s="178" t="s">
        <v>2187</v>
      </c>
      <c r="H12" s="178" t="s">
        <v>2190</v>
      </c>
      <c r="K12" s="178" t="s">
        <v>9</v>
      </c>
      <c r="L12" s="178" t="s">
        <v>2191</v>
      </c>
      <c r="R12" s="175"/>
      <c r="S12" s="175"/>
      <c r="T12" s="175"/>
      <c r="U12" s="175"/>
      <c r="V12" s="175"/>
    </row>
    <row r="13" spans="1:22" ht="23.25">
      <c r="A13" s="177" t="s">
        <v>1700</v>
      </c>
      <c r="B13" s="178" t="s">
        <v>1492</v>
      </c>
      <c r="C13" s="178" t="s">
        <v>1692</v>
      </c>
      <c r="D13" s="178" t="s">
        <v>95</v>
      </c>
      <c r="E13" s="178" t="s">
        <v>11</v>
      </c>
      <c r="F13" s="455">
        <v>5</v>
      </c>
      <c r="G13" s="178" t="s">
        <v>2171</v>
      </c>
      <c r="H13" s="178" t="s">
        <v>2192</v>
      </c>
      <c r="I13" s="178" t="s">
        <v>2173</v>
      </c>
      <c r="J13" s="178" t="s">
        <v>2193</v>
      </c>
      <c r="L13" s="180" t="s">
        <v>2194</v>
      </c>
    </row>
    <row r="14" spans="1:22" ht="23.25">
      <c r="A14" s="177" t="s">
        <v>1700</v>
      </c>
      <c r="B14" s="178" t="s">
        <v>1492</v>
      </c>
      <c r="C14" s="178" t="s">
        <v>1692</v>
      </c>
      <c r="D14" s="178" t="s">
        <v>95</v>
      </c>
      <c r="E14" s="178" t="s">
        <v>14</v>
      </c>
      <c r="F14" s="455">
        <v>0.2</v>
      </c>
      <c r="G14" s="180" t="s">
        <v>2187</v>
      </c>
      <c r="H14" s="180" t="s">
        <v>2192</v>
      </c>
      <c r="I14" s="180" t="s">
        <v>2173</v>
      </c>
      <c r="J14" s="180" t="s">
        <v>2195</v>
      </c>
      <c r="K14" s="178" t="s">
        <v>85</v>
      </c>
      <c r="L14" s="180" t="s">
        <v>2196</v>
      </c>
    </row>
    <row r="15" spans="1:22">
      <c r="A15" s="177" t="s">
        <v>1700</v>
      </c>
      <c r="B15" s="178" t="s">
        <v>1492</v>
      </c>
      <c r="C15" s="178" t="s">
        <v>1692</v>
      </c>
      <c r="D15" s="178" t="s">
        <v>95</v>
      </c>
      <c r="E15" s="178" t="s">
        <v>2197</v>
      </c>
      <c r="F15" s="455">
        <v>0.15</v>
      </c>
      <c r="G15" s="178" t="s">
        <v>2171</v>
      </c>
      <c r="H15" s="178" t="s">
        <v>2192</v>
      </c>
      <c r="I15" s="178" t="s">
        <v>2173</v>
      </c>
      <c r="J15" s="178" t="s">
        <v>2198</v>
      </c>
      <c r="K15" s="178" t="s">
        <v>81</v>
      </c>
      <c r="L15" s="178" t="s">
        <v>2199</v>
      </c>
    </row>
    <row r="16" spans="1:22" ht="23.25">
      <c r="A16" s="177" t="s">
        <v>1702</v>
      </c>
      <c r="B16" s="178" t="s">
        <v>1492</v>
      </c>
      <c r="C16" s="178" t="s">
        <v>1692</v>
      </c>
      <c r="D16" s="178" t="s">
        <v>22</v>
      </c>
      <c r="E16" s="178" t="s">
        <v>11</v>
      </c>
      <c r="F16" s="455">
        <v>0.18</v>
      </c>
      <c r="G16" s="178" t="s">
        <v>2187</v>
      </c>
      <c r="I16" s="178" t="s">
        <v>2173</v>
      </c>
      <c r="J16" s="178" t="s">
        <v>2193</v>
      </c>
      <c r="L16" s="180" t="s">
        <v>2200</v>
      </c>
    </row>
    <row r="17" spans="1:22">
      <c r="A17" s="177" t="s">
        <v>1708</v>
      </c>
      <c r="B17" s="178" t="s">
        <v>1492</v>
      </c>
      <c r="C17" s="178" t="s">
        <v>1692</v>
      </c>
      <c r="D17" s="178" t="s">
        <v>98</v>
      </c>
      <c r="E17" s="178" t="s">
        <v>11</v>
      </c>
      <c r="F17" s="455">
        <v>7.0000000000000007E-2</v>
      </c>
      <c r="G17" s="178" t="s">
        <v>2187</v>
      </c>
      <c r="I17" s="178" t="s">
        <v>2173</v>
      </c>
      <c r="J17" s="178" t="s">
        <v>2193</v>
      </c>
      <c r="L17" s="178" t="s">
        <v>2201</v>
      </c>
    </row>
    <row r="18" spans="1:22">
      <c r="A18" s="177" t="s">
        <v>1523</v>
      </c>
      <c r="B18" s="178" t="s">
        <v>1492</v>
      </c>
      <c r="C18" s="178" t="s">
        <v>1517</v>
      </c>
      <c r="D18" s="178" t="s">
        <v>19</v>
      </c>
      <c r="E18" s="178" t="s">
        <v>13</v>
      </c>
      <c r="F18" s="455">
        <v>7.0000000000000007E-2</v>
      </c>
      <c r="G18" s="178" t="s">
        <v>2187</v>
      </c>
      <c r="H18" s="178" t="s">
        <v>2190</v>
      </c>
      <c r="K18" s="178" t="s">
        <v>7</v>
      </c>
      <c r="L18" s="178" t="s">
        <v>2202</v>
      </c>
    </row>
    <row r="19" spans="1:22">
      <c r="A19" s="177" t="s">
        <v>1536</v>
      </c>
      <c r="B19" s="178" t="s">
        <v>1492</v>
      </c>
      <c r="C19" s="178" t="s">
        <v>1517</v>
      </c>
      <c r="D19" s="178" t="s">
        <v>24</v>
      </c>
      <c r="E19" s="178" t="s">
        <v>13</v>
      </c>
      <c r="F19" s="455">
        <v>250</v>
      </c>
      <c r="G19" s="178" t="s">
        <v>2171</v>
      </c>
      <c r="I19" s="178" t="s">
        <v>2173</v>
      </c>
      <c r="J19" s="178" t="s">
        <v>2183</v>
      </c>
      <c r="L19" s="178" t="s">
        <v>2203</v>
      </c>
      <c r="O19" s="176"/>
    </row>
    <row r="20" spans="1:22">
      <c r="A20" s="177" t="s">
        <v>1626</v>
      </c>
      <c r="B20" s="178" t="s">
        <v>1492</v>
      </c>
      <c r="C20" s="178" t="s">
        <v>1616</v>
      </c>
      <c r="D20" s="178" t="s">
        <v>95</v>
      </c>
      <c r="E20" s="178" t="s">
        <v>10</v>
      </c>
      <c r="F20" s="455">
        <v>240</v>
      </c>
      <c r="G20" s="178" t="s">
        <v>2171</v>
      </c>
      <c r="L20" s="178" t="s">
        <v>2204</v>
      </c>
      <c r="Q20" s="175"/>
      <c r="R20" s="175"/>
      <c r="S20" s="175"/>
      <c r="T20" s="175"/>
      <c r="U20" s="175"/>
      <c r="V20" s="175"/>
    </row>
    <row r="21" spans="1:22">
      <c r="A21" s="177" t="s">
        <v>1648</v>
      </c>
      <c r="B21" s="178" t="s">
        <v>1492</v>
      </c>
      <c r="C21" s="178" t="s">
        <v>1642</v>
      </c>
      <c r="D21" s="178" t="s">
        <v>19</v>
      </c>
      <c r="E21" s="178" t="s">
        <v>9</v>
      </c>
      <c r="F21" s="455">
        <v>120</v>
      </c>
      <c r="G21" s="178" t="s">
        <v>2171</v>
      </c>
      <c r="I21" s="178" t="s">
        <v>2173</v>
      </c>
      <c r="J21" s="178" t="s">
        <v>2205</v>
      </c>
      <c r="L21" s="178" t="s">
        <v>2206</v>
      </c>
    </row>
    <row r="22" spans="1:22">
      <c r="A22" s="177" t="s">
        <v>1648</v>
      </c>
      <c r="B22" s="178" t="s">
        <v>1492</v>
      </c>
      <c r="C22" s="178" t="s">
        <v>1642</v>
      </c>
      <c r="D22" s="178" t="s">
        <v>19</v>
      </c>
      <c r="E22" s="178" t="s">
        <v>9</v>
      </c>
      <c r="F22" s="455">
        <v>0.05</v>
      </c>
      <c r="G22" s="178" t="s">
        <v>2187</v>
      </c>
      <c r="H22" s="178" t="s">
        <v>2190</v>
      </c>
      <c r="K22" s="178" t="s">
        <v>6</v>
      </c>
      <c r="L22" s="178" t="s">
        <v>2207</v>
      </c>
    </row>
    <row r="23" spans="1:22">
      <c r="A23" s="177" t="s">
        <v>1648</v>
      </c>
      <c r="B23" s="178" t="s">
        <v>1492</v>
      </c>
      <c r="C23" s="178" t="s">
        <v>1642</v>
      </c>
      <c r="D23" s="178" t="s">
        <v>19</v>
      </c>
      <c r="E23" s="178" t="s">
        <v>9</v>
      </c>
      <c r="F23" s="455">
        <v>0.05</v>
      </c>
      <c r="G23" s="178" t="s">
        <v>2187</v>
      </c>
      <c r="H23" s="178" t="s">
        <v>2190</v>
      </c>
      <c r="K23" s="178" t="s">
        <v>11</v>
      </c>
      <c r="L23" s="178" t="s">
        <v>2208</v>
      </c>
    </row>
    <row r="24" spans="1:22">
      <c r="A24" s="177" t="s">
        <v>1507</v>
      </c>
      <c r="B24" s="178" t="s">
        <v>1492</v>
      </c>
      <c r="C24" s="178" t="s">
        <v>1493</v>
      </c>
      <c r="D24" s="178" t="s">
        <v>22</v>
      </c>
      <c r="E24" s="178" t="s">
        <v>6</v>
      </c>
      <c r="F24" s="455">
        <v>150</v>
      </c>
      <c r="G24" s="178" t="s">
        <v>2171</v>
      </c>
      <c r="I24" s="178" t="s">
        <v>2173</v>
      </c>
      <c r="J24" s="178" t="s">
        <v>2209</v>
      </c>
      <c r="L24" s="178" t="s">
        <v>2210</v>
      </c>
    </row>
    <row r="25" spans="1:22">
      <c r="A25" s="177" t="s">
        <v>1528</v>
      </c>
      <c r="B25" s="178" t="s">
        <v>1492</v>
      </c>
      <c r="C25" s="178" t="s">
        <v>1517</v>
      </c>
      <c r="D25" s="178" t="s">
        <v>22</v>
      </c>
      <c r="E25" s="178" t="s">
        <v>13</v>
      </c>
      <c r="F25" s="455">
        <v>180</v>
      </c>
      <c r="G25" s="178" t="s">
        <v>2171</v>
      </c>
      <c r="H25" s="178" t="s">
        <v>2192</v>
      </c>
      <c r="K25" s="178" t="s">
        <v>81</v>
      </c>
      <c r="L25" s="178" t="s">
        <v>2211</v>
      </c>
    </row>
    <row r="26" spans="1:22">
      <c r="A26" s="177" t="s">
        <v>1588</v>
      </c>
      <c r="B26" s="178" t="s">
        <v>1492</v>
      </c>
      <c r="C26" s="178" t="s">
        <v>1566</v>
      </c>
      <c r="D26" s="178" t="s">
        <v>24</v>
      </c>
      <c r="E26" s="178" t="s">
        <v>9</v>
      </c>
      <c r="F26" s="455">
        <v>300</v>
      </c>
      <c r="G26" s="178" t="s">
        <v>2171</v>
      </c>
      <c r="L26" s="178" t="s">
        <v>2212</v>
      </c>
    </row>
    <row r="27" spans="1:22">
      <c r="A27" s="177" t="s">
        <v>1551</v>
      </c>
      <c r="B27" s="178" t="s">
        <v>1492</v>
      </c>
      <c r="C27" s="178" t="s">
        <v>1541</v>
      </c>
      <c r="D27" s="178" t="s">
        <v>22</v>
      </c>
      <c r="E27" s="178" t="s">
        <v>11</v>
      </c>
      <c r="F27" s="455">
        <v>0.1</v>
      </c>
      <c r="G27" s="178" t="s">
        <v>2187</v>
      </c>
      <c r="H27" s="178" t="s">
        <v>2190</v>
      </c>
      <c r="K27" s="178" t="s">
        <v>8</v>
      </c>
      <c r="L27" s="178" t="s">
        <v>2213</v>
      </c>
    </row>
    <row r="28" spans="1:22" ht="23.25">
      <c r="A28" s="177" t="s">
        <v>1652</v>
      </c>
      <c r="B28" s="178" t="s">
        <v>1492</v>
      </c>
      <c r="C28" s="178" t="s">
        <v>1642</v>
      </c>
      <c r="D28" s="178" t="s">
        <v>22</v>
      </c>
      <c r="E28" s="178" t="s">
        <v>11</v>
      </c>
      <c r="F28" s="455">
        <v>0.05</v>
      </c>
      <c r="G28" s="178" t="s">
        <v>2187</v>
      </c>
      <c r="I28" s="178" t="s">
        <v>2173</v>
      </c>
      <c r="J28" s="178" t="s">
        <v>2214</v>
      </c>
      <c r="L28" s="180" t="s">
        <v>2215</v>
      </c>
    </row>
    <row r="29" spans="1:22" ht="23.25">
      <c r="A29" s="177" t="s">
        <v>1652</v>
      </c>
      <c r="B29" s="178" t="s">
        <v>1492</v>
      </c>
      <c r="C29" s="178" t="s">
        <v>1642</v>
      </c>
      <c r="D29" s="178" t="s">
        <v>22</v>
      </c>
      <c r="E29" s="178" t="s">
        <v>86</v>
      </c>
      <c r="F29" s="455">
        <v>0.2</v>
      </c>
      <c r="G29" s="178" t="s">
        <v>2171</v>
      </c>
      <c r="I29" s="178" t="s">
        <v>2173</v>
      </c>
      <c r="J29" s="178" t="s">
        <v>2214</v>
      </c>
      <c r="L29" s="180" t="s">
        <v>2216</v>
      </c>
    </row>
    <row r="30" spans="1:22">
      <c r="A30" s="177" t="s">
        <v>1155</v>
      </c>
      <c r="B30" s="178" t="s">
        <v>1492</v>
      </c>
      <c r="C30" s="178" t="s">
        <v>1517</v>
      </c>
      <c r="D30" s="178" t="s">
        <v>94</v>
      </c>
      <c r="E30" s="178" t="s">
        <v>2197</v>
      </c>
      <c r="F30" s="455">
        <v>0.05</v>
      </c>
      <c r="G30" s="178" t="s">
        <v>2171</v>
      </c>
      <c r="L30" s="178" t="s">
        <v>2217</v>
      </c>
    </row>
    <row r="31" spans="1:22">
      <c r="A31" s="177" t="s">
        <v>953</v>
      </c>
      <c r="B31" s="178" t="s">
        <v>3</v>
      </c>
      <c r="C31" s="178" t="s">
        <v>929</v>
      </c>
      <c r="D31" s="178" t="s">
        <v>24</v>
      </c>
      <c r="E31" s="178" t="s">
        <v>6</v>
      </c>
      <c r="F31" s="455">
        <v>30</v>
      </c>
      <c r="G31" s="178" t="s">
        <v>2171</v>
      </c>
      <c r="H31" s="178" t="s">
        <v>2192</v>
      </c>
      <c r="K31" s="178" t="s">
        <v>79</v>
      </c>
      <c r="L31" s="178" t="s">
        <v>2218</v>
      </c>
    </row>
    <row r="32" spans="1:22">
      <c r="A32" s="177" t="s">
        <v>819</v>
      </c>
      <c r="B32" s="180" t="s">
        <v>3</v>
      </c>
      <c r="C32" s="178" t="s">
        <v>805</v>
      </c>
      <c r="D32" s="178" t="s">
        <v>22</v>
      </c>
      <c r="E32" s="178" t="s">
        <v>9</v>
      </c>
      <c r="F32" s="455">
        <v>0.1</v>
      </c>
      <c r="G32" s="178" t="s">
        <v>2187</v>
      </c>
      <c r="H32" s="178" t="s">
        <v>2190</v>
      </c>
      <c r="K32" s="178" t="s">
        <v>6</v>
      </c>
      <c r="L32" s="178" t="s">
        <v>2219</v>
      </c>
    </row>
    <row r="33" spans="1:23">
      <c r="A33" s="177" t="s">
        <v>832</v>
      </c>
      <c r="B33" s="178" t="s">
        <v>3</v>
      </c>
      <c r="C33" s="178" t="s">
        <v>830</v>
      </c>
      <c r="D33" s="178" t="s">
        <v>19</v>
      </c>
      <c r="E33" s="178" t="s">
        <v>11</v>
      </c>
      <c r="F33" s="455">
        <v>120</v>
      </c>
      <c r="G33" s="178" t="s">
        <v>2171</v>
      </c>
      <c r="L33" s="178" t="s">
        <v>2220</v>
      </c>
    </row>
    <row r="34" spans="1:23">
      <c r="A34" s="177" t="s">
        <v>832</v>
      </c>
      <c r="B34" s="178" t="s">
        <v>3</v>
      </c>
      <c r="C34" s="178" t="s">
        <v>830</v>
      </c>
      <c r="D34" s="178" t="s">
        <v>19</v>
      </c>
      <c r="E34" s="178" t="s">
        <v>86</v>
      </c>
      <c r="F34" s="455">
        <v>0.33</v>
      </c>
      <c r="G34" s="178" t="s">
        <v>2171</v>
      </c>
      <c r="I34" s="178" t="s">
        <v>2173</v>
      </c>
      <c r="J34" s="178" t="s">
        <v>2221</v>
      </c>
      <c r="L34" s="178" t="s">
        <v>2222</v>
      </c>
    </row>
    <row r="35" spans="1:23">
      <c r="A35" s="177" t="s">
        <v>895</v>
      </c>
      <c r="B35" s="178" t="s">
        <v>3</v>
      </c>
      <c r="C35" s="178" t="s">
        <v>879</v>
      </c>
      <c r="D35" s="178" t="s">
        <v>98</v>
      </c>
      <c r="E35" s="178" t="s">
        <v>10</v>
      </c>
      <c r="F35" s="455">
        <v>240</v>
      </c>
      <c r="G35" s="178" t="s">
        <v>2171</v>
      </c>
      <c r="L35" s="178" t="s">
        <v>2204</v>
      </c>
    </row>
    <row r="36" spans="1:23">
      <c r="A36" s="177" t="s">
        <v>870</v>
      </c>
      <c r="B36" s="178" t="s">
        <v>3</v>
      </c>
      <c r="C36" s="178" t="s">
        <v>855</v>
      </c>
      <c r="D36" s="178" t="s">
        <v>98</v>
      </c>
      <c r="E36" s="178" t="s">
        <v>6</v>
      </c>
      <c r="F36" s="455">
        <v>250</v>
      </c>
      <c r="G36" s="178" t="s">
        <v>2171</v>
      </c>
      <c r="H36" s="178" t="s">
        <v>2192</v>
      </c>
      <c r="K36" s="178" t="s">
        <v>85</v>
      </c>
      <c r="L36" s="178" t="s">
        <v>2223</v>
      </c>
    </row>
    <row r="37" spans="1:23">
      <c r="A37" s="177" t="s">
        <v>870</v>
      </c>
      <c r="B37" s="178" t="s">
        <v>3</v>
      </c>
      <c r="C37" s="178" t="s">
        <v>855</v>
      </c>
      <c r="D37" s="178" t="s">
        <v>98</v>
      </c>
      <c r="E37" s="178" t="s">
        <v>14</v>
      </c>
      <c r="F37" s="455">
        <v>250</v>
      </c>
      <c r="G37" s="178" t="s">
        <v>2171</v>
      </c>
      <c r="H37" s="178" t="s">
        <v>2192</v>
      </c>
      <c r="K37" s="178" t="s">
        <v>85</v>
      </c>
      <c r="L37" s="178" t="s">
        <v>2224</v>
      </c>
    </row>
    <row r="38" spans="1:23">
      <c r="A38" s="177" t="s">
        <v>817</v>
      </c>
      <c r="B38" s="178" t="s">
        <v>3</v>
      </c>
      <c r="C38" s="178" t="s">
        <v>805</v>
      </c>
      <c r="D38" s="178" t="s">
        <v>22</v>
      </c>
      <c r="E38" s="178" t="s">
        <v>13</v>
      </c>
      <c r="F38" s="455">
        <v>20</v>
      </c>
      <c r="G38" s="178" t="s">
        <v>2171</v>
      </c>
      <c r="H38" s="178" t="s">
        <v>2225</v>
      </c>
      <c r="I38" s="178" t="s">
        <v>2173</v>
      </c>
      <c r="J38" s="178" t="s">
        <v>2226</v>
      </c>
      <c r="L38" s="178" t="s">
        <v>2227</v>
      </c>
      <c r="M38" s="179">
        <v>10</v>
      </c>
    </row>
    <row r="39" spans="1:23">
      <c r="A39" s="177" t="s">
        <v>823</v>
      </c>
      <c r="B39" s="178" t="s">
        <v>3</v>
      </c>
      <c r="C39" s="178" t="s">
        <v>805</v>
      </c>
      <c r="D39" s="178" t="s">
        <v>24</v>
      </c>
      <c r="E39" s="178" t="s">
        <v>2197</v>
      </c>
      <c r="F39" s="455">
        <v>0.1</v>
      </c>
      <c r="G39" s="178" t="s">
        <v>2171</v>
      </c>
      <c r="I39" s="178" t="s">
        <v>2173</v>
      </c>
      <c r="J39" s="178" t="s">
        <v>2228</v>
      </c>
      <c r="L39" s="181" t="s">
        <v>2229</v>
      </c>
    </row>
    <row r="40" spans="1:23">
      <c r="A40" s="177" t="s">
        <v>885</v>
      </c>
      <c r="B40" s="178" t="s">
        <v>3</v>
      </c>
      <c r="C40" s="178" t="s">
        <v>879</v>
      </c>
      <c r="D40" s="178" t="s">
        <v>19</v>
      </c>
      <c r="E40" s="178" t="s">
        <v>14</v>
      </c>
      <c r="F40" s="455">
        <v>0.2</v>
      </c>
      <c r="G40" s="178" t="s">
        <v>2187</v>
      </c>
      <c r="I40" s="178" t="s">
        <v>2173</v>
      </c>
      <c r="J40" s="178" t="s">
        <v>2230</v>
      </c>
      <c r="L40" s="178" t="s">
        <v>2231</v>
      </c>
    </row>
    <row r="41" spans="1:23">
      <c r="A41" s="177" t="s">
        <v>838</v>
      </c>
      <c r="B41" s="180" t="s">
        <v>3</v>
      </c>
      <c r="C41" s="178" t="s">
        <v>830</v>
      </c>
      <c r="D41" s="178" t="s">
        <v>95</v>
      </c>
      <c r="E41" s="178" t="s">
        <v>2232</v>
      </c>
      <c r="F41" s="455">
        <v>0.15</v>
      </c>
      <c r="G41" s="178" t="s">
        <v>2171</v>
      </c>
      <c r="H41" s="178" t="s">
        <v>2192</v>
      </c>
      <c r="K41" s="178" t="s">
        <v>81</v>
      </c>
      <c r="L41" s="178" t="s">
        <v>2233</v>
      </c>
    </row>
    <row r="42" spans="1:23">
      <c r="A42" s="177" t="s">
        <v>836</v>
      </c>
      <c r="B42" s="178" t="s">
        <v>3</v>
      </c>
      <c r="C42" s="178" t="s">
        <v>830</v>
      </c>
      <c r="D42" s="178" t="s">
        <v>19</v>
      </c>
      <c r="E42" s="178" t="s">
        <v>2197</v>
      </c>
      <c r="F42" s="455">
        <v>0.15</v>
      </c>
      <c r="G42" s="178" t="s">
        <v>2171</v>
      </c>
      <c r="I42" s="178" t="s">
        <v>2173</v>
      </c>
      <c r="J42" s="178" t="s">
        <v>2234</v>
      </c>
      <c r="L42" s="178" t="s">
        <v>2235</v>
      </c>
    </row>
    <row r="43" spans="1:23">
      <c r="A43" s="177" t="s">
        <v>1017</v>
      </c>
      <c r="B43" s="178" t="s">
        <v>3</v>
      </c>
      <c r="C43" s="178" t="s">
        <v>1009</v>
      </c>
      <c r="D43" s="178" t="s">
        <v>95</v>
      </c>
      <c r="E43" s="178" t="s">
        <v>9</v>
      </c>
      <c r="F43" s="455">
        <v>240</v>
      </c>
      <c r="G43" s="178" t="s">
        <v>2171</v>
      </c>
      <c r="L43" s="178" t="s">
        <v>2236</v>
      </c>
    </row>
    <row r="44" spans="1:23">
      <c r="A44" s="177" t="s">
        <v>844</v>
      </c>
      <c r="B44" s="178" t="s">
        <v>3</v>
      </c>
      <c r="C44" s="178" t="s">
        <v>830</v>
      </c>
      <c r="D44" s="178" t="s">
        <v>22</v>
      </c>
      <c r="E44" s="178" t="s">
        <v>13</v>
      </c>
      <c r="F44" s="455">
        <v>150</v>
      </c>
      <c r="G44" s="178" t="s">
        <v>2171</v>
      </c>
      <c r="H44" s="178" t="s">
        <v>2192</v>
      </c>
      <c r="K44" s="178" t="s">
        <v>81</v>
      </c>
      <c r="L44" s="178" t="s">
        <v>2237</v>
      </c>
      <c r="R44" s="174"/>
      <c r="S44" s="174"/>
      <c r="T44" s="174"/>
      <c r="U44" s="174"/>
      <c r="V44" s="174"/>
      <c r="W44" s="174"/>
    </row>
    <row r="45" spans="1:23">
      <c r="A45" s="177" t="s">
        <v>842</v>
      </c>
      <c r="B45" s="178" t="s">
        <v>3</v>
      </c>
      <c r="C45" s="178" t="s">
        <v>830</v>
      </c>
      <c r="D45" s="178" t="s">
        <v>22</v>
      </c>
      <c r="E45" s="178" t="s">
        <v>12</v>
      </c>
      <c r="F45" s="455">
        <v>150</v>
      </c>
      <c r="G45" s="178" t="s">
        <v>2171</v>
      </c>
      <c r="L45" s="178" t="s">
        <v>2238</v>
      </c>
      <c r="R45" s="174"/>
      <c r="T45" s="174"/>
      <c r="U45" s="174" t="str" cm="1">
        <f t="array" ref="U45">_xlfn._xlws.FILTER($A$2:$A$29,($C$2:$C$29='Trait Filters &amp; Checks'!$A$3) * ($D$2:$D$29=U$43),"")</f>
        <v/>
      </c>
      <c r="V45" s="174"/>
      <c r="W45" s="174" t="str" cm="1">
        <f t="array" ref="W45">_xlfn._xlws.FILTER($A$2:$A$29,($C$2:$C$29='Trait Filters &amp; Checks'!$A$3) * ($D$2:$D$29=W$43),"")</f>
        <v/>
      </c>
    </row>
    <row r="46" spans="1:23">
      <c r="A46" s="177" t="s">
        <v>842</v>
      </c>
      <c r="B46" s="178" t="s">
        <v>3</v>
      </c>
      <c r="C46" s="178" t="s">
        <v>830</v>
      </c>
      <c r="D46" s="178" t="s">
        <v>22</v>
      </c>
      <c r="E46" s="178" t="s">
        <v>11</v>
      </c>
      <c r="F46" s="455">
        <v>0.05</v>
      </c>
      <c r="G46" s="178" t="s">
        <v>2187</v>
      </c>
      <c r="I46" s="178" t="s">
        <v>2173</v>
      </c>
      <c r="J46" s="178" t="s">
        <v>2239</v>
      </c>
      <c r="L46" s="178" t="s">
        <v>2240</v>
      </c>
    </row>
    <row r="47" spans="1:23">
      <c r="A47" s="177" t="s">
        <v>300</v>
      </c>
      <c r="B47" s="178" t="s">
        <v>109</v>
      </c>
      <c r="C47" s="178" t="s">
        <v>292</v>
      </c>
      <c r="D47" s="178" t="s">
        <v>19</v>
      </c>
      <c r="E47" s="178" t="s">
        <v>9</v>
      </c>
      <c r="F47" s="455">
        <v>120</v>
      </c>
      <c r="G47" s="178" t="s">
        <v>2171</v>
      </c>
      <c r="L47" s="178" t="s">
        <v>2241</v>
      </c>
    </row>
    <row r="48" spans="1:23">
      <c r="A48" s="177" t="s">
        <v>248</v>
      </c>
      <c r="B48" s="178" t="s">
        <v>109</v>
      </c>
      <c r="C48" s="178" t="s">
        <v>237</v>
      </c>
      <c r="D48" s="178" t="s">
        <v>95</v>
      </c>
      <c r="E48" s="178" t="s">
        <v>9</v>
      </c>
      <c r="F48" s="455">
        <v>180</v>
      </c>
      <c r="G48" s="178" t="s">
        <v>2171</v>
      </c>
      <c r="L48" s="178" t="s">
        <v>2242</v>
      </c>
    </row>
    <row r="49" spans="1:12">
      <c r="A49" s="177" t="s">
        <v>209</v>
      </c>
      <c r="B49" s="178" t="s">
        <v>109</v>
      </c>
      <c r="C49" s="178" t="s">
        <v>187</v>
      </c>
      <c r="D49" s="178" t="s">
        <v>24</v>
      </c>
      <c r="E49" s="178" t="s">
        <v>9</v>
      </c>
      <c r="F49" s="455">
        <v>300</v>
      </c>
      <c r="G49" s="178" t="s">
        <v>2171</v>
      </c>
      <c r="L49" s="178" t="s">
        <v>2212</v>
      </c>
    </row>
    <row r="50" spans="1:12">
      <c r="A50" s="177" t="s">
        <v>197</v>
      </c>
      <c r="B50" s="178" t="s">
        <v>109</v>
      </c>
      <c r="C50" s="178" t="s">
        <v>187</v>
      </c>
      <c r="D50" s="178" t="s">
        <v>22</v>
      </c>
      <c r="E50" s="178" t="s">
        <v>10</v>
      </c>
      <c r="F50" s="455">
        <v>120</v>
      </c>
      <c r="G50" s="178" t="s">
        <v>2171</v>
      </c>
      <c r="L50" s="178" t="s">
        <v>2243</v>
      </c>
    </row>
    <row r="51" spans="1:12">
      <c r="A51" s="177" t="s">
        <v>283</v>
      </c>
      <c r="B51" s="178" t="s">
        <v>109</v>
      </c>
      <c r="C51" s="178" t="s">
        <v>265</v>
      </c>
      <c r="D51" s="178" t="s">
        <v>98</v>
      </c>
      <c r="E51" s="178" t="s">
        <v>11</v>
      </c>
      <c r="F51" s="455">
        <v>250</v>
      </c>
      <c r="G51" s="178" t="s">
        <v>2171</v>
      </c>
      <c r="H51" s="178" t="s">
        <v>2192</v>
      </c>
      <c r="K51" s="178" t="s">
        <v>83</v>
      </c>
      <c r="L51" s="178" t="s">
        <v>2244</v>
      </c>
    </row>
    <row r="52" spans="1:12">
      <c r="A52" s="177" t="s">
        <v>283</v>
      </c>
      <c r="B52" s="178" t="s">
        <v>109</v>
      </c>
      <c r="C52" s="178" t="s">
        <v>265</v>
      </c>
      <c r="D52" s="178" t="s">
        <v>98</v>
      </c>
      <c r="E52" s="178" t="s">
        <v>14</v>
      </c>
      <c r="F52" s="455">
        <v>250</v>
      </c>
      <c r="G52" s="178" t="s">
        <v>2171</v>
      </c>
      <c r="H52" s="178" t="s">
        <v>2192</v>
      </c>
      <c r="K52" s="178" t="s">
        <v>83</v>
      </c>
      <c r="L52" s="178" t="s">
        <v>2245</v>
      </c>
    </row>
    <row r="53" spans="1:12">
      <c r="A53" s="177" t="s">
        <v>283</v>
      </c>
      <c r="B53" s="178" t="s">
        <v>109</v>
      </c>
      <c r="C53" s="178" t="s">
        <v>265</v>
      </c>
      <c r="D53" s="178" t="s">
        <v>98</v>
      </c>
      <c r="E53" s="178" t="s">
        <v>9</v>
      </c>
      <c r="F53" s="455">
        <v>250</v>
      </c>
      <c r="G53" s="178" t="s">
        <v>2171</v>
      </c>
      <c r="H53" s="178" t="s">
        <v>2192</v>
      </c>
      <c r="K53" s="178" t="s">
        <v>83</v>
      </c>
      <c r="L53" s="178" t="s">
        <v>2246</v>
      </c>
    </row>
    <row r="54" spans="1:12">
      <c r="A54" s="177" t="s">
        <v>126</v>
      </c>
      <c r="B54" s="178" t="s">
        <v>109</v>
      </c>
      <c r="C54" s="178" t="s">
        <v>110</v>
      </c>
      <c r="D54" s="178" t="s">
        <v>22</v>
      </c>
      <c r="E54" s="178" t="s">
        <v>11</v>
      </c>
      <c r="F54" s="455">
        <v>0.1</v>
      </c>
      <c r="G54" s="178" t="s">
        <v>2187</v>
      </c>
      <c r="H54" s="178" t="s">
        <v>2190</v>
      </c>
      <c r="K54" s="178" t="str">
        <f>_xlfn.TEXTAFTER(TraitStatsTable[[#This Row],[Note]], " ", -1)</f>
        <v>Power</v>
      </c>
      <c r="L54" s="178" t="s">
        <v>2247</v>
      </c>
    </row>
    <row r="55" spans="1:12">
      <c r="A55" s="177" t="s">
        <v>326</v>
      </c>
      <c r="B55" s="178" t="s">
        <v>109</v>
      </c>
      <c r="C55" s="178" t="s">
        <v>318</v>
      </c>
      <c r="D55" s="178" t="s">
        <v>95</v>
      </c>
      <c r="E55" s="178" t="s">
        <v>9</v>
      </c>
      <c r="F55" s="455">
        <v>180</v>
      </c>
      <c r="G55" s="178" t="s">
        <v>2171</v>
      </c>
      <c r="L55" s="178" t="s">
        <v>2242</v>
      </c>
    </row>
    <row r="56" spans="1:12">
      <c r="A56" s="177" t="s">
        <v>298</v>
      </c>
      <c r="B56" s="178" t="s">
        <v>109</v>
      </c>
      <c r="D56" s="178" t="s">
        <v>19</v>
      </c>
      <c r="E56" s="178" t="s">
        <v>6</v>
      </c>
      <c r="F56" s="455">
        <v>120</v>
      </c>
      <c r="G56" s="178" t="s">
        <v>2171</v>
      </c>
      <c r="L56" s="178" t="s">
        <v>2248</v>
      </c>
    </row>
    <row r="57" spans="1:12">
      <c r="A57" s="177" t="s">
        <v>228</v>
      </c>
      <c r="B57" s="178" t="s">
        <v>109</v>
      </c>
      <c r="C57" s="178" t="s">
        <v>212</v>
      </c>
      <c r="D57" s="178" t="s">
        <v>98</v>
      </c>
      <c r="E57" s="178" t="s">
        <v>11</v>
      </c>
      <c r="F57" s="455">
        <v>7.0000000000000007E-2</v>
      </c>
      <c r="G57" s="178" t="s">
        <v>2187</v>
      </c>
      <c r="H57" s="178" t="s">
        <v>2190</v>
      </c>
      <c r="K57" s="178" t="str">
        <f>_xlfn.TEXTAFTER(TraitStatsTable[[#This Row],[Note]], " ", -1)</f>
        <v>Vitality</v>
      </c>
      <c r="L57" s="178" t="s">
        <v>2249</v>
      </c>
    </row>
    <row r="58" spans="1:12">
      <c r="A58" s="177" t="s">
        <v>153</v>
      </c>
      <c r="B58" s="178" t="s">
        <v>109</v>
      </c>
      <c r="C58" s="178" t="s">
        <v>137</v>
      </c>
      <c r="D58" s="178" t="s">
        <v>98</v>
      </c>
      <c r="E58" s="178" t="s">
        <v>13</v>
      </c>
      <c r="F58" s="455">
        <v>150</v>
      </c>
      <c r="G58" s="178" t="s">
        <v>2171</v>
      </c>
      <c r="L58" s="178" t="s">
        <v>2172</v>
      </c>
    </row>
    <row r="59" spans="1:12">
      <c r="A59" s="177" t="s">
        <v>141</v>
      </c>
      <c r="B59" s="178" t="s">
        <v>109</v>
      </c>
      <c r="C59" s="178" t="s">
        <v>137</v>
      </c>
      <c r="D59" s="178" t="s">
        <v>19</v>
      </c>
      <c r="E59" s="178" t="s">
        <v>7</v>
      </c>
      <c r="F59" s="455">
        <v>80</v>
      </c>
      <c r="G59" s="178" t="s">
        <v>2171</v>
      </c>
      <c r="L59" s="178" t="s">
        <v>2250</v>
      </c>
    </row>
    <row r="60" spans="1:12">
      <c r="A60" s="177" t="s">
        <v>141</v>
      </c>
      <c r="B60" s="178" t="s">
        <v>109</v>
      </c>
      <c r="C60" s="178" t="s">
        <v>137</v>
      </c>
      <c r="D60" s="178" t="s">
        <v>19</v>
      </c>
      <c r="E60" s="178" t="s">
        <v>6</v>
      </c>
      <c r="F60" s="455">
        <v>80</v>
      </c>
      <c r="G60" s="178" t="s">
        <v>2171</v>
      </c>
      <c r="I60" s="178" t="s">
        <v>2173</v>
      </c>
      <c r="J60" s="178" t="s">
        <v>2251</v>
      </c>
      <c r="L60" s="178" t="s">
        <v>2252</v>
      </c>
    </row>
    <row r="61" spans="1:12">
      <c r="A61" s="177" t="s">
        <v>296</v>
      </c>
      <c r="B61" s="178" t="s">
        <v>109</v>
      </c>
      <c r="C61" s="178" t="s">
        <v>292</v>
      </c>
      <c r="D61" s="178" t="s">
        <v>19</v>
      </c>
      <c r="E61" s="178" t="s">
        <v>11</v>
      </c>
      <c r="F61" s="455">
        <v>120</v>
      </c>
      <c r="G61" s="178" t="s">
        <v>2171</v>
      </c>
      <c r="L61" s="178" t="s">
        <v>2220</v>
      </c>
    </row>
    <row r="62" spans="1:12">
      <c r="A62" s="177" t="s">
        <v>172</v>
      </c>
      <c r="B62" s="178" t="s">
        <v>109</v>
      </c>
      <c r="C62" s="178" t="s">
        <v>162</v>
      </c>
      <c r="D62" s="178" t="s">
        <v>22</v>
      </c>
      <c r="E62" s="178" t="s">
        <v>8</v>
      </c>
      <c r="F62" s="455">
        <v>240</v>
      </c>
      <c r="G62" s="178" t="s">
        <v>2171</v>
      </c>
      <c r="I62" s="178" t="s">
        <v>2173</v>
      </c>
      <c r="J62" s="178" t="s">
        <v>2253</v>
      </c>
      <c r="L62" s="178" t="s">
        <v>2254</v>
      </c>
    </row>
    <row r="63" spans="1:12">
      <c r="A63" s="177" t="s">
        <v>124</v>
      </c>
      <c r="B63" s="178" t="s">
        <v>109</v>
      </c>
      <c r="C63" s="178" t="s">
        <v>110</v>
      </c>
      <c r="D63" s="178" t="s">
        <v>22</v>
      </c>
      <c r="E63" s="178" t="s">
        <v>6</v>
      </c>
      <c r="F63" s="455">
        <v>120</v>
      </c>
      <c r="G63" s="178" t="s">
        <v>2171</v>
      </c>
      <c r="L63" s="178" t="s">
        <v>2248</v>
      </c>
    </row>
    <row r="64" spans="1:12">
      <c r="A64" s="177" t="s">
        <v>124</v>
      </c>
      <c r="B64" s="178" t="s">
        <v>109</v>
      </c>
      <c r="C64" s="178" t="s">
        <v>110</v>
      </c>
      <c r="D64" s="178" t="s">
        <v>22</v>
      </c>
      <c r="E64" s="178" t="s">
        <v>6</v>
      </c>
      <c r="F64" s="455">
        <v>120</v>
      </c>
      <c r="G64" s="178" t="s">
        <v>2171</v>
      </c>
      <c r="I64" s="178" t="s">
        <v>2173</v>
      </c>
      <c r="J64" s="178" t="s">
        <v>2255</v>
      </c>
      <c r="L64" s="178" t="s">
        <v>2256</v>
      </c>
    </row>
    <row r="65" spans="1:13">
      <c r="A65" s="177" t="s">
        <v>1780</v>
      </c>
      <c r="B65" s="178" t="s">
        <v>1717</v>
      </c>
      <c r="C65" s="178" t="s">
        <v>1765</v>
      </c>
      <c r="D65" s="178" t="s">
        <v>98</v>
      </c>
      <c r="E65" s="178" t="s">
        <v>10</v>
      </c>
      <c r="F65" s="455">
        <v>250</v>
      </c>
      <c r="G65" s="178" t="s">
        <v>2171</v>
      </c>
      <c r="H65" s="182" t="s">
        <v>2192</v>
      </c>
      <c r="I65" s="182"/>
      <c r="J65" s="182"/>
      <c r="K65" s="178" t="s">
        <v>85</v>
      </c>
      <c r="L65" s="178" t="s">
        <v>2257</v>
      </c>
    </row>
    <row r="66" spans="1:13">
      <c r="A66" s="177" t="s">
        <v>1780</v>
      </c>
      <c r="B66" s="178" t="s">
        <v>1717</v>
      </c>
      <c r="C66" s="178" t="s">
        <v>1765</v>
      </c>
      <c r="D66" s="178" t="s">
        <v>98</v>
      </c>
      <c r="E66" s="178" t="s">
        <v>12</v>
      </c>
      <c r="F66" s="455">
        <v>100</v>
      </c>
      <c r="G66" s="178" t="s">
        <v>2171</v>
      </c>
      <c r="H66" s="182" t="s">
        <v>2192</v>
      </c>
      <c r="I66" s="182"/>
      <c r="J66" s="182"/>
      <c r="K66" s="178" t="s">
        <v>85</v>
      </c>
      <c r="L66" s="178" t="s">
        <v>2258</v>
      </c>
    </row>
    <row r="67" spans="1:13">
      <c r="A67" s="177" t="s">
        <v>1778</v>
      </c>
      <c r="B67" s="178" t="s">
        <v>1717</v>
      </c>
      <c r="C67" s="178" t="s">
        <v>1765</v>
      </c>
      <c r="D67" s="178" t="s">
        <v>22</v>
      </c>
      <c r="E67" s="178" t="s">
        <v>11</v>
      </c>
      <c r="F67" s="455">
        <v>120</v>
      </c>
      <c r="G67" s="178" t="s">
        <v>2171</v>
      </c>
      <c r="L67" s="178" t="s">
        <v>2220</v>
      </c>
    </row>
    <row r="68" spans="1:13">
      <c r="A68" s="177" t="s">
        <v>1778</v>
      </c>
      <c r="B68" s="178" t="s">
        <v>1717</v>
      </c>
      <c r="C68" s="178" t="s">
        <v>1765</v>
      </c>
      <c r="D68" s="178" t="s">
        <v>22</v>
      </c>
      <c r="E68" s="178" t="s">
        <v>11</v>
      </c>
      <c r="F68" s="455">
        <v>120</v>
      </c>
      <c r="G68" s="178" t="s">
        <v>2171</v>
      </c>
      <c r="I68" s="178" t="s">
        <v>2173</v>
      </c>
      <c r="J68" s="178" t="s">
        <v>2259</v>
      </c>
      <c r="L68" s="178" t="s">
        <v>2260</v>
      </c>
    </row>
    <row r="69" spans="1:13">
      <c r="A69" s="177" t="s">
        <v>1818</v>
      </c>
      <c r="B69" s="178" t="s">
        <v>1717</v>
      </c>
      <c r="C69" s="178" t="s">
        <v>17</v>
      </c>
      <c r="D69" s="178" t="s">
        <v>95</v>
      </c>
      <c r="E69" s="178" t="s">
        <v>11</v>
      </c>
      <c r="F69" s="455">
        <v>0.02</v>
      </c>
      <c r="G69" s="178" t="s">
        <v>2187</v>
      </c>
      <c r="H69" s="178" t="s">
        <v>2225</v>
      </c>
      <c r="I69" s="178" t="s">
        <v>2173</v>
      </c>
      <c r="J69" s="178" t="s">
        <v>96</v>
      </c>
      <c r="L69" s="178" t="s">
        <v>2261</v>
      </c>
      <c r="M69" s="179">
        <v>5</v>
      </c>
    </row>
    <row r="70" spans="1:13">
      <c r="A70" s="177" t="s">
        <v>1846</v>
      </c>
      <c r="B70" s="178" t="s">
        <v>1717</v>
      </c>
      <c r="C70" s="178" t="s">
        <v>1834</v>
      </c>
      <c r="D70" s="178" t="s">
        <v>22</v>
      </c>
      <c r="E70" s="178" t="s">
        <v>2197</v>
      </c>
      <c r="F70" s="455">
        <v>0.15</v>
      </c>
      <c r="G70" s="178" t="s">
        <v>2171</v>
      </c>
      <c r="I70" s="178" t="s">
        <v>2173</v>
      </c>
      <c r="J70" s="178" t="s">
        <v>2262</v>
      </c>
      <c r="L70" s="178" t="s">
        <v>2263</v>
      </c>
    </row>
    <row r="71" spans="1:13">
      <c r="A71" s="177" t="s">
        <v>1896</v>
      </c>
      <c r="B71" s="178" t="s">
        <v>1717</v>
      </c>
      <c r="C71" s="178" t="s">
        <v>1886</v>
      </c>
      <c r="D71" s="178" t="s">
        <v>95</v>
      </c>
      <c r="E71" s="178" t="s">
        <v>11</v>
      </c>
      <c r="F71" s="455">
        <v>0.05</v>
      </c>
      <c r="G71" s="178" t="s">
        <v>2187</v>
      </c>
      <c r="I71" s="178" t="s">
        <v>2173</v>
      </c>
      <c r="J71" s="178" t="s">
        <v>2264</v>
      </c>
      <c r="L71" s="178" t="s">
        <v>2265</v>
      </c>
    </row>
    <row r="72" spans="1:13" ht="23.25">
      <c r="A72" s="177" t="s">
        <v>1755</v>
      </c>
      <c r="B72" s="178" t="s">
        <v>1717</v>
      </c>
      <c r="C72" s="178" t="s">
        <v>1742</v>
      </c>
      <c r="D72" s="178" t="s">
        <v>22</v>
      </c>
      <c r="E72" s="178" t="s">
        <v>13</v>
      </c>
      <c r="F72" s="455">
        <v>15</v>
      </c>
      <c r="G72" s="178" t="s">
        <v>2171</v>
      </c>
      <c r="H72" s="178" t="s">
        <v>2225</v>
      </c>
      <c r="I72" s="178" t="s">
        <v>2173</v>
      </c>
      <c r="J72" s="180" t="s">
        <v>2266</v>
      </c>
      <c r="L72" s="180" t="s">
        <v>2267</v>
      </c>
      <c r="M72" s="179">
        <v>10</v>
      </c>
    </row>
    <row r="73" spans="1:13">
      <c r="A73" s="177" t="s">
        <v>1844</v>
      </c>
      <c r="B73" s="178" t="s">
        <v>1717</v>
      </c>
      <c r="C73" s="178" t="s">
        <v>1834</v>
      </c>
      <c r="D73" s="178" t="s">
        <v>95</v>
      </c>
      <c r="E73" s="178" t="s">
        <v>2197</v>
      </c>
      <c r="F73" s="455">
        <v>0.15</v>
      </c>
      <c r="G73" s="178" t="s">
        <v>2171</v>
      </c>
      <c r="H73" s="178" t="s">
        <v>2192</v>
      </c>
      <c r="K73" s="178" t="s">
        <v>88</v>
      </c>
      <c r="L73" s="178" t="s">
        <v>2268</v>
      </c>
    </row>
    <row r="74" spans="1:13">
      <c r="A74" s="177" t="s">
        <v>1930</v>
      </c>
      <c r="B74" s="178" t="s">
        <v>1717</v>
      </c>
      <c r="C74" s="178" t="s">
        <v>34</v>
      </c>
      <c r="D74" s="178" t="s">
        <v>24</v>
      </c>
      <c r="E74" s="178" t="s">
        <v>2269</v>
      </c>
      <c r="F74" s="455">
        <v>0.04</v>
      </c>
      <c r="G74" s="178" t="s">
        <v>2187</v>
      </c>
      <c r="H74" s="178" t="s">
        <v>2225</v>
      </c>
      <c r="I74" s="178" t="s">
        <v>2173</v>
      </c>
      <c r="J74" s="178" t="s">
        <v>99</v>
      </c>
      <c r="L74" s="178" t="s">
        <v>2270</v>
      </c>
      <c r="M74" s="179">
        <v>4</v>
      </c>
    </row>
    <row r="75" spans="1:13">
      <c r="A75" s="177" t="s">
        <v>1772</v>
      </c>
      <c r="B75" s="178" t="s">
        <v>1717</v>
      </c>
      <c r="C75" s="178" t="s">
        <v>1765</v>
      </c>
      <c r="D75" s="178" t="s">
        <v>95</v>
      </c>
      <c r="E75" s="178" t="s">
        <v>11</v>
      </c>
      <c r="F75" s="455">
        <v>7.0000000000000007E-2</v>
      </c>
      <c r="G75" s="178" t="s">
        <v>2187</v>
      </c>
      <c r="I75" s="178" t="s">
        <v>2173</v>
      </c>
      <c r="J75" s="178" t="s">
        <v>2271</v>
      </c>
      <c r="L75" s="178" t="s">
        <v>2272</v>
      </c>
    </row>
    <row r="76" spans="1:13">
      <c r="A76" s="177" t="s">
        <v>1870</v>
      </c>
      <c r="B76" s="178" t="s">
        <v>1717</v>
      </c>
      <c r="C76" s="178" t="s">
        <v>1860</v>
      </c>
      <c r="D76" s="178" t="s">
        <v>95</v>
      </c>
      <c r="E76" s="178" t="s">
        <v>11</v>
      </c>
      <c r="F76" s="455">
        <v>0.1</v>
      </c>
      <c r="G76" s="180" t="s">
        <v>2187</v>
      </c>
      <c r="H76" s="180" t="s">
        <v>2192</v>
      </c>
      <c r="I76" s="180"/>
      <c r="J76" s="180"/>
      <c r="K76" s="178" t="s">
        <v>87</v>
      </c>
      <c r="L76" s="178" t="s">
        <v>2273</v>
      </c>
    </row>
    <row r="77" spans="1:13">
      <c r="A77" s="177" t="s">
        <v>1904</v>
      </c>
      <c r="B77" s="178" t="s">
        <v>1717</v>
      </c>
      <c r="C77" s="178" t="s">
        <v>1886</v>
      </c>
      <c r="D77" s="178" t="s">
        <v>98</v>
      </c>
      <c r="E77" s="178" t="s">
        <v>2197</v>
      </c>
      <c r="F77" s="455">
        <v>0.15</v>
      </c>
      <c r="G77" s="178" t="s">
        <v>2171</v>
      </c>
      <c r="H77" s="178" t="s">
        <v>2192</v>
      </c>
      <c r="K77" s="178" t="s">
        <v>81</v>
      </c>
      <c r="L77" s="178" t="s">
        <v>2233</v>
      </c>
    </row>
    <row r="78" spans="1:13">
      <c r="A78" s="177" t="s">
        <v>1904</v>
      </c>
      <c r="B78" s="178" t="s">
        <v>1717</v>
      </c>
      <c r="C78" s="178" t="s">
        <v>1886</v>
      </c>
      <c r="D78" s="178" t="s">
        <v>98</v>
      </c>
      <c r="E78" s="178" t="s">
        <v>13</v>
      </c>
      <c r="F78" s="455">
        <v>0.1</v>
      </c>
      <c r="G78" s="178" t="s">
        <v>2187</v>
      </c>
      <c r="H78" s="178" t="s">
        <v>2190</v>
      </c>
      <c r="K78" s="178" t="s">
        <v>9</v>
      </c>
      <c r="L78" s="178" t="s">
        <v>2274</v>
      </c>
    </row>
    <row r="79" spans="1:13">
      <c r="A79" s="177" t="s">
        <v>1902</v>
      </c>
      <c r="B79" s="178" t="s">
        <v>1717</v>
      </c>
      <c r="C79" s="178" t="s">
        <v>1886</v>
      </c>
      <c r="D79" s="178" t="s">
        <v>22</v>
      </c>
      <c r="E79" s="178" t="s">
        <v>12</v>
      </c>
      <c r="F79" s="455">
        <v>150</v>
      </c>
      <c r="G79" s="178" t="s">
        <v>2171</v>
      </c>
      <c r="H79" s="178" t="s">
        <v>2192</v>
      </c>
      <c r="K79" s="178" t="s">
        <v>81</v>
      </c>
      <c r="L79" s="178" t="s">
        <v>2275</v>
      </c>
    </row>
    <row r="80" spans="1:13">
      <c r="A80" s="177" t="s">
        <v>1758</v>
      </c>
      <c r="B80" s="178" t="s">
        <v>1717</v>
      </c>
      <c r="C80" s="178" t="s">
        <v>1742</v>
      </c>
      <c r="D80" s="178" t="s">
        <v>24</v>
      </c>
      <c r="E80" s="178" t="s">
        <v>2232</v>
      </c>
      <c r="F80" s="455">
        <v>0.15</v>
      </c>
      <c r="G80" s="178" t="s">
        <v>2171</v>
      </c>
      <c r="L80" s="178" t="s">
        <v>2276</v>
      </c>
    </row>
    <row r="81" spans="1:15" ht="23.25">
      <c r="A81" s="177" t="s">
        <v>1758</v>
      </c>
      <c r="B81" s="178" t="s">
        <v>1717</v>
      </c>
      <c r="C81" s="178" t="s">
        <v>1742</v>
      </c>
      <c r="D81" s="178" t="s">
        <v>24</v>
      </c>
      <c r="E81" s="178" t="s">
        <v>2232</v>
      </c>
      <c r="F81" s="455">
        <v>0.1</v>
      </c>
      <c r="G81" s="178" t="s">
        <v>2171</v>
      </c>
      <c r="I81" s="178" t="s">
        <v>2173</v>
      </c>
      <c r="J81" s="178" t="s">
        <v>2277</v>
      </c>
      <c r="L81" s="180" t="s">
        <v>2278</v>
      </c>
    </row>
    <row r="82" spans="1:15" ht="23.25">
      <c r="A82" s="177" t="s">
        <v>1920</v>
      </c>
      <c r="B82" s="178" t="s">
        <v>1717</v>
      </c>
      <c r="C82" s="178" t="s">
        <v>34</v>
      </c>
      <c r="D82" s="178" t="s">
        <v>95</v>
      </c>
      <c r="E82" s="178" t="s">
        <v>11</v>
      </c>
      <c r="F82" s="455">
        <v>0.25</v>
      </c>
      <c r="G82" s="178" t="s">
        <v>2187</v>
      </c>
      <c r="I82" s="178" t="s">
        <v>2173</v>
      </c>
      <c r="J82" s="178" t="s">
        <v>97</v>
      </c>
      <c r="L82" s="180" t="s">
        <v>2279</v>
      </c>
    </row>
    <row r="83" spans="1:15">
      <c r="A83" s="177" t="s">
        <v>2121</v>
      </c>
      <c r="B83" s="178" t="s">
        <v>1937</v>
      </c>
      <c r="C83" s="178" t="s">
        <v>2112</v>
      </c>
      <c r="D83" s="178" t="s">
        <v>95</v>
      </c>
      <c r="E83" s="178" t="s">
        <v>9</v>
      </c>
      <c r="F83" s="455">
        <v>240</v>
      </c>
      <c r="G83" s="178" t="s">
        <v>2171</v>
      </c>
      <c r="L83" s="178" t="s">
        <v>2236</v>
      </c>
    </row>
    <row r="84" spans="1:15">
      <c r="A84" s="177" t="s">
        <v>1950</v>
      </c>
      <c r="B84" s="178" t="s">
        <v>1937</v>
      </c>
      <c r="C84" s="178" t="s">
        <v>1938</v>
      </c>
      <c r="D84" s="178" t="s">
        <v>22</v>
      </c>
      <c r="E84" s="178" t="s">
        <v>6</v>
      </c>
      <c r="F84" s="455">
        <v>10</v>
      </c>
      <c r="G84" s="182" t="s">
        <v>2171</v>
      </c>
      <c r="H84" s="182" t="s">
        <v>2192</v>
      </c>
      <c r="I84" s="182"/>
      <c r="J84" s="182"/>
      <c r="K84" s="178" t="s">
        <v>79</v>
      </c>
      <c r="L84" s="178" t="s">
        <v>2280</v>
      </c>
    </row>
    <row r="85" spans="1:15">
      <c r="A85" s="177" t="s">
        <v>1950</v>
      </c>
      <c r="B85" s="178" t="s">
        <v>1937</v>
      </c>
      <c r="C85" s="178" t="s">
        <v>1938</v>
      </c>
      <c r="D85" s="178" t="s">
        <v>22</v>
      </c>
      <c r="E85" s="178" t="s">
        <v>11</v>
      </c>
      <c r="F85" s="455">
        <v>-10</v>
      </c>
      <c r="G85" s="178" t="s">
        <v>2171</v>
      </c>
      <c r="H85" s="178" t="s">
        <v>2192</v>
      </c>
      <c r="K85" s="178" t="s">
        <v>79</v>
      </c>
      <c r="L85" s="178" t="s">
        <v>2281</v>
      </c>
    </row>
    <row r="86" spans="1:15">
      <c r="A86" s="177" t="s">
        <v>2146</v>
      </c>
      <c r="B86" s="178" t="s">
        <v>1937</v>
      </c>
      <c r="C86" s="178" t="s">
        <v>2138</v>
      </c>
      <c r="D86" s="178" t="s">
        <v>95</v>
      </c>
      <c r="E86" s="178" t="s">
        <v>10</v>
      </c>
      <c r="F86" s="455">
        <v>180</v>
      </c>
      <c r="G86" s="178" t="s">
        <v>2171</v>
      </c>
      <c r="L86" s="178" t="s">
        <v>2178</v>
      </c>
    </row>
    <row r="87" spans="1:15">
      <c r="A87" s="177" t="s">
        <v>2131</v>
      </c>
      <c r="B87" s="178" t="s">
        <v>1937</v>
      </c>
      <c r="C87" s="178" t="s">
        <v>2112</v>
      </c>
      <c r="D87" s="178" t="s">
        <v>24</v>
      </c>
      <c r="E87" s="178" t="s">
        <v>6</v>
      </c>
      <c r="F87" s="455">
        <v>240</v>
      </c>
      <c r="G87" s="178" t="s">
        <v>2171</v>
      </c>
      <c r="L87" s="178" t="s">
        <v>2282</v>
      </c>
      <c r="O87" s="176"/>
    </row>
    <row r="88" spans="1:15">
      <c r="A88" s="177" t="s">
        <v>2127</v>
      </c>
      <c r="B88" s="178" t="s">
        <v>1937</v>
      </c>
      <c r="C88" s="178" t="s">
        <v>2112</v>
      </c>
      <c r="D88" s="178" t="s">
        <v>22</v>
      </c>
      <c r="E88" s="178" t="s">
        <v>12</v>
      </c>
      <c r="F88" s="455">
        <v>0.13</v>
      </c>
      <c r="G88" s="178" t="s">
        <v>2187</v>
      </c>
      <c r="H88" s="178" t="s">
        <v>2190</v>
      </c>
      <c r="K88" s="178" t="s">
        <v>9</v>
      </c>
      <c r="L88" s="178" t="s">
        <v>2283</v>
      </c>
    </row>
    <row r="89" spans="1:15">
      <c r="A89" s="177" t="s">
        <v>2001</v>
      </c>
      <c r="B89" s="178" t="s">
        <v>1937</v>
      </c>
      <c r="C89" s="178" t="s">
        <v>1987</v>
      </c>
      <c r="D89" s="178" t="s">
        <v>22</v>
      </c>
      <c r="E89" s="178" t="s">
        <v>6</v>
      </c>
      <c r="F89" s="455">
        <v>10</v>
      </c>
      <c r="G89" s="178" t="s">
        <v>2171</v>
      </c>
      <c r="H89" s="178" t="s">
        <v>2192</v>
      </c>
      <c r="K89" s="178" t="s">
        <v>89</v>
      </c>
      <c r="L89" s="178" t="s">
        <v>2284</v>
      </c>
    </row>
    <row r="90" spans="1:15">
      <c r="A90" s="177" t="s">
        <v>2001</v>
      </c>
      <c r="B90" s="178" t="s">
        <v>1937</v>
      </c>
      <c r="C90" s="178" t="s">
        <v>1987</v>
      </c>
      <c r="D90" s="178" t="s">
        <v>22</v>
      </c>
      <c r="E90" s="178" t="s">
        <v>11</v>
      </c>
      <c r="F90" s="455">
        <v>10</v>
      </c>
      <c r="G90" s="178" t="s">
        <v>2171</v>
      </c>
      <c r="H90" s="178" t="s">
        <v>2192</v>
      </c>
      <c r="K90" s="178" t="s">
        <v>89</v>
      </c>
      <c r="L90" s="178" t="s">
        <v>2285</v>
      </c>
    </row>
    <row r="91" spans="1:15">
      <c r="A91" s="177" t="s">
        <v>2057</v>
      </c>
      <c r="B91" s="178" t="s">
        <v>1937</v>
      </c>
      <c r="C91" s="178" t="s">
        <v>2037</v>
      </c>
      <c r="D91" s="178" t="s">
        <v>24</v>
      </c>
      <c r="E91" s="178" t="s">
        <v>2197</v>
      </c>
      <c r="F91" s="455">
        <v>0.15</v>
      </c>
      <c r="G91" s="178" t="s">
        <v>2171</v>
      </c>
      <c r="L91" s="178" t="s">
        <v>2286</v>
      </c>
    </row>
    <row r="92" spans="1:15">
      <c r="A92" s="177" t="s">
        <v>2057</v>
      </c>
      <c r="B92" s="178" t="s">
        <v>1937</v>
      </c>
      <c r="C92" s="178" t="s">
        <v>2037</v>
      </c>
      <c r="D92" s="178" t="s">
        <v>24</v>
      </c>
      <c r="E92" s="178" t="s">
        <v>2232</v>
      </c>
      <c r="F92" s="455">
        <v>0.15</v>
      </c>
      <c r="G92" s="178" t="s">
        <v>2171</v>
      </c>
      <c r="I92" s="178" t="s">
        <v>2173</v>
      </c>
      <c r="J92" s="178" t="s">
        <v>2287</v>
      </c>
      <c r="L92" s="178" t="s">
        <v>2288</v>
      </c>
    </row>
    <row r="93" spans="1:15">
      <c r="A93" s="177" t="s">
        <v>2076</v>
      </c>
      <c r="B93" s="178" t="s">
        <v>1937</v>
      </c>
      <c r="C93" s="178" t="s">
        <v>2061</v>
      </c>
      <c r="D93" s="178" t="s">
        <v>22</v>
      </c>
      <c r="E93" s="178" t="s">
        <v>2197</v>
      </c>
      <c r="F93" s="455">
        <v>0.02</v>
      </c>
      <c r="G93" s="178" t="s">
        <v>2171</v>
      </c>
      <c r="H93" s="178" t="s">
        <v>2225</v>
      </c>
      <c r="I93" s="178" t="s">
        <v>2173</v>
      </c>
      <c r="J93" s="178" t="s">
        <v>2289</v>
      </c>
      <c r="L93" s="178" t="s">
        <v>2290</v>
      </c>
      <c r="M93" s="179">
        <v>25</v>
      </c>
    </row>
    <row r="94" spans="1:15">
      <c r="A94" s="177" t="s">
        <v>2135</v>
      </c>
      <c r="B94" s="178" t="s">
        <v>1937</v>
      </c>
      <c r="C94" s="178" t="s">
        <v>2112</v>
      </c>
      <c r="D94" s="178" t="s">
        <v>24</v>
      </c>
      <c r="E94" s="178" t="s">
        <v>11</v>
      </c>
      <c r="F94" s="455">
        <v>240</v>
      </c>
      <c r="G94" s="178" t="s">
        <v>2171</v>
      </c>
      <c r="L94" s="178" t="s">
        <v>2291</v>
      </c>
    </row>
    <row r="95" spans="1:15">
      <c r="A95" s="177" t="s">
        <v>2092</v>
      </c>
      <c r="B95" s="178" t="s">
        <v>1937</v>
      </c>
      <c r="C95" s="178" t="s">
        <v>2086</v>
      </c>
      <c r="D95" s="178" t="s">
        <v>22</v>
      </c>
      <c r="E95" s="178" t="s">
        <v>12</v>
      </c>
      <c r="F95" s="455">
        <v>7.0000000000000007E-2</v>
      </c>
      <c r="G95" s="178" t="s">
        <v>2187</v>
      </c>
      <c r="H95" s="178" t="s">
        <v>2190</v>
      </c>
      <c r="K95" s="178" t="s">
        <v>11</v>
      </c>
      <c r="L95" s="178" t="s">
        <v>2292</v>
      </c>
    </row>
    <row r="96" spans="1:15">
      <c r="A96" s="177" t="s">
        <v>1970</v>
      </c>
      <c r="B96" s="178" t="s">
        <v>1937</v>
      </c>
      <c r="C96" s="178" t="s">
        <v>1962</v>
      </c>
      <c r="D96" s="178" t="s">
        <v>95</v>
      </c>
      <c r="E96" s="178" t="s">
        <v>7</v>
      </c>
      <c r="F96" s="455">
        <v>180</v>
      </c>
      <c r="G96" s="178" t="s">
        <v>2171</v>
      </c>
      <c r="L96" s="178" t="s">
        <v>2293</v>
      </c>
    </row>
    <row r="97" spans="1:13">
      <c r="A97" s="183" t="s">
        <v>2123</v>
      </c>
      <c r="B97" s="182" t="s">
        <v>1937</v>
      </c>
      <c r="C97" s="182" t="s">
        <v>2112</v>
      </c>
      <c r="D97" s="182" t="s">
        <v>22</v>
      </c>
      <c r="E97" s="182" t="s">
        <v>13</v>
      </c>
      <c r="F97" s="456">
        <v>0.13</v>
      </c>
      <c r="G97" s="182" t="s">
        <v>2187</v>
      </c>
      <c r="H97" s="182" t="s">
        <v>2190</v>
      </c>
      <c r="I97" s="182"/>
      <c r="J97" s="182"/>
      <c r="K97" s="182" t="s">
        <v>9</v>
      </c>
      <c r="L97" s="182" t="s">
        <v>2294</v>
      </c>
      <c r="M97" s="184"/>
    </row>
    <row r="98" spans="1:13">
      <c r="A98" s="183" t="s">
        <v>2028</v>
      </c>
      <c r="B98" s="182" t="s">
        <v>1937</v>
      </c>
      <c r="C98" s="182" t="s">
        <v>2012</v>
      </c>
      <c r="D98" s="182" t="s">
        <v>98</v>
      </c>
      <c r="E98" s="182" t="s">
        <v>14</v>
      </c>
      <c r="F98" s="456">
        <v>150</v>
      </c>
      <c r="G98" s="182" t="s">
        <v>2171</v>
      </c>
      <c r="H98" s="182"/>
      <c r="I98" s="182" t="s">
        <v>2173</v>
      </c>
      <c r="J98" s="182" t="s">
        <v>2295</v>
      </c>
      <c r="K98" s="182"/>
      <c r="L98" s="182" t="s">
        <v>2296</v>
      </c>
      <c r="M98" s="184"/>
    </row>
    <row r="99" spans="1:13">
      <c r="A99" s="183" t="s">
        <v>2028</v>
      </c>
      <c r="B99" s="182" t="s">
        <v>1937</v>
      </c>
      <c r="C99" s="182" t="s">
        <v>2012</v>
      </c>
      <c r="D99" s="182" t="s">
        <v>98</v>
      </c>
      <c r="E99" s="182" t="s">
        <v>14</v>
      </c>
      <c r="F99" s="456">
        <v>300</v>
      </c>
      <c r="G99" s="182" t="s">
        <v>2171</v>
      </c>
      <c r="H99" s="182"/>
      <c r="I99" s="182" t="s">
        <v>2173</v>
      </c>
      <c r="J99" s="182" t="s">
        <v>2297</v>
      </c>
      <c r="K99" s="182"/>
      <c r="L99" s="182" t="s">
        <v>2298</v>
      </c>
      <c r="M99" s="184"/>
    </row>
    <row r="100" spans="1:13">
      <c r="A100" s="183" t="s">
        <v>2028</v>
      </c>
      <c r="B100" s="182" t="s">
        <v>1937</v>
      </c>
      <c r="C100" s="182" t="s">
        <v>2012</v>
      </c>
      <c r="D100" s="182" t="s">
        <v>98</v>
      </c>
      <c r="E100" s="182" t="s">
        <v>14</v>
      </c>
      <c r="F100" s="456">
        <v>450</v>
      </c>
      <c r="G100" s="182" t="s">
        <v>2171</v>
      </c>
      <c r="H100" s="182"/>
      <c r="I100" s="182" t="s">
        <v>2173</v>
      </c>
      <c r="J100" s="182" t="s">
        <v>2299</v>
      </c>
      <c r="K100" s="182"/>
      <c r="L100" s="182" t="s">
        <v>2300</v>
      </c>
      <c r="M100" s="184"/>
    </row>
    <row r="101" spans="1:13">
      <c r="A101" s="183" t="s">
        <v>1984</v>
      </c>
      <c r="B101" s="182" t="s">
        <v>1937</v>
      </c>
      <c r="C101" s="182" t="s">
        <v>1962</v>
      </c>
      <c r="D101" s="182" t="s">
        <v>24</v>
      </c>
      <c r="E101" s="182" t="s">
        <v>11</v>
      </c>
      <c r="F101" s="456">
        <v>200</v>
      </c>
      <c r="G101" s="182" t="s">
        <v>2171</v>
      </c>
      <c r="H101" s="182"/>
      <c r="I101" s="182"/>
      <c r="J101" s="182"/>
      <c r="K101" s="182"/>
      <c r="L101" s="182" t="s">
        <v>2301</v>
      </c>
      <c r="M101" s="184"/>
    </row>
    <row r="102" spans="1:13">
      <c r="A102" s="183" t="s">
        <v>1984</v>
      </c>
      <c r="B102" s="182" t="s">
        <v>1937</v>
      </c>
      <c r="C102" s="182" t="s">
        <v>1962</v>
      </c>
      <c r="D102" s="182" t="s">
        <v>24</v>
      </c>
      <c r="E102" s="182" t="s">
        <v>86</v>
      </c>
      <c r="F102" s="456">
        <v>0.5</v>
      </c>
      <c r="G102" s="178" t="s">
        <v>2171</v>
      </c>
      <c r="H102" s="182"/>
      <c r="I102" s="182" t="s">
        <v>2173</v>
      </c>
      <c r="J102" s="182" t="s">
        <v>2302</v>
      </c>
      <c r="K102" s="182"/>
      <c r="L102" s="185" t="s">
        <v>2303</v>
      </c>
      <c r="M102" s="184"/>
    </row>
    <row r="103" spans="1:13">
      <c r="A103" s="183" t="s">
        <v>2084</v>
      </c>
      <c r="B103" s="182" t="s">
        <v>1937</v>
      </c>
      <c r="C103" s="182" t="s">
        <v>2061</v>
      </c>
      <c r="D103" s="182" t="s">
        <v>24</v>
      </c>
      <c r="E103" s="182" t="s">
        <v>13</v>
      </c>
      <c r="F103" s="456">
        <v>300</v>
      </c>
      <c r="G103" s="182" t="s">
        <v>2171</v>
      </c>
      <c r="H103" s="182"/>
      <c r="I103" s="182" t="s">
        <v>2173</v>
      </c>
      <c r="J103" s="182" t="s">
        <v>2304</v>
      </c>
      <c r="K103" s="182"/>
      <c r="L103" s="182" t="s">
        <v>2305</v>
      </c>
      <c r="M103" s="184"/>
    </row>
    <row r="104" spans="1:13">
      <c r="A104" s="183" t="s">
        <v>2096</v>
      </c>
      <c r="B104" s="182" t="s">
        <v>1937</v>
      </c>
      <c r="C104" s="182" t="s">
        <v>2086</v>
      </c>
      <c r="D104" s="182" t="s">
        <v>95</v>
      </c>
      <c r="E104" s="182" t="s">
        <v>10</v>
      </c>
      <c r="F104" s="456">
        <v>225</v>
      </c>
      <c r="G104" s="182" t="s">
        <v>2171</v>
      </c>
      <c r="H104" s="182"/>
      <c r="I104" s="182" t="s">
        <v>2173</v>
      </c>
      <c r="J104" s="182" t="s">
        <v>2306</v>
      </c>
      <c r="K104" s="182"/>
      <c r="L104" s="182" t="s">
        <v>2307</v>
      </c>
      <c r="M104" s="184"/>
    </row>
    <row r="105" spans="1:13">
      <c r="A105" s="183" t="s">
        <v>2096</v>
      </c>
      <c r="B105" s="182" t="s">
        <v>1937</v>
      </c>
      <c r="C105" s="182" t="s">
        <v>2086</v>
      </c>
      <c r="D105" s="182" t="s">
        <v>95</v>
      </c>
      <c r="E105" s="182" t="s">
        <v>12</v>
      </c>
      <c r="F105" s="456">
        <v>225</v>
      </c>
      <c r="G105" s="182" t="s">
        <v>2171</v>
      </c>
      <c r="H105" s="182"/>
      <c r="I105" s="182" t="s">
        <v>2173</v>
      </c>
      <c r="J105" s="182" t="s">
        <v>2306</v>
      </c>
      <c r="K105" s="182"/>
      <c r="L105" s="182" t="s">
        <v>2308</v>
      </c>
      <c r="M105" s="184"/>
    </row>
    <row r="106" spans="1:13">
      <c r="A106" s="183" t="s">
        <v>2119</v>
      </c>
      <c r="B106" s="182" t="s">
        <v>1937</v>
      </c>
      <c r="C106" s="182" t="s">
        <v>2112</v>
      </c>
      <c r="D106" s="182" t="s">
        <v>19</v>
      </c>
      <c r="E106" s="182" t="s">
        <v>11</v>
      </c>
      <c r="F106" s="456">
        <v>2.5000000000000001E-2</v>
      </c>
      <c r="G106" s="182" t="s">
        <v>2187</v>
      </c>
      <c r="H106" s="182" t="s">
        <v>2225</v>
      </c>
      <c r="I106" s="182" t="s">
        <v>2173</v>
      </c>
      <c r="J106" s="182" t="s">
        <v>2309</v>
      </c>
      <c r="K106" s="182"/>
      <c r="L106" s="182" t="s">
        <v>2310</v>
      </c>
      <c r="M106" s="184">
        <v>25</v>
      </c>
    </row>
    <row r="107" spans="1:13">
      <c r="A107" s="183" t="s">
        <v>1978</v>
      </c>
      <c r="B107" s="182" t="s">
        <v>1937</v>
      </c>
      <c r="C107" s="182" t="s">
        <v>1962</v>
      </c>
      <c r="D107" s="182" t="s">
        <v>98</v>
      </c>
      <c r="E107" s="182" t="s">
        <v>2197</v>
      </c>
      <c r="F107" s="456">
        <v>0.2</v>
      </c>
      <c r="G107" s="182" t="s">
        <v>2171</v>
      </c>
      <c r="H107" s="182" t="s">
        <v>2225</v>
      </c>
      <c r="I107" s="182" t="s">
        <v>2173</v>
      </c>
      <c r="J107" s="182" t="s">
        <v>2311</v>
      </c>
      <c r="K107" s="182"/>
      <c r="L107" s="182" t="s">
        <v>2312</v>
      </c>
      <c r="M107" s="184">
        <v>14</v>
      </c>
    </row>
    <row r="108" spans="1:13">
      <c r="A108" s="183" t="s">
        <v>1978</v>
      </c>
      <c r="B108" s="182" t="s">
        <v>1937</v>
      </c>
      <c r="C108" s="182" t="s">
        <v>1962</v>
      </c>
      <c r="D108" s="182" t="s">
        <v>98</v>
      </c>
      <c r="E108" s="182" t="s">
        <v>11</v>
      </c>
      <c r="F108" s="456">
        <v>0.13</v>
      </c>
      <c r="G108" s="182" t="s">
        <v>2187</v>
      </c>
      <c r="H108" s="182" t="s">
        <v>2190</v>
      </c>
      <c r="I108" s="182"/>
      <c r="J108" s="182"/>
      <c r="K108" s="182" t="s">
        <v>7</v>
      </c>
      <c r="L108" s="182" t="s">
        <v>2313</v>
      </c>
      <c r="M108" s="184"/>
    </row>
    <row r="109" spans="1:13">
      <c r="A109" s="183" t="s">
        <v>2125</v>
      </c>
      <c r="B109" s="182" t="s">
        <v>1937</v>
      </c>
      <c r="C109" s="182" t="s">
        <v>2112</v>
      </c>
      <c r="D109" s="182" t="s">
        <v>22</v>
      </c>
      <c r="E109" s="182" t="s">
        <v>10</v>
      </c>
      <c r="F109" s="456">
        <v>0.13</v>
      </c>
      <c r="G109" s="182" t="s">
        <v>2187</v>
      </c>
      <c r="H109" s="182" t="s">
        <v>2190</v>
      </c>
      <c r="I109" s="182"/>
      <c r="J109" s="182"/>
      <c r="K109" s="182" t="s">
        <v>9</v>
      </c>
      <c r="L109" s="182" t="s">
        <v>2314</v>
      </c>
      <c r="M109" s="184"/>
    </row>
    <row r="110" spans="1:13">
      <c r="A110" s="183" t="s">
        <v>2049</v>
      </c>
      <c r="B110" s="182" t="s">
        <v>1937</v>
      </c>
      <c r="C110" s="182" t="s">
        <v>2037</v>
      </c>
      <c r="D110" s="182" t="s">
        <v>22</v>
      </c>
      <c r="E110" s="182" t="s">
        <v>9</v>
      </c>
      <c r="F110" s="456">
        <v>180</v>
      </c>
      <c r="G110" s="178" t="s">
        <v>2171</v>
      </c>
      <c r="H110" s="182"/>
      <c r="I110" s="182"/>
      <c r="J110" s="182"/>
      <c r="K110" s="182"/>
      <c r="L110" s="182" t="s">
        <v>2242</v>
      </c>
      <c r="M110" s="184"/>
    </row>
    <row r="111" spans="1:13">
      <c r="A111" s="183" t="s">
        <v>2115</v>
      </c>
      <c r="B111" s="182" t="s">
        <v>1937</v>
      </c>
      <c r="C111" s="182" t="s">
        <v>2112</v>
      </c>
      <c r="D111" s="182" t="s">
        <v>19</v>
      </c>
      <c r="E111" s="182" t="s">
        <v>2232</v>
      </c>
      <c r="F111" s="456">
        <v>0.125</v>
      </c>
      <c r="G111" s="182" t="s">
        <v>2171</v>
      </c>
      <c r="H111" s="182"/>
      <c r="I111" s="182" t="s">
        <v>2173</v>
      </c>
      <c r="J111" s="182" t="s">
        <v>2315</v>
      </c>
      <c r="K111" s="182"/>
      <c r="L111" s="182" t="s">
        <v>2316</v>
      </c>
      <c r="M111" s="184"/>
    </row>
    <row r="112" spans="1:13">
      <c r="A112" s="183" t="s">
        <v>1095</v>
      </c>
      <c r="B112" s="182" t="s">
        <v>1034</v>
      </c>
      <c r="C112" s="182" t="s">
        <v>1085</v>
      </c>
      <c r="D112" s="182" t="s">
        <v>22</v>
      </c>
      <c r="E112" s="182" t="s">
        <v>11</v>
      </c>
      <c r="F112" s="456">
        <v>120</v>
      </c>
      <c r="G112" s="178" t="s">
        <v>2171</v>
      </c>
      <c r="H112" s="182"/>
      <c r="I112" s="182"/>
      <c r="J112" s="182"/>
      <c r="K112" s="182"/>
      <c r="L112" s="182" t="s">
        <v>2220</v>
      </c>
      <c r="M112" s="184"/>
    </row>
    <row r="113" spans="1:13" ht="23.25">
      <c r="A113" s="183" t="s">
        <v>1095</v>
      </c>
      <c r="B113" s="182" t="s">
        <v>1034</v>
      </c>
      <c r="C113" s="182" t="s">
        <v>1085</v>
      </c>
      <c r="D113" s="182" t="s">
        <v>22</v>
      </c>
      <c r="E113" s="182" t="s">
        <v>11</v>
      </c>
      <c r="F113" s="456">
        <v>120</v>
      </c>
      <c r="G113" s="182" t="s">
        <v>2171</v>
      </c>
      <c r="H113" s="182"/>
      <c r="I113" s="182" t="s">
        <v>2173</v>
      </c>
      <c r="J113" s="182" t="s">
        <v>2317</v>
      </c>
      <c r="K113" s="182"/>
      <c r="L113" s="180" t="s">
        <v>2318</v>
      </c>
      <c r="M113" s="184"/>
    </row>
    <row r="114" spans="1:13">
      <c r="A114" s="177" t="s">
        <v>1091</v>
      </c>
      <c r="B114" s="178" t="s">
        <v>1034</v>
      </c>
      <c r="C114" s="182" t="s">
        <v>1085</v>
      </c>
      <c r="D114" s="178" t="s">
        <v>19</v>
      </c>
      <c r="E114" s="178" t="s">
        <v>12</v>
      </c>
      <c r="F114" s="455">
        <v>150</v>
      </c>
      <c r="G114" s="178" t="s">
        <v>2171</v>
      </c>
      <c r="L114" s="178" t="s">
        <v>2238</v>
      </c>
    </row>
    <row r="115" spans="1:13">
      <c r="A115" s="183" t="s">
        <v>1157</v>
      </c>
      <c r="B115" s="182" t="s">
        <v>1034</v>
      </c>
      <c r="C115" s="182" t="s">
        <v>1135</v>
      </c>
      <c r="D115" s="182" t="s">
        <v>24</v>
      </c>
      <c r="E115" s="182" t="s">
        <v>13</v>
      </c>
      <c r="F115" s="456">
        <v>120</v>
      </c>
      <c r="G115" s="182" t="s">
        <v>2171</v>
      </c>
      <c r="H115" s="182"/>
      <c r="I115" s="182"/>
      <c r="J115" s="182"/>
      <c r="K115" s="182"/>
      <c r="L115" s="182" t="s">
        <v>2319</v>
      </c>
      <c r="M115" s="184"/>
    </row>
    <row r="116" spans="1:13">
      <c r="A116" s="183" t="s">
        <v>1157</v>
      </c>
      <c r="B116" s="182" t="s">
        <v>1034</v>
      </c>
      <c r="C116" s="182" t="s">
        <v>1135</v>
      </c>
      <c r="D116" s="182" t="s">
        <v>24</v>
      </c>
      <c r="E116" s="182" t="s">
        <v>13</v>
      </c>
      <c r="F116" s="456">
        <v>120</v>
      </c>
      <c r="G116" s="182" t="s">
        <v>2171</v>
      </c>
      <c r="H116" s="182"/>
      <c r="I116" s="182" t="s">
        <v>2173</v>
      </c>
      <c r="J116" s="182" t="s">
        <v>2320</v>
      </c>
      <c r="K116" s="182"/>
      <c r="L116" s="182" t="s">
        <v>2321</v>
      </c>
      <c r="M116" s="184"/>
    </row>
    <row r="117" spans="1:13" ht="23.25">
      <c r="A117" s="183" t="s">
        <v>1076</v>
      </c>
      <c r="B117" s="182" t="s">
        <v>1034</v>
      </c>
      <c r="C117" s="182" t="s">
        <v>1060</v>
      </c>
      <c r="D117" s="182" t="s">
        <v>98</v>
      </c>
      <c r="E117" s="182" t="s">
        <v>2197</v>
      </c>
      <c r="F117" s="456">
        <v>0.1</v>
      </c>
      <c r="G117" s="182" t="s">
        <v>2171</v>
      </c>
      <c r="H117" s="182"/>
      <c r="I117" s="182" t="s">
        <v>2173</v>
      </c>
      <c r="J117" s="182" t="s">
        <v>2322</v>
      </c>
      <c r="K117" s="182"/>
      <c r="L117" s="185" t="s">
        <v>2323</v>
      </c>
      <c r="M117" s="184"/>
    </row>
    <row r="118" spans="1:13" ht="23.25">
      <c r="A118" s="183" t="s">
        <v>1080</v>
      </c>
      <c r="B118" s="182" t="s">
        <v>1034</v>
      </c>
      <c r="C118" s="182" t="s">
        <v>1060</v>
      </c>
      <c r="D118" s="182" t="s">
        <v>24</v>
      </c>
      <c r="E118" s="182" t="s">
        <v>86</v>
      </c>
      <c r="F118" s="456">
        <v>0.1</v>
      </c>
      <c r="G118" s="182" t="s">
        <v>2171</v>
      </c>
      <c r="H118" s="182"/>
      <c r="I118" s="182" t="s">
        <v>2173</v>
      </c>
      <c r="J118" s="182" t="s">
        <v>2324</v>
      </c>
      <c r="K118" s="182"/>
      <c r="L118" s="185" t="s">
        <v>2325</v>
      </c>
      <c r="M118" s="184"/>
    </row>
    <row r="119" spans="1:13">
      <c r="A119" s="183" t="s">
        <v>1126</v>
      </c>
      <c r="B119" s="182" t="s">
        <v>1034</v>
      </c>
      <c r="C119" s="182" t="s">
        <v>1110</v>
      </c>
      <c r="D119" s="182" t="s">
        <v>98</v>
      </c>
      <c r="E119" s="182" t="s">
        <v>10</v>
      </c>
      <c r="F119" s="456">
        <v>240</v>
      </c>
      <c r="G119" s="182" t="s">
        <v>2171</v>
      </c>
      <c r="H119" s="182"/>
      <c r="I119" s="182"/>
      <c r="J119" s="182"/>
      <c r="K119" s="182"/>
      <c r="L119" s="182" t="s">
        <v>2204</v>
      </c>
      <c r="M119" s="184"/>
    </row>
    <row r="120" spans="1:13">
      <c r="A120" s="183" t="s">
        <v>1221</v>
      </c>
      <c r="B120" s="182" t="s">
        <v>1034</v>
      </c>
      <c r="C120" s="182" t="s">
        <v>1212</v>
      </c>
      <c r="D120" s="182" t="s">
        <v>95</v>
      </c>
      <c r="E120" s="182" t="s">
        <v>9</v>
      </c>
      <c r="F120" s="456">
        <v>240</v>
      </c>
      <c r="G120" s="182" t="s">
        <v>2171</v>
      </c>
      <c r="H120" s="182"/>
      <c r="I120" s="182"/>
      <c r="J120" s="182"/>
      <c r="K120" s="182"/>
      <c r="L120" s="182" t="s">
        <v>2236</v>
      </c>
      <c r="M120" s="184"/>
    </row>
    <row r="121" spans="1:13" ht="23.25">
      <c r="A121" s="183" t="s">
        <v>1210</v>
      </c>
      <c r="B121" s="182" t="s">
        <v>1034</v>
      </c>
      <c r="C121" s="182" t="s">
        <v>1186</v>
      </c>
      <c r="D121" s="182" t="s">
        <v>24</v>
      </c>
      <c r="E121" s="182" t="s">
        <v>86</v>
      </c>
      <c r="F121" s="456">
        <v>0.1</v>
      </c>
      <c r="G121" s="182" t="s">
        <v>2171</v>
      </c>
      <c r="H121" s="182"/>
      <c r="I121" s="182" t="s">
        <v>2173</v>
      </c>
      <c r="J121" s="182" t="s">
        <v>2326</v>
      </c>
      <c r="K121" s="182"/>
      <c r="L121" s="185" t="s">
        <v>2327</v>
      </c>
      <c r="M121" s="184"/>
    </row>
    <row r="122" spans="1:13">
      <c r="A122" s="183" t="s">
        <v>1072</v>
      </c>
      <c r="B122" s="182" t="s">
        <v>1034</v>
      </c>
      <c r="C122" s="182" t="s">
        <v>1060</v>
      </c>
      <c r="D122" s="182" t="s">
        <v>22</v>
      </c>
      <c r="E122" s="182" t="s">
        <v>6</v>
      </c>
      <c r="F122" s="456">
        <v>120</v>
      </c>
      <c r="G122" s="182" t="s">
        <v>2171</v>
      </c>
      <c r="H122" s="182"/>
      <c r="I122" s="182"/>
      <c r="J122" s="182"/>
      <c r="K122" s="182"/>
      <c r="L122" s="182" t="s">
        <v>2248</v>
      </c>
      <c r="M122" s="184"/>
    </row>
    <row r="123" spans="1:13">
      <c r="A123" s="183" t="s">
        <v>1072</v>
      </c>
      <c r="B123" s="182" t="s">
        <v>1034</v>
      </c>
      <c r="C123" s="182" t="s">
        <v>1060</v>
      </c>
      <c r="D123" s="182" t="s">
        <v>22</v>
      </c>
      <c r="E123" s="182" t="s">
        <v>6</v>
      </c>
      <c r="F123" s="456">
        <v>120</v>
      </c>
      <c r="G123" s="182" t="s">
        <v>2171</v>
      </c>
      <c r="H123" s="182"/>
      <c r="I123" s="182" t="s">
        <v>2173</v>
      </c>
      <c r="J123" s="182" t="s">
        <v>2205</v>
      </c>
      <c r="K123" s="182"/>
      <c r="L123" s="182" t="s">
        <v>2328</v>
      </c>
      <c r="M123" s="184"/>
    </row>
    <row r="124" spans="1:13">
      <c r="A124" s="183" t="s">
        <v>1204</v>
      </c>
      <c r="B124" s="182" t="s">
        <v>1034</v>
      </c>
      <c r="C124" s="182" t="s">
        <v>1186</v>
      </c>
      <c r="D124" s="182" t="s">
        <v>98</v>
      </c>
      <c r="E124" s="182" t="s">
        <v>11</v>
      </c>
      <c r="F124" s="456">
        <v>0.1</v>
      </c>
      <c r="G124" s="182" t="s">
        <v>2187</v>
      </c>
      <c r="H124" s="182"/>
      <c r="I124" s="182" t="s">
        <v>2173</v>
      </c>
      <c r="J124" s="182" t="s">
        <v>2329</v>
      </c>
      <c r="K124" s="182"/>
      <c r="L124" s="182" t="s">
        <v>2330</v>
      </c>
      <c r="M124" s="184"/>
    </row>
    <row r="125" spans="1:13">
      <c r="A125" s="183" t="s">
        <v>1082</v>
      </c>
      <c r="B125" s="182" t="s">
        <v>1034</v>
      </c>
      <c r="C125" s="182" t="s">
        <v>1060</v>
      </c>
      <c r="D125" s="182" t="s">
        <v>24</v>
      </c>
      <c r="E125" s="182" t="s">
        <v>13</v>
      </c>
      <c r="F125" s="456">
        <v>250</v>
      </c>
      <c r="G125" s="182" t="s">
        <v>2171</v>
      </c>
      <c r="H125" s="182" t="s">
        <v>2192</v>
      </c>
      <c r="I125" s="182"/>
      <c r="J125" s="182"/>
      <c r="K125" s="182" t="s">
        <v>81</v>
      </c>
      <c r="L125" s="182" t="s">
        <v>2331</v>
      </c>
      <c r="M125" s="184"/>
    </row>
    <row r="126" spans="1:13">
      <c r="A126" s="183" t="s">
        <v>1082</v>
      </c>
      <c r="B126" s="182" t="s">
        <v>1034</v>
      </c>
      <c r="C126" s="182" t="s">
        <v>1060</v>
      </c>
      <c r="D126" s="182" t="s">
        <v>24</v>
      </c>
      <c r="E126" s="182" t="s">
        <v>2197</v>
      </c>
      <c r="F126" s="456">
        <v>0.15</v>
      </c>
      <c r="G126" s="182" t="s">
        <v>2171</v>
      </c>
      <c r="H126" s="182" t="s">
        <v>2192</v>
      </c>
      <c r="I126" s="182"/>
      <c r="J126" s="182"/>
      <c r="K126" s="182" t="s">
        <v>81</v>
      </c>
      <c r="L126" s="182" t="s">
        <v>2233</v>
      </c>
      <c r="M126" s="184"/>
    </row>
    <row r="127" spans="1:13">
      <c r="A127" s="183" t="s">
        <v>1114</v>
      </c>
      <c r="B127" s="182" t="s">
        <v>1034</v>
      </c>
      <c r="C127" s="182" t="s">
        <v>1110</v>
      </c>
      <c r="D127" s="182" t="s">
        <v>19</v>
      </c>
      <c r="E127" s="182" t="s">
        <v>14</v>
      </c>
      <c r="F127" s="456">
        <v>7.0000000000000007E-2</v>
      </c>
      <c r="G127" s="182" t="s">
        <v>2187</v>
      </c>
      <c r="H127" s="182" t="s">
        <v>2190</v>
      </c>
      <c r="I127" s="182"/>
      <c r="J127" s="182"/>
      <c r="K127" s="182" t="s">
        <v>6</v>
      </c>
      <c r="L127" s="182" t="s">
        <v>2332</v>
      </c>
      <c r="M127" s="184"/>
    </row>
    <row r="128" spans="1:13">
      <c r="A128" s="183" t="s">
        <v>556</v>
      </c>
      <c r="B128" s="182" t="s">
        <v>343</v>
      </c>
      <c r="C128" s="182" t="s">
        <v>548</v>
      </c>
      <c r="D128" s="182" t="s">
        <v>95</v>
      </c>
      <c r="E128" s="182" t="s">
        <v>6</v>
      </c>
      <c r="F128" s="456">
        <v>150</v>
      </c>
      <c r="G128" s="182" t="s">
        <v>2171</v>
      </c>
      <c r="H128" s="182"/>
      <c r="I128" s="182" t="s">
        <v>2173</v>
      </c>
      <c r="J128" s="182" t="s">
        <v>2333</v>
      </c>
      <c r="K128" s="182"/>
      <c r="L128" s="182" t="s">
        <v>2334</v>
      </c>
      <c r="M128" s="184"/>
    </row>
    <row r="129" spans="1:13">
      <c r="A129" s="183" t="s">
        <v>556</v>
      </c>
      <c r="B129" s="182" t="s">
        <v>343</v>
      </c>
      <c r="C129" s="182" t="s">
        <v>548</v>
      </c>
      <c r="D129" s="182" t="s">
        <v>95</v>
      </c>
      <c r="E129" s="182" t="s">
        <v>13</v>
      </c>
      <c r="F129" s="456">
        <v>150</v>
      </c>
      <c r="G129" s="182" t="s">
        <v>2171</v>
      </c>
      <c r="H129" s="182"/>
      <c r="I129" s="182" t="s">
        <v>2173</v>
      </c>
      <c r="J129" s="182" t="s">
        <v>2333</v>
      </c>
      <c r="K129" s="182"/>
      <c r="L129" s="182" t="s">
        <v>2335</v>
      </c>
      <c r="M129" s="184"/>
    </row>
    <row r="130" spans="1:13">
      <c r="A130" s="183" t="s">
        <v>556</v>
      </c>
      <c r="B130" s="182" t="s">
        <v>343</v>
      </c>
      <c r="C130" s="182" t="s">
        <v>548</v>
      </c>
      <c r="D130" s="182" t="s">
        <v>95</v>
      </c>
      <c r="E130" s="182" t="s">
        <v>14</v>
      </c>
      <c r="F130" s="456">
        <v>150</v>
      </c>
      <c r="G130" s="182" t="s">
        <v>2171</v>
      </c>
      <c r="H130" s="182"/>
      <c r="I130" s="182" t="s">
        <v>2173</v>
      </c>
      <c r="J130" s="182" t="s">
        <v>2336</v>
      </c>
      <c r="K130" s="182"/>
      <c r="L130" s="182" t="s">
        <v>2337</v>
      </c>
      <c r="M130" s="184"/>
    </row>
    <row r="131" spans="1:13">
      <c r="A131" s="183" t="s">
        <v>556</v>
      </c>
      <c r="B131" s="182" t="s">
        <v>343</v>
      </c>
      <c r="C131" s="182" t="s">
        <v>548</v>
      </c>
      <c r="D131" s="182" t="s">
        <v>95</v>
      </c>
      <c r="E131" s="182" t="s">
        <v>10</v>
      </c>
      <c r="F131" s="456">
        <v>150</v>
      </c>
      <c r="G131" s="182" t="s">
        <v>2171</v>
      </c>
      <c r="H131" s="182"/>
      <c r="I131" s="182" t="s">
        <v>2173</v>
      </c>
      <c r="J131" s="182" t="s">
        <v>2336</v>
      </c>
      <c r="K131" s="182"/>
      <c r="L131" s="182" t="s">
        <v>2338</v>
      </c>
      <c r="M131" s="184"/>
    </row>
    <row r="132" spans="1:13">
      <c r="A132" s="183" t="s">
        <v>556</v>
      </c>
      <c r="B132" s="182" t="s">
        <v>343</v>
      </c>
      <c r="C132" s="182" t="s">
        <v>548</v>
      </c>
      <c r="D132" s="182" t="s">
        <v>95</v>
      </c>
      <c r="E132" s="182" t="s">
        <v>11</v>
      </c>
      <c r="F132" s="456">
        <v>150</v>
      </c>
      <c r="G132" s="182" t="s">
        <v>2171</v>
      </c>
      <c r="H132" s="182"/>
      <c r="I132" s="182" t="s">
        <v>2173</v>
      </c>
      <c r="J132" s="182" t="s">
        <v>2339</v>
      </c>
      <c r="K132" s="182"/>
      <c r="L132" s="182" t="s">
        <v>2340</v>
      </c>
      <c r="M132" s="184"/>
    </row>
    <row r="133" spans="1:13">
      <c r="A133" s="183" t="s">
        <v>556</v>
      </c>
      <c r="B133" s="182" t="s">
        <v>343</v>
      </c>
      <c r="C133" s="182" t="s">
        <v>548</v>
      </c>
      <c r="D133" s="182" t="s">
        <v>95</v>
      </c>
      <c r="E133" s="182" t="s">
        <v>12</v>
      </c>
      <c r="F133" s="456">
        <v>150</v>
      </c>
      <c r="G133" s="182" t="s">
        <v>2171</v>
      </c>
      <c r="H133" s="182"/>
      <c r="I133" s="182" t="s">
        <v>2173</v>
      </c>
      <c r="J133" s="182" t="s">
        <v>2339</v>
      </c>
      <c r="K133" s="182"/>
      <c r="L133" s="182" t="s">
        <v>2341</v>
      </c>
      <c r="M133" s="184"/>
    </row>
    <row r="134" spans="1:13">
      <c r="A134" s="183" t="s">
        <v>556</v>
      </c>
      <c r="B134" s="182" t="s">
        <v>343</v>
      </c>
      <c r="C134" s="182" t="s">
        <v>548</v>
      </c>
      <c r="D134" s="182" t="s">
        <v>95</v>
      </c>
      <c r="E134" s="182" t="s">
        <v>8</v>
      </c>
      <c r="F134" s="456">
        <v>150</v>
      </c>
      <c r="G134" s="182" t="s">
        <v>2171</v>
      </c>
      <c r="H134" s="182"/>
      <c r="I134" s="182" t="s">
        <v>2173</v>
      </c>
      <c r="J134" s="182" t="s">
        <v>2342</v>
      </c>
      <c r="K134" s="182"/>
      <c r="L134" s="182" t="s">
        <v>2343</v>
      </c>
      <c r="M134" s="184"/>
    </row>
    <row r="135" spans="1:13">
      <c r="A135" s="183" t="s">
        <v>556</v>
      </c>
      <c r="B135" s="182" t="s">
        <v>343</v>
      </c>
      <c r="C135" s="182" t="s">
        <v>548</v>
      </c>
      <c r="D135" s="182" t="s">
        <v>95</v>
      </c>
      <c r="E135" s="182" t="s">
        <v>9</v>
      </c>
      <c r="F135" s="456">
        <v>150</v>
      </c>
      <c r="G135" s="182" t="s">
        <v>2171</v>
      </c>
      <c r="H135" s="182"/>
      <c r="I135" s="182" t="s">
        <v>2173</v>
      </c>
      <c r="J135" s="182" t="s">
        <v>2342</v>
      </c>
      <c r="K135" s="182"/>
      <c r="L135" s="182" t="s">
        <v>2344</v>
      </c>
      <c r="M135" s="184"/>
    </row>
    <row r="136" spans="1:13">
      <c r="A136" s="183" t="s">
        <v>556</v>
      </c>
      <c r="B136" s="182" t="s">
        <v>343</v>
      </c>
      <c r="C136" s="182" t="s">
        <v>548</v>
      </c>
      <c r="D136" s="182" t="s">
        <v>95</v>
      </c>
      <c r="E136" s="182" t="s">
        <v>2269</v>
      </c>
      <c r="F136" s="456">
        <v>75</v>
      </c>
      <c r="G136" s="182" t="s">
        <v>2171</v>
      </c>
      <c r="H136" s="182"/>
      <c r="I136" s="182" t="s">
        <v>2173</v>
      </c>
      <c r="J136" s="182" t="s">
        <v>2345</v>
      </c>
      <c r="K136" s="182"/>
      <c r="L136" s="182" t="s">
        <v>2346</v>
      </c>
      <c r="M136" s="184"/>
    </row>
    <row r="137" spans="1:13">
      <c r="A137" s="183" t="s">
        <v>512</v>
      </c>
      <c r="B137" s="182" t="s">
        <v>343</v>
      </c>
      <c r="C137" s="182" t="s">
        <v>494</v>
      </c>
      <c r="D137" s="182" t="s">
        <v>98</v>
      </c>
      <c r="E137" s="182" t="s">
        <v>2197</v>
      </c>
      <c r="F137" s="456">
        <v>0.1</v>
      </c>
      <c r="G137" s="182" t="s">
        <v>2171</v>
      </c>
      <c r="H137" s="182"/>
      <c r="I137" s="182"/>
      <c r="J137" s="182"/>
      <c r="K137" s="182"/>
      <c r="L137" s="186" t="s">
        <v>2347</v>
      </c>
      <c r="M137" s="184"/>
    </row>
    <row r="138" spans="1:13">
      <c r="A138" s="183" t="s">
        <v>512</v>
      </c>
      <c r="B138" s="182" t="s">
        <v>343</v>
      </c>
      <c r="C138" s="182" t="s">
        <v>494</v>
      </c>
      <c r="D138" s="182" t="s">
        <v>98</v>
      </c>
      <c r="E138" s="182" t="s">
        <v>2197</v>
      </c>
      <c r="F138" s="456">
        <v>33</v>
      </c>
      <c r="G138" s="182" t="s">
        <v>2171</v>
      </c>
      <c r="H138" s="182"/>
      <c r="I138" s="182" t="s">
        <v>2173</v>
      </c>
      <c r="J138" s="182" t="s">
        <v>2348</v>
      </c>
      <c r="K138" s="182"/>
      <c r="L138" s="182" t="s">
        <v>2349</v>
      </c>
      <c r="M138" s="184"/>
    </row>
    <row r="139" spans="1:13">
      <c r="A139" s="183" t="s">
        <v>477</v>
      </c>
      <c r="B139" s="182" t="s">
        <v>343</v>
      </c>
      <c r="C139" s="182" t="s">
        <v>467</v>
      </c>
      <c r="D139" s="182" t="s">
        <v>95</v>
      </c>
      <c r="E139" s="182" t="s">
        <v>75</v>
      </c>
      <c r="F139" s="456">
        <v>0.1</v>
      </c>
      <c r="G139" s="182" t="s">
        <v>2171</v>
      </c>
      <c r="H139" s="182"/>
      <c r="I139" s="182"/>
      <c r="J139" s="182"/>
      <c r="K139" s="182"/>
      <c r="L139" s="186" t="s">
        <v>2350</v>
      </c>
      <c r="M139" s="184"/>
    </row>
    <row r="140" spans="1:13">
      <c r="A140" s="183" t="s">
        <v>539</v>
      </c>
      <c r="B140" s="182" t="s">
        <v>343</v>
      </c>
      <c r="C140" s="182" t="s">
        <v>521</v>
      </c>
      <c r="D140" s="182" t="s">
        <v>98</v>
      </c>
      <c r="E140" s="182" t="s">
        <v>6</v>
      </c>
      <c r="F140" s="456">
        <v>240</v>
      </c>
      <c r="G140" s="182" t="s">
        <v>2171</v>
      </c>
      <c r="H140" s="182"/>
      <c r="I140" s="182" t="s">
        <v>2173</v>
      </c>
      <c r="J140" s="182" t="s">
        <v>2351</v>
      </c>
      <c r="K140" s="182"/>
      <c r="L140" s="182" t="s">
        <v>2352</v>
      </c>
      <c r="M140" s="184"/>
    </row>
    <row r="141" spans="1:13">
      <c r="A141" s="183" t="s">
        <v>539</v>
      </c>
      <c r="B141" s="182" t="s">
        <v>343</v>
      </c>
      <c r="C141" s="182" t="s">
        <v>521</v>
      </c>
      <c r="D141" s="182" t="s">
        <v>98</v>
      </c>
      <c r="E141" s="182" t="s">
        <v>14</v>
      </c>
      <c r="F141" s="456">
        <v>240</v>
      </c>
      <c r="G141" s="182" t="s">
        <v>2171</v>
      </c>
      <c r="H141" s="182"/>
      <c r="I141" s="182" t="s">
        <v>2173</v>
      </c>
      <c r="J141" s="182" t="s">
        <v>2299</v>
      </c>
      <c r="K141" s="182"/>
      <c r="L141" s="182" t="s">
        <v>2353</v>
      </c>
      <c r="M141" s="184"/>
    </row>
    <row r="142" spans="1:13">
      <c r="A142" s="177" t="s">
        <v>400</v>
      </c>
      <c r="B142" s="178" t="s">
        <v>343</v>
      </c>
      <c r="C142" s="178" t="s">
        <v>393</v>
      </c>
      <c r="D142" s="178" t="s">
        <v>95</v>
      </c>
      <c r="E142" s="178" t="s">
        <v>14</v>
      </c>
      <c r="F142" s="455">
        <v>120</v>
      </c>
      <c r="G142" s="178" t="s">
        <v>2171</v>
      </c>
      <c r="L142" s="178" t="s">
        <v>2354</v>
      </c>
    </row>
    <row r="143" spans="1:13">
      <c r="A143" s="183" t="s">
        <v>485</v>
      </c>
      <c r="B143" s="182" t="s">
        <v>343</v>
      </c>
      <c r="C143" s="182" t="s">
        <v>467</v>
      </c>
      <c r="D143" s="182" t="s">
        <v>98</v>
      </c>
      <c r="E143" s="182" t="s">
        <v>10</v>
      </c>
      <c r="F143" s="456">
        <v>240</v>
      </c>
      <c r="G143" s="182" t="s">
        <v>2171</v>
      </c>
      <c r="H143" s="182"/>
      <c r="I143" s="182"/>
      <c r="J143" s="182"/>
      <c r="K143" s="182"/>
      <c r="L143" s="182" t="s">
        <v>2204</v>
      </c>
      <c r="M143" s="184"/>
    </row>
    <row r="144" spans="1:13">
      <c r="A144" s="183" t="s">
        <v>439</v>
      </c>
      <c r="B144" s="182" t="s">
        <v>343</v>
      </c>
      <c r="C144" s="182" t="s">
        <v>417</v>
      </c>
      <c r="D144" s="182" t="s">
        <v>24</v>
      </c>
      <c r="E144" s="182" t="s">
        <v>2197</v>
      </c>
      <c r="F144" s="456">
        <v>0.25</v>
      </c>
      <c r="G144" s="182" t="s">
        <v>2171</v>
      </c>
      <c r="H144" s="182" t="s">
        <v>2192</v>
      </c>
      <c r="I144" s="182"/>
      <c r="J144" s="182"/>
      <c r="K144" s="182" t="s">
        <v>81</v>
      </c>
      <c r="L144" s="186" t="s">
        <v>2355</v>
      </c>
      <c r="M144" s="184"/>
    </row>
    <row r="145" spans="1:13">
      <c r="A145" s="183" t="s">
        <v>352</v>
      </c>
      <c r="B145" s="182" t="s">
        <v>343</v>
      </c>
      <c r="C145" s="182" t="s">
        <v>344</v>
      </c>
      <c r="D145" s="182" t="s">
        <v>95</v>
      </c>
      <c r="E145" s="182" t="s">
        <v>11</v>
      </c>
      <c r="F145" s="456">
        <v>120</v>
      </c>
      <c r="G145" s="182" t="s">
        <v>2171</v>
      </c>
      <c r="H145" s="182"/>
      <c r="I145" s="182"/>
      <c r="J145" s="182"/>
      <c r="K145" s="182"/>
      <c r="L145" s="182" t="s">
        <v>2220</v>
      </c>
      <c r="M145" s="184"/>
    </row>
    <row r="146" spans="1:13">
      <c r="A146" s="183" t="s">
        <v>388</v>
      </c>
      <c r="B146" s="182" t="s">
        <v>343</v>
      </c>
      <c r="C146" s="182" t="s">
        <v>151</v>
      </c>
      <c r="D146" s="182" t="s">
        <v>22</v>
      </c>
      <c r="E146" s="182" t="s">
        <v>6</v>
      </c>
      <c r="F146" s="456">
        <v>0.13</v>
      </c>
      <c r="G146" s="182" t="s">
        <v>2187</v>
      </c>
      <c r="H146" s="182" t="s">
        <v>2190</v>
      </c>
      <c r="I146" s="182"/>
      <c r="J146" s="182"/>
      <c r="K146" s="182" t="str">
        <f>_xlfn.TEXTAFTER(TraitStatsTable[[#This Row],[Note]], " ", -1)</f>
        <v>Toughness</v>
      </c>
      <c r="L146" s="182" t="s">
        <v>2356</v>
      </c>
      <c r="M146" s="184"/>
    </row>
    <row r="147" spans="1:13">
      <c r="A147" s="183" t="s">
        <v>2357</v>
      </c>
      <c r="B147" s="182" t="s">
        <v>1263</v>
      </c>
      <c r="C147" s="182" t="s">
        <v>1414</v>
      </c>
      <c r="D147" s="182" t="s">
        <v>24</v>
      </c>
      <c r="E147" s="182" t="s">
        <v>6</v>
      </c>
      <c r="F147" s="456">
        <v>200</v>
      </c>
      <c r="G147" s="182" t="s">
        <v>2171</v>
      </c>
      <c r="H147" s="182" t="s">
        <v>2192</v>
      </c>
      <c r="I147" s="182"/>
      <c r="J147" s="182"/>
      <c r="K147" s="182" t="s">
        <v>83</v>
      </c>
      <c r="L147" s="182" t="s">
        <v>2358</v>
      </c>
      <c r="M147" s="184"/>
    </row>
    <row r="148" spans="1:13">
      <c r="A148" s="183" t="s">
        <v>2357</v>
      </c>
      <c r="B148" s="182" t="s">
        <v>1263</v>
      </c>
      <c r="C148" s="182" t="s">
        <v>1414</v>
      </c>
      <c r="D148" s="182" t="s">
        <v>24</v>
      </c>
      <c r="E148" s="182" t="s">
        <v>7</v>
      </c>
      <c r="F148" s="456">
        <v>200</v>
      </c>
      <c r="G148" s="182" t="s">
        <v>2171</v>
      </c>
      <c r="H148" s="182" t="s">
        <v>2192</v>
      </c>
      <c r="I148" s="182"/>
      <c r="J148" s="182"/>
      <c r="K148" s="182" t="s">
        <v>83</v>
      </c>
      <c r="L148" s="182" t="s">
        <v>2359</v>
      </c>
      <c r="M148" s="184"/>
    </row>
    <row r="149" spans="1:13">
      <c r="A149" s="183" t="s">
        <v>1489</v>
      </c>
      <c r="B149" s="182" t="s">
        <v>1263</v>
      </c>
      <c r="C149" s="182" t="s">
        <v>1467</v>
      </c>
      <c r="D149" s="182" t="s">
        <v>24</v>
      </c>
      <c r="E149" s="178" t="s">
        <v>11</v>
      </c>
      <c r="F149" s="455">
        <v>0.03</v>
      </c>
      <c r="G149" s="178" t="s">
        <v>2187</v>
      </c>
      <c r="H149" s="178" t="s">
        <v>2225</v>
      </c>
      <c r="I149" s="178" t="s">
        <v>2173</v>
      </c>
      <c r="J149" s="178" t="s">
        <v>2360</v>
      </c>
      <c r="L149" s="178" t="s">
        <v>2361</v>
      </c>
      <c r="M149" s="179">
        <v>10</v>
      </c>
    </row>
    <row r="150" spans="1:13">
      <c r="A150" s="183" t="s">
        <v>1266</v>
      </c>
      <c r="B150" s="182" t="s">
        <v>1263</v>
      </c>
      <c r="C150" s="182" t="s">
        <v>1264</v>
      </c>
      <c r="D150" s="182" t="s">
        <v>19</v>
      </c>
      <c r="E150" s="182" t="s">
        <v>6</v>
      </c>
      <c r="F150" s="456">
        <v>80</v>
      </c>
      <c r="G150" s="182" t="s">
        <v>2171</v>
      </c>
      <c r="H150" s="182"/>
      <c r="I150" s="182"/>
      <c r="J150" s="182"/>
      <c r="K150" s="182"/>
      <c r="L150" s="182" t="s">
        <v>2362</v>
      </c>
      <c r="M150" s="184"/>
    </row>
    <row r="151" spans="1:13">
      <c r="A151" s="183" t="s">
        <v>1266</v>
      </c>
      <c r="B151" s="182" t="s">
        <v>1263</v>
      </c>
      <c r="C151" s="182" t="s">
        <v>1264</v>
      </c>
      <c r="D151" s="182" t="s">
        <v>19</v>
      </c>
      <c r="E151" s="182" t="s">
        <v>6</v>
      </c>
      <c r="F151" s="456">
        <v>80</v>
      </c>
      <c r="G151" s="182" t="s">
        <v>2171</v>
      </c>
      <c r="H151" s="182"/>
      <c r="I151" s="182" t="s">
        <v>2173</v>
      </c>
      <c r="J151" s="182" t="s">
        <v>2363</v>
      </c>
      <c r="K151" s="182"/>
      <c r="L151" s="182" t="s">
        <v>2364</v>
      </c>
      <c r="M151" s="184"/>
    </row>
    <row r="152" spans="1:13">
      <c r="A152" s="183" t="s">
        <v>1270</v>
      </c>
      <c r="B152" s="185" t="s">
        <v>1263</v>
      </c>
      <c r="C152" s="182" t="s">
        <v>1264</v>
      </c>
      <c r="D152" s="182" t="s">
        <v>19</v>
      </c>
      <c r="E152" s="182" t="s">
        <v>11</v>
      </c>
      <c r="F152" s="456">
        <v>180</v>
      </c>
      <c r="G152" s="182" t="s">
        <v>2171</v>
      </c>
      <c r="H152" s="182"/>
      <c r="I152" s="182"/>
      <c r="J152" s="182"/>
      <c r="K152" s="182"/>
      <c r="L152" s="182" t="s">
        <v>2176</v>
      </c>
      <c r="M152" s="184"/>
    </row>
    <row r="153" spans="1:13" ht="23.25">
      <c r="A153" s="183" t="s">
        <v>1305</v>
      </c>
      <c r="B153" s="182" t="s">
        <v>1263</v>
      </c>
      <c r="C153" s="182" t="s">
        <v>1289</v>
      </c>
      <c r="D153" s="182" t="s">
        <v>98</v>
      </c>
      <c r="E153" s="182" t="s">
        <v>2232</v>
      </c>
      <c r="F153" s="456">
        <v>0.1</v>
      </c>
      <c r="G153" s="182" t="s">
        <v>2171</v>
      </c>
      <c r="H153" s="182"/>
      <c r="I153" s="182" t="s">
        <v>2173</v>
      </c>
      <c r="J153" s="182" t="s">
        <v>2365</v>
      </c>
      <c r="K153" s="182"/>
      <c r="L153" s="185" t="s">
        <v>2366</v>
      </c>
      <c r="M153" s="184"/>
    </row>
    <row r="154" spans="1:13">
      <c r="A154" s="177" t="s">
        <v>1309</v>
      </c>
      <c r="B154" s="182" t="s">
        <v>1263</v>
      </c>
      <c r="C154" s="182" t="s">
        <v>1289</v>
      </c>
      <c r="D154" s="182" t="s">
        <v>24</v>
      </c>
      <c r="E154" s="178" t="s">
        <v>2197</v>
      </c>
      <c r="F154" s="455">
        <v>1</v>
      </c>
      <c r="G154" s="182" t="s">
        <v>2171</v>
      </c>
      <c r="H154" s="182"/>
      <c r="I154" s="182" t="s">
        <v>2173</v>
      </c>
      <c r="J154" s="182" t="s">
        <v>2367</v>
      </c>
      <c r="L154" s="178" t="s">
        <v>2368</v>
      </c>
    </row>
    <row r="155" spans="1:13">
      <c r="A155" s="177" t="s">
        <v>1288</v>
      </c>
      <c r="B155" s="182" t="s">
        <v>1263</v>
      </c>
      <c r="C155" s="182" t="s">
        <v>1289</v>
      </c>
      <c r="D155" s="182" t="s">
        <v>94</v>
      </c>
      <c r="E155" s="178" t="s">
        <v>2197</v>
      </c>
      <c r="F155" s="455">
        <v>0.1</v>
      </c>
      <c r="G155" s="182" t="s">
        <v>2171</v>
      </c>
      <c r="H155" s="182"/>
      <c r="I155" s="182"/>
      <c r="J155" s="182"/>
      <c r="L155" s="178" t="s">
        <v>2347</v>
      </c>
    </row>
    <row r="156" spans="1:13">
      <c r="A156" s="183" t="s">
        <v>1288</v>
      </c>
      <c r="B156" s="182" t="s">
        <v>1263</v>
      </c>
      <c r="C156" s="182" t="s">
        <v>1289</v>
      </c>
      <c r="D156" s="182" t="s">
        <v>94</v>
      </c>
      <c r="E156" s="182" t="s">
        <v>2197</v>
      </c>
      <c r="F156" s="456">
        <v>0.05</v>
      </c>
      <c r="G156" s="182" t="s">
        <v>2171</v>
      </c>
      <c r="H156" s="182"/>
      <c r="I156" s="182" t="s">
        <v>2173</v>
      </c>
      <c r="J156" s="182" t="s">
        <v>2351</v>
      </c>
      <c r="K156" s="182"/>
      <c r="L156" s="182" t="s">
        <v>2369</v>
      </c>
      <c r="M156" s="184"/>
    </row>
    <row r="157" spans="1:13">
      <c r="A157" s="183" t="s">
        <v>1407</v>
      </c>
      <c r="B157" s="182" t="s">
        <v>1263</v>
      </c>
      <c r="C157" s="182" t="s">
        <v>1388</v>
      </c>
      <c r="D157" s="182" t="s">
        <v>24</v>
      </c>
      <c r="E157" s="182" t="s">
        <v>11</v>
      </c>
      <c r="F157" s="456">
        <v>0.15</v>
      </c>
      <c r="G157" s="182" t="s">
        <v>2187</v>
      </c>
      <c r="H157" s="182"/>
      <c r="I157" s="182" t="s">
        <v>2173</v>
      </c>
      <c r="J157" s="182" t="s">
        <v>2370</v>
      </c>
      <c r="K157" s="182"/>
      <c r="L157" s="182" t="s">
        <v>2371</v>
      </c>
      <c r="M157" s="184"/>
    </row>
    <row r="158" spans="1:13">
      <c r="A158" s="183" t="s">
        <v>1391</v>
      </c>
      <c r="B158" s="182" t="s">
        <v>1263</v>
      </c>
      <c r="C158" s="182" t="s">
        <v>1388</v>
      </c>
      <c r="D158" s="182" t="s">
        <v>19</v>
      </c>
      <c r="E158" s="182" t="s">
        <v>9</v>
      </c>
      <c r="F158" s="456">
        <v>7.0000000000000007E-2</v>
      </c>
      <c r="G158" s="182" t="s">
        <v>2187</v>
      </c>
      <c r="H158" s="182" t="s">
        <v>2190</v>
      </c>
      <c r="I158" s="182"/>
      <c r="J158" s="182"/>
      <c r="K158" s="182" t="s">
        <v>6</v>
      </c>
      <c r="L158" s="182" t="s">
        <v>2372</v>
      </c>
      <c r="M158" s="184"/>
    </row>
    <row r="159" spans="1:13">
      <c r="A159" s="183" t="s">
        <v>1307</v>
      </c>
      <c r="B159" s="182" t="s">
        <v>1263</v>
      </c>
      <c r="C159" s="182" t="s">
        <v>1289</v>
      </c>
      <c r="D159" s="182" t="s">
        <v>24</v>
      </c>
      <c r="E159" s="182" t="s">
        <v>13</v>
      </c>
      <c r="F159" s="456">
        <v>250</v>
      </c>
      <c r="G159" s="182" t="s">
        <v>2171</v>
      </c>
      <c r="H159" s="182" t="s">
        <v>2192</v>
      </c>
      <c r="I159" s="182"/>
      <c r="J159" s="182"/>
      <c r="K159" s="182" t="s">
        <v>81</v>
      </c>
      <c r="L159" s="182" t="s">
        <v>2331</v>
      </c>
      <c r="M159" s="184"/>
    </row>
    <row r="160" spans="1:13">
      <c r="A160" s="183" t="s">
        <v>1301</v>
      </c>
      <c r="B160" s="182" t="s">
        <v>1263</v>
      </c>
      <c r="C160" s="182" t="s">
        <v>1289</v>
      </c>
      <c r="D160" s="182" t="s">
        <v>22</v>
      </c>
      <c r="E160" s="182" t="s">
        <v>13</v>
      </c>
      <c r="F160" s="456">
        <v>0.1</v>
      </c>
      <c r="G160" s="182" t="s">
        <v>2187</v>
      </c>
      <c r="H160" s="182" t="s">
        <v>2190</v>
      </c>
      <c r="I160" s="182"/>
      <c r="J160" s="182"/>
      <c r="K160" s="182" t="s">
        <v>7</v>
      </c>
      <c r="L160" s="182" t="s">
        <v>2373</v>
      </c>
      <c r="M160" s="184"/>
    </row>
    <row r="161" spans="1:13">
      <c r="A161" s="183" t="s">
        <v>1430</v>
      </c>
      <c r="B161" s="182" t="s">
        <v>1263</v>
      </c>
      <c r="C161" s="182" t="s">
        <v>1414</v>
      </c>
      <c r="D161" s="182" t="s">
        <v>22</v>
      </c>
      <c r="E161" s="182" t="s">
        <v>10</v>
      </c>
      <c r="F161" s="456">
        <v>180</v>
      </c>
      <c r="G161" s="182" t="s">
        <v>2171</v>
      </c>
      <c r="H161" s="182"/>
      <c r="I161" s="182"/>
      <c r="J161" s="182"/>
      <c r="K161" s="182"/>
      <c r="L161" s="182" t="s">
        <v>2178</v>
      </c>
      <c r="M161" s="184"/>
    </row>
    <row r="162" spans="1:13">
      <c r="A162" s="177" t="s">
        <v>1372</v>
      </c>
      <c r="B162" s="178" t="s">
        <v>1263</v>
      </c>
      <c r="C162" s="178" t="s">
        <v>1364</v>
      </c>
      <c r="D162" s="178" t="s">
        <v>95</v>
      </c>
      <c r="E162" s="178" t="s">
        <v>12</v>
      </c>
      <c r="F162" s="455">
        <v>150</v>
      </c>
      <c r="G162" s="178" t="s">
        <v>2171</v>
      </c>
      <c r="L162" s="178" t="s">
        <v>2238</v>
      </c>
    </row>
    <row r="163" spans="1:13">
      <c r="A163" s="177" t="s">
        <v>1278</v>
      </c>
      <c r="B163" s="178" t="s">
        <v>1263</v>
      </c>
      <c r="C163" s="178" t="s">
        <v>1264</v>
      </c>
      <c r="D163" s="178" t="s">
        <v>22</v>
      </c>
      <c r="E163" s="178" t="s">
        <v>6</v>
      </c>
      <c r="F163" s="455">
        <v>80</v>
      </c>
      <c r="G163" s="178" t="s">
        <v>2171</v>
      </c>
      <c r="L163" s="178" t="s">
        <v>2362</v>
      </c>
    </row>
    <row r="164" spans="1:13">
      <c r="A164" s="177" t="s">
        <v>1278</v>
      </c>
      <c r="B164" s="178" t="s">
        <v>1263</v>
      </c>
      <c r="C164" s="178" t="s">
        <v>1264</v>
      </c>
      <c r="D164" s="178" t="s">
        <v>22</v>
      </c>
      <c r="E164" s="178" t="s">
        <v>6</v>
      </c>
      <c r="F164" s="455">
        <v>120</v>
      </c>
      <c r="G164" s="178" t="s">
        <v>2171</v>
      </c>
      <c r="I164" s="178" t="s">
        <v>2173</v>
      </c>
      <c r="J164" s="178" t="s">
        <v>2374</v>
      </c>
      <c r="L164" s="178" t="s">
        <v>2375</v>
      </c>
    </row>
    <row r="165" spans="1:13">
      <c r="A165" s="177" t="s">
        <v>1444</v>
      </c>
      <c r="B165" s="178" t="s">
        <v>1263</v>
      </c>
      <c r="C165" s="178" t="s">
        <v>1441</v>
      </c>
      <c r="D165" s="178" t="s">
        <v>19</v>
      </c>
      <c r="E165" s="178" t="s">
        <v>14</v>
      </c>
      <c r="F165" s="455">
        <v>7.0000000000000007E-2</v>
      </c>
      <c r="G165" s="178" t="s">
        <v>2187</v>
      </c>
      <c r="H165" s="178" t="s">
        <v>2190</v>
      </c>
      <c r="K165" s="178" t="s">
        <v>11</v>
      </c>
      <c r="L165" s="178" t="s">
        <v>2376</v>
      </c>
    </row>
    <row r="166" spans="1:13">
      <c r="A166" s="177" t="s">
        <v>1444</v>
      </c>
      <c r="B166" s="178" t="s">
        <v>1263</v>
      </c>
      <c r="C166" s="178" t="s">
        <v>1441</v>
      </c>
      <c r="D166" s="178" t="s">
        <v>19</v>
      </c>
      <c r="E166" s="178" t="s">
        <v>11</v>
      </c>
      <c r="F166" s="455">
        <v>90</v>
      </c>
      <c r="G166" s="178" t="s">
        <v>2171</v>
      </c>
      <c r="L166" s="178" t="s">
        <v>2377</v>
      </c>
    </row>
    <row r="167" spans="1:13">
      <c r="A167" s="177" t="s">
        <v>1444</v>
      </c>
      <c r="B167" s="178" t="s">
        <v>1263</v>
      </c>
      <c r="C167" s="178" t="s">
        <v>1441</v>
      </c>
      <c r="D167" s="178" t="s">
        <v>19</v>
      </c>
      <c r="E167" s="178" t="s">
        <v>11</v>
      </c>
      <c r="F167" s="455">
        <v>90</v>
      </c>
      <c r="G167" s="178" t="s">
        <v>2171</v>
      </c>
      <c r="I167" s="178" t="s">
        <v>2173</v>
      </c>
      <c r="J167" s="178" t="s">
        <v>2378</v>
      </c>
      <c r="L167" s="178" t="s">
        <v>2379</v>
      </c>
    </row>
    <row r="168" spans="1:13">
      <c r="A168" s="177" t="s">
        <v>1426</v>
      </c>
      <c r="B168" s="178" t="s">
        <v>1263</v>
      </c>
      <c r="C168" s="178" t="s">
        <v>1414</v>
      </c>
      <c r="D168" s="178" t="s">
        <v>22</v>
      </c>
      <c r="E168" s="178" t="s">
        <v>7</v>
      </c>
      <c r="F168" s="455">
        <v>120</v>
      </c>
      <c r="G168" s="178" t="s">
        <v>2171</v>
      </c>
      <c r="L168" s="178" t="s">
        <v>2380</v>
      </c>
    </row>
    <row r="169" spans="1:13">
      <c r="A169" s="177" t="s">
        <v>1426</v>
      </c>
      <c r="B169" s="178" t="s">
        <v>1263</v>
      </c>
      <c r="C169" s="178" t="s">
        <v>1414</v>
      </c>
      <c r="D169" s="178" t="s">
        <v>22</v>
      </c>
      <c r="E169" s="178" t="s">
        <v>7</v>
      </c>
      <c r="F169" s="455">
        <v>120</v>
      </c>
      <c r="G169" s="178" t="s">
        <v>2171</v>
      </c>
      <c r="I169" s="178" t="s">
        <v>2173</v>
      </c>
      <c r="J169" s="178" t="s">
        <v>2381</v>
      </c>
      <c r="L169" s="178" t="s">
        <v>2382</v>
      </c>
    </row>
    <row r="170" spans="1:13">
      <c r="A170" s="177" t="s">
        <v>1399</v>
      </c>
      <c r="B170" s="178" t="s">
        <v>1263</v>
      </c>
      <c r="C170" s="178" t="s">
        <v>1388</v>
      </c>
      <c r="D170" s="178" t="s">
        <v>22</v>
      </c>
      <c r="E170" s="178" t="s">
        <v>6</v>
      </c>
      <c r="F170" s="455">
        <v>120</v>
      </c>
      <c r="G170" s="178" t="s">
        <v>2171</v>
      </c>
      <c r="L170" s="178" t="s">
        <v>2248</v>
      </c>
    </row>
    <row r="171" spans="1:13">
      <c r="A171" s="183" t="s">
        <v>1399</v>
      </c>
      <c r="B171" s="182" t="s">
        <v>1263</v>
      </c>
      <c r="C171" s="182" t="s">
        <v>1388</v>
      </c>
      <c r="D171" s="182" t="s">
        <v>22</v>
      </c>
      <c r="E171" s="182" t="s">
        <v>6</v>
      </c>
      <c r="F171" s="456">
        <v>120</v>
      </c>
      <c r="G171" s="182" t="s">
        <v>2171</v>
      </c>
      <c r="H171" s="182"/>
      <c r="I171" s="182" t="s">
        <v>2173</v>
      </c>
      <c r="J171" s="182" t="s">
        <v>2259</v>
      </c>
      <c r="K171" s="182"/>
      <c r="L171" s="182" t="s">
        <v>2383</v>
      </c>
      <c r="M171" s="184"/>
    </row>
    <row r="172" spans="1:13">
      <c r="A172" s="183" t="s">
        <v>1460</v>
      </c>
      <c r="B172" s="182" t="s">
        <v>1263</v>
      </c>
      <c r="C172" s="182" t="s">
        <v>1441</v>
      </c>
      <c r="D172" s="182" t="s">
        <v>24</v>
      </c>
      <c r="E172" s="182" t="s">
        <v>12</v>
      </c>
      <c r="F172" s="456">
        <v>0.13</v>
      </c>
      <c r="G172" s="182" t="s">
        <v>2187</v>
      </c>
      <c r="H172" s="182" t="s">
        <v>2190</v>
      </c>
      <c r="I172" s="182"/>
      <c r="J172" s="182"/>
      <c r="K172" s="182" t="s">
        <v>9</v>
      </c>
      <c r="L172" s="182" t="s">
        <v>2283</v>
      </c>
      <c r="M172" s="184"/>
    </row>
    <row r="173" spans="1:13">
      <c r="A173" s="183" t="s">
        <v>1351</v>
      </c>
      <c r="B173" s="182" t="s">
        <v>1263</v>
      </c>
      <c r="C173" s="182" t="s">
        <v>1339</v>
      </c>
      <c r="D173" s="182" t="s">
        <v>22</v>
      </c>
      <c r="E173" s="182" t="s">
        <v>6</v>
      </c>
      <c r="F173" s="456">
        <v>120</v>
      </c>
      <c r="G173" s="182" t="s">
        <v>2171</v>
      </c>
      <c r="H173" s="182"/>
      <c r="I173" s="182"/>
      <c r="J173" s="182"/>
      <c r="K173" s="182"/>
      <c r="L173" s="182" t="s">
        <v>2248</v>
      </c>
      <c r="M173" s="184"/>
    </row>
    <row r="174" spans="1:13">
      <c r="A174" s="183" t="s">
        <v>1351</v>
      </c>
      <c r="B174" s="182" t="s">
        <v>1263</v>
      </c>
      <c r="C174" s="182" t="s">
        <v>1339</v>
      </c>
      <c r="D174" s="182" t="s">
        <v>22</v>
      </c>
      <c r="E174" s="182" t="s">
        <v>6</v>
      </c>
      <c r="F174" s="456">
        <v>120</v>
      </c>
      <c r="G174" s="182" t="s">
        <v>2171</v>
      </c>
      <c r="H174" s="182"/>
      <c r="I174" s="182" t="s">
        <v>2173</v>
      </c>
      <c r="J174" s="182" t="s">
        <v>2384</v>
      </c>
      <c r="K174" s="182"/>
      <c r="L174" s="182" t="s">
        <v>2385</v>
      </c>
      <c r="M174" s="184"/>
    </row>
    <row r="175" spans="1:13">
      <c r="A175" s="183" t="s">
        <v>1295</v>
      </c>
      <c r="B175" s="182" t="s">
        <v>1263</v>
      </c>
      <c r="C175" s="182" t="s">
        <v>1289</v>
      </c>
      <c r="D175" s="182" t="s">
        <v>19</v>
      </c>
      <c r="E175" s="182" t="s">
        <v>2232</v>
      </c>
      <c r="F175" s="456">
        <v>0.05</v>
      </c>
      <c r="G175" s="182" t="s">
        <v>2171</v>
      </c>
      <c r="H175" s="182"/>
      <c r="I175" s="182"/>
      <c r="J175" s="182"/>
      <c r="K175" s="182"/>
      <c r="L175" s="182" t="s">
        <v>2386</v>
      </c>
      <c r="M175" s="184"/>
    </row>
    <row r="176" spans="1:13">
      <c r="A176" s="183" t="s">
        <v>1295</v>
      </c>
      <c r="B176" s="182" t="s">
        <v>1263</v>
      </c>
      <c r="C176" s="182" t="s">
        <v>1289</v>
      </c>
      <c r="D176" s="182" t="s">
        <v>19</v>
      </c>
      <c r="E176" s="182" t="s">
        <v>2232</v>
      </c>
      <c r="F176" s="456">
        <v>0.02</v>
      </c>
      <c r="G176" s="182" t="s">
        <v>2171</v>
      </c>
      <c r="H176" s="182"/>
      <c r="I176" s="182" t="s">
        <v>2173</v>
      </c>
      <c r="J176" s="182" t="s">
        <v>2351</v>
      </c>
      <c r="K176" s="182"/>
      <c r="L176" s="182" t="s">
        <v>2387</v>
      </c>
      <c r="M176" s="184"/>
    </row>
    <row r="177" spans="1:13" ht="23.25">
      <c r="A177" s="183" t="s">
        <v>1295</v>
      </c>
      <c r="B177" s="182" t="s">
        <v>1263</v>
      </c>
      <c r="C177" s="182" t="s">
        <v>1289</v>
      </c>
      <c r="D177" s="182" t="s">
        <v>19</v>
      </c>
      <c r="E177" s="182" t="s">
        <v>2197</v>
      </c>
      <c r="F177" s="456">
        <v>7.0000000000000007E-2</v>
      </c>
      <c r="G177" s="182" t="s">
        <v>2171</v>
      </c>
      <c r="H177" s="182"/>
      <c r="I177" s="182" t="s">
        <v>2173</v>
      </c>
      <c r="J177" s="182" t="s">
        <v>2322</v>
      </c>
      <c r="K177" s="182"/>
      <c r="L177" s="185" t="s">
        <v>2388</v>
      </c>
      <c r="M177" s="184"/>
    </row>
    <row r="178" spans="1:13">
      <c r="A178" s="183" t="s">
        <v>692</v>
      </c>
      <c r="B178" s="182" t="s">
        <v>573</v>
      </c>
      <c r="C178" s="182" t="s">
        <v>674</v>
      </c>
      <c r="D178" s="182" t="s">
        <v>24</v>
      </c>
      <c r="E178" s="182" t="s">
        <v>13</v>
      </c>
      <c r="F178" s="456">
        <v>120</v>
      </c>
      <c r="G178" s="182" t="s">
        <v>2171</v>
      </c>
      <c r="H178" s="182"/>
      <c r="I178" s="182"/>
      <c r="J178" s="182"/>
      <c r="K178" s="182"/>
      <c r="L178" s="182" t="s">
        <v>2319</v>
      </c>
      <c r="M178" s="184"/>
    </row>
    <row r="179" spans="1:13">
      <c r="A179" s="183" t="s">
        <v>692</v>
      </c>
      <c r="B179" s="182" t="s">
        <v>573</v>
      </c>
      <c r="C179" s="182" t="s">
        <v>674</v>
      </c>
      <c r="D179" s="182" t="s">
        <v>24</v>
      </c>
      <c r="E179" s="182" t="s">
        <v>13</v>
      </c>
      <c r="F179" s="456">
        <v>120</v>
      </c>
      <c r="G179" s="182" t="s">
        <v>2171</v>
      </c>
      <c r="H179" s="182"/>
      <c r="I179" s="182" t="s">
        <v>2173</v>
      </c>
      <c r="J179" s="182" t="s">
        <v>2320</v>
      </c>
      <c r="K179" s="182"/>
      <c r="L179" s="182" t="s">
        <v>2321</v>
      </c>
      <c r="M179" s="184"/>
    </row>
    <row r="180" spans="1:13">
      <c r="A180" s="183" t="s">
        <v>613</v>
      </c>
      <c r="B180" s="182" t="s">
        <v>573</v>
      </c>
      <c r="C180" s="182" t="s">
        <v>599</v>
      </c>
      <c r="D180" s="182" t="s">
        <v>22</v>
      </c>
      <c r="E180" s="182" t="s">
        <v>12</v>
      </c>
      <c r="F180" s="456">
        <v>120</v>
      </c>
      <c r="G180" s="182" t="s">
        <v>2171</v>
      </c>
      <c r="H180" s="182"/>
      <c r="I180" s="182"/>
      <c r="J180" s="182"/>
      <c r="K180" s="182"/>
      <c r="L180" s="182" t="s">
        <v>2389</v>
      </c>
      <c r="M180" s="184"/>
    </row>
    <row r="181" spans="1:13">
      <c r="A181" s="183" t="s">
        <v>613</v>
      </c>
      <c r="B181" s="182" t="s">
        <v>573</v>
      </c>
      <c r="C181" s="182" t="s">
        <v>599</v>
      </c>
      <c r="D181" s="182" t="s">
        <v>22</v>
      </c>
      <c r="E181" s="182" t="s">
        <v>11</v>
      </c>
      <c r="F181" s="456">
        <v>120</v>
      </c>
      <c r="G181" s="182" t="s">
        <v>2171</v>
      </c>
      <c r="H181" s="182"/>
      <c r="I181" s="182" t="s">
        <v>2173</v>
      </c>
      <c r="J181" s="182" t="s">
        <v>2205</v>
      </c>
      <c r="K181" s="182"/>
      <c r="L181" s="182" t="s">
        <v>2390</v>
      </c>
      <c r="M181" s="184"/>
    </row>
    <row r="182" spans="1:13">
      <c r="A182" s="183" t="s">
        <v>711</v>
      </c>
      <c r="B182" s="182" t="s">
        <v>573</v>
      </c>
      <c r="C182" s="182" t="s">
        <v>699</v>
      </c>
      <c r="D182" s="182" t="s">
        <v>22</v>
      </c>
      <c r="E182" s="182" t="s">
        <v>13</v>
      </c>
      <c r="F182" s="456">
        <v>0.12</v>
      </c>
      <c r="G182" s="182" t="s">
        <v>2187</v>
      </c>
      <c r="H182" s="182" t="s">
        <v>2190</v>
      </c>
      <c r="I182" s="182"/>
      <c r="J182" s="182"/>
      <c r="K182" s="182" t="s">
        <v>7</v>
      </c>
      <c r="L182" s="182" t="s">
        <v>2391</v>
      </c>
      <c r="M182" s="184"/>
    </row>
    <row r="183" spans="1:13">
      <c r="A183" s="183" t="s">
        <v>711</v>
      </c>
      <c r="B183" s="182" t="s">
        <v>573</v>
      </c>
      <c r="C183" s="182" t="s">
        <v>699</v>
      </c>
      <c r="D183" s="182" t="s">
        <v>22</v>
      </c>
      <c r="E183" s="182" t="s">
        <v>11</v>
      </c>
      <c r="F183" s="456">
        <v>0.15</v>
      </c>
      <c r="G183" s="182" t="s">
        <v>2187</v>
      </c>
      <c r="H183" s="182" t="s">
        <v>2190</v>
      </c>
      <c r="I183" s="182"/>
      <c r="J183" s="182"/>
      <c r="K183" s="182" t="s">
        <v>6</v>
      </c>
      <c r="L183" s="182" t="s">
        <v>2392</v>
      </c>
      <c r="M183" s="184"/>
    </row>
    <row r="184" spans="1:13">
      <c r="A184" s="183" t="s">
        <v>711</v>
      </c>
      <c r="B184" s="182" t="s">
        <v>573</v>
      </c>
      <c r="C184" s="182" t="s">
        <v>699</v>
      </c>
      <c r="D184" s="182" t="s">
        <v>22</v>
      </c>
      <c r="E184" s="182" t="s">
        <v>13</v>
      </c>
      <c r="F184" s="456">
        <v>0.12</v>
      </c>
      <c r="G184" s="182" t="s">
        <v>2187</v>
      </c>
      <c r="H184" s="182" t="s">
        <v>2190</v>
      </c>
      <c r="I184" s="182" t="s">
        <v>2173</v>
      </c>
      <c r="J184" s="182" t="s">
        <v>2393</v>
      </c>
      <c r="K184" s="182" t="s">
        <v>7</v>
      </c>
      <c r="L184" s="182" t="s">
        <v>2394</v>
      </c>
      <c r="M184" s="184"/>
    </row>
    <row r="185" spans="1:13">
      <c r="A185" s="183" t="s">
        <v>711</v>
      </c>
      <c r="B185" s="182" t="s">
        <v>573</v>
      </c>
      <c r="C185" s="182" t="s">
        <v>699</v>
      </c>
      <c r="D185" s="182" t="s">
        <v>22</v>
      </c>
      <c r="E185" s="182" t="s">
        <v>11</v>
      </c>
      <c r="F185" s="456">
        <v>0.15</v>
      </c>
      <c r="G185" s="182" t="s">
        <v>2187</v>
      </c>
      <c r="H185" s="182" t="s">
        <v>2190</v>
      </c>
      <c r="I185" s="182" t="s">
        <v>2173</v>
      </c>
      <c r="J185" s="182" t="s">
        <v>2393</v>
      </c>
      <c r="K185" s="182" t="s">
        <v>6</v>
      </c>
      <c r="L185" s="182" t="s">
        <v>2395</v>
      </c>
      <c r="M185" s="184"/>
    </row>
    <row r="186" spans="1:13">
      <c r="A186" s="183" t="s">
        <v>617</v>
      </c>
      <c r="B186" s="182" t="s">
        <v>573</v>
      </c>
      <c r="C186" s="182" t="s">
        <v>599</v>
      </c>
      <c r="D186" s="182" t="s">
        <v>24</v>
      </c>
      <c r="E186" s="182" t="s">
        <v>2197</v>
      </c>
      <c r="F186" s="456">
        <v>1</v>
      </c>
      <c r="G186" s="182" t="s">
        <v>2171</v>
      </c>
      <c r="H186" s="182"/>
      <c r="I186" s="182" t="s">
        <v>2173</v>
      </c>
      <c r="J186" s="182" t="s">
        <v>2396</v>
      </c>
      <c r="K186" s="182"/>
      <c r="L186" s="182" t="s">
        <v>2397</v>
      </c>
      <c r="M186" s="184"/>
    </row>
    <row r="187" spans="1:13">
      <c r="A187" s="183" t="s">
        <v>607</v>
      </c>
      <c r="B187" s="182" t="s">
        <v>573</v>
      </c>
      <c r="C187" s="182" t="s">
        <v>599</v>
      </c>
      <c r="D187" s="182" t="s">
        <v>95</v>
      </c>
      <c r="E187" s="182" t="s">
        <v>11</v>
      </c>
      <c r="F187" s="456">
        <v>180</v>
      </c>
      <c r="G187" s="182" t="s">
        <v>2171</v>
      </c>
      <c r="H187" s="182" t="s">
        <v>2192</v>
      </c>
      <c r="I187" s="182"/>
      <c r="J187" s="182"/>
      <c r="K187" s="182" t="s">
        <v>81</v>
      </c>
      <c r="L187" s="182" t="s">
        <v>2398</v>
      </c>
      <c r="M187" s="184"/>
    </row>
    <row r="188" spans="1:13">
      <c r="A188" s="183" t="s">
        <v>717</v>
      </c>
      <c r="B188" s="182" t="s">
        <v>573</v>
      </c>
      <c r="C188" s="182" t="s">
        <v>699</v>
      </c>
      <c r="D188" s="182" t="s">
        <v>98</v>
      </c>
      <c r="E188" s="182" t="s">
        <v>6</v>
      </c>
      <c r="F188" s="456">
        <v>300</v>
      </c>
      <c r="G188" s="182" t="s">
        <v>2171</v>
      </c>
      <c r="H188" s="182"/>
      <c r="I188" s="182" t="s">
        <v>2173</v>
      </c>
      <c r="J188" s="182" t="s">
        <v>2393</v>
      </c>
      <c r="K188" s="182"/>
      <c r="L188" s="182" t="s">
        <v>2399</v>
      </c>
      <c r="M188" s="184"/>
    </row>
    <row r="189" spans="1:13">
      <c r="A189" s="183" t="s">
        <v>717</v>
      </c>
      <c r="B189" s="182" t="s">
        <v>573</v>
      </c>
      <c r="C189" s="182" t="s">
        <v>699</v>
      </c>
      <c r="D189" s="182" t="s">
        <v>98</v>
      </c>
      <c r="E189" s="182" t="s">
        <v>11</v>
      </c>
      <c r="F189" s="456">
        <v>300</v>
      </c>
      <c r="G189" s="182" t="s">
        <v>2171</v>
      </c>
      <c r="H189" s="182"/>
      <c r="I189" s="182" t="s">
        <v>2173</v>
      </c>
      <c r="J189" s="182" t="s">
        <v>2393</v>
      </c>
      <c r="K189" s="182"/>
      <c r="L189" s="182" t="s">
        <v>2400</v>
      </c>
      <c r="M189" s="184"/>
    </row>
    <row r="190" spans="1:13">
      <c r="A190" s="183" t="s">
        <v>586</v>
      </c>
      <c r="B190" s="182" t="s">
        <v>573</v>
      </c>
      <c r="C190" s="182" t="s">
        <v>574</v>
      </c>
      <c r="D190" s="182" t="s">
        <v>22</v>
      </c>
      <c r="E190" s="182" t="s">
        <v>6</v>
      </c>
      <c r="F190" s="456">
        <v>120</v>
      </c>
      <c r="G190" s="182" t="s">
        <v>2171</v>
      </c>
      <c r="H190" s="182"/>
      <c r="I190" s="182" t="s">
        <v>2173</v>
      </c>
      <c r="J190" s="182" t="s">
        <v>2401</v>
      </c>
      <c r="K190" s="182"/>
      <c r="L190" s="182" t="s">
        <v>2402</v>
      </c>
      <c r="M190" s="184"/>
    </row>
    <row r="191" spans="1:13">
      <c r="A191" s="183" t="s">
        <v>586</v>
      </c>
      <c r="B191" s="182" t="s">
        <v>573</v>
      </c>
      <c r="C191" s="182" t="s">
        <v>574</v>
      </c>
      <c r="D191" s="182" t="s">
        <v>22</v>
      </c>
      <c r="E191" s="182" t="s">
        <v>6</v>
      </c>
      <c r="F191" s="456">
        <v>240</v>
      </c>
      <c r="G191" s="182" t="s">
        <v>2171</v>
      </c>
      <c r="H191" s="182"/>
      <c r="I191" s="182" t="s">
        <v>2173</v>
      </c>
      <c r="J191" s="185" t="s">
        <v>2403</v>
      </c>
      <c r="K191" s="182"/>
      <c r="L191" s="182" t="s">
        <v>2404</v>
      </c>
      <c r="M191" s="184"/>
    </row>
    <row r="192" spans="1:13">
      <c r="A192" s="183" t="s">
        <v>619</v>
      </c>
      <c r="B192" s="182" t="s">
        <v>573</v>
      </c>
      <c r="C192" s="182" t="s">
        <v>599</v>
      </c>
      <c r="D192" s="182" t="s">
        <v>24</v>
      </c>
      <c r="E192" s="182" t="s">
        <v>11</v>
      </c>
      <c r="F192" s="456">
        <v>15</v>
      </c>
      <c r="G192" s="182" t="s">
        <v>2171</v>
      </c>
      <c r="H192" s="182" t="s">
        <v>2225</v>
      </c>
      <c r="I192" s="182" t="s">
        <v>2173</v>
      </c>
      <c r="J192" s="182" t="s">
        <v>2401</v>
      </c>
      <c r="K192" s="182"/>
      <c r="L192" s="182" t="s">
        <v>2405</v>
      </c>
      <c r="M192" s="184">
        <v>25</v>
      </c>
    </row>
    <row r="193" spans="1:13">
      <c r="A193" s="183" t="s">
        <v>588</v>
      </c>
      <c r="B193" s="182" t="s">
        <v>573</v>
      </c>
      <c r="C193" s="182" t="s">
        <v>574</v>
      </c>
      <c r="D193" s="182" t="s">
        <v>22</v>
      </c>
      <c r="E193" s="182" t="s">
        <v>9</v>
      </c>
      <c r="F193" s="456">
        <v>0.1</v>
      </c>
      <c r="G193" s="182" t="s">
        <v>2187</v>
      </c>
      <c r="H193" s="182" t="s">
        <v>2190</v>
      </c>
      <c r="I193" s="182"/>
      <c r="J193" s="182"/>
      <c r="K193" s="182" t="str">
        <f>_xlfn.TEXTAFTER(TraitStatsTable[[#This Row],[Note]], " ", -1)</f>
        <v>Power</v>
      </c>
      <c r="L193" s="182" t="s">
        <v>2219</v>
      </c>
      <c r="M193" s="184"/>
    </row>
    <row r="194" spans="1:13">
      <c r="A194" s="183" t="s">
        <v>588</v>
      </c>
      <c r="B194" s="182" t="s">
        <v>573</v>
      </c>
      <c r="C194" s="182" t="s">
        <v>574</v>
      </c>
      <c r="D194" s="182" t="s">
        <v>22</v>
      </c>
      <c r="E194" s="182" t="s">
        <v>13</v>
      </c>
      <c r="F194" s="456">
        <v>0.1</v>
      </c>
      <c r="G194" s="182" t="s">
        <v>2187</v>
      </c>
      <c r="H194" s="182" t="s">
        <v>2190</v>
      </c>
      <c r="I194" s="182"/>
      <c r="J194" s="182"/>
      <c r="K194" s="182" t="str">
        <f>_xlfn.TEXTAFTER(TraitStatsTable[[#This Row],[Note]], " ", -1)</f>
        <v>Power</v>
      </c>
      <c r="L194" s="182" t="s">
        <v>2406</v>
      </c>
      <c r="M194" s="184"/>
    </row>
    <row r="195" spans="1:13">
      <c r="A195" s="183" t="s">
        <v>771</v>
      </c>
      <c r="B195" s="182" t="s">
        <v>573</v>
      </c>
      <c r="C195" s="182" t="s">
        <v>726</v>
      </c>
      <c r="D195" s="182" t="s">
        <v>98</v>
      </c>
      <c r="E195" s="182" t="s">
        <v>13</v>
      </c>
      <c r="F195" s="456">
        <v>250</v>
      </c>
      <c r="G195" s="182" t="s">
        <v>2171</v>
      </c>
      <c r="H195" s="182"/>
      <c r="I195" s="182" t="s">
        <v>2173</v>
      </c>
      <c r="J195" s="182" t="s">
        <v>2226</v>
      </c>
      <c r="K195" s="182"/>
      <c r="L195" s="182" t="s">
        <v>2407</v>
      </c>
      <c r="M195" s="184"/>
    </row>
    <row r="196" spans="1:13">
      <c r="A196" s="183" t="s">
        <v>788</v>
      </c>
      <c r="B196" s="182" t="s">
        <v>573</v>
      </c>
      <c r="C196" s="182" t="s">
        <v>780</v>
      </c>
      <c r="D196" s="182" t="s">
        <v>95</v>
      </c>
      <c r="E196" s="182" t="s">
        <v>10</v>
      </c>
      <c r="F196" s="456">
        <v>100</v>
      </c>
      <c r="G196" s="182" t="s">
        <v>2171</v>
      </c>
      <c r="H196" s="182"/>
      <c r="I196" s="182"/>
      <c r="J196" s="182"/>
      <c r="K196" s="182"/>
      <c r="L196" s="182" t="s">
        <v>2408</v>
      </c>
      <c r="M196" s="184"/>
    </row>
    <row r="197" spans="1:13">
      <c r="A197" s="183" t="s">
        <v>590</v>
      </c>
      <c r="B197" s="182" t="s">
        <v>573</v>
      </c>
      <c r="C197" s="182" t="s">
        <v>574</v>
      </c>
      <c r="D197" s="182" t="s">
        <v>98</v>
      </c>
      <c r="E197" s="182" t="s">
        <v>6</v>
      </c>
      <c r="F197" s="456">
        <v>10</v>
      </c>
      <c r="G197" s="182" t="s">
        <v>2171</v>
      </c>
      <c r="H197" s="182" t="s">
        <v>2192</v>
      </c>
      <c r="I197" s="182"/>
      <c r="J197" s="182"/>
      <c r="K197" s="182" t="s">
        <v>79</v>
      </c>
      <c r="L197" s="182" t="s">
        <v>2280</v>
      </c>
      <c r="M197" s="184"/>
    </row>
    <row r="198" spans="1:13">
      <c r="A198" s="183" t="s">
        <v>590</v>
      </c>
      <c r="B198" s="182" t="s">
        <v>573</v>
      </c>
      <c r="C198" s="182" t="s">
        <v>574</v>
      </c>
      <c r="D198" s="182" t="s">
        <v>98</v>
      </c>
      <c r="E198" s="182" t="s">
        <v>2197</v>
      </c>
      <c r="F198" s="456">
        <v>0.05</v>
      </c>
      <c r="G198" s="182" t="s">
        <v>2171</v>
      </c>
      <c r="H198" s="182"/>
      <c r="I198" s="182"/>
      <c r="J198" s="182"/>
      <c r="K198" s="182"/>
      <c r="L198" s="182" t="s">
        <v>2347</v>
      </c>
      <c r="M198" s="184"/>
    </row>
    <row r="199" spans="1:13">
      <c r="A199" s="183" t="s">
        <v>730</v>
      </c>
      <c r="B199" s="182" t="s">
        <v>573</v>
      </c>
      <c r="C199" s="182" t="s">
        <v>726</v>
      </c>
      <c r="D199" s="182" t="s">
        <v>19</v>
      </c>
      <c r="E199" s="182" t="s">
        <v>2232</v>
      </c>
      <c r="F199" s="456">
        <v>7.4999999999999997E-2</v>
      </c>
      <c r="G199" s="182" t="s">
        <v>2171</v>
      </c>
      <c r="H199" s="182"/>
      <c r="I199" s="182"/>
      <c r="J199" s="182"/>
      <c r="K199" s="182"/>
      <c r="L199" s="182" t="s">
        <v>2409</v>
      </c>
      <c r="M199" s="184"/>
    </row>
    <row r="200" spans="1:13">
      <c r="A200" s="183" t="s">
        <v>730</v>
      </c>
      <c r="B200" s="182" t="s">
        <v>573</v>
      </c>
      <c r="C200" s="182" t="s">
        <v>726</v>
      </c>
      <c r="D200" s="182" t="s">
        <v>19</v>
      </c>
      <c r="E200" s="182" t="str" cm="1">
        <f t="array" ref="E200">_xlfn.LET(_xlpm.fromstat,INDEX('Build &amp; Totals'!B56:B64,MATCH(Helpers!D12,StatList,0)),_xlpm.gainstat,INDEX(StatSubtotals,MATCH(B200,StatList,0)),_xlpm.percent,TRUNC(_xlpm.fromstat/C200)*A200,_xlpm.val,_xlpm.gainstat*_xlpm.percent,IF(ISERROR(_xlpm.val),"",_xlpm.val))</f>
        <v/>
      </c>
      <c r="F200" s="456">
        <v>0.15</v>
      </c>
      <c r="G200" s="182" t="s">
        <v>2171</v>
      </c>
      <c r="H200" s="182"/>
      <c r="I200" s="182" t="s">
        <v>2173</v>
      </c>
      <c r="J200" s="182" t="s">
        <v>2410</v>
      </c>
      <c r="K200" s="182"/>
      <c r="L200" s="182" t="s">
        <v>2411</v>
      </c>
      <c r="M200" s="184"/>
    </row>
    <row r="201" spans="1:13">
      <c r="A201" s="183" t="s">
        <v>655</v>
      </c>
      <c r="B201" s="182" t="s">
        <v>573</v>
      </c>
      <c r="C201" s="182" t="s">
        <v>649</v>
      </c>
      <c r="D201" s="182" t="s">
        <v>19</v>
      </c>
      <c r="E201" s="182" t="s">
        <v>10</v>
      </c>
      <c r="F201" s="456">
        <v>120</v>
      </c>
      <c r="G201" s="182" t="s">
        <v>2171</v>
      </c>
      <c r="H201" s="182"/>
      <c r="I201" s="182"/>
      <c r="J201" s="182"/>
      <c r="K201" s="182"/>
      <c r="L201" s="182" t="s">
        <v>2243</v>
      </c>
      <c r="M201" s="184"/>
    </row>
    <row r="202" spans="1:13">
      <c r="A202" s="183" t="s">
        <v>603</v>
      </c>
      <c r="B202" s="182" t="s">
        <v>573</v>
      </c>
      <c r="C202" s="182" t="s">
        <v>599</v>
      </c>
      <c r="D202" s="182" t="s">
        <v>19</v>
      </c>
      <c r="E202" s="182" t="s">
        <v>13</v>
      </c>
      <c r="F202" s="456">
        <v>100</v>
      </c>
      <c r="G202" s="185" t="s">
        <v>2171</v>
      </c>
      <c r="H202" s="185" t="s">
        <v>2225</v>
      </c>
      <c r="I202" s="185" t="s">
        <v>2173</v>
      </c>
      <c r="J202" s="185" t="s">
        <v>2412</v>
      </c>
      <c r="K202" s="182"/>
      <c r="L202" s="182" t="s">
        <v>2413</v>
      </c>
      <c r="M202" s="184">
        <v>5</v>
      </c>
    </row>
    <row r="203" spans="1:13">
      <c r="A203" s="183" t="s">
        <v>703</v>
      </c>
      <c r="B203" s="182" t="s">
        <v>573</v>
      </c>
      <c r="C203" s="182" t="s">
        <v>699</v>
      </c>
      <c r="D203" s="182" t="s">
        <v>19</v>
      </c>
      <c r="E203" s="182" t="s">
        <v>2197</v>
      </c>
      <c r="F203" s="456">
        <v>0.15</v>
      </c>
      <c r="G203" s="182" t="s">
        <v>2171</v>
      </c>
      <c r="H203" s="182"/>
      <c r="I203" s="182" t="s">
        <v>2173</v>
      </c>
      <c r="J203" s="182" t="s">
        <v>2393</v>
      </c>
      <c r="K203" s="182"/>
      <c r="L203" s="182" t="s">
        <v>2414</v>
      </c>
      <c r="M203" s="184"/>
    </row>
    <row r="204" spans="1:13">
      <c r="A204" s="183" t="s">
        <v>790</v>
      </c>
      <c r="B204" s="182" t="s">
        <v>573</v>
      </c>
      <c r="C204" s="182" t="s">
        <v>780</v>
      </c>
      <c r="D204" s="182" t="s">
        <v>22</v>
      </c>
      <c r="E204" s="182" t="s">
        <v>11</v>
      </c>
      <c r="F204" s="456">
        <v>0.15</v>
      </c>
      <c r="G204" s="182" t="s">
        <v>2187</v>
      </c>
      <c r="H204" s="182"/>
      <c r="I204" s="182" t="s">
        <v>2173</v>
      </c>
      <c r="J204" s="182" t="s">
        <v>2415</v>
      </c>
      <c r="K204" s="182"/>
      <c r="L204" s="182" t="s">
        <v>2416</v>
      </c>
      <c r="M204" s="184"/>
    </row>
    <row r="205" spans="1:13">
      <c r="A205" s="183" t="s">
        <v>609</v>
      </c>
      <c r="B205" s="182" t="s">
        <v>573</v>
      </c>
      <c r="C205" s="182" t="s">
        <v>599</v>
      </c>
      <c r="D205" s="182" t="s">
        <v>22</v>
      </c>
      <c r="E205" s="182" t="s">
        <v>2197</v>
      </c>
      <c r="F205" s="456">
        <v>0.25</v>
      </c>
      <c r="G205" s="182" t="s">
        <v>2171</v>
      </c>
      <c r="H205" s="182"/>
      <c r="I205" s="182" t="s">
        <v>2173</v>
      </c>
      <c r="J205" s="182" t="s">
        <v>2417</v>
      </c>
      <c r="K205" s="182"/>
      <c r="L205" s="182" t="s">
        <v>2418</v>
      </c>
      <c r="M205" s="184"/>
    </row>
    <row r="206" spans="1:13">
      <c r="A206" s="183" t="s">
        <v>609</v>
      </c>
      <c r="B206" s="182" t="s">
        <v>573</v>
      </c>
      <c r="C206" s="182" t="s">
        <v>599</v>
      </c>
      <c r="D206" s="182" t="s">
        <v>22</v>
      </c>
      <c r="E206" s="182" t="s">
        <v>2197</v>
      </c>
      <c r="F206" s="456">
        <v>0.5</v>
      </c>
      <c r="G206" s="182" t="s">
        <v>2171</v>
      </c>
      <c r="H206" s="182"/>
      <c r="I206" s="182" t="s">
        <v>2173</v>
      </c>
      <c r="J206" s="182" t="s">
        <v>2419</v>
      </c>
      <c r="K206" s="182"/>
      <c r="L206" s="182" t="s">
        <v>2420</v>
      </c>
      <c r="M206" s="184"/>
    </row>
    <row r="207" spans="1:13">
      <c r="A207" s="183" t="s">
        <v>669</v>
      </c>
      <c r="B207" s="182" t="s">
        <v>573</v>
      </c>
      <c r="C207" s="182" t="s">
        <v>649</v>
      </c>
      <c r="D207" s="182" t="s">
        <v>24</v>
      </c>
      <c r="E207" s="182" t="s">
        <v>14</v>
      </c>
      <c r="F207" s="456">
        <v>0.13</v>
      </c>
      <c r="G207" s="182" t="s">
        <v>2187</v>
      </c>
      <c r="H207" s="182" t="s">
        <v>2190</v>
      </c>
      <c r="I207" s="182"/>
      <c r="J207" s="182"/>
      <c r="K207" s="182" t="s">
        <v>6</v>
      </c>
      <c r="L207" s="182" t="s">
        <v>2421</v>
      </c>
      <c r="M207" s="184"/>
    </row>
    <row r="208" spans="1:13">
      <c r="A208" s="183" t="s">
        <v>601</v>
      </c>
      <c r="B208" s="182" t="s">
        <v>573</v>
      </c>
      <c r="C208" s="182" t="s">
        <v>599</v>
      </c>
      <c r="D208" s="182" t="s">
        <v>19</v>
      </c>
      <c r="E208" s="182" t="s">
        <v>12</v>
      </c>
      <c r="F208" s="456">
        <v>7.0000000000000007E-2</v>
      </c>
      <c r="G208" s="182" t="s">
        <v>2187</v>
      </c>
      <c r="H208" s="182" t="s">
        <v>2190</v>
      </c>
      <c r="I208" s="182"/>
      <c r="J208" s="182"/>
      <c r="K208" s="182" t="str">
        <f>_xlfn.TEXTAFTER(TraitStatsTable[[#This Row],[Note]], " ", -1)</f>
        <v>Precision</v>
      </c>
      <c r="L208" s="182" t="s">
        <v>2422</v>
      </c>
      <c r="M208" s="184"/>
    </row>
    <row r="209" spans="1:13">
      <c r="A209" s="183"/>
      <c r="B209" s="182"/>
      <c r="C209" s="182"/>
      <c r="D209" s="182"/>
      <c r="E209" s="182"/>
      <c r="F209" s="456"/>
      <c r="G209" s="182"/>
      <c r="H209" s="182"/>
      <c r="I209" s="182"/>
      <c r="J209" s="182"/>
      <c r="K209" s="182"/>
      <c r="L209" s="182"/>
      <c r="M209" s="184"/>
    </row>
  </sheetData>
  <sheetProtection sheet="1" objects="1" scenarios="1"/>
  <conditionalFormatting sqref="A2:M209">
    <cfRule type="expression" dxfId="52" priority="1">
      <formula>$A2=Spec2MajorGrandmaster</formula>
    </cfRule>
    <cfRule type="expression" dxfId="51" priority="2">
      <formula>$A2=Spec2MinorGrandmaster</formula>
    </cfRule>
    <cfRule type="expression" dxfId="50" priority="3">
      <formula>$A2=Spec2MajorMaster</formula>
    </cfRule>
    <cfRule type="expression" dxfId="49" priority="4">
      <formula>$A2=Spec2MinorMaster</formula>
    </cfRule>
    <cfRule type="expression" dxfId="48" priority="5">
      <formula>$A2=Spec2MajorAdept</formula>
    </cfRule>
    <cfRule type="expression" dxfId="47" priority="6">
      <formula>$A2=Spec2MinorAdept</formula>
    </cfRule>
    <cfRule type="expression" dxfId="46" priority="7">
      <formula>$A2=Spec1MajorGrandmaster</formula>
    </cfRule>
    <cfRule type="expression" dxfId="45" priority="9">
      <formula>$A2=Spec1MinorGrandmaster</formula>
    </cfRule>
    <cfRule type="expression" dxfId="44" priority="10">
      <formula>$A2=Spec1MajorMaster</formula>
    </cfRule>
    <cfRule type="expression" dxfId="43" priority="11">
      <formula>$A2=Spec1MinorMaster</formula>
    </cfRule>
    <cfRule type="expression" dxfId="42" priority="12">
      <formula>$A2=Spec1MajorAdept</formula>
    </cfRule>
    <cfRule type="expression" dxfId="41" priority="13">
      <formula>$A2=Spec1MinorAdept</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8735-6392-49D5-A2CB-D2D3D37198DF}">
  <dimension ref="A1:AG612"/>
  <sheetViews>
    <sheetView workbookViewId="0">
      <selection activeCell="E11" sqref="E11"/>
    </sheetView>
  </sheetViews>
  <sheetFormatPr defaultRowHeight="12.75"/>
  <cols>
    <col min="1" max="1" width="31" style="85" bestFit="1" customWidth="1"/>
    <col min="2" max="5" width="18.42578125" style="85" bestFit="1" customWidth="1"/>
    <col min="6" max="6" width="36.5703125" style="85" bestFit="1" customWidth="1"/>
    <col min="7" max="7" width="13.42578125" style="85" customWidth="1"/>
    <col min="8" max="8" width="9.140625" style="85" customWidth="1"/>
    <col min="9" max="9" width="14.7109375" style="85" customWidth="1"/>
    <col min="10" max="10" width="13.5703125" style="85" bestFit="1" customWidth="1"/>
    <col min="11" max="11" width="7" style="85" customWidth="1"/>
    <col min="12" max="12" width="9.42578125" style="85" bestFit="1" customWidth="1"/>
    <col min="13" max="13" width="11.140625" style="85" bestFit="1" customWidth="1"/>
    <col min="14" max="14" width="9.42578125" style="85" bestFit="1" customWidth="1"/>
    <col min="15" max="15" width="14.140625" style="85" bestFit="1" customWidth="1"/>
    <col min="16" max="16" width="18.42578125" style="85" bestFit="1" customWidth="1"/>
    <col min="17" max="17" width="9.85546875" style="85" bestFit="1" customWidth="1"/>
    <col min="18" max="18" width="8.5703125" style="85" bestFit="1" customWidth="1"/>
    <col min="19" max="19" width="14.42578125" style="85" bestFit="1" customWidth="1"/>
    <col min="20" max="21" width="9.140625" style="85"/>
    <col min="22" max="23" width="36.5703125" style="85" bestFit="1" customWidth="1"/>
    <col min="24" max="24" width="9.140625" style="85"/>
    <col min="25" max="25" width="10.28515625" style="85" bestFit="1" customWidth="1"/>
    <col min="26" max="26" width="9.140625" style="85"/>
    <col min="27" max="27" width="13.7109375" style="85" bestFit="1" customWidth="1"/>
    <col min="28" max="28" width="17.28515625" style="85" bestFit="1" customWidth="1"/>
    <col min="29" max="30" width="9.140625" style="85"/>
    <col min="31" max="31" width="13.5703125" style="85" bestFit="1" customWidth="1"/>
    <col min="32" max="32" width="10.28515625" style="85" bestFit="1" customWidth="1"/>
    <col min="33" max="33" width="15.5703125" style="85" bestFit="1" customWidth="1"/>
    <col min="34" max="16384" width="9.140625" style="85"/>
  </cols>
  <sheetData>
    <row r="1" spans="1:33" ht="24" customHeight="1">
      <c r="A1" s="522" t="s">
        <v>2423</v>
      </c>
      <c r="B1" s="522"/>
      <c r="C1" s="522"/>
      <c r="D1" s="522"/>
      <c r="E1" s="522"/>
      <c r="F1" s="522"/>
      <c r="G1" s="109"/>
      <c r="H1" s="518" t="s">
        <v>2424</v>
      </c>
      <c r="I1" s="518"/>
      <c r="J1" s="518"/>
      <c r="K1" s="518"/>
      <c r="L1" s="518"/>
      <c r="M1" s="518"/>
      <c r="N1" s="518"/>
      <c r="O1" s="518"/>
      <c r="P1" s="518"/>
      <c r="Q1" s="518"/>
      <c r="R1" s="518"/>
      <c r="S1" s="518"/>
      <c r="V1" s="110"/>
      <c r="W1" s="110"/>
      <c r="X1" s="110"/>
      <c r="Y1" s="110"/>
      <c r="Z1" s="110"/>
      <c r="AA1" s="110"/>
      <c r="AB1" s="110"/>
      <c r="AC1" s="110"/>
      <c r="AD1" s="110"/>
      <c r="AE1" s="110"/>
      <c r="AF1" s="110"/>
      <c r="AG1" s="110"/>
    </row>
    <row r="2" spans="1:33" ht="15" customHeight="1">
      <c r="A2" s="125" t="s">
        <v>2425</v>
      </c>
      <c r="B2" s="125" t="s">
        <v>2426</v>
      </c>
      <c r="C2" s="125" t="s">
        <v>2427</v>
      </c>
      <c r="D2" s="125" t="s">
        <v>2428</v>
      </c>
      <c r="E2" s="125" t="s">
        <v>2429</v>
      </c>
      <c r="F2" s="126" t="s">
        <v>2430</v>
      </c>
      <c r="G2" s="111"/>
      <c r="H2" s="154" t="s">
        <v>2431</v>
      </c>
      <c r="I2" s="152" t="s">
        <v>2425</v>
      </c>
      <c r="J2" s="152" t="s">
        <v>2432</v>
      </c>
      <c r="K2" s="152" t="s">
        <v>6</v>
      </c>
      <c r="L2" s="152" t="s">
        <v>7</v>
      </c>
      <c r="M2" s="152" t="s">
        <v>8</v>
      </c>
      <c r="N2" s="152" t="s">
        <v>9</v>
      </c>
      <c r="O2" s="152" t="s">
        <v>10</v>
      </c>
      <c r="P2" s="152" t="s">
        <v>11</v>
      </c>
      <c r="Q2" s="152" t="s">
        <v>12</v>
      </c>
      <c r="R2" s="152" t="s">
        <v>13</v>
      </c>
      <c r="S2" s="153" t="s">
        <v>14</v>
      </c>
      <c r="V2" s="112"/>
      <c r="W2" s="112"/>
    </row>
    <row r="3" spans="1:33" ht="15" customHeight="1">
      <c r="A3" s="125"/>
      <c r="B3" s="125"/>
      <c r="C3" s="125"/>
      <c r="D3" s="125"/>
      <c r="E3" s="125"/>
      <c r="F3" s="131" t="s">
        <v>4</v>
      </c>
      <c r="G3" s="111"/>
      <c r="H3" s="159" t="str">
        <f>_xlfn.CONCAT(I$3,J3)</f>
        <v>ApostateWeapon (1H)</v>
      </c>
      <c r="I3" s="523" t="str">
        <f>A4</f>
        <v>Apostate</v>
      </c>
      <c r="J3" s="155" t="s">
        <v>37</v>
      </c>
      <c r="K3" s="156" t="str" cm="1">
        <f t="array" ref="K3">IF(COUNTIF($B$4:$E$4, K$2)&gt;0, _xlfn.IFS(COUNTIF($B$4:$C$4, K$2)&gt;0, VLOOKUP($J3,'Gear Values'!$A$2:$E$13, IF(COUNTBLANK('Attributes &amp; Prefixes'!$B$4:$C$4)&gt;0, "2", "3"), 0), COUNTIF($D$4:$E$4, K$2)&gt;0, VLOOKUP($J3,'Gear Values'!$A$2:$E$13, IF(COUNTBLANK('Attributes &amp; Prefixes'!$B$4:$C$4)&gt;0, "4", "5"), 0)), "")</f>
        <v/>
      </c>
      <c r="L3" s="157" t="str" cm="1">
        <f t="array" ref="L3">IF(COUNTIF($B$4:$E$4, L$2)&gt;0, _xlfn.IFS(COUNTIF($B$4:$C$4, L$2)&gt;0, VLOOKUP($J3,'Gear Values'!$A$2:$E$13, IF(COUNTBLANK('Attributes &amp; Prefixes'!$B$4:$C$4)&gt;0, "2", "3"), 0), COUNTIF($D$4:$E$4, L$2)&gt;0, VLOOKUP($J3,'Gear Values'!$A$2:$E$13, IF(COUNTBLANK('Attributes &amp; Prefixes'!$B$4:$C$4)&gt;0, "4", "5"), 0)), "")</f>
        <v/>
      </c>
      <c r="M3" s="157" cm="1">
        <f t="array" ref="M3">IF(COUNTIF($B$4:$E$4, M$2)&gt;0, _xlfn.IFS(COUNTIF($B$4:$C$4, M$2)&gt;0, VLOOKUP($J3,'Gear Values'!$A$2:$E$13, IF(COUNTBLANK('Attributes &amp; Prefixes'!$B$4:$C$4)&gt;0, "2", "3"), 0), COUNTIF($D$4:$E$4, M$2)&gt;0, VLOOKUP($J3,'Gear Values'!$A$2:$E$13, IF(COUNTBLANK('Attributes &amp; Prefixes'!$B$4:$C$4)&gt;0, "4", "5"), 0)), "")</f>
        <v>85</v>
      </c>
      <c r="N3" s="157" t="str" cm="1">
        <f t="array" ref="N3">IF(COUNTIF($B$4:$E$4, N$2)&gt;0, _xlfn.IFS(COUNTIF($B$4:$C$4, N$2)&gt;0, VLOOKUP($J3,'Gear Values'!$A$2:$E$13, IF(COUNTBLANK('Attributes &amp; Prefixes'!$B$4:$C$4)&gt;0, "2", "3"), 0), COUNTIF($D$4:$E$4, N$2)&gt;0, VLOOKUP($J3,'Gear Values'!$A$2:$E$13, IF(COUNTBLANK('Attributes &amp; Prefixes'!$B$4:$C$4)&gt;0, "4", "5"), 0)), "")</f>
        <v/>
      </c>
      <c r="O3" s="157" t="str" cm="1">
        <f t="array" ref="O3">IF(COUNTIF($B$4:$E$4, O$2)&gt;0, _xlfn.IFS(COUNTIF($B$4:$C$4, O$2)&gt;0, VLOOKUP($J3,'Gear Values'!$A$2:$E$13, IF(COUNTBLANK('Attributes &amp; Prefixes'!$B$4:$C$4)&gt;0, "2", "3"), 0), COUNTIF($D$4:$E$4, O$2)&gt;0, VLOOKUP($J3,'Gear Values'!$A$2:$E$13, IF(COUNTBLANK('Attributes &amp; Prefixes'!$B$4:$C$4)&gt;0, "4", "5"), 0)), "")</f>
        <v/>
      </c>
      <c r="P3" s="157" cm="1">
        <f t="array" ref="P3">IF(COUNTIF($B$4:$E$4, P$2)&gt;0, _xlfn.IFS(COUNTIF($B$4:$C$4, P$2)&gt;0, VLOOKUP($J3,'Gear Values'!$A$2:$E$13, IF(COUNTBLANK('Attributes &amp; Prefixes'!$B$4:$C$4)&gt;0, "2", "3"), 0), COUNTIF($D$4:$E$4, P$2)&gt;0, VLOOKUP($J3,'Gear Values'!$A$2:$E$13, IF(COUNTBLANK('Attributes &amp; Prefixes'!$B$4:$C$4)&gt;0, "4", "5"), 0)), "")</f>
        <v>120</v>
      </c>
      <c r="Q3" s="157" t="str" cm="1">
        <f t="array" ref="Q3">IF(COUNTIF($B$4:$E$4, Q$2)&gt;0, _xlfn.IFS(COUNTIF($B$4:$C$4, Q$2)&gt;0, VLOOKUP($J3,'Gear Values'!$A$2:$E$13, IF(COUNTBLANK('Attributes &amp; Prefixes'!$B$4:$C$4)&gt;0, "2", "3"), 0), COUNTIF($D$4:$E$4, Q$2)&gt;0, VLOOKUP($J3,'Gear Values'!$A$2:$E$13, IF(COUNTBLANK('Attributes &amp; Prefixes'!$B$4:$C$4)&gt;0, "4", "5"), 0)), "")</f>
        <v/>
      </c>
      <c r="R3" s="157" t="str" cm="1">
        <f t="array" ref="R3">IF(COUNTIF($B$4:$E$4, R$2)&gt;0, _xlfn.IFS(COUNTIF($B$4:$C$4, R$2)&gt;0, VLOOKUP($J3,'Gear Values'!$A$2:$E$13, IF(COUNTBLANK('Attributes &amp; Prefixes'!$B$4:$C$4)&gt;0, "2", "3"), 0), COUNTIF($D$4:$E$4, R$2)&gt;0, VLOOKUP($J3,'Gear Values'!$A$2:$E$13, IF(COUNTBLANK('Attributes &amp; Prefixes'!$B$4:$C$4)&gt;0, "4", "5"), 0)), "")</f>
        <v/>
      </c>
      <c r="S3" s="158" cm="1">
        <f t="array" ref="S3">IF(COUNTIF($B$4:$E$4, S$2)&gt;0, _xlfn.IFS(COUNTIF($B$4:$C$4, S$2)&gt;0, VLOOKUP($J3,'Gear Values'!$A$2:$E$13, IF(COUNTBLANK('Attributes &amp; Prefixes'!$B$4:$C$4)&gt;0, "2", "3"), 0), COUNTIF($D$4:$E$4, S$2)&gt;0, VLOOKUP($J3,'Gear Values'!$A$2:$E$13, IF(COUNTBLANK('Attributes &amp; Prefixes'!$B$4:$C$4)&gt;0, "4", "5"), 0)), "")</f>
        <v>85</v>
      </c>
      <c r="V3" s="112"/>
      <c r="W3" s="113"/>
    </row>
    <row r="4" spans="1:33" ht="15" customHeight="1">
      <c r="A4" s="160" t="s">
        <v>43</v>
      </c>
      <c r="B4" s="161" t="s">
        <v>11</v>
      </c>
      <c r="C4" s="162"/>
      <c r="D4" s="162" t="s">
        <v>8</v>
      </c>
      <c r="E4" s="162" t="s">
        <v>14</v>
      </c>
      <c r="F4" s="448" t="str">
        <f>IF(OR(COUNTBLANK(AttributeFilter) = 1,AttributeFilter="(Select)"), A4, IF(COUNTIF(B4:E4, AttributeFilter)&gt;0, A4, ""))</f>
        <v>Apostate</v>
      </c>
      <c r="G4" s="111"/>
      <c r="H4" s="130" t="str">
        <f>_xlfn.CONCAT(I$3,J4)</f>
        <v>ApostateWeapon (2H)</v>
      </c>
      <c r="I4" s="520"/>
      <c r="J4" s="144" t="s">
        <v>39</v>
      </c>
      <c r="K4" s="136" t="str" cm="1">
        <f t="array" ref="K4">IF(COUNTIF($B$4:$E$4, K$2)&gt;0, _xlfn.IFS(COUNTIF($B$4:$C$4, K$2)&gt;0, VLOOKUP($J4,'Gear Values'!$A$2:$E$13, IF(COUNTBLANK('Attributes &amp; Prefixes'!$B$4:$C$4)&gt;0, "2", "3"), 0), COUNTIF($D$4:$E$4, K$2)&gt;0, VLOOKUP($J4,'Gear Values'!$A$2:$E$13, IF(COUNTBLANK('Attributes &amp; Prefixes'!$B$4:$C$4)&gt;0, "4", "5"), 0)), "")</f>
        <v/>
      </c>
      <c r="L4" s="137" t="str" cm="1">
        <f t="array" ref="L4">IF(COUNTIF($B$4:$E$4, L$2)&gt;0, _xlfn.IFS(COUNTIF($B$4:$C$4, L$2)&gt;0, VLOOKUP($J4,'Gear Values'!$A$2:$E$13, IF(COUNTBLANK('Attributes &amp; Prefixes'!$B$4:$C$4)&gt;0, "2", "3"), 0), COUNTIF($D$4:$E$4, L$2)&gt;0, VLOOKUP($J4,'Gear Values'!$A$2:$E$13, IF(COUNTBLANK('Attributes &amp; Prefixes'!$B$4:$C$4)&gt;0, "4", "5"), 0)), "")</f>
        <v/>
      </c>
      <c r="M4" s="137" cm="1">
        <f t="array" ref="M4">IF(COUNTIF($B$4:$E$4, M$2)&gt;0, _xlfn.IFS(COUNTIF($B$4:$C$4, M$2)&gt;0, VLOOKUP($J4,'Gear Values'!$A$2:$E$13, IF(COUNTBLANK('Attributes &amp; Prefixes'!$B$4:$C$4)&gt;0, "2", "3"), 0), COUNTIF($D$4:$E$4, M$2)&gt;0, VLOOKUP($J4,'Gear Values'!$A$2:$E$13, IF(COUNTBLANK('Attributes &amp; Prefixes'!$B$4:$C$4)&gt;0, "4", "5"), 0)), "")</f>
        <v>171</v>
      </c>
      <c r="N4" s="137" t="str" cm="1">
        <f t="array" ref="N4">IF(COUNTIF($B$4:$E$4, N$2)&gt;0, _xlfn.IFS(COUNTIF($B$4:$C$4, N$2)&gt;0, VLOOKUP($J4,'Gear Values'!$A$2:$E$13, IF(COUNTBLANK('Attributes &amp; Prefixes'!$B$4:$C$4)&gt;0, "2", "3"), 0), COUNTIF($D$4:$E$4, N$2)&gt;0, VLOOKUP($J4,'Gear Values'!$A$2:$E$13, IF(COUNTBLANK('Attributes &amp; Prefixes'!$B$4:$C$4)&gt;0, "4", "5"), 0)), "")</f>
        <v/>
      </c>
      <c r="O4" s="137" t="str" cm="1">
        <f t="array" ref="O4">IF(COUNTIF($B$4:$E$4, O$2)&gt;0, _xlfn.IFS(COUNTIF($B$4:$C$4, O$2)&gt;0, VLOOKUP($J4,'Gear Values'!$A$2:$E$13, IF(COUNTBLANK('Attributes &amp; Prefixes'!$B$4:$C$4)&gt;0, "2", "3"), 0), COUNTIF($D$4:$E$4, O$2)&gt;0, VLOOKUP($J4,'Gear Values'!$A$2:$E$13, IF(COUNTBLANK('Attributes &amp; Prefixes'!$B$4:$C$4)&gt;0, "4", "5"), 0)), "")</f>
        <v/>
      </c>
      <c r="P4" s="137" cm="1">
        <f t="array" ref="P4">IF(COUNTIF($B$4:$E$4, P$2)&gt;0, _xlfn.IFS(COUNTIF($B$4:$C$4, P$2)&gt;0, VLOOKUP($J4,'Gear Values'!$A$2:$E$13, IF(COUNTBLANK('Attributes &amp; Prefixes'!$B$4:$C$4)&gt;0, "2", "3"), 0), COUNTIF($D$4:$E$4, P$2)&gt;0, VLOOKUP($J4,'Gear Values'!$A$2:$E$13, IF(COUNTBLANK('Attributes &amp; Prefixes'!$B$4:$C$4)&gt;0, "4", "5"), 0)), "")</f>
        <v>239</v>
      </c>
      <c r="Q4" s="137" t="str" cm="1">
        <f t="array" ref="Q4">IF(COUNTIF($B$4:$E$4, Q$2)&gt;0, _xlfn.IFS(COUNTIF($B$4:$C$4, Q$2)&gt;0, VLOOKUP($J4,'Gear Values'!$A$2:$E$13, IF(COUNTBLANK('Attributes &amp; Prefixes'!$B$4:$C$4)&gt;0, "2", "3"), 0), COUNTIF($D$4:$E$4, Q$2)&gt;0, VLOOKUP($J4,'Gear Values'!$A$2:$E$13, IF(COUNTBLANK('Attributes &amp; Prefixes'!$B$4:$C$4)&gt;0, "4", "5"), 0)), "")</f>
        <v/>
      </c>
      <c r="R4" s="137" t="str" cm="1">
        <f t="array" ref="R4">IF(COUNTIF($B$4:$E$4, R$2)&gt;0, _xlfn.IFS(COUNTIF($B$4:$C$4, R$2)&gt;0, VLOOKUP($J4,'Gear Values'!$A$2:$E$13, IF(COUNTBLANK('Attributes &amp; Prefixes'!$B$4:$C$4)&gt;0, "2", "3"), 0), COUNTIF($D$4:$E$4, R$2)&gt;0, VLOOKUP($J4,'Gear Values'!$A$2:$E$13, IF(COUNTBLANK('Attributes &amp; Prefixes'!$B$4:$C$4)&gt;0, "4", "5"), 0)), "")</f>
        <v/>
      </c>
      <c r="S4" s="138" cm="1">
        <f t="array" ref="S4">IF(COUNTIF($B$4:$E$4, S$2)&gt;0, _xlfn.IFS(COUNTIF($B$4:$C$4, S$2)&gt;0, VLOOKUP($J4,'Gear Values'!$A$2:$E$13, IF(COUNTBLANK('Attributes &amp; Prefixes'!$B$4:$C$4)&gt;0, "2", "3"), 0), COUNTIF($D$4:$E$4, S$2)&gt;0, VLOOKUP($J4,'Gear Values'!$A$2:$E$13, IF(COUNTBLANK('Attributes &amp; Prefixes'!$B$4:$C$4)&gt;0, "4", "5"), 0)), "")</f>
        <v>171</v>
      </c>
      <c r="V4" s="112"/>
      <c r="W4" s="113"/>
    </row>
    <row r="5" spans="1:33" ht="15" customHeight="1">
      <c r="A5" s="128" t="s">
        <v>2433</v>
      </c>
      <c r="B5" s="121" t="s">
        <v>14</v>
      </c>
      <c r="C5" s="122"/>
      <c r="D5" s="122" t="s">
        <v>8</v>
      </c>
      <c r="E5" s="122" t="s">
        <v>11</v>
      </c>
      <c r="F5" s="448" t="str">
        <f>IF(OR(COUNTBLANK(AttributeFilter) = 1,AttributeFilter="(Select)"), A5, IF(COUNTIF(B5:E5, AttributeFilter)&gt;0, A5, ""))</f>
        <v>Apothecary</v>
      </c>
      <c r="G5" s="111"/>
      <c r="H5" s="130" t="str">
        <f>_xlfn.CONCAT(I$3,J5)</f>
        <v>ApostateHead</v>
      </c>
      <c r="I5" s="520"/>
      <c r="J5" s="144" t="s">
        <v>40</v>
      </c>
      <c r="K5" s="136" t="str" cm="1">
        <f t="array" ref="K5">IF(COUNTIF($B$4:$E$4, K$2)&gt;0, _xlfn.IFS(COUNTIF($B$4:$C$4, K$2)&gt;0, VLOOKUP($J5,'Gear Values'!$A$2:$E$13, IF(COUNTBLANK('Attributes &amp; Prefixes'!$B$4:$C$4)&gt;0, "2", "3"), 0), COUNTIF($D$4:$E$4, K$2)&gt;0, VLOOKUP($J5,'Gear Values'!$A$2:$E$13, IF(COUNTBLANK('Attributes &amp; Prefixes'!$B$4:$C$4)&gt;0, "4", "5"), 0)), "")</f>
        <v/>
      </c>
      <c r="L5" s="137" t="str" cm="1">
        <f t="array" ref="L5">IF(COUNTIF($B$4:$E$4, L$2)&gt;0, _xlfn.IFS(COUNTIF($B$4:$C$4, L$2)&gt;0, VLOOKUP($J5,'Gear Values'!$A$2:$E$13, IF(COUNTBLANK('Attributes &amp; Prefixes'!$B$4:$C$4)&gt;0, "2", "3"), 0), COUNTIF($D$4:$E$4, L$2)&gt;0, VLOOKUP($J5,'Gear Values'!$A$2:$E$13, IF(COUNTBLANK('Attributes &amp; Prefixes'!$B$4:$C$4)&gt;0, "4", "5"), 0)), "")</f>
        <v/>
      </c>
      <c r="M5" s="137" cm="1">
        <f t="array" ref="M5">IF(COUNTIF($B$4:$E$4, M$2)&gt;0, _xlfn.IFS(COUNTIF($B$4:$C$4, M$2)&gt;0, VLOOKUP($J5,'Gear Values'!$A$2:$E$13, IF(COUNTBLANK('Attributes &amp; Prefixes'!$B$4:$C$4)&gt;0, "2", "3"), 0), COUNTIF($D$4:$E$4, M$2)&gt;0, VLOOKUP($J5,'Gear Values'!$A$2:$E$13, IF(COUNTBLANK('Attributes &amp; Prefixes'!$B$4:$C$4)&gt;0, "4", "5"), 0)), "")</f>
        <v>43</v>
      </c>
      <c r="N5" s="137" t="str" cm="1">
        <f t="array" ref="N5">IF(COUNTIF($B$4:$E$4, N$2)&gt;0, _xlfn.IFS(COUNTIF($B$4:$C$4, N$2)&gt;0, VLOOKUP($J5,'Gear Values'!$A$2:$E$13, IF(COUNTBLANK('Attributes &amp; Prefixes'!$B$4:$C$4)&gt;0, "2", "3"), 0), COUNTIF($D$4:$E$4, N$2)&gt;0, VLOOKUP($J5,'Gear Values'!$A$2:$E$13, IF(COUNTBLANK('Attributes &amp; Prefixes'!$B$4:$C$4)&gt;0, "4", "5"), 0)), "")</f>
        <v/>
      </c>
      <c r="O5" s="137" t="str" cm="1">
        <f t="array" ref="O5">IF(COUNTIF($B$4:$E$4, O$2)&gt;0, _xlfn.IFS(COUNTIF($B$4:$C$4, O$2)&gt;0, VLOOKUP($J5,'Gear Values'!$A$2:$E$13, IF(COUNTBLANK('Attributes &amp; Prefixes'!$B$4:$C$4)&gt;0, "2", "3"), 0), COUNTIF($D$4:$E$4, O$2)&gt;0, VLOOKUP($J5,'Gear Values'!$A$2:$E$13, IF(COUNTBLANK('Attributes &amp; Prefixes'!$B$4:$C$4)&gt;0, "4", "5"), 0)), "")</f>
        <v/>
      </c>
      <c r="P5" s="137" cm="1">
        <f t="array" ref="P5">IF(COUNTIF($B$4:$E$4, P$2)&gt;0, _xlfn.IFS(COUNTIF($B$4:$C$4, P$2)&gt;0, VLOOKUP($J5,'Gear Values'!$A$2:$E$13, IF(COUNTBLANK('Attributes &amp; Prefixes'!$B$4:$C$4)&gt;0, "2", "3"), 0), COUNTIF($D$4:$E$4, P$2)&gt;0, VLOOKUP($J5,'Gear Values'!$A$2:$E$13, IF(COUNTBLANK('Attributes &amp; Prefixes'!$B$4:$C$4)&gt;0, "4", "5"), 0)), "")</f>
        <v>60</v>
      </c>
      <c r="Q5" s="137" t="str" cm="1">
        <f t="array" ref="Q5">IF(COUNTIF($B$4:$E$4, Q$2)&gt;0, _xlfn.IFS(COUNTIF($B$4:$C$4, Q$2)&gt;0, VLOOKUP($J5,'Gear Values'!$A$2:$E$13, IF(COUNTBLANK('Attributes &amp; Prefixes'!$B$4:$C$4)&gt;0, "2", "3"), 0), COUNTIF($D$4:$E$4, Q$2)&gt;0, VLOOKUP($J5,'Gear Values'!$A$2:$E$13, IF(COUNTBLANK('Attributes &amp; Prefixes'!$B$4:$C$4)&gt;0, "4", "5"), 0)), "")</f>
        <v/>
      </c>
      <c r="R5" s="137" t="str" cm="1">
        <f t="array" ref="R5">IF(COUNTIF($B$4:$E$4, R$2)&gt;0, _xlfn.IFS(COUNTIF($B$4:$C$4, R$2)&gt;0, VLOOKUP($J5,'Gear Values'!$A$2:$E$13, IF(COUNTBLANK('Attributes &amp; Prefixes'!$B$4:$C$4)&gt;0, "2", "3"), 0), COUNTIF($D$4:$E$4, R$2)&gt;0, VLOOKUP($J5,'Gear Values'!$A$2:$E$13, IF(COUNTBLANK('Attributes &amp; Prefixes'!$B$4:$C$4)&gt;0, "4", "5"), 0)), "")</f>
        <v/>
      </c>
      <c r="S5" s="138" cm="1">
        <f t="array" ref="S5">IF(COUNTIF($B$4:$E$4, S$2)&gt;0, _xlfn.IFS(COUNTIF($B$4:$C$4, S$2)&gt;0, VLOOKUP($J5,'Gear Values'!$A$2:$E$13, IF(COUNTBLANK('Attributes &amp; Prefixes'!$B$4:$C$4)&gt;0, "2", "3"), 0), COUNTIF($D$4:$E$4, S$2)&gt;0, VLOOKUP($J5,'Gear Values'!$A$2:$E$13, IF(COUNTBLANK('Attributes &amp; Prefixes'!$B$4:$C$4)&gt;0, "4", "5"), 0)), "")</f>
        <v>43</v>
      </c>
      <c r="V5" s="112"/>
      <c r="W5" s="113"/>
    </row>
    <row r="6" spans="1:33" ht="15" customHeight="1">
      <c r="A6" s="128" t="s">
        <v>38</v>
      </c>
      <c r="B6" s="121" t="s">
        <v>7</v>
      </c>
      <c r="C6" s="122"/>
      <c r="D6" s="122" t="s">
        <v>6</v>
      </c>
      <c r="E6" s="122" t="s">
        <v>13</v>
      </c>
      <c r="F6" s="448" t="str">
        <f>IF(OR(COUNTBLANK(AttributeFilter) = 1,AttributeFilter="(Select)"), A6, IF(COUNTIF(B6:E6, AttributeFilter)&gt;0, A6, ""))</f>
        <v>Assassin</v>
      </c>
      <c r="G6" s="111"/>
      <c r="H6" s="130" t="str">
        <f>_xlfn.CONCAT(I$3,J6)</f>
        <v>ApostateShoulders</v>
      </c>
      <c r="I6" s="520"/>
      <c r="J6" s="144" t="s">
        <v>42</v>
      </c>
      <c r="K6" s="136" t="str" cm="1">
        <f t="array" ref="K6">IF(COUNTIF($B$4:$E$4, K$2)&gt;0, _xlfn.IFS(COUNTIF($B$4:$C$4, K$2)&gt;0, VLOOKUP($J6,'Gear Values'!$A$2:$E$13, IF(COUNTBLANK('Attributes &amp; Prefixes'!$B$4:$C$4)&gt;0, "2", "3"), 0), COUNTIF($D$4:$E$4, K$2)&gt;0, VLOOKUP($J6,'Gear Values'!$A$2:$E$13, IF(COUNTBLANK('Attributes &amp; Prefixes'!$B$4:$C$4)&gt;0, "4", "5"), 0)), "")</f>
        <v/>
      </c>
      <c r="L6" s="137" t="str" cm="1">
        <f t="array" ref="L6">IF(COUNTIF($B$4:$E$4, L$2)&gt;0, _xlfn.IFS(COUNTIF($B$4:$C$4, L$2)&gt;0, VLOOKUP($J6,'Gear Values'!$A$2:$E$13, IF(COUNTBLANK('Attributes &amp; Prefixes'!$B$4:$C$4)&gt;0, "2", "3"), 0), COUNTIF($D$4:$E$4, L$2)&gt;0, VLOOKUP($J6,'Gear Values'!$A$2:$E$13, IF(COUNTBLANK('Attributes &amp; Prefixes'!$B$4:$C$4)&gt;0, "4", "5"), 0)), "")</f>
        <v/>
      </c>
      <c r="M6" s="137" cm="1">
        <f t="array" ref="M6">IF(COUNTIF($B$4:$E$4, M$2)&gt;0, _xlfn.IFS(COUNTIF($B$4:$C$4, M$2)&gt;0, VLOOKUP($J6,'Gear Values'!$A$2:$E$13, IF(COUNTBLANK('Attributes &amp; Prefixes'!$B$4:$C$4)&gt;0, "2", "3"), 0), COUNTIF($D$4:$E$4, M$2)&gt;0, VLOOKUP($J6,'Gear Values'!$A$2:$E$13, IF(COUNTBLANK('Attributes &amp; Prefixes'!$B$4:$C$4)&gt;0, "4", "5"), 0)), "")</f>
        <v>32</v>
      </c>
      <c r="N6" s="137" t="str" cm="1">
        <f t="array" ref="N6">IF(COUNTIF($B$4:$E$4, N$2)&gt;0, _xlfn.IFS(COUNTIF($B$4:$C$4, N$2)&gt;0, VLOOKUP($J6,'Gear Values'!$A$2:$E$13, IF(COUNTBLANK('Attributes &amp; Prefixes'!$B$4:$C$4)&gt;0, "2", "3"), 0), COUNTIF($D$4:$E$4, N$2)&gt;0, VLOOKUP($J6,'Gear Values'!$A$2:$E$13, IF(COUNTBLANK('Attributes &amp; Prefixes'!$B$4:$C$4)&gt;0, "4", "5"), 0)), "")</f>
        <v/>
      </c>
      <c r="O6" s="137" t="str" cm="1">
        <f t="array" ref="O6">IF(COUNTIF($B$4:$E$4, O$2)&gt;0, _xlfn.IFS(COUNTIF($B$4:$C$4, O$2)&gt;0, VLOOKUP($J6,'Gear Values'!$A$2:$E$13, IF(COUNTBLANK('Attributes &amp; Prefixes'!$B$4:$C$4)&gt;0, "2", "3"), 0), COUNTIF($D$4:$E$4, O$2)&gt;0, VLOOKUP($J6,'Gear Values'!$A$2:$E$13, IF(COUNTBLANK('Attributes &amp; Prefixes'!$B$4:$C$4)&gt;0, "4", "5"), 0)), "")</f>
        <v/>
      </c>
      <c r="P6" s="137" cm="1">
        <f t="array" ref="P6">IF(COUNTIF($B$4:$E$4, P$2)&gt;0, _xlfn.IFS(COUNTIF($B$4:$C$4, P$2)&gt;0, VLOOKUP($J6,'Gear Values'!$A$2:$E$13, IF(COUNTBLANK('Attributes &amp; Prefixes'!$B$4:$C$4)&gt;0, "2", "3"), 0), COUNTIF($D$4:$E$4, P$2)&gt;0, VLOOKUP($J6,'Gear Values'!$A$2:$E$13, IF(COUNTBLANK('Attributes &amp; Prefixes'!$B$4:$C$4)&gt;0, "4", "5"), 0)), "")</f>
        <v>45</v>
      </c>
      <c r="Q6" s="137" t="str" cm="1">
        <f t="array" ref="Q6">IF(COUNTIF($B$4:$E$4, Q$2)&gt;0, _xlfn.IFS(COUNTIF($B$4:$C$4, Q$2)&gt;0, VLOOKUP($J6,'Gear Values'!$A$2:$E$13, IF(COUNTBLANK('Attributes &amp; Prefixes'!$B$4:$C$4)&gt;0, "2", "3"), 0), COUNTIF($D$4:$E$4, Q$2)&gt;0, VLOOKUP($J6,'Gear Values'!$A$2:$E$13, IF(COUNTBLANK('Attributes &amp; Prefixes'!$B$4:$C$4)&gt;0, "4", "5"), 0)), "")</f>
        <v/>
      </c>
      <c r="R6" s="137" t="str" cm="1">
        <f t="array" ref="R6">IF(COUNTIF($B$4:$E$4, R$2)&gt;0, _xlfn.IFS(COUNTIF($B$4:$C$4, R$2)&gt;0, VLOOKUP($J6,'Gear Values'!$A$2:$E$13, IF(COUNTBLANK('Attributes &amp; Prefixes'!$B$4:$C$4)&gt;0, "2", "3"), 0), COUNTIF($D$4:$E$4, R$2)&gt;0, VLOOKUP($J6,'Gear Values'!$A$2:$E$13, IF(COUNTBLANK('Attributes &amp; Prefixes'!$B$4:$C$4)&gt;0, "4", "5"), 0)), "")</f>
        <v/>
      </c>
      <c r="S6" s="138" cm="1">
        <f t="array" ref="S6">IF(COUNTIF($B$4:$E$4, S$2)&gt;0, _xlfn.IFS(COUNTIF($B$4:$C$4, S$2)&gt;0, VLOOKUP($J6,'Gear Values'!$A$2:$E$13, IF(COUNTBLANK('Attributes &amp; Prefixes'!$B$4:$C$4)&gt;0, "2", "3"), 0), COUNTIF($D$4:$E$4, S$2)&gt;0, VLOOKUP($J6,'Gear Values'!$A$2:$E$13, IF(COUNTBLANK('Attributes &amp; Prefixes'!$B$4:$C$4)&gt;0, "4", "5"), 0)), "")</f>
        <v>32</v>
      </c>
      <c r="V6" s="112"/>
      <c r="W6" s="113"/>
    </row>
    <row r="7" spans="1:33" ht="15" customHeight="1">
      <c r="A7" s="128" t="s">
        <v>2434</v>
      </c>
      <c r="B7" s="121" t="s">
        <v>6</v>
      </c>
      <c r="C7" s="122" t="s">
        <v>7</v>
      </c>
      <c r="D7" s="122" t="s">
        <v>9</v>
      </c>
      <c r="E7" s="122" t="s">
        <v>14</v>
      </c>
      <c r="F7" s="448" t="str">
        <f>IF(OR(COUNTBLANK(AttributeFilter) = 1,AttributeFilter="(Select)"), A7, IF(COUNTIF(B7:E7, AttributeFilter)&gt;0, A7, ""))</f>
        <v>Avatar</v>
      </c>
      <c r="G7" s="111"/>
      <c r="H7" s="130" t="str">
        <f>_xlfn.CONCAT(I$3,J7)</f>
        <v>ApostateChest</v>
      </c>
      <c r="I7" s="520"/>
      <c r="J7" s="144" t="s">
        <v>44</v>
      </c>
      <c r="K7" s="136" t="str" cm="1">
        <f t="array" ref="K7">IF(COUNTIF($B$4:$E$4, K$2)&gt;0, _xlfn.IFS(COUNTIF($B$4:$C$4, K$2)&gt;0, VLOOKUP($J7,'Gear Values'!$A$2:$E$13, IF(COUNTBLANK('Attributes &amp; Prefixes'!$B$4:$C$4)&gt;0, "2", "3"), 0), COUNTIF($D$4:$E$4, K$2)&gt;0, VLOOKUP($J7,'Gear Values'!$A$2:$E$13, IF(COUNTBLANK('Attributes &amp; Prefixes'!$B$4:$C$4)&gt;0, "4", "5"), 0)), "")</f>
        <v/>
      </c>
      <c r="L7" s="137" t="str" cm="1">
        <f t="array" ref="L7">IF(COUNTIF($B$4:$E$4, L$2)&gt;0, _xlfn.IFS(COUNTIF($B$4:$C$4, L$2)&gt;0, VLOOKUP($J7,'Gear Values'!$A$2:$E$13, IF(COUNTBLANK('Attributes &amp; Prefixes'!$B$4:$C$4)&gt;0, "2", "3"), 0), COUNTIF($D$4:$E$4, L$2)&gt;0, VLOOKUP($J7,'Gear Values'!$A$2:$E$13, IF(COUNTBLANK('Attributes &amp; Prefixes'!$B$4:$C$4)&gt;0, "4", "5"), 0)), "")</f>
        <v/>
      </c>
      <c r="M7" s="137" cm="1">
        <f t="array" ref="M7">IF(COUNTIF($B$4:$E$4, M$2)&gt;0, _xlfn.IFS(COUNTIF($B$4:$C$4, M$2)&gt;0, VLOOKUP($J7,'Gear Values'!$A$2:$E$13, IF(COUNTBLANK('Attributes &amp; Prefixes'!$B$4:$C$4)&gt;0, "2", "3"), 0), COUNTIF($D$4:$E$4, M$2)&gt;0, VLOOKUP($J7,'Gear Values'!$A$2:$E$13, IF(COUNTBLANK('Attributes &amp; Prefixes'!$B$4:$C$4)&gt;0, "4", "5"), 0)), "")</f>
        <v>96</v>
      </c>
      <c r="N7" s="137" t="str" cm="1">
        <f t="array" ref="N7">IF(COUNTIF($B$4:$E$4, N$2)&gt;0, _xlfn.IFS(COUNTIF($B$4:$C$4, N$2)&gt;0, VLOOKUP($J7,'Gear Values'!$A$2:$E$13, IF(COUNTBLANK('Attributes &amp; Prefixes'!$B$4:$C$4)&gt;0, "2", "3"), 0), COUNTIF($D$4:$E$4, N$2)&gt;0, VLOOKUP($J7,'Gear Values'!$A$2:$E$13, IF(COUNTBLANK('Attributes &amp; Prefixes'!$B$4:$C$4)&gt;0, "4", "5"), 0)), "")</f>
        <v/>
      </c>
      <c r="O7" s="137" t="str" cm="1">
        <f t="array" ref="O7">IF(COUNTIF($B$4:$E$4, O$2)&gt;0, _xlfn.IFS(COUNTIF($B$4:$C$4, O$2)&gt;0, VLOOKUP($J7,'Gear Values'!$A$2:$E$13, IF(COUNTBLANK('Attributes &amp; Prefixes'!$B$4:$C$4)&gt;0, "2", "3"), 0), COUNTIF($D$4:$E$4, O$2)&gt;0, VLOOKUP($J7,'Gear Values'!$A$2:$E$13, IF(COUNTBLANK('Attributes &amp; Prefixes'!$B$4:$C$4)&gt;0, "4", "5"), 0)), "")</f>
        <v/>
      </c>
      <c r="P7" s="137" cm="1">
        <f t="array" ref="P7">IF(COUNTIF($B$4:$E$4, P$2)&gt;0, _xlfn.IFS(COUNTIF($B$4:$C$4, P$2)&gt;0, VLOOKUP($J7,'Gear Values'!$A$2:$E$13, IF(COUNTBLANK('Attributes &amp; Prefixes'!$B$4:$C$4)&gt;0, "2", "3"), 0), COUNTIF($D$4:$E$4, P$2)&gt;0, VLOOKUP($J7,'Gear Values'!$A$2:$E$13, IF(COUNTBLANK('Attributes &amp; Prefixes'!$B$4:$C$4)&gt;0, "4", "5"), 0)), "")</f>
        <v>134</v>
      </c>
      <c r="Q7" s="137" t="str" cm="1">
        <f t="array" ref="Q7">IF(COUNTIF($B$4:$E$4, Q$2)&gt;0, _xlfn.IFS(COUNTIF($B$4:$C$4, Q$2)&gt;0, VLOOKUP($J7,'Gear Values'!$A$2:$E$13, IF(COUNTBLANK('Attributes &amp; Prefixes'!$B$4:$C$4)&gt;0, "2", "3"), 0), COUNTIF($D$4:$E$4, Q$2)&gt;0, VLOOKUP($J7,'Gear Values'!$A$2:$E$13, IF(COUNTBLANK('Attributes &amp; Prefixes'!$B$4:$C$4)&gt;0, "4", "5"), 0)), "")</f>
        <v/>
      </c>
      <c r="R7" s="137" t="str" cm="1">
        <f t="array" ref="R7">IF(COUNTIF($B$4:$E$4, R$2)&gt;0, _xlfn.IFS(COUNTIF($B$4:$C$4, R$2)&gt;0, VLOOKUP($J7,'Gear Values'!$A$2:$E$13, IF(COUNTBLANK('Attributes &amp; Prefixes'!$B$4:$C$4)&gt;0, "2", "3"), 0), COUNTIF($D$4:$E$4, R$2)&gt;0, VLOOKUP($J7,'Gear Values'!$A$2:$E$13, IF(COUNTBLANK('Attributes &amp; Prefixes'!$B$4:$C$4)&gt;0, "4", "5"), 0)), "")</f>
        <v/>
      </c>
      <c r="S7" s="138" cm="1">
        <f t="array" ref="S7">IF(COUNTIF($B$4:$E$4, S$2)&gt;0, _xlfn.IFS(COUNTIF($B$4:$C$4, S$2)&gt;0, VLOOKUP($J7,'Gear Values'!$A$2:$E$13, IF(COUNTBLANK('Attributes &amp; Prefixes'!$B$4:$C$4)&gt;0, "2", "3"), 0), COUNTIF($D$4:$E$4, S$2)&gt;0, VLOOKUP($J7,'Gear Values'!$A$2:$E$13, IF(COUNTBLANK('Attributes &amp; Prefixes'!$B$4:$C$4)&gt;0, "4", "5"), 0)), "")</f>
        <v>96</v>
      </c>
      <c r="V7" s="112"/>
      <c r="W7" s="113"/>
    </row>
    <row r="8" spans="1:33" ht="15" customHeight="1">
      <c r="A8" s="128" t="s">
        <v>699</v>
      </c>
      <c r="B8" s="121" t="s">
        <v>6</v>
      </c>
      <c r="C8" s="122"/>
      <c r="D8" s="122" t="s">
        <v>7</v>
      </c>
      <c r="E8" s="122" t="s">
        <v>13</v>
      </c>
      <c r="F8" s="448" t="str">
        <f>IF(OR(COUNTBLANK(AttributeFilter) = 1,AttributeFilter="(Select)"), A8, IF(COUNTIF(B8:E8, AttributeFilter)&gt;0, A8, ""))</f>
        <v>Berserker</v>
      </c>
      <c r="G8" s="111"/>
      <c r="H8" s="130" t="str">
        <f>_xlfn.CONCAT(I$3,J8)</f>
        <v>ApostateHands</v>
      </c>
      <c r="I8" s="520"/>
      <c r="J8" s="144" t="s">
        <v>45</v>
      </c>
      <c r="K8" s="136" t="str" cm="1">
        <f t="array" ref="K8">IF(COUNTIF($B$4:$E$4, K$2)&gt;0, _xlfn.IFS(COUNTIF($B$4:$C$4, K$2)&gt;0, VLOOKUP($J8,'Gear Values'!$A$2:$E$13, IF(COUNTBLANK('Attributes &amp; Prefixes'!$B$4:$C$4)&gt;0, "2", "3"), 0), COUNTIF($D$4:$E$4, K$2)&gt;0, VLOOKUP($J8,'Gear Values'!$A$2:$E$13, IF(COUNTBLANK('Attributes &amp; Prefixes'!$B$4:$C$4)&gt;0, "4", "5"), 0)), "")</f>
        <v/>
      </c>
      <c r="L8" s="137" t="str" cm="1">
        <f t="array" ref="L8">IF(COUNTIF($B$4:$E$4, L$2)&gt;0, _xlfn.IFS(COUNTIF($B$4:$C$4, L$2)&gt;0, VLOOKUP($J8,'Gear Values'!$A$2:$E$13, IF(COUNTBLANK('Attributes &amp; Prefixes'!$B$4:$C$4)&gt;0, "2", "3"), 0), COUNTIF($D$4:$E$4, L$2)&gt;0, VLOOKUP($J8,'Gear Values'!$A$2:$E$13, IF(COUNTBLANK('Attributes &amp; Prefixes'!$B$4:$C$4)&gt;0, "4", "5"), 0)), "")</f>
        <v/>
      </c>
      <c r="M8" s="137" cm="1">
        <f t="array" ref="M8">IF(COUNTIF($B$4:$E$4, M$2)&gt;0, _xlfn.IFS(COUNTIF($B$4:$C$4, M$2)&gt;0, VLOOKUP($J8,'Gear Values'!$A$2:$E$13, IF(COUNTBLANK('Attributes &amp; Prefixes'!$B$4:$C$4)&gt;0, "2", "3"), 0), COUNTIF($D$4:$E$4, M$2)&gt;0, VLOOKUP($J8,'Gear Values'!$A$2:$E$13, IF(COUNTBLANK('Attributes &amp; Prefixes'!$B$4:$C$4)&gt;0, "4", "5"), 0)), "")</f>
        <v>32</v>
      </c>
      <c r="N8" s="137" t="str" cm="1">
        <f t="array" ref="N8">IF(COUNTIF($B$4:$E$4, N$2)&gt;0, _xlfn.IFS(COUNTIF($B$4:$C$4, N$2)&gt;0, VLOOKUP($J8,'Gear Values'!$A$2:$E$13, IF(COUNTBLANK('Attributes &amp; Prefixes'!$B$4:$C$4)&gt;0, "2", "3"), 0), COUNTIF($D$4:$E$4, N$2)&gt;0, VLOOKUP($J8,'Gear Values'!$A$2:$E$13, IF(COUNTBLANK('Attributes &amp; Prefixes'!$B$4:$C$4)&gt;0, "4", "5"), 0)), "")</f>
        <v/>
      </c>
      <c r="O8" s="137" t="str" cm="1">
        <f t="array" ref="O8">IF(COUNTIF($B$4:$E$4, O$2)&gt;0, _xlfn.IFS(COUNTIF($B$4:$C$4, O$2)&gt;0, VLOOKUP($J8,'Gear Values'!$A$2:$E$13, IF(COUNTBLANK('Attributes &amp; Prefixes'!$B$4:$C$4)&gt;0, "2", "3"), 0), COUNTIF($D$4:$E$4, O$2)&gt;0, VLOOKUP($J8,'Gear Values'!$A$2:$E$13, IF(COUNTBLANK('Attributes &amp; Prefixes'!$B$4:$C$4)&gt;0, "4", "5"), 0)), "")</f>
        <v/>
      </c>
      <c r="P8" s="137" cm="1">
        <f t="array" ref="P8">IF(COUNTIF($B$4:$E$4, P$2)&gt;0, _xlfn.IFS(COUNTIF($B$4:$C$4, P$2)&gt;0, VLOOKUP($J8,'Gear Values'!$A$2:$E$13, IF(COUNTBLANK('Attributes &amp; Prefixes'!$B$4:$C$4)&gt;0, "2", "3"), 0), COUNTIF($D$4:$E$4, P$2)&gt;0, VLOOKUP($J8,'Gear Values'!$A$2:$E$13, IF(COUNTBLANK('Attributes &amp; Prefixes'!$B$4:$C$4)&gt;0, "4", "5"), 0)), "")</f>
        <v>45</v>
      </c>
      <c r="Q8" s="137" t="str" cm="1">
        <f t="array" ref="Q8">IF(COUNTIF($B$4:$E$4, Q$2)&gt;0, _xlfn.IFS(COUNTIF($B$4:$C$4, Q$2)&gt;0, VLOOKUP($J8,'Gear Values'!$A$2:$E$13, IF(COUNTBLANK('Attributes &amp; Prefixes'!$B$4:$C$4)&gt;0, "2", "3"), 0), COUNTIF($D$4:$E$4, Q$2)&gt;0, VLOOKUP($J8,'Gear Values'!$A$2:$E$13, IF(COUNTBLANK('Attributes &amp; Prefixes'!$B$4:$C$4)&gt;0, "4", "5"), 0)), "")</f>
        <v/>
      </c>
      <c r="R8" s="137" t="str" cm="1">
        <f t="array" ref="R8">IF(COUNTIF($B$4:$E$4, R$2)&gt;0, _xlfn.IFS(COUNTIF($B$4:$C$4, R$2)&gt;0, VLOOKUP($J8,'Gear Values'!$A$2:$E$13, IF(COUNTBLANK('Attributes &amp; Prefixes'!$B$4:$C$4)&gt;0, "2", "3"), 0), COUNTIF($D$4:$E$4, R$2)&gt;0, VLOOKUP($J8,'Gear Values'!$A$2:$E$13, IF(COUNTBLANK('Attributes &amp; Prefixes'!$B$4:$C$4)&gt;0, "4", "5"), 0)), "")</f>
        <v/>
      </c>
      <c r="S8" s="138" cm="1">
        <f t="array" ref="S8">IF(COUNTIF($B$4:$E$4, S$2)&gt;0, _xlfn.IFS(COUNTIF($B$4:$C$4, S$2)&gt;0, VLOOKUP($J8,'Gear Values'!$A$2:$E$13, IF(COUNTBLANK('Attributes &amp; Prefixes'!$B$4:$C$4)&gt;0, "2", "3"), 0), COUNTIF($D$4:$E$4, S$2)&gt;0, VLOOKUP($J8,'Gear Values'!$A$2:$E$13, IF(COUNTBLANK('Attributes &amp; Prefixes'!$B$4:$C$4)&gt;0, "4", "5"), 0)), "")</f>
        <v>32</v>
      </c>
      <c r="V8" s="112"/>
      <c r="W8" s="113"/>
    </row>
    <row r="9" spans="1:33" ht="15" customHeight="1">
      <c r="A9" s="128" t="s">
        <v>2435</v>
      </c>
      <c r="B9" s="121" t="s">
        <v>12</v>
      </c>
      <c r="C9" s="122"/>
      <c r="D9" s="122" t="s">
        <v>7</v>
      </c>
      <c r="E9" s="122" t="s">
        <v>9</v>
      </c>
      <c r="F9" s="448" t="str">
        <f>IF(OR(COUNTBLANK(AttributeFilter) = 1,AttributeFilter="(Select)"), A9, IF(COUNTIF(B9:E9, AttributeFilter)&gt;0, A9, ""))</f>
        <v>Bringer</v>
      </c>
      <c r="G9" s="111"/>
      <c r="H9" s="130" t="str">
        <f>_xlfn.CONCAT(I$3,J9)</f>
        <v>ApostateLegs</v>
      </c>
      <c r="I9" s="520"/>
      <c r="J9" s="144" t="s">
        <v>47</v>
      </c>
      <c r="K9" s="136" t="str" cm="1">
        <f t="array" ref="K9">IF(COUNTIF($B$4:$E$4, K$2)&gt;0, _xlfn.IFS(COUNTIF($B$4:$C$4, K$2)&gt;0, VLOOKUP($J9,'Gear Values'!$A$2:$E$13, IF(COUNTBLANK('Attributes &amp; Prefixes'!$B$4:$C$4)&gt;0, "2", "3"), 0), COUNTIF($D$4:$E$4, K$2)&gt;0, VLOOKUP($J9,'Gear Values'!$A$2:$E$13, IF(COUNTBLANK('Attributes &amp; Prefixes'!$B$4:$C$4)&gt;0, "4", "5"), 0)), "")</f>
        <v/>
      </c>
      <c r="L9" s="137" t="str" cm="1">
        <f t="array" ref="L9">IF(COUNTIF($B$4:$E$4, L$2)&gt;0, _xlfn.IFS(COUNTIF($B$4:$C$4, L$2)&gt;0, VLOOKUP($J9,'Gear Values'!$A$2:$E$13, IF(COUNTBLANK('Attributes &amp; Prefixes'!$B$4:$C$4)&gt;0, "2", "3"), 0), COUNTIF($D$4:$E$4, L$2)&gt;0, VLOOKUP($J9,'Gear Values'!$A$2:$E$13, IF(COUNTBLANK('Attributes &amp; Prefixes'!$B$4:$C$4)&gt;0, "4", "5"), 0)), "")</f>
        <v/>
      </c>
      <c r="M9" s="137" cm="1">
        <f t="array" ref="M9">IF(COUNTIF($B$4:$E$4, M$2)&gt;0, _xlfn.IFS(COUNTIF($B$4:$C$4, M$2)&gt;0, VLOOKUP($J9,'Gear Values'!$A$2:$E$13, IF(COUNTBLANK('Attributes &amp; Prefixes'!$B$4:$C$4)&gt;0, "2", "3"), 0), COUNTIF($D$4:$E$4, M$2)&gt;0, VLOOKUP($J9,'Gear Values'!$A$2:$E$13, IF(COUNTBLANK('Attributes &amp; Prefixes'!$B$4:$C$4)&gt;0, "4", "5"), 0)), "")</f>
        <v>64</v>
      </c>
      <c r="N9" s="137" t="str" cm="1">
        <f t="array" ref="N9">IF(COUNTIF($B$4:$E$4, N$2)&gt;0, _xlfn.IFS(COUNTIF($B$4:$C$4, N$2)&gt;0, VLOOKUP($J9,'Gear Values'!$A$2:$E$13, IF(COUNTBLANK('Attributes &amp; Prefixes'!$B$4:$C$4)&gt;0, "2", "3"), 0), COUNTIF($D$4:$E$4, N$2)&gt;0, VLOOKUP($J9,'Gear Values'!$A$2:$E$13, IF(COUNTBLANK('Attributes &amp; Prefixes'!$B$4:$C$4)&gt;0, "4", "5"), 0)), "")</f>
        <v/>
      </c>
      <c r="O9" s="137" t="str" cm="1">
        <f t="array" ref="O9">IF(COUNTIF($B$4:$E$4, O$2)&gt;0, _xlfn.IFS(COUNTIF($B$4:$C$4, O$2)&gt;0, VLOOKUP($J9,'Gear Values'!$A$2:$E$13, IF(COUNTBLANK('Attributes &amp; Prefixes'!$B$4:$C$4)&gt;0, "2", "3"), 0), COUNTIF($D$4:$E$4, O$2)&gt;0, VLOOKUP($J9,'Gear Values'!$A$2:$E$13, IF(COUNTBLANK('Attributes &amp; Prefixes'!$B$4:$C$4)&gt;0, "4", "5"), 0)), "")</f>
        <v/>
      </c>
      <c r="P9" s="137" cm="1">
        <f t="array" ref="P9">IF(COUNTIF($B$4:$E$4, P$2)&gt;0, _xlfn.IFS(COUNTIF($B$4:$C$4, P$2)&gt;0, VLOOKUP($J9,'Gear Values'!$A$2:$E$13, IF(COUNTBLANK('Attributes &amp; Prefixes'!$B$4:$C$4)&gt;0, "2", "3"), 0), COUNTIF($D$4:$E$4, P$2)&gt;0, VLOOKUP($J9,'Gear Values'!$A$2:$E$13, IF(COUNTBLANK('Attributes &amp; Prefixes'!$B$4:$C$4)&gt;0, "4", "5"), 0)), "")</f>
        <v>90</v>
      </c>
      <c r="Q9" s="137" t="str" cm="1">
        <f t="array" ref="Q9">IF(COUNTIF($B$4:$E$4, Q$2)&gt;0, _xlfn.IFS(COUNTIF($B$4:$C$4, Q$2)&gt;0, VLOOKUP($J9,'Gear Values'!$A$2:$E$13, IF(COUNTBLANK('Attributes &amp; Prefixes'!$B$4:$C$4)&gt;0, "2", "3"), 0), COUNTIF($D$4:$E$4, Q$2)&gt;0, VLOOKUP($J9,'Gear Values'!$A$2:$E$13, IF(COUNTBLANK('Attributes &amp; Prefixes'!$B$4:$C$4)&gt;0, "4", "5"), 0)), "")</f>
        <v/>
      </c>
      <c r="R9" s="137" t="str" cm="1">
        <f t="array" ref="R9">IF(COUNTIF($B$4:$E$4, R$2)&gt;0, _xlfn.IFS(COUNTIF($B$4:$C$4, R$2)&gt;0, VLOOKUP($J9,'Gear Values'!$A$2:$E$13, IF(COUNTBLANK('Attributes &amp; Prefixes'!$B$4:$C$4)&gt;0, "2", "3"), 0), COUNTIF($D$4:$E$4, R$2)&gt;0, VLOOKUP($J9,'Gear Values'!$A$2:$E$13, IF(COUNTBLANK('Attributes &amp; Prefixes'!$B$4:$C$4)&gt;0, "4", "5"), 0)), "")</f>
        <v/>
      </c>
      <c r="S9" s="138" cm="1">
        <f t="array" ref="S9">IF(COUNTIF($B$4:$E$4, S$2)&gt;0, _xlfn.IFS(COUNTIF($B$4:$C$4, S$2)&gt;0, VLOOKUP($J9,'Gear Values'!$A$2:$E$13, IF(COUNTBLANK('Attributes &amp; Prefixes'!$B$4:$C$4)&gt;0, "2", "3"), 0), COUNTIF($D$4:$E$4, S$2)&gt;0, VLOOKUP($J9,'Gear Values'!$A$2:$E$13, IF(COUNTBLANK('Attributes &amp; Prefixes'!$B$4:$C$4)&gt;0, "4", "5"), 0)), "")</f>
        <v>64</v>
      </c>
      <c r="V9" s="112"/>
      <c r="W9" s="113"/>
    </row>
    <row r="10" spans="1:33" ht="15" customHeight="1">
      <c r="A10" s="128" t="s">
        <v>41</v>
      </c>
      <c r="B10" s="121" t="s">
        <v>7</v>
      </c>
      <c r="C10" s="122"/>
      <c r="D10" s="122" t="s">
        <v>6</v>
      </c>
      <c r="E10" s="122" t="s">
        <v>8</v>
      </c>
      <c r="F10" s="448" t="str">
        <f>IF(OR(COUNTBLANK(AttributeFilter) = 1,AttributeFilter="(Select)"), A10, IF(COUNTIF(B10:E10, AttributeFilter)&gt;0, A10, ""))</f>
        <v>Captain</v>
      </c>
      <c r="G10" s="111"/>
      <c r="H10" s="130" t="str">
        <f>_xlfn.CONCAT(I$3,J10)</f>
        <v>ApostateFeet</v>
      </c>
      <c r="I10" s="520"/>
      <c r="J10" s="144" t="s">
        <v>48</v>
      </c>
      <c r="K10" s="136" t="str" cm="1">
        <f t="array" ref="K10">IF(COUNTIF($B$4:$E$4, K$2)&gt;0, _xlfn.IFS(COUNTIF($B$4:$C$4, K$2)&gt;0, VLOOKUP($J10,'Gear Values'!$A$2:$E$13, IF(COUNTBLANK('Attributes &amp; Prefixes'!$B$4:$C$4)&gt;0, "2", "3"), 0), COUNTIF($D$4:$E$4, K$2)&gt;0, VLOOKUP($J10,'Gear Values'!$A$2:$E$13, IF(COUNTBLANK('Attributes &amp; Prefixes'!$B$4:$C$4)&gt;0, "4", "5"), 0)), "")</f>
        <v/>
      </c>
      <c r="L10" s="137" t="str" cm="1">
        <f t="array" ref="L10">IF(COUNTIF($B$4:$E$4, L$2)&gt;0, _xlfn.IFS(COUNTIF($B$4:$C$4, L$2)&gt;0, VLOOKUP($J10,'Gear Values'!$A$2:$E$13, IF(COUNTBLANK('Attributes &amp; Prefixes'!$B$4:$C$4)&gt;0, "2", "3"), 0), COUNTIF($D$4:$E$4, L$2)&gt;0, VLOOKUP($J10,'Gear Values'!$A$2:$E$13, IF(COUNTBLANK('Attributes &amp; Prefixes'!$B$4:$C$4)&gt;0, "4", "5"), 0)), "")</f>
        <v/>
      </c>
      <c r="M10" s="137" cm="1">
        <f t="array" ref="M10">IF(COUNTIF($B$4:$E$4, M$2)&gt;0, _xlfn.IFS(COUNTIF($B$4:$C$4, M$2)&gt;0, VLOOKUP($J10,'Gear Values'!$A$2:$E$13, IF(COUNTBLANK('Attributes &amp; Prefixes'!$B$4:$C$4)&gt;0, "2", "3"), 0), COUNTIF($D$4:$E$4, M$2)&gt;0, VLOOKUP($J10,'Gear Values'!$A$2:$E$13, IF(COUNTBLANK('Attributes &amp; Prefixes'!$B$4:$C$4)&gt;0, "4", "5"), 0)), "")</f>
        <v>32</v>
      </c>
      <c r="N10" s="137" t="str" cm="1">
        <f t="array" ref="N10">IF(COUNTIF($B$4:$E$4, N$2)&gt;0, _xlfn.IFS(COUNTIF($B$4:$C$4, N$2)&gt;0, VLOOKUP($J10,'Gear Values'!$A$2:$E$13, IF(COUNTBLANK('Attributes &amp; Prefixes'!$B$4:$C$4)&gt;0, "2", "3"), 0), COUNTIF($D$4:$E$4, N$2)&gt;0, VLOOKUP($J10,'Gear Values'!$A$2:$E$13, IF(COUNTBLANK('Attributes &amp; Prefixes'!$B$4:$C$4)&gt;0, "4", "5"), 0)), "")</f>
        <v/>
      </c>
      <c r="O10" s="137" t="str" cm="1">
        <f t="array" ref="O10">IF(COUNTIF($B$4:$E$4, O$2)&gt;0, _xlfn.IFS(COUNTIF($B$4:$C$4, O$2)&gt;0, VLOOKUP($J10,'Gear Values'!$A$2:$E$13, IF(COUNTBLANK('Attributes &amp; Prefixes'!$B$4:$C$4)&gt;0, "2", "3"), 0), COUNTIF($D$4:$E$4, O$2)&gt;0, VLOOKUP($J10,'Gear Values'!$A$2:$E$13, IF(COUNTBLANK('Attributes &amp; Prefixes'!$B$4:$C$4)&gt;0, "4", "5"), 0)), "")</f>
        <v/>
      </c>
      <c r="P10" s="137" cm="1">
        <f t="array" ref="P10">IF(COUNTIF($B$4:$E$4, P$2)&gt;0, _xlfn.IFS(COUNTIF($B$4:$C$4, P$2)&gt;0, VLOOKUP($J10,'Gear Values'!$A$2:$E$13, IF(COUNTBLANK('Attributes &amp; Prefixes'!$B$4:$C$4)&gt;0, "2", "3"), 0), COUNTIF($D$4:$E$4, P$2)&gt;0, VLOOKUP($J10,'Gear Values'!$A$2:$E$13, IF(COUNTBLANK('Attributes &amp; Prefixes'!$B$4:$C$4)&gt;0, "4", "5"), 0)), "")</f>
        <v>45</v>
      </c>
      <c r="Q10" s="137" t="str" cm="1">
        <f t="array" ref="Q10">IF(COUNTIF($B$4:$E$4, Q$2)&gt;0, _xlfn.IFS(COUNTIF($B$4:$C$4, Q$2)&gt;0, VLOOKUP($J10,'Gear Values'!$A$2:$E$13, IF(COUNTBLANK('Attributes &amp; Prefixes'!$B$4:$C$4)&gt;0, "2", "3"), 0), COUNTIF($D$4:$E$4, Q$2)&gt;0, VLOOKUP($J10,'Gear Values'!$A$2:$E$13, IF(COUNTBLANK('Attributes &amp; Prefixes'!$B$4:$C$4)&gt;0, "4", "5"), 0)), "")</f>
        <v/>
      </c>
      <c r="R10" s="137" t="str" cm="1">
        <f t="array" ref="R10">IF(COUNTIF($B$4:$E$4, R$2)&gt;0, _xlfn.IFS(COUNTIF($B$4:$C$4, R$2)&gt;0, VLOOKUP($J10,'Gear Values'!$A$2:$E$13, IF(COUNTBLANK('Attributes &amp; Prefixes'!$B$4:$C$4)&gt;0, "2", "3"), 0), COUNTIF($D$4:$E$4, R$2)&gt;0, VLOOKUP($J10,'Gear Values'!$A$2:$E$13, IF(COUNTBLANK('Attributes &amp; Prefixes'!$B$4:$C$4)&gt;0, "4", "5"), 0)), "")</f>
        <v/>
      </c>
      <c r="S10" s="138" cm="1">
        <f t="array" ref="S10">IF(COUNTIF($B$4:$E$4, S$2)&gt;0, _xlfn.IFS(COUNTIF($B$4:$C$4, S$2)&gt;0, VLOOKUP($J10,'Gear Values'!$A$2:$E$13, IF(COUNTBLANK('Attributes &amp; Prefixes'!$B$4:$C$4)&gt;0, "2", "3"), 0), COUNTIF($D$4:$E$4, S$2)&gt;0, VLOOKUP($J10,'Gear Values'!$A$2:$E$13, IF(COUNTBLANK('Attributes &amp; Prefixes'!$B$4:$C$4)&gt;0, "4", "5"), 0)), "")</f>
        <v>32</v>
      </c>
      <c r="V10" s="112"/>
      <c r="W10" s="113"/>
    </row>
    <row r="11" spans="1:33" ht="15" customHeight="1">
      <c r="A11" s="128" t="s">
        <v>2436</v>
      </c>
      <c r="B11" s="121" t="s">
        <v>11</v>
      </c>
      <c r="C11" s="122"/>
      <c r="D11" s="122" t="s">
        <v>6</v>
      </c>
      <c r="E11" s="122" t="s">
        <v>9</v>
      </c>
      <c r="F11" s="448" t="str">
        <f>IF(OR(COUNTBLANK(AttributeFilter) = 1,AttributeFilter="(Select)"), A11, IF(COUNTIF(B11:E11, AttributeFilter)&gt;0, A11, ""))</f>
        <v>Carrion</v>
      </c>
      <c r="G11" s="111"/>
      <c r="H11" s="130" t="str">
        <f>_xlfn.CONCAT(I$3,J11)</f>
        <v>ApostateEar</v>
      </c>
      <c r="I11" s="520"/>
      <c r="J11" s="144" t="s">
        <v>49</v>
      </c>
      <c r="K11" s="136" t="str" cm="1">
        <f t="array" ref="K11">IF(COUNTIF($B$4:$E$4, K$2)&gt;0, _xlfn.IFS(COUNTIF($B$4:$C$4, K$2)&gt;0, VLOOKUP($J11,'Gear Values'!$A$2:$E$13, IF(COUNTBLANK('Attributes &amp; Prefixes'!$B$4:$C$4)&gt;0, "2", "3"), 0), COUNTIF($D$4:$E$4, K$2)&gt;0, VLOOKUP($J11,'Gear Values'!$A$2:$E$13, IF(COUNTBLANK('Attributes &amp; Prefixes'!$B$4:$C$4)&gt;0, "4", "5"), 0)), "")</f>
        <v/>
      </c>
      <c r="L11" s="137" t="str" cm="1">
        <f t="array" ref="L11">IF(COUNTIF($B$4:$E$4, L$2)&gt;0, _xlfn.IFS(COUNTIF($B$4:$C$4, L$2)&gt;0, VLOOKUP($J11,'Gear Values'!$A$2:$E$13, IF(COUNTBLANK('Attributes &amp; Prefixes'!$B$4:$C$4)&gt;0, "2", "3"), 0), COUNTIF($D$4:$E$4, L$2)&gt;0, VLOOKUP($J11,'Gear Values'!$A$2:$E$13, IF(COUNTBLANK('Attributes &amp; Prefixes'!$B$4:$C$4)&gt;0, "4", "5"), 0)), "")</f>
        <v/>
      </c>
      <c r="M11" s="137" cm="1">
        <f t="array" ref="M11">IF(COUNTIF($B$4:$E$4, M$2)&gt;0, _xlfn.IFS(COUNTIF($B$4:$C$4, M$2)&gt;0, VLOOKUP($J11,'Gear Values'!$A$2:$E$13, IF(COUNTBLANK('Attributes &amp; Prefixes'!$B$4:$C$4)&gt;0, "2", "3"), 0), COUNTIF($D$4:$E$4, M$2)&gt;0, VLOOKUP($J11,'Gear Values'!$A$2:$E$13, IF(COUNTBLANK('Attributes &amp; Prefixes'!$B$4:$C$4)&gt;0, "4", "5"), 0)), "")</f>
        <v>53</v>
      </c>
      <c r="N11" s="137" t="str" cm="1">
        <f t="array" ref="N11">IF(COUNTIF($B$4:$E$4, N$2)&gt;0, _xlfn.IFS(COUNTIF($B$4:$C$4, N$2)&gt;0, VLOOKUP($J11,'Gear Values'!$A$2:$E$13, IF(COUNTBLANK('Attributes &amp; Prefixes'!$B$4:$C$4)&gt;0, "2", "3"), 0), COUNTIF($D$4:$E$4, N$2)&gt;0, VLOOKUP($J11,'Gear Values'!$A$2:$E$13, IF(COUNTBLANK('Attributes &amp; Prefixes'!$B$4:$C$4)&gt;0, "4", "5"), 0)), "")</f>
        <v/>
      </c>
      <c r="O11" s="137" t="str" cm="1">
        <f t="array" ref="O11">IF(COUNTIF($B$4:$E$4, O$2)&gt;0, _xlfn.IFS(COUNTIF($B$4:$C$4, O$2)&gt;0, VLOOKUP($J11,'Gear Values'!$A$2:$E$13, IF(COUNTBLANK('Attributes &amp; Prefixes'!$B$4:$C$4)&gt;0, "2", "3"), 0), COUNTIF($D$4:$E$4, O$2)&gt;0, VLOOKUP($J11,'Gear Values'!$A$2:$E$13, IF(COUNTBLANK('Attributes &amp; Prefixes'!$B$4:$C$4)&gt;0, "4", "5"), 0)), "")</f>
        <v/>
      </c>
      <c r="P11" s="137" cm="1">
        <f t="array" ref="P11">IF(COUNTIF($B$4:$E$4, P$2)&gt;0, _xlfn.IFS(COUNTIF($B$4:$C$4, P$2)&gt;0, VLOOKUP($J11,'Gear Values'!$A$2:$E$13, IF(COUNTBLANK('Attributes &amp; Prefixes'!$B$4:$C$4)&gt;0, "2", "3"), 0), COUNTIF($D$4:$E$4, P$2)&gt;0, VLOOKUP($J11,'Gear Values'!$A$2:$E$13, IF(COUNTBLANK('Attributes &amp; Prefixes'!$B$4:$C$4)&gt;0, "4", "5"), 0)), "")</f>
        <v>75</v>
      </c>
      <c r="Q11" s="137" t="str" cm="1">
        <f t="array" ref="Q11">IF(COUNTIF($B$4:$E$4, Q$2)&gt;0, _xlfn.IFS(COUNTIF($B$4:$C$4, Q$2)&gt;0, VLOOKUP($J11,'Gear Values'!$A$2:$E$13, IF(COUNTBLANK('Attributes &amp; Prefixes'!$B$4:$C$4)&gt;0, "2", "3"), 0), COUNTIF($D$4:$E$4, Q$2)&gt;0, VLOOKUP($J11,'Gear Values'!$A$2:$E$13, IF(COUNTBLANK('Attributes &amp; Prefixes'!$B$4:$C$4)&gt;0, "4", "5"), 0)), "")</f>
        <v/>
      </c>
      <c r="R11" s="137" t="str" cm="1">
        <f t="array" ref="R11">IF(COUNTIF($B$4:$E$4, R$2)&gt;0, _xlfn.IFS(COUNTIF($B$4:$C$4, R$2)&gt;0, VLOOKUP($J11,'Gear Values'!$A$2:$E$13, IF(COUNTBLANK('Attributes &amp; Prefixes'!$B$4:$C$4)&gt;0, "2", "3"), 0), COUNTIF($D$4:$E$4, R$2)&gt;0, VLOOKUP($J11,'Gear Values'!$A$2:$E$13, IF(COUNTBLANK('Attributes &amp; Prefixes'!$B$4:$C$4)&gt;0, "4", "5"), 0)), "")</f>
        <v/>
      </c>
      <c r="S11" s="138" cm="1">
        <f t="array" ref="S11">IF(COUNTIF($B$4:$E$4, S$2)&gt;0, _xlfn.IFS(COUNTIF($B$4:$C$4, S$2)&gt;0, VLOOKUP($J11,'Gear Values'!$A$2:$E$13, IF(COUNTBLANK('Attributes &amp; Prefixes'!$B$4:$C$4)&gt;0, "2", "3"), 0), COUNTIF($D$4:$E$4, S$2)&gt;0, VLOOKUP($J11,'Gear Values'!$A$2:$E$13, IF(COUNTBLANK('Attributes &amp; Prefixes'!$B$4:$C$4)&gt;0, "4", "5"), 0)), "")</f>
        <v>53</v>
      </c>
      <c r="V11" s="112"/>
      <c r="W11" s="113"/>
    </row>
    <row r="12" spans="1:33" ht="15" customHeight="1">
      <c r="A12" s="128" t="s">
        <v>2437</v>
      </c>
      <c r="B12" s="121" t="s">
        <v>8</v>
      </c>
      <c r="C12" s="122"/>
      <c r="D12" s="122" t="s">
        <v>6</v>
      </c>
      <c r="E12" s="122" t="s">
        <v>13</v>
      </c>
      <c r="F12" s="448" t="str">
        <f>IF(OR(COUNTBLANK(AttributeFilter) = 1,AttributeFilter="(Select)"), A12, IF(COUNTIF(B12:E12, AttributeFilter)&gt;0, A12, ""))</f>
        <v>Cavalier</v>
      </c>
      <c r="G12" s="111"/>
      <c r="H12" s="130" t="str">
        <f>_xlfn.CONCAT(I$3,J12)</f>
        <v>ApostateFinger</v>
      </c>
      <c r="I12" s="520"/>
      <c r="J12" s="144" t="s">
        <v>51</v>
      </c>
      <c r="K12" s="136" t="str" cm="1">
        <f t="array" ref="K12">IF(COUNTIF($B$4:$E$4, K$2)&gt;0, _xlfn.IFS(COUNTIF($B$4:$C$4, K$2)&gt;0, VLOOKUP($J12,'Gear Values'!$A$2:$E$13, IF(COUNTBLANK('Attributes &amp; Prefixes'!$B$4:$C$4)&gt;0, "2", "3"), 0), COUNTIF($D$4:$E$4, K$2)&gt;0, VLOOKUP($J12,'Gear Values'!$A$2:$E$13, IF(COUNTBLANK('Attributes &amp; Prefixes'!$B$4:$C$4)&gt;0, "4", "5"), 0)), "")</f>
        <v/>
      </c>
      <c r="L12" s="137" t="str" cm="1">
        <f t="array" ref="L12">IF(COUNTIF($B$4:$E$4, L$2)&gt;0, _xlfn.IFS(COUNTIF($B$4:$C$4, L$2)&gt;0, VLOOKUP($J12,'Gear Values'!$A$2:$E$13, IF(COUNTBLANK('Attributes &amp; Prefixes'!$B$4:$C$4)&gt;0, "2", "3"), 0), COUNTIF($D$4:$E$4, L$2)&gt;0, VLOOKUP($J12,'Gear Values'!$A$2:$E$13, IF(COUNTBLANK('Attributes &amp; Prefixes'!$B$4:$C$4)&gt;0, "4", "5"), 0)), "")</f>
        <v/>
      </c>
      <c r="M12" s="134" cm="1">
        <f t="array" ref="M12">IF(COUNTIF($B$4:$E$4, M$2)&gt;0, _xlfn.IFS(COUNTIF($B$4:$C$4, M$2)&gt;0, VLOOKUP($J12,'Gear Values'!$A$2:$E$13, IF(COUNTBLANK('Attributes &amp; Prefixes'!$B$4:$C$4)&gt;0, "2", "3"), 0), COUNTIF($D$4:$E$4, M$2)&gt;0, VLOOKUP($J12,'Gear Values'!$A$2:$E$13, IF(COUNTBLANK('Attributes &amp; Prefixes'!$B$4:$C$4)&gt;0, "4", "5"), 0)), "")</f>
        <v>64</v>
      </c>
      <c r="N12" s="137" t="str" cm="1">
        <f t="array" ref="N12">IF(COUNTIF($B$4:$E$4, N$2)&gt;0, _xlfn.IFS(COUNTIF($B$4:$C$4, N$2)&gt;0, VLOOKUP($J12,'Gear Values'!$A$2:$E$13, IF(COUNTBLANK('Attributes &amp; Prefixes'!$B$4:$C$4)&gt;0, "2", "3"), 0), COUNTIF($D$4:$E$4, N$2)&gt;0, VLOOKUP($J12,'Gear Values'!$A$2:$E$13, IF(COUNTBLANK('Attributes &amp; Prefixes'!$B$4:$C$4)&gt;0, "4", "5"), 0)), "")</f>
        <v/>
      </c>
      <c r="O12" s="137" t="str" cm="1">
        <f t="array" ref="O12">IF(COUNTIF($B$4:$E$4, O$2)&gt;0, _xlfn.IFS(COUNTIF($B$4:$C$4, O$2)&gt;0, VLOOKUP($J12,'Gear Values'!$A$2:$E$13, IF(COUNTBLANK('Attributes &amp; Prefixes'!$B$4:$C$4)&gt;0, "2", "3"), 0), COUNTIF($D$4:$E$4, O$2)&gt;0, VLOOKUP($J12,'Gear Values'!$A$2:$E$13, IF(COUNTBLANK('Attributes &amp; Prefixes'!$B$4:$C$4)&gt;0, "4", "5"), 0)), "")</f>
        <v/>
      </c>
      <c r="P12" s="137" cm="1">
        <f t="array" ref="P12">IF(COUNTIF($B$4:$E$4, P$2)&gt;0, _xlfn.IFS(COUNTIF($B$4:$C$4, P$2)&gt;0, VLOOKUP($J12,'Gear Values'!$A$2:$E$13, IF(COUNTBLANK('Attributes &amp; Prefixes'!$B$4:$C$4)&gt;0, "2", "3"), 0), COUNTIF($D$4:$E$4, P$2)&gt;0, VLOOKUP($J12,'Gear Values'!$A$2:$E$13, IF(COUNTBLANK('Attributes &amp; Prefixes'!$B$4:$C$4)&gt;0, "4", "5"), 0)), "")</f>
        <v>90</v>
      </c>
      <c r="Q12" s="137" t="str" cm="1">
        <f t="array" ref="Q12">IF(COUNTIF($B$4:$E$4, Q$2)&gt;0, _xlfn.IFS(COUNTIF($B$4:$C$4, Q$2)&gt;0, VLOOKUP($J12,'Gear Values'!$A$2:$E$13, IF(COUNTBLANK('Attributes &amp; Prefixes'!$B$4:$C$4)&gt;0, "2", "3"), 0), COUNTIF($D$4:$E$4, Q$2)&gt;0, VLOOKUP($J12,'Gear Values'!$A$2:$E$13, IF(COUNTBLANK('Attributes &amp; Prefixes'!$B$4:$C$4)&gt;0, "4", "5"), 0)), "")</f>
        <v/>
      </c>
      <c r="R12" s="137" t="str" cm="1">
        <f t="array" ref="R12">IF(COUNTIF($B$4:$E$4, R$2)&gt;0, _xlfn.IFS(COUNTIF($B$4:$C$4, R$2)&gt;0, VLOOKUP($J12,'Gear Values'!$A$2:$E$13, IF(COUNTBLANK('Attributes &amp; Prefixes'!$B$4:$C$4)&gt;0, "2", "3"), 0), COUNTIF($D$4:$E$4, R$2)&gt;0, VLOOKUP($J12,'Gear Values'!$A$2:$E$13, IF(COUNTBLANK('Attributes &amp; Prefixes'!$B$4:$C$4)&gt;0, "4", "5"), 0)), "")</f>
        <v/>
      </c>
      <c r="S12" s="138" cm="1">
        <f t="array" ref="S12">IF(COUNTIF($B$4:$E$4, S$2)&gt;0, _xlfn.IFS(COUNTIF($B$4:$C$4, S$2)&gt;0, VLOOKUP($J12,'Gear Values'!$A$2:$E$13, IF(COUNTBLANK('Attributes &amp; Prefixes'!$B$4:$C$4)&gt;0, "2", "3"), 0), COUNTIF($D$4:$E$4, S$2)&gt;0, VLOOKUP($J12,'Gear Values'!$A$2:$E$13, IF(COUNTBLANK('Attributes &amp; Prefixes'!$B$4:$C$4)&gt;0, "4", "5"), 0)), "")</f>
        <v>64</v>
      </c>
      <c r="V12" s="112"/>
      <c r="W12" s="113"/>
    </row>
    <row r="13" spans="1:33" ht="15" customHeight="1">
      <c r="A13" s="128" t="s">
        <v>2438</v>
      </c>
      <c r="B13" s="525" t="s">
        <v>2439</v>
      </c>
      <c r="C13" s="526"/>
      <c r="D13" s="526"/>
      <c r="E13" s="526"/>
      <c r="F13" s="448" t="str">
        <f>IF(OR(COUNTBLANK(AttributeFilter) = 1,AttributeFilter="(Select)"), A13, IF(COUNTIF(B13:E13, AttributeFilter)&gt;0, A13, ""))</f>
        <v>Celestial</v>
      </c>
      <c r="G13" s="111"/>
      <c r="H13" s="130" t="str">
        <f>_xlfn.CONCAT(I$3,J13)</f>
        <v>ApostateNeck</v>
      </c>
      <c r="I13" s="520"/>
      <c r="J13" s="144" t="s">
        <v>52</v>
      </c>
      <c r="K13" s="136" t="str" cm="1">
        <f t="array" ref="K13">IF(COUNTIF($B$4:$E$4, K$2)&gt;0, _xlfn.IFS(COUNTIF($B$4:$C$4, K$2)&gt;0, VLOOKUP($J13,'Gear Values'!$A$2:$E$13, IF(COUNTBLANK('Attributes &amp; Prefixes'!$B$4:$C$4)&gt;0, "2", "3"), 0), COUNTIF($D$4:$E$4, K$2)&gt;0, VLOOKUP($J13,'Gear Values'!$A$2:$E$13, IF(COUNTBLANK('Attributes &amp; Prefixes'!$B$4:$C$4)&gt;0, "4", "5"), 0)), "")</f>
        <v/>
      </c>
      <c r="L13" s="137" t="str" cm="1">
        <f t="array" ref="L13">IF(COUNTIF($B$4:$E$4, L$2)&gt;0, _xlfn.IFS(COUNTIF($B$4:$C$4, L$2)&gt;0, VLOOKUP($J13,'Gear Values'!$A$2:$E$13, IF(COUNTBLANK('Attributes &amp; Prefixes'!$B$4:$C$4)&gt;0, "2", "3"), 0), COUNTIF($D$4:$E$4, L$2)&gt;0, VLOOKUP($J13,'Gear Values'!$A$2:$E$13, IF(COUNTBLANK('Attributes &amp; Prefixes'!$B$4:$C$4)&gt;0, "4", "5"), 0)), "")</f>
        <v/>
      </c>
      <c r="M13" s="137" cm="1">
        <f t="array" ref="M13">IF(COUNTIF($B$4:$E$4, M$2)&gt;0, _xlfn.IFS(COUNTIF($B$4:$C$4, M$2)&gt;0, VLOOKUP($J13,'Gear Values'!$A$2:$E$13, IF(COUNTBLANK('Attributes &amp; Prefixes'!$B$4:$C$4)&gt;0, "2", "3"), 0), COUNTIF($D$4:$E$4, M$2)&gt;0, VLOOKUP($J13,'Gear Values'!$A$2:$E$13, IF(COUNTBLANK('Attributes &amp; Prefixes'!$B$4:$C$4)&gt;0, "4", "5"), 0)), "")</f>
        <v>85</v>
      </c>
      <c r="N13" s="137" t="str" cm="1">
        <f t="array" ref="N13">IF(COUNTIF($B$4:$E$4, N$2)&gt;0, _xlfn.IFS(COUNTIF($B$4:$C$4, N$2)&gt;0, VLOOKUP($J13,'Gear Values'!$A$2:$E$13, IF(COUNTBLANK('Attributes &amp; Prefixes'!$B$4:$C$4)&gt;0, "2", "3"), 0), COUNTIF($D$4:$E$4, N$2)&gt;0, VLOOKUP($J13,'Gear Values'!$A$2:$E$13, IF(COUNTBLANK('Attributes &amp; Prefixes'!$B$4:$C$4)&gt;0, "4", "5"), 0)), "")</f>
        <v/>
      </c>
      <c r="O13" s="137" t="str" cm="1">
        <f t="array" ref="O13">IF(COUNTIF($B$4:$E$4, O$2)&gt;0, _xlfn.IFS(COUNTIF($B$4:$C$4, O$2)&gt;0, VLOOKUP($J13,'Gear Values'!$A$2:$E$13, IF(COUNTBLANK('Attributes &amp; Prefixes'!$B$4:$C$4)&gt;0, "2", "3"), 0), COUNTIF($D$4:$E$4, O$2)&gt;0, VLOOKUP($J13,'Gear Values'!$A$2:$E$13, IF(COUNTBLANK('Attributes &amp; Prefixes'!$B$4:$C$4)&gt;0, "4", "5"), 0)), "")</f>
        <v/>
      </c>
      <c r="P13" s="137" cm="1">
        <f t="array" ref="P13">IF(COUNTIF($B$4:$E$4, P$2)&gt;0, _xlfn.IFS(COUNTIF($B$4:$C$4, P$2)&gt;0, VLOOKUP($J13,'Gear Values'!$A$2:$E$13, IF(COUNTBLANK('Attributes &amp; Prefixes'!$B$4:$C$4)&gt;0, "2", "3"), 0), COUNTIF($D$4:$E$4, P$2)&gt;0, VLOOKUP($J13,'Gear Values'!$A$2:$E$13, IF(COUNTBLANK('Attributes &amp; Prefixes'!$B$4:$C$4)&gt;0, "4", "5"), 0)), "")</f>
        <v>120</v>
      </c>
      <c r="Q13" s="137" t="str" cm="1">
        <f t="array" ref="Q13">IF(COUNTIF($B$4:$E$4, Q$2)&gt;0, _xlfn.IFS(COUNTIF($B$4:$C$4, Q$2)&gt;0, VLOOKUP($J13,'Gear Values'!$A$2:$E$13, IF(COUNTBLANK('Attributes &amp; Prefixes'!$B$4:$C$4)&gt;0, "2", "3"), 0), COUNTIF($D$4:$E$4, Q$2)&gt;0, VLOOKUP($J13,'Gear Values'!$A$2:$E$13, IF(COUNTBLANK('Attributes &amp; Prefixes'!$B$4:$C$4)&gt;0, "4", "5"), 0)), "")</f>
        <v/>
      </c>
      <c r="R13" s="137" t="str" cm="1">
        <f t="array" ref="R13">IF(COUNTIF($B$4:$E$4, R$2)&gt;0, _xlfn.IFS(COUNTIF($B$4:$C$4, R$2)&gt;0, VLOOKUP($J13,'Gear Values'!$A$2:$E$13, IF(COUNTBLANK('Attributes &amp; Prefixes'!$B$4:$C$4)&gt;0, "2", "3"), 0), COUNTIF($D$4:$E$4, R$2)&gt;0, VLOOKUP($J13,'Gear Values'!$A$2:$E$13, IF(COUNTBLANK('Attributes &amp; Prefixes'!$B$4:$C$4)&gt;0, "4", "5"), 0)), "")</f>
        <v/>
      </c>
      <c r="S13" s="138" cm="1">
        <f t="array" ref="S13">IF(COUNTIF($B$4:$E$4, S$2)&gt;0, _xlfn.IFS(COUNTIF($B$4:$C$4, S$2)&gt;0, VLOOKUP($J13,'Gear Values'!$A$2:$E$13, IF(COUNTBLANK('Attributes &amp; Prefixes'!$B$4:$C$4)&gt;0, "2", "3"), 0), COUNTIF($D$4:$E$4, S$2)&gt;0, VLOOKUP($J13,'Gear Values'!$A$2:$E$13, IF(COUNTBLANK('Attributes &amp; Prefixes'!$B$4:$C$4)&gt;0, "4", "5"), 0)), "")</f>
        <v>85</v>
      </c>
      <c r="V13" s="112"/>
      <c r="W13" s="113"/>
    </row>
    <row r="14" spans="1:33" ht="15.75" customHeight="1">
      <c r="A14" s="128" t="s">
        <v>2440</v>
      </c>
      <c r="B14" s="121" t="s">
        <v>14</v>
      </c>
      <c r="C14" s="122"/>
      <c r="D14" s="122" t="s">
        <v>6</v>
      </c>
      <c r="E14" s="122" t="s">
        <v>8</v>
      </c>
      <c r="F14" s="448" t="str">
        <f>IF(OR(COUNTBLANK(AttributeFilter) = 1,AttributeFilter="(Select)"), A14, IF(COUNTIF(B14:E14, AttributeFilter)&gt;0, A14, ""))</f>
        <v>Cleric</v>
      </c>
      <c r="G14" s="111"/>
      <c r="H14" s="130" t="str">
        <f>_xlfn.CONCAT(I$3,J14)</f>
        <v>ApostateBack</v>
      </c>
      <c r="I14" s="521"/>
      <c r="J14" s="146" t="s">
        <v>53</v>
      </c>
      <c r="K14" s="147" t="str" cm="1">
        <f t="array" ref="K14">IF(COUNTIF($B$4:$E$4, K$2)&gt;0, _xlfn.IFS(COUNTIF($B$4:$C$4, K$2)&gt;0, VLOOKUP($J14,'Gear Values'!$A$2:$E$13, IF(COUNTBLANK('Attributes &amp; Prefixes'!$B$4:$C$4)&gt;0, "2", "3"), 0), COUNTIF($D$4:$E$4, K$2)&gt;0, VLOOKUP($J14,'Gear Values'!$A$2:$E$13, IF(COUNTBLANK('Attributes &amp; Prefixes'!$B$4:$C$4)&gt;0, "4", "5"), 0)), "")</f>
        <v/>
      </c>
      <c r="L14" s="148" t="str" cm="1">
        <f t="array" ref="L14">IF(COUNTIF($B$4:$E$4, L$2)&gt;0, _xlfn.IFS(COUNTIF($B$4:$C$4, L$2)&gt;0, VLOOKUP($J14,'Gear Values'!$A$2:$E$13, IF(COUNTBLANK('Attributes &amp; Prefixes'!$B$4:$C$4)&gt;0, "2", "3"), 0), COUNTIF($D$4:$E$4, L$2)&gt;0, VLOOKUP($J14,'Gear Values'!$A$2:$E$13, IF(COUNTBLANK('Attributes &amp; Prefixes'!$B$4:$C$4)&gt;0, "4", "5"), 0)), "")</f>
        <v/>
      </c>
      <c r="M14" s="148" cm="1">
        <f t="array" ref="M14">IF(COUNTIF($B$4:$E$4, M$2)&gt;0, _xlfn.IFS(COUNTIF($B$4:$C$4, M$2)&gt;0, VLOOKUP($J14,'Gear Values'!$A$2:$E$13, IF(COUNTBLANK('Attributes &amp; Prefixes'!$B$4:$C$4)&gt;0, "2", "3"), 0), COUNTIF($D$4:$E$4, M$2)&gt;0, VLOOKUP($J14,'Gear Values'!$A$2:$E$13, IF(COUNTBLANK('Attributes &amp; Prefixes'!$B$4:$C$4)&gt;0, "4", "5"), 0)), "")</f>
        <v>18</v>
      </c>
      <c r="N14" s="148" t="str" cm="1">
        <f t="array" ref="N14">IF(COUNTIF($B$4:$E$4, N$2)&gt;0, _xlfn.IFS(COUNTIF($B$4:$C$4, N$2)&gt;0, VLOOKUP($J14,'Gear Values'!$A$2:$E$13, IF(COUNTBLANK('Attributes &amp; Prefixes'!$B$4:$C$4)&gt;0, "2", "3"), 0), COUNTIF($D$4:$E$4, N$2)&gt;0, VLOOKUP($J14,'Gear Values'!$A$2:$E$13, IF(COUNTBLANK('Attributes &amp; Prefixes'!$B$4:$C$4)&gt;0, "4", "5"), 0)), "")</f>
        <v/>
      </c>
      <c r="O14" s="148" t="str" cm="1">
        <f t="array" ref="O14">IF(COUNTIF($B$4:$E$4, O$2)&gt;0, _xlfn.IFS(COUNTIF($B$4:$C$4, O$2)&gt;0, VLOOKUP($J14,'Gear Values'!$A$2:$E$13, IF(COUNTBLANK('Attributes &amp; Prefixes'!$B$4:$C$4)&gt;0, "2", "3"), 0), COUNTIF($D$4:$E$4, O$2)&gt;0, VLOOKUP($J14,'Gear Values'!$A$2:$E$13, IF(COUNTBLANK('Attributes &amp; Prefixes'!$B$4:$C$4)&gt;0, "4", "5"), 0)), "")</f>
        <v/>
      </c>
      <c r="P14" s="148" cm="1">
        <f t="array" ref="P14">IF(COUNTIF($B$4:$E$4, P$2)&gt;0, _xlfn.IFS(COUNTIF($B$4:$C$4, P$2)&gt;0, VLOOKUP($J14,'Gear Values'!$A$2:$E$13, IF(COUNTBLANK('Attributes &amp; Prefixes'!$B$4:$C$4)&gt;0, "2", "3"), 0), COUNTIF($D$4:$E$4, P$2)&gt;0, VLOOKUP($J14,'Gear Values'!$A$2:$E$13, IF(COUNTBLANK('Attributes &amp; Prefixes'!$B$4:$C$4)&gt;0, "4", "5"), 0)), "")</f>
        <v>32</v>
      </c>
      <c r="Q14" s="149" t="str" cm="1">
        <f t="array" ref="Q14">IF(COUNTIF($B$4:$E$4, Q$2)&gt;0, _xlfn.IFS(COUNTIF($B$4:$C$4, Q$2)&gt;0, VLOOKUP($J14,'Gear Values'!$A$2:$E$13, IF(COUNTBLANK('Attributes &amp; Prefixes'!$B$4:$C$4)&gt;0, "2", "3"), 0), COUNTIF($D$4:$E$4, Q$2)&gt;0, VLOOKUP($J14,'Gear Values'!$A$2:$E$13, IF(COUNTBLANK('Attributes &amp; Prefixes'!$B$4:$C$4)&gt;0, "4", "5"), 0)), "")</f>
        <v/>
      </c>
      <c r="R14" s="147" t="str" cm="1">
        <f t="array" ref="R14">IF(COUNTIF($B$4:$E$4, R$2)&gt;0, _xlfn.IFS(COUNTIF($B$4:$C$4, R$2)&gt;0, VLOOKUP($J14,'Gear Values'!$A$2:$E$13, IF(COUNTBLANK('Attributes &amp; Prefixes'!$B$4:$C$4)&gt;0, "2", "3"), 0), COUNTIF($D$4:$E$4, R$2)&gt;0, VLOOKUP($J14,'Gear Values'!$A$2:$E$13, IF(COUNTBLANK('Attributes &amp; Prefixes'!$B$4:$C$4)&gt;0, "4", "5"), 0)), "")</f>
        <v/>
      </c>
      <c r="S14" s="150" cm="1">
        <f t="array" ref="S14">IF(COUNTIF($B$4:$E$4, S$2)&gt;0, _xlfn.IFS(COUNTIF($B$4:$C$4, S$2)&gt;0, VLOOKUP($J14,'Gear Values'!$A$2:$E$13, IF(COUNTBLANK('Attributes &amp; Prefixes'!$B$4:$C$4)&gt;0, "2", "3"), 0), COUNTIF($D$4:$E$4, S$2)&gt;0, VLOOKUP($J14,'Gear Values'!$A$2:$E$13, IF(COUNTBLANK('Attributes &amp; Prefixes'!$B$4:$C$4)&gt;0, "4", "5"), 0)), "")</f>
        <v>18</v>
      </c>
      <c r="V14" s="112"/>
      <c r="W14" s="113"/>
    </row>
    <row r="15" spans="1:33">
      <c r="A15" s="128" t="s">
        <v>2441</v>
      </c>
      <c r="B15" s="121" t="s">
        <v>6</v>
      </c>
      <c r="C15" s="122" t="s">
        <v>7</v>
      </c>
      <c r="D15" s="122" t="s">
        <v>8</v>
      </c>
      <c r="E15" s="122" t="s">
        <v>10</v>
      </c>
      <c r="F15" s="448" t="str">
        <f>IF(OR(COUNTBLANK(AttributeFilter) = 1,AttributeFilter="(Select)"), A15, IF(COUNTIF(B15:E15, AttributeFilter)&gt;0, A15, ""))</f>
        <v>Commander</v>
      </c>
      <c r="G15" s="111"/>
      <c r="H15" s="130" t="str">
        <f>_xlfn.CONCAT(I$15,J15)</f>
        <v>ApothecaryWeapon (1H)</v>
      </c>
      <c r="I15" s="519" t="str">
        <f>A5</f>
        <v>Apothecary</v>
      </c>
      <c r="J15" s="145" t="s">
        <v>37</v>
      </c>
      <c r="K15" s="133" t="str" cm="1">
        <f t="array" ref="K15">IF(COUNTIF($B$5:$E$5, K$2)&gt;0, _xlfn.IFS(COUNTIF($B$5:$C$5, K$2)&gt;0, VLOOKUP($J15,'Gear Values'!$A$2:$E$13, IF(COUNTBLANK('Attributes &amp; Prefixes'!$B$5:$C$5)&gt;0, "2", "3"), 0), COUNTIF($D$5:$E$5, K$2)&gt;0, VLOOKUP($J15,'Gear Values'!$A$2:$E$13, IF(COUNTBLANK('Attributes &amp; Prefixes'!$B$5:$C$5)&gt;0, "4", "5"), 0)), "")</f>
        <v/>
      </c>
      <c r="L15" s="134" t="str" cm="1">
        <f t="array" ref="L15">IF(COUNTIF($B$5:$E$5, L$2)&gt;0, _xlfn.IFS(COUNTIF($B$5:$C$5, L$2)&gt;0, VLOOKUP($J15,'Gear Values'!$A$2:$E$13, IF(COUNTBLANK('Attributes &amp; Prefixes'!$B$5:$C$5)&gt;0, "2", "3"), 0), COUNTIF($D$5:$E$5, L$2)&gt;0, VLOOKUP($J15,'Gear Values'!$A$2:$E$13, IF(COUNTBLANK('Attributes &amp; Prefixes'!$B$5:$C$5)&gt;0, "4", "5"), 0)), "")</f>
        <v/>
      </c>
      <c r="M15" s="134" cm="1">
        <f t="array" ref="M15">IF(COUNTIF($B$5:$E$5, M$2)&gt;0, _xlfn.IFS(COUNTIF($B$5:$C$5, M$2)&gt;0, VLOOKUP($J15,'Gear Values'!$A$2:$E$13, IF(COUNTBLANK('Attributes &amp; Prefixes'!$B$5:$C$5)&gt;0, "2", "3"), 0), COUNTIF($D$5:$E$5, M$2)&gt;0, VLOOKUP($J15,'Gear Values'!$A$2:$E$13, IF(COUNTBLANK('Attributes &amp; Prefixes'!$B$5:$C$5)&gt;0, "4", "5"), 0)), "")</f>
        <v>85</v>
      </c>
      <c r="N15" s="134" t="str" cm="1">
        <f t="array" ref="N15">IF(COUNTIF($B$5:$E$5, N$2)&gt;0, _xlfn.IFS(COUNTIF($B$5:$C$5, N$2)&gt;0, VLOOKUP($J15,'Gear Values'!$A$2:$E$13, IF(COUNTBLANK('Attributes &amp; Prefixes'!$B$5:$C$5)&gt;0, "2", "3"), 0), COUNTIF($D$5:$E$5, N$2)&gt;0, VLOOKUP($J15,'Gear Values'!$A$2:$E$13, IF(COUNTBLANK('Attributes &amp; Prefixes'!$B$5:$C$5)&gt;0, "4", "5"), 0)), "")</f>
        <v/>
      </c>
      <c r="O15" s="134" t="str" cm="1">
        <f t="array" ref="O15">IF(COUNTIF($B$5:$E$5, O$2)&gt;0, _xlfn.IFS(COUNTIF($B$5:$C$5, O$2)&gt;0, VLOOKUP($J15,'Gear Values'!$A$2:$E$13, IF(COUNTBLANK('Attributes &amp; Prefixes'!$B$5:$C$5)&gt;0, "2", "3"), 0), COUNTIF($D$5:$E$5, O$2)&gt;0, VLOOKUP($J15,'Gear Values'!$A$2:$E$13, IF(COUNTBLANK('Attributes &amp; Prefixes'!$B$5:$C$5)&gt;0, "4", "5"), 0)), "")</f>
        <v/>
      </c>
      <c r="P15" s="134" cm="1">
        <f t="array" ref="P15">IF(COUNTIF($B$5:$E$5, P$2)&gt;0, _xlfn.IFS(COUNTIF($B$5:$C$5, P$2)&gt;0, VLOOKUP($J15,'Gear Values'!$A$2:$E$13, IF(COUNTBLANK('Attributes &amp; Prefixes'!$B$5:$C$5)&gt;0, "2", "3"), 0), COUNTIF($D$5:$E$5, P$2)&gt;0, VLOOKUP($J15,'Gear Values'!$A$2:$E$13, IF(COUNTBLANK('Attributes &amp; Prefixes'!$B$5:$C$5)&gt;0, "4", "5"), 0)), "")</f>
        <v>85</v>
      </c>
      <c r="Q15" s="134" t="str" cm="1">
        <f t="array" ref="Q15">IF(COUNTIF($B$5:$E$5, Q$2)&gt;0, _xlfn.IFS(COUNTIF($B$5:$C$5, Q$2)&gt;0, VLOOKUP($J15,'Gear Values'!$A$2:$E$13, IF(COUNTBLANK('Attributes &amp; Prefixes'!$B$5:$C$5)&gt;0, "2", "3"), 0), COUNTIF($D$5:$E$5, Q$2)&gt;0, VLOOKUP($J15,'Gear Values'!$A$2:$E$13, IF(COUNTBLANK('Attributes &amp; Prefixes'!$B$5:$C$5)&gt;0, "4", "5"), 0)), "")</f>
        <v/>
      </c>
      <c r="R15" s="134" t="str" cm="1">
        <f t="array" ref="R15">IF(COUNTIF($B$5:$E$5, R$2)&gt;0, _xlfn.IFS(COUNTIF($B$5:$C$5, R$2)&gt;0, VLOOKUP($J15,'Gear Values'!$A$2:$E$13, IF(COUNTBLANK('Attributes &amp; Prefixes'!$B$5:$C$5)&gt;0, "2", "3"), 0), COUNTIF($D$5:$E$5, R$2)&gt;0, VLOOKUP($J15,'Gear Values'!$A$2:$E$13, IF(COUNTBLANK('Attributes &amp; Prefixes'!$B$5:$C$5)&gt;0, "4", "5"), 0)), "")</f>
        <v/>
      </c>
      <c r="S15" s="135" cm="1">
        <f t="array" ref="S15">IF(COUNTIF($B$5:$E$5, S$2)&gt;0, _xlfn.IFS(COUNTIF($B$5:$C$5, S$2)&gt;0, VLOOKUP($J15,'Gear Values'!$A$2:$E$13, IF(COUNTBLANK('Attributes &amp; Prefixes'!$B$5:$C$5)&gt;0, "2", "3"), 0), COUNTIF($D$5:$E$5, S$2)&gt;0, VLOOKUP($J15,'Gear Values'!$A$2:$E$13, IF(COUNTBLANK('Attributes &amp; Prefixes'!$B$5:$C$5)&gt;0, "4", "5"), 0)), "")</f>
        <v>120</v>
      </c>
      <c r="V15" s="112"/>
      <c r="W15" s="113"/>
    </row>
    <row r="16" spans="1:33">
      <c r="A16" s="128" t="s">
        <v>2442</v>
      </c>
      <c r="B16" s="121" t="s">
        <v>6</v>
      </c>
      <c r="C16" s="122" t="s">
        <v>8</v>
      </c>
      <c r="D16" s="122" t="s">
        <v>13</v>
      </c>
      <c r="E16" s="122" t="s">
        <v>14</v>
      </c>
      <c r="F16" s="448" t="str">
        <f>IF(OR(COUNTBLANK(AttributeFilter) = 1,AttributeFilter="(Select)"), A16, IF(COUNTIF(B16:E16, AttributeFilter)&gt;0, A16, ""))</f>
        <v>Crusader</v>
      </c>
      <c r="G16" s="111"/>
      <c r="H16" s="130" t="str">
        <f>_xlfn.CONCAT(I$15,J16)</f>
        <v>ApothecaryWeapon (2H)</v>
      </c>
      <c r="I16" s="520"/>
      <c r="J16" s="144" t="s">
        <v>39</v>
      </c>
      <c r="K16" s="136" t="str" cm="1">
        <f t="array" ref="K16">IF(COUNTIF($B$5:$E$5, K$2)&gt;0, _xlfn.IFS(COUNTIF($B$5:$C$5, K$2)&gt;0, VLOOKUP($J16,'Gear Values'!$A$2:$E$13, IF(COUNTBLANK('Attributes &amp; Prefixes'!$B$5:$C$5)&gt;0, "2", "3"), 0), COUNTIF($D$5:$E$5, K$2)&gt;0, VLOOKUP($J16,'Gear Values'!$A$2:$E$13, IF(COUNTBLANK('Attributes &amp; Prefixes'!$B$5:$C$5)&gt;0, "4", "5"), 0)), "")</f>
        <v/>
      </c>
      <c r="L16" s="137" t="str" cm="1">
        <f t="array" ref="L16">IF(COUNTIF($B$5:$E$5, L$2)&gt;0, _xlfn.IFS(COUNTIF($B$5:$C$5, L$2)&gt;0, VLOOKUP($J16,'Gear Values'!$A$2:$E$13, IF(COUNTBLANK('Attributes &amp; Prefixes'!$B$5:$C$5)&gt;0, "2", "3"), 0), COUNTIF($D$5:$E$5, L$2)&gt;0, VLOOKUP($J16,'Gear Values'!$A$2:$E$13, IF(COUNTBLANK('Attributes &amp; Prefixes'!$B$5:$C$5)&gt;0, "4", "5"), 0)), "")</f>
        <v/>
      </c>
      <c r="M16" s="137" cm="1">
        <f t="array" ref="M16">IF(COUNTIF($B$5:$E$5, M$2)&gt;0, _xlfn.IFS(COUNTIF($B$5:$C$5, M$2)&gt;0, VLOOKUP($J16,'Gear Values'!$A$2:$E$13, IF(COUNTBLANK('Attributes &amp; Prefixes'!$B$5:$C$5)&gt;0, "2", "3"), 0), COUNTIF($D$5:$E$5, M$2)&gt;0, VLOOKUP($J16,'Gear Values'!$A$2:$E$13, IF(COUNTBLANK('Attributes &amp; Prefixes'!$B$5:$C$5)&gt;0, "4", "5"), 0)), "")</f>
        <v>171</v>
      </c>
      <c r="N16" s="137" t="str" cm="1">
        <f t="array" ref="N16">IF(COUNTIF($B$5:$E$5, N$2)&gt;0, _xlfn.IFS(COUNTIF($B$5:$C$5, N$2)&gt;0, VLOOKUP($J16,'Gear Values'!$A$2:$E$13, IF(COUNTBLANK('Attributes &amp; Prefixes'!$B$5:$C$5)&gt;0, "2", "3"), 0), COUNTIF($D$5:$E$5, N$2)&gt;0, VLOOKUP($J16,'Gear Values'!$A$2:$E$13, IF(COUNTBLANK('Attributes &amp; Prefixes'!$B$5:$C$5)&gt;0, "4", "5"), 0)), "")</f>
        <v/>
      </c>
      <c r="O16" s="137" t="str" cm="1">
        <f t="array" ref="O16">IF(COUNTIF($B$5:$E$5, O$2)&gt;0, _xlfn.IFS(COUNTIF($B$5:$C$5, O$2)&gt;0, VLOOKUP($J16,'Gear Values'!$A$2:$E$13, IF(COUNTBLANK('Attributes &amp; Prefixes'!$B$5:$C$5)&gt;0, "2", "3"), 0), COUNTIF($D$5:$E$5, O$2)&gt;0, VLOOKUP($J16,'Gear Values'!$A$2:$E$13, IF(COUNTBLANK('Attributes &amp; Prefixes'!$B$5:$C$5)&gt;0, "4", "5"), 0)), "")</f>
        <v/>
      </c>
      <c r="P16" s="137" cm="1">
        <f t="array" ref="P16">IF(COUNTIF($B$5:$E$5, P$2)&gt;0, _xlfn.IFS(COUNTIF($B$5:$C$5, P$2)&gt;0, VLOOKUP($J16,'Gear Values'!$A$2:$E$13, IF(COUNTBLANK('Attributes &amp; Prefixes'!$B$5:$C$5)&gt;0, "2", "3"), 0), COUNTIF($D$5:$E$5, P$2)&gt;0, VLOOKUP($J16,'Gear Values'!$A$2:$E$13, IF(COUNTBLANK('Attributes &amp; Prefixes'!$B$5:$C$5)&gt;0, "4", "5"), 0)), "")</f>
        <v>171</v>
      </c>
      <c r="Q16" s="137" t="str" cm="1">
        <f t="array" ref="Q16">IF(COUNTIF($B$5:$E$5, Q$2)&gt;0, _xlfn.IFS(COUNTIF($B$5:$C$5, Q$2)&gt;0, VLOOKUP($J16,'Gear Values'!$A$2:$E$13, IF(COUNTBLANK('Attributes &amp; Prefixes'!$B$5:$C$5)&gt;0, "2", "3"), 0), COUNTIF($D$5:$E$5, Q$2)&gt;0, VLOOKUP($J16,'Gear Values'!$A$2:$E$13, IF(COUNTBLANK('Attributes &amp; Prefixes'!$B$5:$C$5)&gt;0, "4", "5"), 0)), "")</f>
        <v/>
      </c>
      <c r="R16" s="137" t="str" cm="1">
        <f t="array" ref="R16">IF(COUNTIF($B$5:$E$5, R$2)&gt;0, _xlfn.IFS(COUNTIF($B$5:$C$5, R$2)&gt;0, VLOOKUP($J16,'Gear Values'!$A$2:$E$13, IF(COUNTBLANK('Attributes &amp; Prefixes'!$B$5:$C$5)&gt;0, "2", "3"), 0), COUNTIF($D$5:$E$5, R$2)&gt;0, VLOOKUP($J16,'Gear Values'!$A$2:$E$13, IF(COUNTBLANK('Attributes &amp; Prefixes'!$B$5:$C$5)&gt;0, "4", "5"), 0)), "")</f>
        <v/>
      </c>
      <c r="S16" s="138" cm="1">
        <f t="array" ref="S16">IF(COUNTIF($B$5:$E$5, S$2)&gt;0, _xlfn.IFS(COUNTIF($B$5:$C$5, S$2)&gt;0, VLOOKUP($J16,'Gear Values'!$A$2:$E$13, IF(COUNTBLANK('Attributes &amp; Prefixes'!$B$5:$C$5)&gt;0, "2", "3"), 0), COUNTIF($D$5:$E$5, S$2)&gt;0, VLOOKUP($J16,'Gear Values'!$A$2:$E$13, IF(COUNTBLANK('Attributes &amp; Prefixes'!$B$5:$C$5)&gt;0, "4", "5"), 0)), "")</f>
        <v>239</v>
      </c>
      <c r="V16" s="112"/>
      <c r="W16" s="113"/>
    </row>
    <row r="17" spans="1:23">
      <c r="A17" s="128" t="s">
        <v>2443</v>
      </c>
      <c r="B17" s="121" t="s">
        <v>6</v>
      </c>
      <c r="C17" s="122" t="s">
        <v>7</v>
      </c>
      <c r="D17" s="122" t="s">
        <v>8</v>
      </c>
      <c r="E17" s="122" t="s">
        <v>13</v>
      </c>
      <c r="F17" s="448" t="str">
        <f>IF(OR(COUNTBLANK(AttributeFilter) = 1,AttributeFilter="(Select)"), A17, IF(COUNTIF(B17:E17, AttributeFilter)&gt;0, A17, ""))</f>
        <v>Demolisher</v>
      </c>
      <c r="G17" s="111"/>
      <c r="H17" s="130" t="str">
        <f>_xlfn.CONCAT(I$15,J17)</f>
        <v>ApothecaryHead</v>
      </c>
      <c r="I17" s="520"/>
      <c r="J17" s="144" t="s">
        <v>40</v>
      </c>
      <c r="K17" s="136" t="str" cm="1">
        <f t="array" ref="K17">IF(COUNTIF($B$5:$E$5, K$2)&gt;0, _xlfn.IFS(COUNTIF($B$5:$C$5, K$2)&gt;0, VLOOKUP($J17,'Gear Values'!$A$2:$E$13, IF(COUNTBLANK('Attributes &amp; Prefixes'!$B$5:$C$5)&gt;0, "2", "3"), 0), COUNTIF($D$5:$E$5, K$2)&gt;0, VLOOKUP($J17,'Gear Values'!$A$2:$E$13, IF(COUNTBLANK('Attributes &amp; Prefixes'!$B$5:$C$5)&gt;0, "4", "5"), 0)), "")</f>
        <v/>
      </c>
      <c r="L17" s="137" t="str" cm="1">
        <f t="array" ref="L17">IF(COUNTIF($B$5:$E$5, L$2)&gt;0, _xlfn.IFS(COUNTIF($B$5:$C$5, L$2)&gt;0, VLOOKUP($J17,'Gear Values'!$A$2:$E$13, IF(COUNTBLANK('Attributes &amp; Prefixes'!$B$5:$C$5)&gt;0, "2", "3"), 0), COUNTIF($D$5:$E$5, L$2)&gt;0, VLOOKUP($J17,'Gear Values'!$A$2:$E$13, IF(COUNTBLANK('Attributes &amp; Prefixes'!$B$5:$C$5)&gt;0, "4", "5"), 0)), "")</f>
        <v/>
      </c>
      <c r="M17" s="137" cm="1">
        <f t="array" ref="M17">IF(COUNTIF($B$5:$E$5, M$2)&gt;0, _xlfn.IFS(COUNTIF($B$5:$C$5, M$2)&gt;0, VLOOKUP($J17,'Gear Values'!$A$2:$E$13, IF(COUNTBLANK('Attributes &amp; Prefixes'!$B$5:$C$5)&gt;0, "2", "3"), 0), COUNTIF($D$5:$E$5, M$2)&gt;0, VLOOKUP($J17,'Gear Values'!$A$2:$E$13, IF(COUNTBLANK('Attributes &amp; Prefixes'!$B$5:$C$5)&gt;0, "4", "5"), 0)), "")</f>
        <v>43</v>
      </c>
      <c r="N17" s="137" t="str" cm="1">
        <f t="array" ref="N17">IF(COUNTIF($B$5:$E$5, N$2)&gt;0, _xlfn.IFS(COUNTIF($B$5:$C$5, N$2)&gt;0, VLOOKUP($J17,'Gear Values'!$A$2:$E$13, IF(COUNTBLANK('Attributes &amp; Prefixes'!$B$5:$C$5)&gt;0, "2", "3"), 0), COUNTIF($D$5:$E$5, N$2)&gt;0, VLOOKUP($J17,'Gear Values'!$A$2:$E$13, IF(COUNTBLANK('Attributes &amp; Prefixes'!$B$5:$C$5)&gt;0, "4", "5"), 0)), "")</f>
        <v/>
      </c>
      <c r="O17" s="137" t="str" cm="1">
        <f t="array" ref="O17">IF(COUNTIF($B$5:$E$5, O$2)&gt;0, _xlfn.IFS(COUNTIF($B$5:$C$5, O$2)&gt;0, VLOOKUP($J17,'Gear Values'!$A$2:$E$13, IF(COUNTBLANK('Attributes &amp; Prefixes'!$B$5:$C$5)&gt;0, "2", "3"), 0), COUNTIF($D$5:$E$5, O$2)&gt;0, VLOOKUP($J17,'Gear Values'!$A$2:$E$13, IF(COUNTBLANK('Attributes &amp; Prefixes'!$B$5:$C$5)&gt;0, "4", "5"), 0)), "")</f>
        <v/>
      </c>
      <c r="P17" s="137" cm="1">
        <f t="array" ref="P17">IF(COUNTIF($B$5:$E$5, P$2)&gt;0, _xlfn.IFS(COUNTIF($B$5:$C$5, P$2)&gt;0, VLOOKUP($J17,'Gear Values'!$A$2:$E$13, IF(COUNTBLANK('Attributes &amp; Prefixes'!$B$5:$C$5)&gt;0, "2", "3"), 0), COUNTIF($D$5:$E$5, P$2)&gt;0, VLOOKUP($J17,'Gear Values'!$A$2:$E$13, IF(COUNTBLANK('Attributes &amp; Prefixes'!$B$5:$C$5)&gt;0, "4", "5"), 0)), "")</f>
        <v>43</v>
      </c>
      <c r="Q17" s="137" t="str" cm="1">
        <f t="array" ref="Q17">IF(COUNTIF($B$5:$E$5, Q$2)&gt;0, _xlfn.IFS(COUNTIF($B$5:$C$5, Q$2)&gt;0, VLOOKUP($J17,'Gear Values'!$A$2:$E$13, IF(COUNTBLANK('Attributes &amp; Prefixes'!$B$5:$C$5)&gt;0, "2", "3"), 0), COUNTIF($D$5:$E$5, Q$2)&gt;0, VLOOKUP($J17,'Gear Values'!$A$2:$E$13, IF(COUNTBLANK('Attributes &amp; Prefixes'!$B$5:$C$5)&gt;0, "4", "5"), 0)), "")</f>
        <v/>
      </c>
      <c r="R17" s="137" t="str" cm="1">
        <f t="array" ref="R17">IF(COUNTIF($B$5:$E$5, R$2)&gt;0, _xlfn.IFS(COUNTIF($B$5:$C$5, R$2)&gt;0, VLOOKUP($J17,'Gear Values'!$A$2:$E$13, IF(COUNTBLANK('Attributes &amp; Prefixes'!$B$5:$C$5)&gt;0, "2", "3"), 0), COUNTIF($D$5:$E$5, R$2)&gt;0, VLOOKUP($J17,'Gear Values'!$A$2:$E$13, IF(COUNTBLANK('Attributes &amp; Prefixes'!$B$5:$C$5)&gt;0, "4", "5"), 0)), "")</f>
        <v/>
      </c>
      <c r="S17" s="138" cm="1">
        <f t="array" ref="S17">IF(COUNTIF($B$5:$E$5, S$2)&gt;0, _xlfn.IFS(COUNTIF($B$5:$C$5, S$2)&gt;0, VLOOKUP($J17,'Gear Values'!$A$2:$E$13, IF(COUNTBLANK('Attributes &amp; Prefixes'!$B$5:$C$5)&gt;0, "2", "3"), 0), COUNTIF($D$5:$E$5, S$2)&gt;0, VLOOKUP($J17,'Gear Values'!$A$2:$E$13, IF(COUNTBLANK('Attributes &amp; Prefixes'!$B$5:$C$5)&gt;0, "4", "5"), 0)), "")</f>
        <v>60</v>
      </c>
      <c r="V17" s="112"/>
      <c r="W17" s="113"/>
    </row>
    <row r="18" spans="1:23">
      <c r="A18" s="128" t="s">
        <v>2444</v>
      </c>
      <c r="B18" s="121" t="s">
        <v>6</v>
      </c>
      <c r="C18" s="122" t="s">
        <v>7</v>
      </c>
      <c r="D18" s="122" t="s">
        <v>11</v>
      </c>
      <c r="E18" s="122" t="s">
        <v>13</v>
      </c>
      <c r="F18" s="448" t="str">
        <f>IF(OR(COUNTBLANK(AttributeFilter) = 1,AttributeFilter="(Select)"), A18, IF(COUNTIF(B18:E18, AttributeFilter)&gt;0, A18, ""))</f>
        <v>Destroyer</v>
      </c>
      <c r="G18" s="111"/>
      <c r="H18" s="130" t="str">
        <f>_xlfn.CONCAT(I$15,J18)</f>
        <v>ApothecaryShoulders</v>
      </c>
      <c r="I18" s="520"/>
      <c r="J18" s="144" t="s">
        <v>42</v>
      </c>
      <c r="K18" s="136" t="str" cm="1">
        <f t="array" ref="K18">IF(COUNTIF($B$5:$E$5, K$2)&gt;0, _xlfn.IFS(COUNTIF($B$5:$C$5, K$2)&gt;0, VLOOKUP($J18,'Gear Values'!$A$2:$E$13, IF(COUNTBLANK('Attributes &amp; Prefixes'!$B$5:$C$5)&gt;0, "2", "3"), 0), COUNTIF($D$5:$E$5, K$2)&gt;0, VLOOKUP($J18,'Gear Values'!$A$2:$E$13, IF(COUNTBLANK('Attributes &amp; Prefixes'!$B$5:$C$5)&gt;0, "4", "5"), 0)), "")</f>
        <v/>
      </c>
      <c r="L18" s="137" t="str" cm="1">
        <f t="array" ref="L18">IF(COUNTIF($B$5:$E$5, L$2)&gt;0, _xlfn.IFS(COUNTIF($B$5:$C$5, L$2)&gt;0, VLOOKUP($J18,'Gear Values'!$A$2:$E$13, IF(COUNTBLANK('Attributes &amp; Prefixes'!$B$5:$C$5)&gt;0, "2", "3"), 0), COUNTIF($D$5:$E$5, L$2)&gt;0, VLOOKUP($J18,'Gear Values'!$A$2:$E$13, IF(COUNTBLANK('Attributes &amp; Prefixes'!$B$5:$C$5)&gt;0, "4", "5"), 0)), "")</f>
        <v/>
      </c>
      <c r="M18" s="137" cm="1">
        <f t="array" ref="M18">IF(COUNTIF($B$5:$E$5, M$2)&gt;0, _xlfn.IFS(COUNTIF($B$5:$C$5, M$2)&gt;0, VLOOKUP($J18,'Gear Values'!$A$2:$E$13, IF(COUNTBLANK('Attributes &amp; Prefixes'!$B$5:$C$5)&gt;0, "2", "3"), 0), COUNTIF($D$5:$E$5, M$2)&gt;0, VLOOKUP($J18,'Gear Values'!$A$2:$E$13, IF(COUNTBLANK('Attributes &amp; Prefixes'!$B$5:$C$5)&gt;0, "4", "5"), 0)), "")</f>
        <v>32</v>
      </c>
      <c r="N18" s="137" t="str" cm="1">
        <f t="array" ref="N18">IF(COUNTIF($B$5:$E$5, N$2)&gt;0, _xlfn.IFS(COUNTIF($B$5:$C$5, N$2)&gt;0, VLOOKUP($J18,'Gear Values'!$A$2:$E$13, IF(COUNTBLANK('Attributes &amp; Prefixes'!$B$5:$C$5)&gt;0, "2", "3"), 0), COUNTIF($D$5:$E$5, N$2)&gt;0, VLOOKUP($J18,'Gear Values'!$A$2:$E$13, IF(COUNTBLANK('Attributes &amp; Prefixes'!$B$5:$C$5)&gt;0, "4", "5"), 0)), "")</f>
        <v/>
      </c>
      <c r="O18" s="137" t="str" cm="1">
        <f t="array" ref="O18">IF(COUNTIF($B$5:$E$5, O$2)&gt;0, _xlfn.IFS(COUNTIF($B$5:$C$5, O$2)&gt;0, VLOOKUP($J18,'Gear Values'!$A$2:$E$13, IF(COUNTBLANK('Attributes &amp; Prefixes'!$B$5:$C$5)&gt;0, "2", "3"), 0), COUNTIF($D$5:$E$5, O$2)&gt;0, VLOOKUP($J18,'Gear Values'!$A$2:$E$13, IF(COUNTBLANK('Attributes &amp; Prefixes'!$B$5:$C$5)&gt;0, "4", "5"), 0)), "")</f>
        <v/>
      </c>
      <c r="P18" s="137" cm="1">
        <f t="array" ref="P18">IF(COUNTIF($B$5:$E$5, P$2)&gt;0, _xlfn.IFS(COUNTIF($B$5:$C$5, P$2)&gt;0, VLOOKUP($J18,'Gear Values'!$A$2:$E$13, IF(COUNTBLANK('Attributes &amp; Prefixes'!$B$5:$C$5)&gt;0, "2", "3"), 0), COUNTIF($D$5:$E$5, P$2)&gt;0, VLOOKUP($J18,'Gear Values'!$A$2:$E$13, IF(COUNTBLANK('Attributes &amp; Prefixes'!$B$5:$C$5)&gt;0, "4", "5"), 0)), "")</f>
        <v>32</v>
      </c>
      <c r="Q18" s="137" t="str" cm="1">
        <f t="array" ref="Q18">IF(COUNTIF($B$5:$E$5, Q$2)&gt;0, _xlfn.IFS(COUNTIF($B$5:$C$5, Q$2)&gt;0, VLOOKUP($J18,'Gear Values'!$A$2:$E$13, IF(COUNTBLANK('Attributes &amp; Prefixes'!$B$5:$C$5)&gt;0, "2", "3"), 0), COUNTIF($D$5:$E$5, Q$2)&gt;0, VLOOKUP($J18,'Gear Values'!$A$2:$E$13, IF(COUNTBLANK('Attributes &amp; Prefixes'!$B$5:$C$5)&gt;0, "4", "5"), 0)), "")</f>
        <v/>
      </c>
      <c r="R18" s="137" t="str" cm="1">
        <f t="array" ref="R18">IF(COUNTIF($B$5:$E$5, R$2)&gt;0, _xlfn.IFS(COUNTIF($B$5:$C$5, R$2)&gt;0, VLOOKUP($J18,'Gear Values'!$A$2:$E$13, IF(COUNTBLANK('Attributes &amp; Prefixes'!$B$5:$C$5)&gt;0, "2", "3"), 0), COUNTIF($D$5:$E$5, R$2)&gt;0, VLOOKUP($J18,'Gear Values'!$A$2:$E$13, IF(COUNTBLANK('Attributes &amp; Prefixes'!$B$5:$C$5)&gt;0, "4", "5"), 0)), "")</f>
        <v/>
      </c>
      <c r="S18" s="138" cm="1">
        <f t="array" ref="S18">IF(COUNTIF($B$5:$E$5, S$2)&gt;0, _xlfn.IFS(COUNTIF($B$5:$C$5, S$2)&gt;0, VLOOKUP($J18,'Gear Values'!$A$2:$E$13, IF(COUNTBLANK('Attributes &amp; Prefixes'!$B$5:$C$5)&gt;0, "2", "3"), 0), COUNTIF($D$5:$E$5, S$2)&gt;0, VLOOKUP($J18,'Gear Values'!$A$2:$E$13, IF(COUNTBLANK('Attributes &amp; Prefixes'!$B$5:$C$5)&gt;0, "4", "5"), 0)), "")</f>
        <v>45</v>
      </c>
      <c r="V18" s="112"/>
      <c r="W18" s="113"/>
    </row>
    <row r="19" spans="1:23">
      <c r="A19" s="128" t="s">
        <v>2445</v>
      </c>
      <c r="B19" s="121" t="s">
        <v>11</v>
      </c>
      <c r="C19" s="122"/>
      <c r="D19" s="122" t="s">
        <v>8</v>
      </c>
      <c r="E19" s="122" t="s">
        <v>9</v>
      </c>
      <c r="F19" s="448" t="str">
        <f>IF(OR(COUNTBLANK(AttributeFilter) = 1,AttributeFilter="(Select)"), A19, IF(COUNTIF(B19:E19, AttributeFilter)&gt;0, A19, ""))</f>
        <v>Dire</v>
      </c>
      <c r="G19" s="111"/>
      <c r="H19" s="130" t="str">
        <f>_xlfn.CONCAT(I$15,J19)</f>
        <v>ApothecaryChest</v>
      </c>
      <c r="I19" s="520"/>
      <c r="J19" s="144" t="s">
        <v>44</v>
      </c>
      <c r="K19" s="136" t="str" cm="1">
        <f t="array" ref="K19">IF(COUNTIF($B$5:$E$5, K$2)&gt;0, _xlfn.IFS(COUNTIF($B$5:$C$5, K$2)&gt;0, VLOOKUP($J19,'Gear Values'!$A$2:$E$13, IF(COUNTBLANK('Attributes &amp; Prefixes'!$B$5:$C$5)&gt;0, "2", "3"), 0), COUNTIF($D$5:$E$5, K$2)&gt;0, VLOOKUP($J19,'Gear Values'!$A$2:$E$13, IF(COUNTBLANK('Attributes &amp; Prefixes'!$B$5:$C$5)&gt;0, "4", "5"), 0)), "")</f>
        <v/>
      </c>
      <c r="L19" s="137" t="str" cm="1">
        <f t="array" ref="L19">IF(COUNTIF($B$5:$E$5, L$2)&gt;0, _xlfn.IFS(COUNTIF($B$5:$C$5, L$2)&gt;0, VLOOKUP($J19,'Gear Values'!$A$2:$E$13, IF(COUNTBLANK('Attributes &amp; Prefixes'!$B$5:$C$5)&gt;0, "2", "3"), 0), COUNTIF($D$5:$E$5, L$2)&gt;0, VLOOKUP($J19,'Gear Values'!$A$2:$E$13, IF(COUNTBLANK('Attributes &amp; Prefixes'!$B$5:$C$5)&gt;0, "4", "5"), 0)), "")</f>
        <v/>
      </c>
      <c r="M19" s="137" cm="1">
        <f t="array" ref="M19">IF(COUNTIF($B$5:$E$5, M$2)&gt;0, _xlfn.IFS(COUNTIF($B$5:$C$5, M$2)&gt;0, VLOOKUP($J19,'Gear Values'!$A$2:$E$13, IF(COUNTBLANK('Attributes &amp; Prefixes'!$B$5:$C$5)&gt;0, "2", "3"), 0), COUNTIF($D$5:$E$5, M$2)&gt;0, VLOOKUP($J19,'Gear Values'!$A$2:$E$13, IF(COUNTBLANK('Attributes &amp; Prefixes'!$B$5:$C$5)&gt;0, "4", "5"), 0)), "")</f>
        <v>96</v>
      </c>
      <c r="N19" s="137" t="str" cm="1">
        <f t="array" ref="N19">IF(COUNTIF($B$5:$E$5, N$2)&gt;0, _xlfn.IFS(COUNTIF($B$5:$C$5, N$2)&gt;0, VLOOKUP($J19,'Gear Values'!$A$2:$E$13, IF(COUNTBLANK('Attributes &amp; Prefixes'!$B$5:$C$5)&gt;0, "2", "3"), 0), COUNTIF($D$5:$E$5, N$2)&gt;0, VLOOKUP($J19,'Gear Values'!$A$2:$E$13, IF(COUNTBLANK('Attributes &amp; Prefixes'!$B$5:$C$5)&gt;0, "4", "5"), 0)), "")</f>
        <v/>
      </c>
      <c r="O19" s="137" t="str" cm="1">
        <f t="array" ref="O19">IF(COUNTIF($B$5:$E$5, O$2)&gt;0, _xlfn.IFS(COUNTIF($B$5:$C$5, O$2)&gt;0, VLOOKUP($J19,'Gear Values'!$A$2:$E$13, IF(COUNTBLANK('Attributes &amp; Prefixes'!$B$5:$C$5)&gt;0, "2", "3"), 0), COUNTIF($D$5:$E$5, O$2)&gt;0, VLOOKUP($J19,'Gear Values'!$A$2:$E$13, IF(COUNTBLANK('Attributes &amp; Prefixes'!$B$5:$C$5)&gt;0, "4", "5"), 0)), "")</f>
        <v/>
      </c>
      <c r="P19" s="137" cm="1">
        <f t="array" ref="P19">IF(COUNTIF($B$5:$E$5, P$2)&gt;0, _xlfn.IFS(COUNTIF($B$5:$C$5, P$2)&gt;0, VLOOKUP($J19,'Gear Values'!$A$2:$E$13, IF(COUNTBLANK('Attributes &amp; Prefixes'!$B$5:$C$5)&gt;0, "2", "3"), 0), COUNTIF($D$5:$E$5, P$2)&gt;0, VLOOKUP($J19,'Gear Values'!$A$2:$E$13, IF(COUNTBLANK('Attributes &amp; Prefixes'!$B$5:$C$5)&gt;0, "4", "5"), 0)), "")</f>
        <v>96</v>
      </c>
      <c r="Q19" s="137" t="str" cm="1">
        <f t="array" ref="Q19">IF(COUNTIF($B$5:$E$5, Q$2)&gt;0, _xlfn.IFS(COUNTIF($B$5:$C$5, Q$2)&gt;0, VLOOKUP($J19,'Gear Values'!$A$2:$E$13, IF(COUNTBLANK('Attributes &amp; Prefixes'!$B$5:$C$5)&gt;0, "2", "3"), 0), COUNTIF($D$5:$E$5, Q$2)&gt;0, VLOOKUP($J19,'Gear Values'!$A$2:$E$13, IF(COUNTBLANK('Attributes &amp; Prefixes'!$B$5:$C$5)&gt;0, "4", "5"), 0)), "")</f>
        <v/>
      </c>
      <c r="R19" s="137" t="str" cm="1">
        <f t="array" ref="R19">IF(COUNTIF($B$5:$E$5, R$2)&gt;0, _xlfn.IFS(COUNTIF($B$5:$C$5, R$2)&gt;0, VLOOKUP($J19,'Gear Values'!$A$2:$E$13, IF(COUNTBLANK('Attributes &amp; Prefixes'!$B$5:$C$5)&gt;0, "2", "3"), 0), COUNTIF($D$5:$E$5, R$2)&gt;0, VLOOKUP($J19,'Gear Values'!$A$2:$E$13, IF(COUNTBLANK('Attributes &amp; Prefixes'!$B$5:$C$5)&gt;0, "4", "5"), 0)), "")</f>
        <v/>
      </c>
      <c r="S19" s="138" cm="1">
        <f t="array" ref="S19">IF(COUNTIF($B$5:$E$5, S$2)&gt;0, _xlfn.IFS(COUNTIF($B$5:$C$5, S$2)&gt;0, VLOOKUP($J19,'Gear Values'!$A$2:$E$13, IF(COUNTBLANK('Attributes &amp; Prefixes'!$B$5:$C$5)&gt;0, "2", "3"), 0), COUNTIF($D$5:$E$5, S$2)&gt;0, VLOOKUP($J19,'Gear Values'!$A$2:$E$13, IF(COUNTBLANK('Attributes &amp; Prefixes'!$B$5:$C$5)&gt;0, "4", "5"), 0)), "")</f>
        <v>134</v>
      </c>
      <c r="V19" s="112"/>
      <c r="W19" s="113"/>
    </row>
    <row r="20" spans="1:23">
      <c r="A20" s="128" t="s">
        <v>2446</v>
      </c>
      <c r="B20" s="121" t="s">
        <v>6</v>
      </c>
      <c r="C20" s="122" t="s">
        <v>10</v>
      </c>
      <c r="D20" s="122" t="s">
        <v>7</v>
      </c>
      <c r="E20" s="122" t="s">
        <v>13</v>
      </c>
      <c r="F20" s="448" t="str">
        <f>IF(OR(COUNTBLANK(AttributeFilter) = 1,AttributeFilter="(Select)"), A20, IF(COUNTIF(B20:E20, AttributeFilter)&gt;0, A20, ""))</f>
        <v>Diviner</v>
      </c>
      <c r="G20" s="111"/>
      <c r="H20" s="130" t="str">
        <f>_xlfn.CONCAT(I$15,J20)</f>
        <v>ApothecaryHands</v>
      </c>
      <c r="I20" s="520"/>
      <c r="J20" s="144" t="s">
        <v>45</v>
      </c>
      <c r="K20" s="136" t="str" cm="1">
        <f t="array" ref="K20">IF(COUNTIF($B$5:$E$5, K$2)&gt;0, _xlfn.IFS(COUNTIF($B$5:$C$5, K$2)&gt;0, VLOOKUP($J20,'Gear Values'!$A$2:$E$13, IF(COUNTBLANK('Attributes &amp; Prefixes'!$B$5:$C$5)&gt;0, "2", "3"), 0), COUNTIF($D$5:$E$5, K$2)&gt;0, VLOOKUP($J20,'Gear Values'!$A$2:$E$13, IF(COUNTBLANK('Attributes &amp; Prefixes'!$B$5:$C$5)&gt;0, "4", "5"), 0)), "")</f>
        <v/>
      </c>
      <c r="L20" s="137" t="str" cm="1">
        <f t="array" ref="L20">IF(COUNTIF($B$5:$E$5, L$2)&gt;0, _xlfn.IFS(COUNTIF($B$5:$C$5, L$2)&gt;0, VLOOKUP($J20,'Gear Values'!$A$2:$E$13, IF(COUNTBLANK('Attributes &amp; Prefixes'!$B$5:$C$5)&gt;0, "2", "3"), 0), COUNTIF($D$5:$E$5, L$2)&gt;0, VLOOKUP($J20,'Gear Values'!$A$2:$E$13, IF(COUNTBLANK('Attributes &amp; Prefixes'!$B$5:$C$5)&gt;0, "4", "5"), 0)), "")</f>
        <v/>
      </c>
      <c r="M20" s="137" cm="1">
        <f t="array" ref="M20">IF(COUNTIF($B$5:$E$5, M$2)&gt;0, _xlfn.IFS(COUNTIF($B$5:$C$5, M$2)&gt;0, VLOOKUP($J20,'Gear Values'!$A$2:$E$13, IF(COUNTBLANK('Attributes &amp; Prefixes'!$B$5:$C$5)&gt;0, "2", "3"), 0), COUNTIF($D$5:$E$5, M$2)&gt;0, VLOOKUP($J20,'Gear Values'!$A$2:$E$13, IF(COUNTBLANK('Attributes &amp; Prefixes'!$B$5:$C$5)&gt;0, "4", "5"), 0)), "")</f>
        <v>32</v>
      </c>
      <c r="N20" s="137" t="str" cm="1">
        <f t="array" ref="N20">IF(COUNTIF($B$5:$E$5, N$2)&gt;0, _xlfn.IFS(COUNTIF($B$5:$C$5, N$2)&gt;0, VLOOKUP($J20,'Gear Values'!$A$2:$E$13, IF(COUNTBLANK('Attributes &amp; Prefixes'!$B$5:$C$5)&gt;0, "2", "3"), 0), COUNTIF($D$5:$E$5, N$2)&gt;0, VLOOKUP($J20,'Gear Values'!$A$2:$E$13, IF(COUNTBLANK('Attributes &amp; Prefixes'!$B$5:$C$5)&gt;0, "4", "5"), 0)), "")</f>
        <v/>
      </c>
      <c r="O20" s="137" t="str" cm="1">
        <f t="array" ref="O20">IF(COUNTIF($B$5:$E$5, O$2)&gt;0, _xlfn.IFS(COUNTIF($B$5:$C$5, O$2)&gt;0, VLOOKUP($J20,'Gear Values'!$A$2:$E$13, IF(COUNTBLANK('Attributes &amp; Prefixes'!$B$5:$C$5)&gt;0, "2", "3"), 0), COUNTIF($D$5:$E$5, O$2)&gt;0, VLOOKUP($J20,'Gear Values'!$A$2:$E$13, IF(COUNTBLANK('Attributes &amp; Prefixes'!$B$5:$C$5)&gt;0, "4", "5"), 0)), "")</f>
        <v/>
      </c>
      <c r="P20" s="137" cm="1">
        <f t="array" ref="P20">IF(COUNTIF($B$5:$E$5, P$2)&gt;0, _xlfn.IFS(COUNTIF($B$5:$C$5, P$2)&gt;0, VLOOKUP($J20,'Gear Values'!$A$2:$E$13, IF(COUNTBLANK('Attributes &amp; Prefixes'!$B$5:$C$5)&gt;0, "2", "3"), 0), COUNTIF($D$5:$E$5, P$2)&gt;0, VLOOKUP($J20,'Gear Values'!$A$2:$E$13, IF(COUNTBLANK('Attributes &amp; Prefixes'!$B$5:$C$5)&gt;0, "4", "5"), 0)), "")</f>
        <v>32</v>
      </c>
      <c r="Q20" s="137" t="str" cm="1">
        <f t="array" ref="Q20">IF(COUNTIF($B$5:$E$5, Q$2)&gt;0, _xlfn.IFS(COUNTIF($B$5:$C$5, Q$2)&gt;0, VLOOKUP($J20,'Gear Values'!$A$2:$E$13, IF(COUNTBLANK('Attributes &amp; Prefixes'!$B$5:$C$5)&gt;0, "2", "3"), 0), COUNTIF($D$5:$E$5, Q$2)&gt;0, VLOOKUP($J20,'Gear Values'!$A$2:$E$13, IF(COUNTBLANK('Attributes &amp; Prefixes'!$B$5:$C$5)&gt;0, "4", "5"), 0)), "")</f>
        <v/>
      </c>
      <c r="R20" s="137" t="str" cm="1">
        <f t="array" ref="R20">IF(COUNTIF($B$5:$E$5, R$2)&gt;0, _xlfn.IFS(COUNTIF($B$5:$C$5, R$2)&gt;0, VLOOKUP($J20,'Gear Values'!$A$2:$E$13, IF(COUNTBLANK('Attributes &amp; Prefixes'!$B$5:$C$5)&gt;0, "2", "3"), 0), COUNTIF($D$5:$E$5, R$2)&gt;0, VLOOKUP($J20,'Gear Values'!$A$2:$E$13, IF(COUNTBLANK('Attributes &amp; Prefixes'!$B$5:$C$5)&gt;0, "4", "5"), 0)), "")</f>
        <v/>
      </c>
      <c r="S20" s="138" cm="1">
        <f t="array" ref="S20">IF(COUNTIF($B$5:$E$5, S$2)&gt;0, _xlfn.IFS(COUNTIF($B$5:$C$5, S$2)&gt;0, VLOOKUP($J20,'Gear Values'!$A$2:$E$13, IF(COUNTBLANK('Attributes &amp; Prefixes'!$B$5:$C$5)&gt;0, "2", "3"), 0), COUNTIF($D$5:$E$5, S$2)&gt;0, VLOOKUP($J20,'Gear Values'!$A$2:$E$13, IF(COUNTBLANK('Attributes &amp; Prefixes'!$B$5:$C$5)&gt;0, "4", "5"), 0)), "")</f>
        <v>45</v>
      </c>
      <c r="V20" s="112"/>
      <c r="W20" s="113"/>
    </row>
    <row r="21" spans="1:23">
      <c r="A21" s="128" t="s">
        <v>2447</v>
      </c>
      <c r="B21" s="121" t="s">
        <v>6</v>
      </c>
      <c r="C21" s="122" t="s">
        <v>13</v>
      </c>
      <c r="D21" s="122" t="s">
        <v>7</v>
      </c>
      <c r="E21" s="122" t="s">
        <v>9</v>
      </c>
      <c r="F21" s="448" t="str">
        <f>IF(OR(COUNTBLANK(AttributeFilter) = 1,AttributeFilter="(Select)"), A21, IF(COUNTIF(B21:E21, AttributeFilter)&gt;0, A21, ""))</f>
        <v>Dragon</v>
      </c>
      <c r="G21" s="111"/>
      <c r="H21" s="130" t="str">
        <f>_xlfn.CONCAT(I$15,J21)</f>
        <v>ApothecaryLegs</v>
      </c>
      <c r="I21" s="520"/>
      <c r="J21" s="144" t="s">
        <v>47</v>
      </c>
      <c r="K21" s="136" t="str" cm="1">
        <f t="array" ref="K21">IF(COUNTIF($B$5:$E$5, K$2)&gt;0, _xlfn.IFS(COUNTIF($B$5:$C$5, K$2)&gt;0, VLOOKUP($J21,'Gear Values'!$A$2:$E$13, IF(COUNTBLANK('Attributes &amp; Prefixes'!$B$5:$C$5)&gt;0, "2", "3"), 0), COUNTIF($D$5:$E$5, K$2)&gt;0, VLOOKUP($J21,'Gear Values'!$A$2:$E$13, IF(COUNTBLANK('Attributes &amp; Prefixes'!$B$5:$C$5)&gt;0, "4", "5"), 0)), "")</f>
        <v/>
      </c>
      <c r="L21" s="137" t="str" cm="1">
        <f t="array" ref="L21">IF(COUNTIF($B$5:$E$5, L$2)&gt;0, _xlfn.IFS(COUNTIF($B$5:$C$5, L$2)&gt;0, VLOOKUP($J21,'Gear Values'!$A$2:$E$13, IF(COUNTBLANK('Attributes &amp; Prefixes'!$B$5:$C$5)&gt;0, "2", "3"), 0), COUNTIF($D$5:$E$5, L$2)&gt;0, VLOOKUP($J21,'Gear Values'!$A$2:$E$13, IF(COUNTBLANK('Attributes &amp; Prefixes'!$B$5:$C$5)&gt;0, "4", "5"), 0)), "")</f>
        <v/>
      </c>
      <c r="M21" s="137" cm="1">
        <f t="array" ref="M21">IF(COUNTIF($B$5:$E$5, M$2)&gt;0, _xlfn.IFS(COUNTIF($B$5:$C$5, M$2)&gt;0, VLOOKUP($J21,'Gear Values'!$A$2:$E$13, IF(COUNTBLANK('Attributes &amp; Prefixes'!$B$5:$C$5)&gt;0, "2", "3"), 0), COUNTIF($D$5:$E$5, M$2)&gt;0, VLOOKUP($J21,'Gear Values'!$A$2:$E$13, IF(COUNTBLANK('Attributes &amp; Prefixes'!$B$5:$C$5)&gt;0, "4", "5"), 0)), "")</f>
        <v>64</v>
      </c>
      <c r="N21" s="137" t="str" cm="1">
        <f t="array" ref="N21">IF(COUNTIF($B$5:$E$5, N$2)&gt;0, _xlfn.IFS(COUNTIF($B$5:$C$5, N$2)&gt;0, VLOOKUP($J21,'Gear Values'!$A$2:$E$13, IF(COUNTBLANK('Attributes &amp; Prefixes'!$B$5:$C$5)&gt;0, "2", "3"), 0), COUNTIF($D$5:$E$5, N$2)&gt;0, VLOOKUP($J21,'Gear Values'!$A$2:$E$13, IF(COUNTBLANK('Attributes &amp; Prefixes'!$B$5:$C$5)&gt;0, "4", "5"), 0)), "")</f>
        <v/>
      </c>
      <c r="O21" s="137" t="str" cm="1">
        <f t="array" ref="O21">IF(COUNTIF($B$5:$E$5, O$2)&gt;0, _xlfn.IFS(COUNTIF($B$5:$C$5, O$2)&gt;0, VLOOKUP($J21,'Gear Values'!$A$2:$E$13, IF(COUNTBLANK('Attributes &amp; Prefixes'!$B$5:$C$5)&gt;0, "2", "3"), 0), COUNTIF($D$5:$E$5, O$2)&gt;0, VLOOKUP($J21,'Gear Values'!$A$2:$E$13, IF(COUNTBLANK('Attributes &amp; Prefixes'!$B$5:$C$5)&gt;0, "4", "5"), 0)), "")</f>
        <v/>
      </c>
      <c r="P21" s="137" cm="1">
        <f t="array" ref="P21">IF(COUNTIF($B$5:$E$5, P$2)&gt;0, _xlfn.IFS(COUNTIF($B$5:$C$5, P$2)&gt;0, VLOOKUP($J21,'Gear Values'!$A$2:$E$13, IF(COUNTBLANK('Attributes &amp; Prefixes'!$B$5:$C$5)&gt;0, "2", "3"), 0), COUNTIF($D$5:$E$5, P$2)&gt;0, VLOOKUP($J21,'Gear Values'!$A$2:$E$13, IF(COUNTBLANK('Attributes &amp; Prefixes'!$B$5:$C$5)&gt;0, "4", "5"), 0)), "")</f>
        <v>64</v>
      </c>
      <c r="Q21" s="137" t="str" cm="1">
        <f t="array" ref="Q21">IF(COUNTIF($B$5:$E$5, Q$2)&gt;0, _xlfn.IFS(COUNTIF($B$5:$C$5, Q$2)&gt;0, VLOOKUP($J21,'Gear Values'!$A$2:$E$13, IF(COUNTBLANK('Attributes &amp; Prefixes'!$B$5:$C$5)&gt;0, "2", "3"), 0), COUNTIF($D$5:$E$5, Q$2)&gt;0, VLOOKUP($J21,'Gear Values'!$A$2:$E$13, IF(COUNTBLANK('Attributes &amp; Prefixes'!$B$5:$C$5)&gt;0, "4", "5"), 0)), "")</f>
        <v/>
      </c>
      <c r="R21" s="137" t="str" cm="1">
        <f t="array" ref="R21">IF(COUNTIF($B$5:$E$5, R$2)&gt;0, _xlfn.IFS(COUNTIF($B$5:$C$5, R$2)&gt;0, VLOOKUP($J21,'Gear Values'!$A$2:$E$13, IF(COUNTBLANK('Attributes &amp; Prefixes'!$B$5:$C$5)&gt;0, "2", "3"), 0), COUNTIF($D$5:$E$5, R$2)&gt;0, VLOOKUP($J21,'Gear Values'!$A$2:$E$13, IF(COUNTBLANK('Attributes &amp; Prefixes'!$B$5:$C$5)&gt;0, "4", "5"), 0)), "")</f>
        <v/>
      </c>
      <c r="S21" s="138" cm="1">
        <f t="array" ref="S21">IF(COUNTIF($B$5:$E$5, S$2)&gt;0, _xlfn.IFS(COUNTIF($B$5:$C$5, S$2)&gt;0, VLOOKUP($J21,'Gear Values'!$A$2:$E$13, IF(COUNTBLANK('Attributes &amp; Prefixes'!$B$5:$C$5)&gt;0, "2", "3"), 0), COUNTIF($D$5:$E$5, S$2)&gt;0, VLOOKUP($J21,'Gear Values'!$A$2:$E$13, IF(COUNTBLANK('Attributes &amp; Prefixes'!$B$5:$C$5)&gt;0, "4", "5"), 0)), "")</f>
        <v>90</v>
      </c>
      <c r="V21" s="112"/>
      <c r="W21" s="113"/>
    </row>
    <row r="22" spans="1:23">
      <c r="A22" s="128" t="s">
        <v>2448</v>
      </c>
      <c r="B22" s="121" t="s">
        <v>6</v>
      </c>
      <c r="C22" s="122"/>
      <c r="D22" s="122" t="s">
        <v>8</v>
      </c>
      <c r="E22" s="122" t="s">
        <v>14</v>
      </c>
      <c r="F22" s="448" t="str">
        <f>IF(OR(COUNTBLANK(AttributeFilter) = 1,AttributeFilter="(Select)"), A22, IF(COUNTIF(B22:E22, AttributeFilter)&gt;0, A22, ""))</f>
        <v>Forsaken</v>
      </c>
      <c r="G22" s="111"/>
      <c r="H22" s="130" t="str">
        <f>_xlfn.CONCAT(I$15,J22)</f>
        <v>ApothecaryFeet</v>
      </c>
      <c r="I22" s="520"/>
      <c r="J22" s="144" t="s">
        <v>48</v>
      </c>
      <c r="K22" s="136" t="str" cm="1">
        <f t="array" ref="K22">IF(COUNTIF($B$5:$E$5, K$2)&gt;0, _xlfn.IFS(COUNTIF($B$5:$C$5, K$2)&gt;0, VLOOKUP($J22,'Gear Values'!$A$2:$E$13, IF(COUNTBLANK('Attributes &amp; Prefixes'!$B$5:$C$5)&gt;0, "2", "3"), 0), COUNTIF($D$5:$E$5, K$2)&gt;0, VLOOKUP($J22,'Gear Values'!$A$2:$E$13, IF(COUNTBLANK('Attributes &amp; Prefixes'!$B$5:$C$5)&gt;0, "4", "5"), 0)), "")</f>
        <v/>
      </c>
      <c r="L22" s="137" t="str" cm="1">
        <f t="array" ref="L22">IF(COUNTIF($B$5:$E$5, L$2)&gt;0, _xlfn.IFS(COUNTIF($B$5:$C$5, L$2)&gt;0, VLOOKUP($J22,'Gear Values'!$A$2:$E$13, IF(COUNTBLANK('Attributes &amp; Prefixes'!$B$5:$C$5)&gt;0, "2", "3"), 0), COUNTIF($D$5:$E$5, L$2)&gt;0, VLOOKUP($J22,'Gear Values'!$A$2:$E$13, IF(COUNTBLANK('Attributes &amp; Prefixes'!$B$5:$C$5)&gt;0, "4", "5"), 0)), "")</f>
        <v/>
      </c>
      <c r="M22" s="137" cm="1">
        <f t="array" ref="M22">IF(COUNTIF($B$5:$E$5, M$2)&gt;0, _xlfn.IFS(COUNTIF($B$5:$C$5, M$2)&gt;0, VLOOKUP($J22,'Gear Values'!$A$2:$E$13, IF(COUNTBLANK('Attributes &amp; Prefixes'!$B$5:$C$5)&gt;0, "2", "3"), 0), COUNTIF($D$5:$E$5, M$2)&gt;0, VLOOKUP($J22,'Gear Values'!$A$2:$E$13, IF(COUNTBLANK('Attributes &amp; Prefixes'!$B$5:$C$5)&gt;0, "4", "5"), 0)), "")</f>
        <v>32</v>
      </c>
      <c r="N22" s="137" t="str" cm="1">
        <f t="array" ref="N22">IF(COUNTIF($B$5:$E$5, N$2)&gt;0, _xlfn.IFS(COUNTIF($B$5:$C$5, N$2)&gt;0, VLOOKUP($J22,'Gear Values'!$A$2:$E$13, IF(COUNTBLANK('Attributes &amp; Prefixes'!$B$5:$C$5)&gt;0, "2", "3"), 0), COUNTIF($D$5:$E$5, N$2)&gt;0, VLOOKUP($J22,'Gear Values'!$A$2:$E$13, IF(COUNTBLANK('Attributes &amp; Prefixes'!$B$5:$C$5)&gt;0, "4", "5"), 0)), "")</f>
        <v/>
      </c>
      <c r="O22" s="137" t="str" cm="1">
        <f t="array" ref="O22">IF(COUNTIF($B$5:$E$5, O$2)&gt;0, _xlfn.IFS(COUNTIF($B$5:$C$5, O$2)&gt;0, VLOOKUP($J22,'Gear Values'!$A$2:$E$13, IF(COUNTBLANK('Attributes &amp; Prefixes'!$B$5:$C$5)&gt;0, "2", "3"), 0), COUNTIF($D$5:$E$5, O$2)&gt;0, VLOOKUP($J22,'Gear Values'!$A$2:$E$13, IF(COUNTBLANK('Attributes &amp; Prefixes'!$B$5:$C$5)&gt;0, "4", "5"), 0)), "")</f>
        <v/>
      </c>
      <c r="P22" s="137" cm="1">
        <f t="array" ref="P22">IF(COUNTIF($B$5:$E$5, P$2)&gt;0, _xlfn.IFS(COUNTIF($B$5:$C$5, P$2)&gt;0, VLOOKUP($J22,'Gear Values'!$A$2:$E$13, IF(COUNTBLANK('Attributes &amp; Prefixes'!$B$5:$C$5)&gt;0, "2", "3"), 0), COUNTIF($D$5:$E$5, P$2)&gt;0, VLOOKUP($J22,'Gear Values'!$A$2:$E$13, IF(COUNTBLANK('Attributes &amp; Prefixes'!$B$5:$C$5)&gt;0, "4", "5"), 0)), "")</f>
        <v>32</v>
      </c>
      <c r="Q22" s="137" t="str" cm="1">
        <f t="array" ref="Q22">IF(COUNTIF($B$5:$E$5, Q$2)&gt;0, _xlfn.IFS(COUNTIF($B$5:$C$5, Q$2)&gt;0, VLOOKUP($J22,'Gear Values'!$A$2:$E$13, IF(COUNTBLANK('Attributes &amp; Prefixes'!$B$5:$C$5)&gt;0, "2", "3"), 0), COUNTIF($D$5:$E$5, Q$2)&gt;0, VLOOKUP($J22,'Gear Values'!$A$2:$E$13, IF(COUNTBLANK('Attributes &amp; Prefixes'!$B$5:$C$5)&gt;0, "4", "5"), 0)), "")</f>
        <v/>
      </c>
      <c r="R22" s="137" t="str" cm="1">
        <f t="array" ref="R22">IF(COUNTIF($B$5:$E$5, R$2)&gt;0, _xlfn.IFS(COUNTIF($B$5:$C$5, R$2)&gt;0, VLOOKUP($J22,'Gear Values'!$A$2:$E$13, IF(COUNTBLANK('Attributes &amp; Prefixes'!$B$5:$C$5)&gt;0, "2", "3"), 0), COUNTIF($D$5:$E$5, R$2)&gt;0, VLOOKUP($J22,'Gear Values'!$A$2:$E$13, IF(COUNTBLANK('Attributes &amp; Prefixes'!$B$5:$C$5)&gt;0, "4", "5"), 0)), "")</f>
        <v/>
      </c>
      <c r="S22" s="138" cm="1">
        <f t="array" ref="S22">IF(COUNTIF($B$5:$E$5, S$2)&gt;0, _xlfn.IFS(COUNTIF($B$5:$C$5, S$2)&gt;0, VLOOKUP($J22,'Gear Values'!$A$2:$E$13, IF(COUNTBLANK('Attributes &amp; Prefixes'!$B$5:$C$5)&gt;0, "2", "3"), 0), COUNTIF($D$5:$E$5, S$2)&gt;0, VLOOKUP($J22,'Gear Values'!$A$2:$E$13, IF(COUNTBLANK('Attributes &amp; Prefixes'!$B$5:$C$5)&gt;0, "4", "5"), 0)), "")</f>
        <v>45</v>
      </c>
      <c r="V22" s="112"/>
      <c r="W22" s="113"/>
    </row>
    <row r="23" spans="1:23">
      <c r="A23" s="128" t="s">
        <v>2449</v>
      </c>
      <c r="B23" s="121" t="s">
        <v>8</v>
      </c>
      <c r="C23" s="122"/>
      <c r="D23" s="122" t="s">
        <v>14</v>
      </c>
      <c r="E23" s="122" t="s">
        <v>10</v>
      </c>
      <c r="F23" s="448" t="str">
        <f>IF(OR(COUNTBLANK(AttributeFilter) = 1,AttributeFilter="(Select)"), A23, IF(COUNTIF(B23:E23, AttributeFilter)&gt;0, A23, ""))</f>
        <v>Giver</v>
      </c>
      <c r="G23" s="111"/>
      <c r="H23" s="130" t="str">
        <f>_xlfn.CONCAT(A$73,J23)</f>
        <v>PassifloraEar</v>
      </c>
      <c r="I23" s="520"/>
      <c r="J23" s="144" t="s">
        <v>49</v>
      </c>
      <c r="K23" s="136" t="str" cm="1">
        <f t="array" ref="K23">IF(COUNTIF($B$5:$E$5, K$2)&gt;0, _xlfn.IFS(COUNTIF($B$5:$C$5, K$2)&gt;0, VLOOKUP($J23,'Gear Values'!$A$2:$E$13, IF(COUNTBLANK('Attributes &amp; Prefixes'!$B$5:$C$5)&gt;0, "2", "3"), 0), COUNTIF($D$5:$E$5, K$2)&gt;0, VLOOKUP($J23,'Gear Values'!$A$2:$E$13, IF(COUNTBLANK('Attributes &amp; Prefixes'!$B$5:$C$5)&gt;0, "4", "5"), 0)), "")</f>
        <v/>
      </c>
      <c r="L23" s="137" t="str" cm="1">
        <f t="array" ref="L23">IF(COUNTIF($B$5:$E$5, L$2)&gt;0, _xlfn.IFS(COUNTIF($B$5:$C$5, L$2)&gt;0, VLOOKUP($J23,'Gear Values'!$A$2:$E$13, IF(COUNTBLANK('Attributes &amp; Prefixes'!$B$5:$C$5)&gt;0, "2", "3"), 0), COUNTIF($D$5:$E$5, L$2)&gt;0, VLOOKUP($J23,'Gear Values'!$A$2:$E$13, IF(COUNTBLANK('Attributes &amp; Prefixes'!$B$5:$C$5)&gt;0, "4", "5"), 0)), "")</f>
        <v/>
      </c>
      <c r="M23" s="137" cm="1">
        <f t="array" ref="M23">IF(COUNTIF($B$5:$E$5, M$2)&gt;0, _xlfn.IFS(COUNTIF($B$5:$C$5, M$2)&gt;0, VLOOKUP($J23,'Gear Values'!$A$2:$E$13, IF(COUNTBLANK('Attributes &amp; Prefixes'!$B$5:$C$5)&gt;0, "2", "3"), 0), COUNTIF($D$5:$E$5, M$2)&gt;0, VLOOKUP($J23,'Gear Values'!$A$2:$E$13, IF(COUNTBLANK('Attributes &amp; Prefixes'!$B$5:$C$5)&gt;0, "4", "5"), 0)), "")</f>
        <v>53</v>
      </c>
      <c r="N23" s="137" t="str" cm="1">
        <f t="array" ref="N23">IF(COUNTIF($B$5:$E$5, N$2)&gt;0, _xlfn.IFS(COUNTIF($B$5:$C$5, N$2)&gt;0, VLOOKUP($J23,'Gear Values'!$A$2:$E$13, IF(COUNTBLANK('Attributes &amp; Prefixes'!$B$5:$C$5)&gt;0, "2", "3"), 0), COUNTIF($D$5:$E$5, N$2)&gt;0, VLOOKUP($J23,'Gear Values'!$A$2:$E$13, IF(COUNTBLANK('Attributes &amp; Prefixes'!$B$5:$C$5)&gt;0, "4", "5"), 0)), "")</f>
        <v/>
      </c>
      <c r="O23" s="137" t="str" cm="1">
        <f t="array" ref="O23">IF(COUNTIF($B$5:$E$5, O$2)&gt;0, _xlfn.IFS(COUNTIF($B$5:$C$5, O$2)&gt;0, VLOOKUP($J23,'Gear Values'!$A$2:$E$13, IF(COUNTBLANK('Attributes &amp; Prefixes'!$B$5:$C$5)&gt;0, "2", "3"), 0), COUNTIF($D$5:$E$5, O$2)&gt;0, VLOOKUP($J23,'Gear Values'!$A$2:$E$13, IF(COUNTBLANK('Attributes &amp; Prefixes'!$B$5:$C$5)&gt;0, "4", "5"), 0)), "")</f>
        <v/>
      </c>
      <c r="P23" s="137" cm="1">
        <f t="array" ref="P23">IF(COUNTIF($B$5:$E$5, P$2)&gt;0, _xlfn.IFS(COUNTIF($B$5:$C$5, P$2)&gt;0, VLOOKUP($J23,'Gear Values'!$A$2:$E$13, IF(COUNTBLANK('Attributes &amp; Prefixes'!$B$5:$C$5)&gt;0, "2", "3"), 0), COUNTIF($D$5:$E$5, P$2)&gt;0, VLOOKUP($J23,'Gear Values'!$A$2:$E$13, IF(COUNTBLANK('Attributes &amp; Prefixes'!$B$5:$C$5)&gt;0, "4", "5"), 0)), "")</f>
        <v>53</v>
      </c>
      <c r="Q23" s="137" t="str" cm="1">
        <f t="array" ref="Q23">IF(COUNTIF($B$5:$E$5, Q$2)&gt;0, _xlfn.IFS(COUNTIF($B$5:$C$5, Q$2)&gt;0, VLOOKUP($J23,'Gear Values'!$A$2:$E$13, IF(COUNTBLANK('Attributes &amp; Prefixes'!$B$5:$C$5)&gt;0, "2", "3"), 0), COUNTIF($D$5:$E$5, Q$2)&gt;0, VLOOKUP($J23,'Gear Values'!$A$2:$E$13, IF(COUNTBLANK('Attributes &amp; Prefixes'!$B$5:$C$5)&gt;0, "4", "5"), 0)), "")</f>
        <v/>
      </c>
      <c r="R23" s="137" t="str" cm="1">
        <f t="array" ref="R23">IF(COUNTIF($B$5:$E$5, R$2)&gt;0, _xlfn.IFS(COUNTIF($B$5:$C$5, R$2)&gt;0, VLOOKUP($J23,'Gear Values'!$A$2:$E$13, IF(COUNTBLANK('Attributes &amp; Prefixes'!$B$5:$C$5)&gt;0, "2", "3"), 0), COUNTIF($D$5:$E$5, R$2)&gt;0, VLOOKUP($J23,'Gear Values'!$A$2:$E$13, IF(COUNTBLANK('Attributes &amp; Prefixes'!$B$5:$C$5)&gt;0, "4", "5"), 0)), "")</f>
        <v/>
      </c>
      <c r="S23" s="138" cm="1">
        <f t="array" ref="S23">IF(COUNTIF($B$5:$E$5, S$2)&gt;0, _xlfn.IFS(COUNTIF($B$5:$C$5, S$2)&gt;0, VLOOKUP($J23,'Gear Values'!$A$2:$E$13, IF(COUNTBLANK('Attributes &amp; Prefixes'!$B$5:$C$5)&gt;0, "2", "3"), 0), COUNTIF($D$5:$E$5, S$2)&gt;0, VLOOKUP($J23,'Gear Values'!$A$2:$E$13, IF(COUNTBLANK('Attributes &amp; Prefixes'!$B$5:$C$5)&gt;0, "4", "5"), 0)), "")</f>
        <v>75</v>
      </c>
      <c r="V23" s="112"/>
      <c r="W23" s="113"/>
    </row>
    <row r="24" spans="1:23">
      <c r="A24" s="128" t="s">
        <v>2450</v>
      </c>
      <c r="B24" s="121" t="s">
        <v>6</v>
      </c>
      <c r="C24" s="122" t="s">
        <v>11</v>
      </c>
      <c r="D24" s="122" t="s">
        <v>7</v>
      </c>
      <c r="E24" s="122" t="s">
        <v>13</v>
      </c>
      <c r="F24" s="448" t="str">
        <f>IF(OR(COUNTBLANK(AttributeFilter) = 1,AttributeFilter="(Select)"), A24, IF(COUNTIF(B24:E24, AttributeFilter)&gt;0, A24, ""))</f>
        <v>Grieving</v>
      </c>
      <c r="G24" s="111"/>
      <c r="H24" s="130" t="str">
        <f>_xlfn.CONCAT(A$73,J24)</f>
        <v>PassifloraFinger</v>
      </c>
      <c r="I24" s="520"/>
      <c r="J24" s="144" t="s">
        <v>51</v>
      </c>
      <c r="K24" s="136" t="str" cm="1">
        <f t="array" ref="K24">IF(COUNTIF($B$5:$E$5, K$2)&gt;0, _xlfn.IFS(COUNTIF($B$5:$C$5, K$2)&gt;0, VLOOKUP($J24,'Gear Values'!$A$2:$E$13, IF(COUNTBLANK('Attributes &amp; Prefixes'!$B$5:$C$5)&gt;0, "2", "3"), 0), COUNTIF($D$5:$E$5, K$2)&gt;0, VLOOKUP($J24,'Gear Values'!$A$2:$E$13, IF(COUNTBLANK('Attributes &amp; Prefixes'!$B$5:$C$5)&gt;0, "4", "5"), 0)), "")</f>
        <v/>
      </c>
      <c r="L24" s="137" t="str" cm="1">
        <f t="array" ref="L24">IF(COUNTIF($B$5:$E$5, L$2)&gt;0, _xlfn.IFS(COUNTIF($B$5:$C$5, L$2)&gt;0, VLOOKUP($J24,'Gear Values'!$A$2:$E$13, IF(COUNTBLANK('Attributes &amp; Prefixes'!$B$5:$C$5)&gt;0, "2", "3"), 0), COUNTIF($D$5:$E$5, L$2)&gt;0, VLOOKUP($J24,'Gear Values'!$A$2:$E$13, IF(COUNTBLANK('Attributes &amp; Prefixes'!$B$5:$C$5)&gt;0, "4", "5"), 0)), "")</f>
        <v/>
      </c>
      <c r="M24" s="137" cm="1">
        <f t="array" ref="M24">IF(COUNTIF($B$5:$E$5, M$2)&gt;0, _xlfn.IFS(COUNTIF($B$5:$C$5, M$2)&gt;0, VLOOKUP($J24,'Gear Values'!$A$2:$E$13, IF(COUNTBLANK('Attributes &amp; Prefixes'!$B$5:$C$5)&gt;0, "2", "3"), 0), COUNTIF($D$5:$E$5, M$2)&gt;0, VLOOKUP($J24,'Gear Values'!$A$2:$E$13, IF(COUNTBLANK('Attributes &amp; Prefixes'!$B$5:$C$5)&gt;0, "4", "5"), 0)), "")</f>
        <v>64</v>
      </c>
      <c r="N24" s="137" t="str" cm="1">
        <f t="array" ref="N24">IF(COUNTIF($B$5:$E$5, N$2)&gt;0, _xlfn.IFS(COUNTIF($B$5:$C$5, N$2)&gt;0, VLOOKUP($J24,'Gear Values'!$A$2:$E$13, IF(COUNTBLANK('Attributes &amp; Prefixes'!$B$5:$C$5)&gt;0, "2", "3"), 0), COUNTIF($D$5:$E$5, N$2)&gt;0, VLOOKUP($J24,'Gear Values'!$A$2:$E$13, IF(COUNTBLANK('Attributes &amp; Prefixes'!$B$5:$C$5)&gt;0, "4", "5"), 0)), "")</f>
        <v/>
      </c>
      <c r="O24" s="137" t="str" cm="1">
        <f t="array" ref="O24">IF(COUNTIF($B$5:$E$5, O$2)&gt;0, _xlfn.IFS(COUNTIF($B$5:$C$5, O$2)&gt;0, VLOOKUP($J24,'Gear Values'!$A$2:$E$13, IF(COUNTBLANK('Attributes &amp; Prefixes'!$B$5:$C$5)&gt;0, "2", "3"), 0), COUNTIF($D$5:$E$5, O$2)&gt;0, VLOOKUP($J24,'Gear Values'!$A$2:$E$13, IF(COUNTBLANK('Attributes &amp; Prefixes'!$B$5:$C$5)&gt;0, "4", "5"), 0)), "")</f>
        <v/>
      </c>
      <c r="P24" s="137" cm="1">
        <f t="array" ref="P24">IF(COUNTIF($B$5:$E$5, P$2)&gt;0, _xlfn.IFS(COUNTIF($B$5:$C$5, P$2)&gt;0, VLOOKUP($J24,'Gear Values'!$A$2:$E$13, IF(COUNTBLANK('Attributes &amp; Prefixes'!$B$5:$C$5)&gt;0, "2", "3"), 0), COUNTIF($D$5:$E$5, P$2)&gt;0, VLOOKUP($J24,'Gear Values'!$A$2:$E$13, IF(COUNTBLANK('Attributes &amp; Prefixes'!$B$5:$C$5)&gt;0, "4", "5"), 0)), "")</f>
        <v>64</v>
      </c>
      <c r="Q24" s="137" t="str" cm="1">
        <f t="array" ref="Q24">IF(COUNTIF($B$5:$E$5, Q$2)&gt;0, _xlfn.IFS(COUNTIF($B$5:$C$5, Q$2)&gt;0, VLOOKUP($J24,'Gear Values'!$A$2:$E$13, IF(COUNTBLANK('Attributes &amp; Prefixes'!$B$5:$C$5)&gt;0, "2", "3"), 0), COUNTIF($D$5:$E$5, Q$2)&gt;0, VLOOKUP($J24,'Gear Values'!$A$2:$E$13, IF(COUNTBLANK('Attributes &amp; Prefixes'!$B$5:$C$5)&gt;0, "4", "5"), 0)), "")</f>
        <v/>
      </c>
      <c r="R24" s="137" t="str" cm="1">
        <f t="array" ref="R24">IF(COUNTIF($B$5:$E$5, R$2)&gt;0, _xlfn.IFS(COUNTIF($B$5:$C$5, R$2)&gt;0, VLOOKUP($J24,'Gear Values'!$A$2:$E$13, IF(COUNTBLANK('Attributes &amp; Prefixes'!$B$5:$C$5)&gt;0, "2", "3"), 0), COUNTIF($D$5:$E$5, R$2)&gt;0, VLOOKUP($J24,'Gear Values'!$A$2:$E$13, IF(COUNTBLANK('Attributes &amp; Prefixes'!$B$5:$C$5)&gt;0, "4", "5"), 0)), "")</f>
        <v/>
      </c>
      <c r="S24" s="138" cm="1">
        <f t="array" ref="S24">IF(COUNTIF($B$5:$E$5, S$2)&gt;0, _xlfn.IFS(COUNTIF($B$5:$C$5, S$2)&gt;0, VLOOKUP($J24,'Gear Values'!$A$2:$E$13, IF(COUNTBLANK('Attributes &amp; Prefixes'!$B$5:$C$5)&gt;0, "2", "3"), 0), COUNTIF($D$5:$E$5, S$2)&gt;0, VLOOKUP($J24,'Gear Values'!$A$2:$E$13, IF(COUNTBLANK('Attributes &amp; Prefixes'!$B$5:$C$5)&gt;0, "4", "5"), 0)), "")</f>
        <v>90</v>
      </c>
      <c r="V24" s="112"/>
      <c r="W24" s="113"/>
    </row>
    <row r="25" spans="1:23">
      <c r="A25" s="128" t="s">
        <v>2451</v>
      </c>
      <c r="B25" s="121" t="s">
        <v>6</v>
      </c>
      <c r="C25" s="122"/>
      <c r="D25" s="122" t="s">
        <v>14</v>
      </c>
      <c r="E25" s="122" t="s">
        <v>10</v>
      </c>
      <c r="F25" s="448" t="str">
        <f>IF(OR(COUNTBLANK(AttributeFilter) = 1,AttributeFilter="(Select)"), A25, IF(COUNTIF(B25:E25, AttributeFilter)&gt;0, A25, ""))</f>
        <v>Harrier</v>
      </c>
      <c r="G25" s="111"/>
      <c r="H25" s="130" t="str">
        <f>_xlfn.CONCAT(A$73,J25)</f>
        <v>PassifloraNeck</v>
      </c>
      <c r="I25" s="520"/>
      <c r="J25" s="144" t="s">
        <v>52</v>
      </c>
      <c r="K25" s="136" t="str" cm="1">
        <f t="array" ref="K25">IF(COUNTIF($B$5:$E$5, K$2)&gt;0, _xlfn.IFS(COUNTIF($B$5:$C$5, K$2)&gt;0, VLOOKUP($J25,'Gear Values'!$A$2:$E$13, IF(COUNTBLANK('Attributes &amp; Prefixes'!$B$5:$C$5)&gt;0, "2", "3"), 0), COUNTIF($D$5:$E$5, K$2)&gt;0, VLOOKUP($J25,'Gear Values'!$A$2:$E$13, IF(COUNTBLANK('Attributes &amp; Prefixes'!$B$5:$C$5)&gt;0, "4", "5"), 0)), "")</f>
        <v/>
      </c>
      <c r="L25" s="137" t="str" cm="1">
        <f t="array" ref="L25">IF(COUNTIF($B$5:$E$5, L$2)&gt;0, _xlfn.IFS(COUNTIF($B$5:$C$5, L$2)&gt;0, VLOOKUP($J25,'Gear Values'!$A$2:$E$13, IF(COUNTBLANK('Attributes &amp; Prefixes'!$B$5:$C$5)&gt;0, "2", "3"), 0), COUNTIF($D$5:$E$5, L$2)&gt;0, VLOOKUP($J25,'Gear Values'!$A$2:$E$13, IF(COUNTBLANK('Attributes &amp; Prefixes'!$B$5:$C$5)&gt;0, "4", "5"), 0)), "")</f>
        <v/>
      </c>
      <c r="M25" s="137" cm="1">
        <f t="array" ref="M25">IF(COUNTIF($B$5:$E$5, M$2)&gt;0, _xlfn.IFS(COUNTIF($B$5:$C$5, M$2)&gt;0, VLOOKUP($J25,'Gear Values'!$A$2:$E$13, IF(COUNTBLANK('Attributes &amp; Prefixes'!$B$5:$C$5)&gt;0, "2", "3"), 0), COUNTIF($D$5:$E$5, M$2)&gt;0, VLOOKUP($J25,'Gear Values'!$A$2:$E$13, IF(COUNTBLANK('Attributes &amp; Prefixes'!$B$5:$C$5)&gt;0, "4", "5"), 0)), "")</f>
        <v>85</v>
      </c>
      <c r="N25" s="137" t="str" cm="1">
        <f t="array" ref="N25">IF(COUNTIF($B$5:$E$5, N$2)&gt;0, _xlfn.IFS(COUNTIF($B$5:$C$5, N$2)&gt;0, VLOOKUP($J25,'Gear Values'!$A$2:$E$13, IF(COUNTBLANK('Attributes &amp; Prefixes'!$B$5:$C$5)&gt;0, "2", "3"), 0), COUNTIF($D$5:$E$5, N$2)&gt;0, VLOOKUP($J25,'Gear Values'!$A$2:$E$13, IF(COUNTBLANK('Attributes &amp; Prefixes'!$B$5:$C$5)&gt;0, "4", "5"), 0)), "")</f>
        <v/>
      </c>
      <c r="O25" s="137" t="str" cm="1">
        <f t="array" ref="O25">IF(COUNTIF($B$5:$E$5, O$2)&gt;0, _xlfn.IFS(COUNTIF($B$5:$C$5, O$2)&gt;0, VLOOKUP($J25,'Gear Values'!$A$2:$E$13, IF(COUNTBLANK('Attributes &amp; Prefixes'!$B$5:$C$5)&gt;0, "2", "3"), 0), COUNTIF($D$5:$E$5, O$2)&gt;0, VLOOKUP($J25,'Gear Values'!$A$2:$E$13, IF(COUNTBLANK('Attributes &amp; Prefixes'!$B$5:$C$5)&gt;0, "4", "5"), 0)), "")</f>
        <v/>
      </c>
      <c r="P25" s="137" cm="1">
        <f t="array" ref="P25">IF(COUNTIF($B$5:$E$5, P$2)&gt;0, _xlfn.IFS(COUNTIF($B$5:$C$5, P$2)&gt;0, VLOOKUP($J25,'Gear Values'!$A$2:$E$13, IF(COUNTBLANK('Attributes &amp; Prefixes'!$B$5:$C$5)&gt;0, "2", "3"), 0), COUNTIF($D$5:$E$5, P$2)&gt;0, VLOOKUP($J25,'Gear Values'!$A$2:$E$13, IF(COUNTBLANK('Attributes &amp; Prefixes'!$B$5:$C$5)&gt;0, "4", "5"), 0)), "")</f>
        <v>85</v>
      </c>
      <c r="Q25" s="137" t="str" cm="1">
        <f t="array" ref="Q25">IF(COUNTIF($B$5:$E$5, Q$2)&gt;0, _xlfn.IFS(COUNTIF($B$5:$C$5, Q$2)&gt;0, VLOOKUP($J25,'Gear Values'!$A$2:$E$13, IF(COUNTBLANK('Attributes &amp; Prefixes'!$B$5:$C$5)&gt;0, "2", "3"), 0), COUNTIF($D$5:$E$5, Q$2)&gt;0, VLOOKUP($J25,'Gear Values'!$A$2:$E$13, IF(COUNTBLANK('Attributes &amp; Prefixes'!$B$5:$C$5)&gt;0, "4", "5"), 0)), "")</f>
        <v/>
      </c>
      <c r="R25" s="137" t="str" cm="1">
        <f t="array" ref="R25">IF(COUNTIF($B$5:$E$5, R$2)&gt;0, _xlfn.IFS(COUNTIF($B$5:$C$5, R$2)&gt;0, VLOOKUP($J25,'Gear Values'!$A$2:$E$13, IF(COUNTBLANK('Attributes &amp; Prefixes'!$B$5:$C$5)&gt;0, "2", "3"), 0), COUNTIF($D$5:$E$5, R$2)&gt;0, VLOOKUP($J25,'Gear Values'!$A$2:$E$13, IF(COUNTBLANK('Attributes &amp; Prefixes'!$B$5:$C$5)&gt;0, "4", "5"), 0)), "")</f>
        <v/>
      </c>
      <c r="S25" s="138" cm="1">
        <f t="array" ref="S25">IF(COUNTIF($B$5:$E$5, S$2)&gt;0, _xlfn.IFS(COUNTIF($B$5:$C$5, S$2)&gt;0, VLOOKUP($J25,'Gear Values'!$A$2:$E$13, IF(COUNTBLANK('Attributes &amp; Prefixes'!$B$5:$C$5)&gt;0, "2", "3"), 0), COUNTIF($D$5:$E$5, S$2)&gt;0, VLOOKUP($J25,'Gear Values'!$A$2:$E$13, IF(COUNTBLANK('Attributes &amp; Prefixes'!$B$5:$C$5)&gt;0, "4", "5"), 0)), "")</f>
        <v>120</v>
      </c>
      <c r="V25" s="112"/>
      <c r="W25" s="113"/>
    </row>
    <row r="26" spans="1:23">
      <c r="A26" s="128" t="s">
        <v>2452</v>
      </c>
      <c r="B26" s="121" t="s">
        <v>6</v>
      </c>
      <c r="C26" s="122" t="s">
        <v>7</v>
      </c>
      <c r="D26" s="122" t="s">
        <v>14</v>
      </c>
      <c r="E26" s="122" t="s">
        <v>13</v>
      </c>
      <c r="F26" s="448" t="str">
        <f>IF(OR(COUNTBLANK(AttributeFilter) = 1,AttributeFilter="(Select)"), A26, IF(COUNTIF(B26:E26, AttributeFilter)&gt;0, A26, ""))</f>
        <v>Heretic</v>
      </c>
      <c r="G26" s="111"/>
      <c r="H26" s="130" t="str">
        <f>_xlfn.CONCAT(I$15,J26)</f>
        <v>ApothecaryBack</v>
      </c>
      <c r="I26" s="521"/>
      <c r="J26" s="146" t="s">
        <v>53</v>
      </c>
      <c r="K26" s="147" t="str" cm="1">
        <f t="array" ref="K26">IF(COUNTIF($B$5:$E$5, K$2)&gt;0, _xlfn.IFS(COUNTIF($B$5:$C$5, K$2)&gt;0, VLOOKUP($J26,'Gear Values'!$A$2:$E$13, IF(COUNTBLANK('Attributes &amp; Prefixes'!$B$5:$C$5)&gt;0, "2", "3"), 0), COUNTIF($D$5:$E$5, K$2)&gt;0, VLOOKUP($J26,'Gear Values'!$A$2:$E$13, IF(COUNTBLANK('Attributes &amp; Prefixes'!$B$5:$C$5)&gt;0, "4", "5"), 0)), "")</f>
        <v/>
      </c>
      <c r="L26" s="148" t="str" cm="1">
        <f t="array" ref="L26">IF(COUNTIF($B$5:$E$5, L$2)&gt;0, _xlfn.IFS(COUNTIF($B$5:$C$5, L$2)&gt;0, VLOOKUP($J26,'Gear Values'!$A$2:$E$13, IF(COUNTBLANK('Attributes &amp; Prefixes'!$B$5:$C$5)&gt;0, "2", "3"), 0), COUNTIF($D$5:$E$5, L$2)&gt;0, VLOOKUP($J26,'Gear Values'!$A$2:$E$13, IF(COUNTBLANK('Attributes &amp; Prefixes'!$B$5:$C$5)&gt;0, "4", "5"), 0)), "")</f>
        <v/>
      </c>
      <c r="M26" s="148" cm="1">
        <f t="array" ref="M26">IF(COUNTIF($B$5:$E$5, M$2)&gt;0, _xlfn.IFS(COUNTIF($B$5:$C$5, M$2)&gt;0, VLOOKUP($J26,'Gear Values'!$A$2:$E$13, IF(COUNTBLANK('Attributes &amp; Prefixes'!$B$5:$C$5)&gt;0, "2", "3"), 0), COUNTIF($D$5:$E$5, M$2)&gt;0, VLOOKUP($J26,'Gear Values'!$A$2:$E$13, IF(COUNTBLANK('Attributes &amp; Prefixes'!$B$5:$C$5)&gt;0, "4", "5"), 0)), "")</f>
        <v>18</v>
      </c>
      <c r="N26" s="148" t="str" cm="1">
        <f t="array" ref="N26">IF(COUNTIF($B$5:$E$5, N$2)&gt;0, _xlfn.IFS(COUNTIF($B$5:$C$5, N$2)&gt;0, VLOOKUP($J26,'Gear Values'!$A$2:$E$13, IF(COUNTBLANK('Attributes &amp; Prefixes'!$B$5:$C$5)&gt;0, "2", "3"), 0), COUNTIF($D$5:$E$5, N$2)&gt;0, VLOOKUP($J26,'Gear Values'!$A$2:$E$13, IF(COUNTBLANK('Attributes &amp; Prefixes'!$B$5:$C$5)&gt;0, "4", "5"), 0)), "")</f>
        <v/>
      </c>
      <c r="O26" s="148" t="str" cm="1">
        <f t="array" ref="O26">IF(COUNTIF($B$5:$E$5, O$2)&gt;0, _xlfn.IFS(COUNTIF($B$5:$C$5, O$2)&gt;0, VLOOKUP($J26,'Gear Values'!$A$2:$E$13, IF(COUNTBLANK('Attributes &amp; Prefixes'!$B$5:$C$5)&gt;0, "2", "3"), 0), COUNTIF($D$5:$E$5, O$2)&gt;0, VLOOKUP($J26,'Gear Values'!$A$2:$E$13, IF(COUNTBLANK('Attributes &amp; Prefixes'!$B$5:$C$5)&gt;0, "4", "5"), 0)), "")</f>
        <v/>
      </c>
      <c r="P26" s="148" cm="1">
        <f t="array" ref="P26">IF(COUNTIF($B$5:$E$5, P$2)&gt;0, _xlfn.IFS(COUNTIF($B$5:$C$5, P$2)&gt;0, VLOOKUP($J26,'Gear Values'!$A$2:$E$13, IF(COUNTBLANK('Attributes &amp; Prefixes'!$B$5:$C$5)&gt;0, "2", "3"), 0), COUNTIF($D$5:$E$5, P$2)&gt;0, VLOOKUP($J26,'Gear Values'!$A$2:$E$13, IF(COUNTBLANK('Attributes &amp; Prefixes'!$B$5:$C$5)&gt;0, "4", "5"), 0)), "")</f>
        <v>18</v>
      </c>
      <c r="Q26" s="148" t="str" cm="1">
        <f t="array" ref="Q26">IF(COUNTIF($B$5:$E$5, Q$2)&gt;0, _xlfn.IFS(COUNTIF($B$5:$C$5, Q$2)&gt;0, VLOOKUP($J26,'Gear Values'!$A$2:$E$13, IF(COUNTBLANK('Attributes &amp; Prefixes'!$B$5:$C$5)&gt;0, "2", "3"), 0), COUNTIF($D$5:$E$5, Q$2)&gt;0, VLOOKUP($J26,'Gear Values'!$A$2:$E$13, IF(COUNTBLANK('Attributes &amp; Prefixes'!$B$5:$C$5)&gt;0, "4", "5"), 0)), "")</f>
        <v/>
      </c>
      <c r="R26" s="148" t="str" cm="1">
        <f t="array" ref="R26">IF(COUNTIF($B$5:$E$5, R$2)&gt;0, _xlfn.IFS(COUNTIF($B$5:$C$5, R$2)&gt;0, VLOOKUP($J26,'Gear Values'!$A$2:$E$13, IF(COUNTBLANK('Attributes &amp; Prefixes'!$B$5:$C$5)&gt;0, "2", "3"), 0), COUNTIF($D$5:$E$5, R$2)&gt;0, VLOOKUP($J26,'Gear Values'!$A$2:$E$13, IF(COUNTBLANK('Attributes &amp; Prefixes'!$B$5:$C$5)&gt;0, "4", "5"), 0)), "")</f>
        <v/>
      </c>
      <c r="S26" s="150" cm="1">
        <f t="array" ref="S26">IF(COUNTIF($B$5:$E$5, S$2)&gt;0, _xlfn.IFS(COUNTIF($B$5:$C$5, S$2)&gt;0, VLOOKUP($J26,'Gear Values'!$A$2:$E$13, IF(COUNTBLANK('Attributes &amp; Prefixes'!$B$5:$C$5)&gt;0, "2", "3"), 0), COUNTIF($D$5:$E$5, S$2)&gt;0, VLOOKUP($J26,'Gear Values'!$A$2:$E$13, IF(COUNTBLANK('Attributes &amp; Prefixes'!$B$5:$C$5)&gt;0, "4", "5"), 0)), "")</f>
        <v>32</v>
      </c>
      <c r="V26" s="112"/>
      <c r="W26" s="113"/>
    </row>
    <row r="27" spans="1:23">
      <c r="A27" s="128" t="s">
        <v>2453</v>
      </c>
      <c r="B27" s="121" t="s">
        <v>8</v>
      </c>
      <c r="C27" s="122"/>
      <c r="D27" s="122" t="s">
        <v>6</v>
      </c>
      <c r="E27" s="122" t="s">
        <v>7</v>
      </c>
      <c r="F27" s="448" t="str">
        <f>IF(OR(COUNTBLANK(AttributeFilter) = 1,AttributeFilter="(Select)"), A27, IF(COUNTIF(B27:E27, AttributeFilter)&gt;0, A27, ""))</f>
        <v>Knight</v>
      </c>
      <c r="G27" s="111"/>
      <c r="H27" s="130" t="str">
        <f>_xlfn.CONCAT(I$27,J27)</f>
        <v>AssassinWeapon (1H)</v>
      </c>
      <c r="I27" s="519" t="str">
        <f>A6</f>
        <v>Assassin</v>
      </c>
      <c r="J27" s="145" t="s">
        <v>37</v>
      </c>
      <c r="K27" s="133" cm="1">
        <f t="array" ref="K27">IF(COUNTIF($B$6:$E$6, K$2)&gt;0, _xlfn.IFS(COUNTIF($B$6:$C$6, K$2)&gt;0, VLOOKUP($J27,'Gear Values'!$A$2:$E$13, IF(COUNTBLANK('Attributes &amp; Prefixes'!$B$6:$C$6)&gt;0, "2", "3"), 0), COUNTIF($D$6:$E$6, K$2)&gt;0, VLOOKUP($J27,'Gear Values'!$A$2:$E$13, IF(COUNTBLANK('Attributes &amp; Prefixes'!$B$6:$C$6)&gt;0, "4", "5"), 0)), "")</f>
        <v>85</v>
      </c>
      <c r="L27" s="134" cm="1">
        <f t="array" ref="L27">IF(COUNTIF($B$6:$E$6, L$2)&gt;0, _xlfn.IFS(COUNTIF($B$6:$C$6, L$2)&gt;0, VLOOKUP($J27,'Gear Values'!$A$2:$E$13, IF(COUNTBLANK('Attributes &amp; Prefixes'!$B$6:$C$6)&gt;0, "2", "3"), 0), COUNTIF($D$6:$E$6, L$2)&gt;0, VLOOKUP($J27,'Gear Values'!$A$2:$E$13, IF(COUNTBLANK('Attributes &amp; Prefixes'!$B$6:$C$6)&gt;0, "4", "5"), 0)), "")</f>
        <v>120</v>
      </c>
      <c r="M27" s="134" t="str" cm="1">
        <f t="array" ref="M27">IF(COUNTIF($B$6:$E$6, M$2)&gt;0, _xlfn.IFS(COUNTIF($B$6:$C$6, M$2)&gt;0, VLOOKUP($J27,'Gear Values'!$A$2:$E$13, IF(COUNTBLANK('Attributes &amp; Prefixes'!$B$6:$C$6)&gt;0, "2", "3"), 0), COUNTIF($D$6:$E$6, M$2)&gt;0, VLOOKUP($J27,'Gear Values'!$A$2:$E$13, IF(COUNTBLANK('Attributes &amp; Prefixes'!$B$6:$C$6)&gt;0, "4", "5"), 0)), "")</f>
        <v/>
      </c>
      <c r="N27" s="134" t="str" cm="1">
        <f t="array" ref="N27">IF(COUNTIF($B$6:$E$6, N$2)&gt;0, _xlfn.IFS(COUNTIF($B$6:$C$6, N$2)&gt;0, VLOOKUP($J27,'Gear Values'!$A$2:$E$13, IF(COUNTBLANK('Attributes &amp; Prefixes'!$B$6:$C$6)&gt;0, "2", "3"), 0), COUNTIF($D$6:$E$6, N$2)&gt;0, VLOOKUP($J27,'Gear Values'!$A$2:$E$13, IF(COUNTBLANK('Attributes &amp; Prefixes'!$B$6:$C$6)&gt;0, "4", "5"), 0)), "")</f>
        <v/>
      </c>
      <c r="O27" s="134" t="str" cm="1">
        <f t="array" ref="O27">IF(COUNTIF($B$6:$E$6, O$2)&gt;0, _xlfn.IFS(COUNTIF($B$6:$C$6, O$2)&gt;0, VLOOKUP($J27,'Gear Values'!$A$2:$E$13, IF(COUNTBLANK('Attributes &amp; Prefixes'!$B$6:$C$6)&gt;0, "2", "3"), 0), COUNTIF($D$6:$E$6, O$2)&gt;0, VLOOKUP($J27,'Gear Values'!$A$2:$E$13, IF(COUNTBLANK('Attributes &amp; Prefixes'!$B$6:$C$6)&gt;0, "4", "5"), 0)), "")</f>
        <v/>
      </c>
      <c r="P27" s="134" t="str" cm="1">
        <f t="array" ref="P27">IF(COUNTIF($B$6:$E$6, P$2)&gt;0, _xlfn.IFS(COUNTIF($B$6:$C$6, P$2)&gt;0, VLOOKUP($J27,'Gear Values'!$A$2:$E$13, IF(COUNTBLANK('Attributes &amp; Prefixes'!$B$6:$C$6)&gt;0, "2", "3"), 0), COUNTIF($D$6:$E$6, P$2)&gt;0, VLOOKUP($J27,'Gear Values'!$A$2:$E$13, IF(COUNTBLANK('Attributes &amp; Prefixes'!$B$6:$C$6)&gt;0, "4", "5"), 0)), "")</f>
        <v/>
      </c>
      <c r="Q27" s="134" t="str" cm="1">
        <f t="array" ref="Q27">IF(COUNTIF($B$6:$E$6, Q$2)&gt;0, _xlfn.IFS(COUNTIF($B$6:$C$6, Q$2)&gt;0, VLOOKUP($J27,'Gear Values'!$A$2:$E$13, IF(COUNTBLANK('Attributes &amp; Prefixes'!$B$6:$C$6)&gt;0, "2", "3"), 0), COUNTIF($D$6:$E$6, Q$2)&gt;0, VLOOKUP($J27,'Gear Values'!$A$2:$E$13, IF(COUNTBLANK('Attributes &amp; Prefixes'!$B$6:$C$6)&gt;0, "4", "5"), 0)), "")</f>
        <v/>
      </c>
      <c r="R27" s="134" cm="1">
        <f t="array" ref="R27">IF(COUNTIF($B$6:$E$6, R$2)&gt;0, _xlfn.IFS(COUNTIF($B$6:$C$6, R$2)&gt;0, VLOOKUP($J27,'Gear Values'!$A$2:$E$13, IF(COUNTBLANK('Attributes &amp; Prefixes'!$B$6:$C$6)&gt;0, "2", "3"), 0), COUNTIF($D$6:$E$6, R$2)&gt;0, VLOOKUP($J27,'Gear Values'!$A$2:$E$13, IF(COUNTBLANK('Attributes &amp; Prefixes'!$B$6:$C$6)&gt;0, "4", "5"), 0)), "")</f>
        <v>85</v>
      </c>
      <c r="S27" s="135" t="str" cm="1">
        <f t="array" ref="S27">IF(COUNTIF($B$6:$E$6, S$2)&gt;0, _xlfn.IFS(COUNTIF($B$6:$C$6, S$2)&gt;0, VLOOKUP($J27,'Gear Values'!$A$2:$E$13, IF(COUNTBLANK('Attributes &amp; Prefixes'!$B$6:$C$6)&gt;0, "2", "3"), 0), COUNTIF($D$6:$E$6, S$2)&gt;0, VLOOKUP($J27,'Gear Values'!$A$2:$E$13, IF(COUNTBLANK('Attributes &amp; Prefixes'!$B$6:$C$6)&gt;0, "4", "5"), 0)), "")</f>
        <v/>
      </c>
      <c r="V27" s="112"/>
      <c r="W27" s="113"/>
    </row>
    <row r="28" spans="1:23">
      <c r="A28" s="128" t="s">
        <v>2454</v>
      </c>
      <c r="B28" s="121" t="s">
        <v>14</v>
      </c>
      <c r="C28" s="122"/>
      <c r="D28" s="122" t="s">
        <v>7</v>
      </c>
      <c r="E28" s="122" t="s">
        <v>9</v>
      </c>
      <c r="F28" s="448" t="str">
        <f>IF(OR(COUNTBLANK(AttributeFilter) = 1,AttributeFilter="(Select)"), A28, IF(COUNTIF(B28:E28, AttributeFilter)&gt;0, A28, ""))</f>
        <v>Magi</v>
      </c>
      <c r="G28" s="111"/>
      <c r="H28" s="130" t="str">
        <f>_xlfn.CONCAT(I$27,J28)</f>
        <v>AssassinWeapon (2H)</v>
      </c>
      <c r="I28" s="524"/>
      <c r="J28" s="132" t="s">
        <v>39</v>
      </c>
      <c r="K28" s="136" cm="1">
        <f t="array" ref="K28">IF(COUNTIF($B$6:$E$6, K$2)&gt;0, _xlfn.IFS(COUNTIF($B$6:$C$6, K$2)&gt;0, VLOOKUP($J28,'Gear Values'!$A$2:$E$13, IF(COUNTBLANK('Attributes &amp; Prefixes'!$B$6:$C$6)&gt;0, "2", "3"), 0), COUNTIF($D$6:$E$6, K$2)&gt;0, VLOOKUP($J28,'Gear Values'!$A$2:$E$13, IF(COUNTBLANK('Attributes &amp; Prefixes'!$B$6:$C$6)&gt;0, "4", "5"), 0)), "")</f>
        <v>171</v>
      </c>
      <c r="L28" s="137" cm="1">
        <f t="array" ref="L28">IF(COUNTIF($B$6:$E$6, L$2)&gt;0, _xlfn.IFS(COUNTIF($B$6:$C$6, L$2)&gt;0, VLOOKUP($J28,'Gear Values'!$A$2:$E$13, IF(COUNTBLANK('Attributes &amp; Prefixes'!$B$6:$C$6)&gt;0, "2", "3"), 0), COUNTIF($D$6:$E$6, L$2)&gt;0, VLOOKUP($J28,'Gear Values'!$A$2:$E$13, IF(COUNTBLANK('Attributes &amp; Prefixes'!$B$6:$C$6)&gt;0, "4", "5"), 0)), "")</f>
        <v>239</v>
      </c>
      <c r="M28" s="137" t="str" cm="1">
        <f t="array" ref="M28">IF(COUNTIF($B$6:$E$6, M$2)&gt;0, _xlfn.IFS(COUNTIF($B$6:$C$6, M$2)&gt;0, VLOOKUP($J28,'Gear Values'!$A$2:$E$13, IF(COUNTBLANK('Attributes &amp; Prefixes'!$B$6:$C$6)&gt;0, "2", "3"), 0), COUNTIF($D$6:$E$6, M$2)&gt;0, VLOOKUP($J28,'Gear Values'!$A$2:$E$13, IF(COUNTBLANK('Attributes &amp; Prefixes'!$B$6:$C$6)&gt;0, "4", "5"), 0)), "")</f>
        <v/>
      </c>
      <c r="N28" s="137" t="str" cm="1">
        <f t="array" ref="N28">IF(COUNTIF($B$6:$E$6, N$2)&gt;0, _xlfn.IFS(COUNTIF($B$6:$C$6, N$2)&gt;0, VLOOKUP($J28,'Gear Values'!$A$2:$E$13, IF(COUNTBLANK('Attributes &amp; Prefixes'!$B$6:$C$6)&gt;0, "2", "3"), 0), COUNTIF($D$6:$E$6, N$2)&gt;0, VLOOKUP($J28,'Gear Values'!$A$2:$E$13, IF(COUNTBLANK('Attributes &amp; Prefixes'!$B$6:$C$6)&gt;0, "4", "5"), 0)), "")</f>
        <v/>
      </c>
      <c r="O28" s="137" t="str" cm="1">
        <f t="array" ref="O28">IF(COUNTIF($B$6:$E$6, O$2)&gt;0, _xlfn.IFS(COUNTIF($B$6:$C$6, O$2)&gt;0, VLOOKUP($J28,'Gear Values'!$A$2:$E$13, IF(COUNTBLANK('Attributes &amp; Prefixes'!$B$6:$C$6)&gt;0, "2", "3"), 0), COUNTIF($D$6:$E$6, O$2)&gt;0, VLOOKUP($J28,'Gear Values'!$A$2:$E$13, IF(COUNTBLANK('Attributes &amp; Prefixes'!$B$6:$C$6)&gt;0, "4", "5"), 0)), "")</f>
        <v/>
      </c>
      <c r="P28" s="137" t="str" cm="1">
        <f t="array" ref="P28">IF(COUNTIF($B$6:$E$6, P$2)&gt;0, _xlfn.IFS(COUNTIF($B$6:$C$6, P$2)&gt;0, VLOOKUP($J28,'Gear Values'!$A$2:$E$13, IF(COUNTBLANK('Attributes &amp; Prefixes'!$B$6:$C$6)&gt;0, "2", "3"), 0), COUNTIF($D$6:$E$6, P$2)&gt;0, VLOOKUP($J28,'Gear Values'!$A$2:$E$13, IF(COUNTBLANK('Attributes &amp; Prefixes'!$B$6:$C$6)&gt;0, "4", "5"), 0)), "")</f>
        <v/>
      </c>
      <c r="Q28" s="137" t="str" cm="1">
        <f t="array" ref="Q28">IF(COUNTIF($B$6:$E$6, Q$2)&gt;0, _xlfn.IFS(COUNTIF($B$6:$C$6, Q$2)&gt;0, VLOOKUP($J28,'Gear Values'!$A$2:$E$13, IF(COUNTBLANK('Attributes &amp; Prefixes'!$B$6:$C$6)&gt;0, "2", "3"), 0), COUNTIF($D$6:$E$6, Q$2)&gt;0, VLOOKUP($J28,'Gear Values'!$A$2:$E$13, IF(COUNTBLANK('Attributes &amp; Prefixes'!$B$6:$C$6)&gt;0, "4", "5"), 0)), "")</f>
        <v/>
      </c>
      <c r="R28" s="137" cm="1">
        <f t="array" ref="R28">IF(COUNTIF($B$6:$E$6, R$2)&gt;0, _xlfn.IFS(COUNTIF($B$6:$C$6, R$2)&gt;0, VLOOKUP($J28,'Gear Values'!$A$2:$E$13, IF(COUNTBLANK('Attributes &amp; Prefixes'!$B$6:$C$6)&gt;0, "2", "3"), 0), COUNTIF($D$6:$E$6, R$2)&gt;0, VLOOKUP($J28,'Gear Values'!$A$2:$E$13, IF(COUNTBLANK('Attributes &amp; Prefixes'!$B$6:$C$6)&gt;0, "4", "5"), 0)), "")</f>
        <v>171</v>
      </c>
      <c r="S28" s="138" t="str" cm="1">
        <f t="array" ref="S28">IF(COUNTIF($B$6:$E$6, S$2)&gt;0, _xlfn.IFS(COUNTIF($B$6:$C$6, S$2)&gt;0, VLOOKUP($J28,'Gear Values'!$A$2:$E$13, IF(COUNTBLANK('Attributes &amp; Prefixes'!$B$6:$C$6)&gt;0, "2", "3"), 0), COUNTIF($D$6:$E$6, S$2)&gt;0, VLOOKUP($J28,'Gear Values'!$A$2:$E$13, IF(COUNTBLANK('Attributes &amp; Prefixes'!$B$6:$C$6)&gt;0, "4", "5"), 0)), "")</f>
        <v/>
      </c>
      <c r="V28" s="112"/>
      <c r="W28" s="113"/>
    </row>
    <row r="29" spans="1:23">
      <c r="A29" s="128" t="s">
        <v>46</v>
      </c>
      <c r="B29" s="121" t="s">
        <v>6</v>
      </c>
      <c r="C29" s="122" t="s">
        <v>7</v>
      </c>
      <c r="D29" s="122" t="s">
        <v>9</v>
      </c>
      <c r="E29" s="122" t="s">
        <v>13</v>
      </c>
      <c r="F29" s="448" t="str">
        <f>IF(OR(COUNTBLANK(AttributeFilter) = 1,AttributeFilter="(Select)"), A29, IF(COUNTIF(B29:E29, AttributeFilter)&gt;0, A29, ""))</f>
        <v>Marauder</v>
      </c>
      <c r="G29" s="111"/>
      <c r="H29" s="130" t="str">
        <f>_xlfn.CONCAT(I$27,J29)</f>
        <v>AssassinHead</v>
      </c>
      <c r="I29" s="520"/>
      <c r="J29" s="144" t="s">
        <v>40</v>
      </c>
      <c r="K29" s="136" cm="1">
        <f t="array" ref="K29">IF(COUNTIF($B$6:$E$6, K$2)&gt;0, _xlfn.IFS(COUNTIF($B$6:$C$6, K$2)&gt;0, VLOOKUP($J29,'Gear Values'!$A$2:$E$13, IF(COUNTBLANK('Attributes &amp; Prefixes'!$B$6:$C$6)&gt;0, "2", "3"), 0), COUNTIF($D$6:$E$6, K$2)&gt;0, VLOOKUP($J29,'Gear Values'!$A$2:$E$13, IF(COUNTBLANK('Attributes &amp; Prefixes'!$B$6:$C$6)&gt;0, "4", "5"), 0)), "")</f>
        <v>43</v>
      </c>
      <c r="L29" s="137" cm="1">
        <f t="array" ref="L29">IF(COUNTIF($B$6:$E$6, L$2)&gt;0, _xlfn.IFS(COUNTIF($B$6:$C$6, L$2)&gt;0, VLOOKUP($J29,'Gear Values'!$A$2:$E$13, IF(COUNTBLANK('Attributes &amp; Prefixes'!$B$6:$C$6)&gt;0, "2", "3"), 0), COUNTIF($D$6:$E$6, L$2)&gt;0, VLOOKUP($J29,'Gear Values'!$A$2:$E$13, IF(COUNTBLANK('Attributes &amp; Prefixes'!$B$6:$C$6)&gt;0, "4", "5"), 0)), "")</f>
        <v>60</v>
      </c>
      <c r="M29" s="137" t="str" cm="1">
        <f t="array" ref="M29">IF(COUNTIF($B$6:$E$6, M$2)&gt;0, _xlfn.IFS(COUNTIF($B$6:$C$6, M$2)&gt;0, VLOOKUP($J29,'Gear Values'!$A$2:$E$13, IF(COUNTBLANK('Attributes &amp; Prefixes'!$B$6:$C$6)&gt;0, "2", "3"), 0), COUNTIF($D$6:$E$6, M$2)&gt;0, VLOOKUP($J29,'Gear Values'!$A$2:$E$13, IF(COUNTBLANK('Attributes &amp; Prefixes'!$B$6:$C$6)&gt;0, "4", "5"), 0)), "")</f>
        <v/>
      </c>
      <c r="N29" s="137" t="str" cm="1">
        <f t="array" ref="N29">IF(COUNTIF($B$6:$E$6, N$2)&gt;0, _xlfn.IFS(COUNTIF($B$6:$C$6, N$2)&gt;0, VLOOKUP($J29,'Gear Values'!$A$2:$E$13, IF(COUNTBLANK('Attributes &amp; Prefixes'!$B$6:$C$6)&gt;0, "2", "3"), 0), COUNTIF($D$6:$E$6, N$2)&gt;0, VLOOKUP($J29,'Gear Values'!$A$2:$E$13, IF(COUNTBLANK('Attributes &amp; Prefixes'!$B$6:$C$6)&gt;0, "4", "5"), 0)), "")</f>
        <v/>
      </c>
      <c r="O29" s="137" t="str" cm="1">
        <f t="array" ref="O29">IF(COUNTIF($B$6:$E$6, O$2)&gt;0, _xlfn.IFS(COUNTIF($B$6:$C$6, O$2)&gt;0, VLOOKUP($J29,'Gear Values'!$A$2:$E$13, IF(COUNTBLANK('Attributes &amp; Prefixes'!$B$6:$C$6)&gt;0, "2", "3"), 0), COUNTIF($D$6:$E$6, O$2)&gt;0, VLOOKUP($J29,'Gear Values'!$A$2:$E$13, IF(COUNTBLANK('Attributes &amp; Prefixes'!$B$6:$C$6)&gt;0, "4", "5"), 0)), "")</f>
        <v/>
      </c>
      <c r="P29" s="137" t="str" cm="1">
        <f t="array" ref="P29">IF(COUNTIF($B$6:$E$6, P$2)&gt;0, _xlfn.IFS(COUNTIF($B$6:$C$6, P$2)&gt;0, VLOOKUP($J29,'Gear Values'!$A$2:$E$13, IF(COUNTBLANK('Attributes &amp; Prefixes'!$B$6:$C$6)&gt;0, "2", "3"), 0), COUNTIF($D$6:$E$6, P$2)&gt;0, VLOOKUP($J29,'Gear Values'!$A$2:$E$13, IF(COUNTBLANK('Attributes &amp; Prefixes'!$B$6:$C$6)&gt;0, "4", "5"), 0)), "")</f>
        <v/>
      </c>
      <c r="Q29" s="137" t="str" cm="1">
        <f t="array" ref="Q29">IF(COUNTIF($B$6:$E$6, Q$2)&gt;0, _xlfn.IFS(COUNTIF($B$6:$C$6, Q$2)&gt;0, VLOOKUP($J29,'Gear Values'!$A$2:$E$13, IF(COUNTBLANK('Attributes &amp; Prefixes'!$B$6:$C$6)&gt;0, "2", "3"), 0), COUNTIF($D$6:$E$6, Q$2)&gt;0, VLOOKUP($J29,'Gear Values'!$A$2:$E$13, IF(COUNTBLANK('Attributes &amp; Prefixes'!$B$6:$C$6)&gt;0, "4", "5"), 0)), "")</f>
        <v/>
      </c>
      <c r="R29" s="137" cm="1">
        <f t="array" ref="R29">IF(COUNTIF($B$6:$E$6, R$2)&gt;0, _xlfn.IFS(COUNTIF($B$6:$C$6, R$2)&gt;0, VLOOKUP($J29,'Gear Values'!$A$2:$E$13, IF(COUNTBLANK('Attributes &amp; Prefixes'!$B$6:$C$6)&gt;0, "2", "3"), 0), COUNTIF($D$6:$E$6, R$2)&gt;0, VLOOKUP($J29,'Gear Values'!$A$2:$E$13, IF(COUNTBLANK('Attributes &amp; Prefixes'!$B$6:$C$6)&gt;0, "4", "5"), 0)), "")</f>
        <v>43</v>
      </c>
      <c r="S29" s="138" t="str" cm="1">
        <f t="array" ref="S29">IF(COUNTIF($B$6:$E$6, S$2)&gt;0, _xlfn.IFS(COUNTIF($B$6:$C$6, S$2)&gt;0, VLOOKUP($J29,'Gear Values'!$A$2:$E$13, IF(COUNTBLANK('Attributes &amp; Prefixes'!$B$6:$C$6)&gt;0, "2", "3"), 0), COUNTIF($D$6:$E$6, S$2)&gt;0, VLOOKUP($J29,'Gear Values'!$A$2:$E$13, IF(COUNTBLANK('Attributes &amp; Prefixes'!$B$6:$C$6)&gt;0, "4", "5"), 0)), "")</f>
        <v/>
      </c>
      <c r="V29" s="112"/>
      <c r="W29" s="113"/>
    </row>
    <row r="30" spans="1:23">
      <c r="A30" s="128" t="s">
        <v>2455</v>
      </c>
      <c r="B30" s="121" t="s">
        <v>6</v>
      </c>
      <c r="C30" s="122" t="s">
        <v>14</v>
      </c>
      <c r="D30" s="122" t="s">
        <v>7</v>
      </c>
      <c r="E30" s="122" t="s">
        <v>11</v>
      </c>
      <c r="F30" s="448" t="str">
        <f>IF(OR(COUNTBLANK(AttributeFilter) = 1,AttributeFilter="(Select)"), A30, IF(COUNTIF(B30:E30, AttributeFilter)&gt;0, A30, ""))</f>
        <v>Marshal</v>
      </c>
      <c r="G30" s="111"/>
      <c r="H30" s="130" t="str">
        <f>_xlfn.CONCAT(I$27,J30)</f>
        <v>AssassinShoulders</v>
      </c>
      <c r="I30" s="520"/>
      <c r="J30" s="144" t="s">
        <v>42</v>
      </c>
      <c r="K30" s="136" cm="1">
        <f t="array" ref="K30">IF(COUNTIF($B$6:$E$6, K$2)&gt;0, _xlfn.IFS(COUNTIF($B$6:$C$6, K$2)&gt;0, VLOOKUP($J30,'Gear Values'!$A$2:$E$13, IF(COUNTBLANK('Attributes &amp; Prefixes'!$B$6:$C$6)&gt;0, "2", "3"), 0), COUNTIF($D$6:$E$6, K$2)&gt;0, VLOOKUP($J30,'Gear Values'!$A$2:$E$13, IF(COUNTBLANK('Attributes &amp; Prefixes'!$B$6:$C$6)&gt;0, "4", "5"), 0)), "")</f>
        <v>32</v>
      </c>
      <c r="L30" s="137" cm="1">
        <f t="array" ref="L30">IF(COUNTIF($B$6:$E$6, L$2)&gt;0, _xlfn.IFS(COUNTIF($B$6:$C$6, L$2)&gt;0, VLOOKUP($J30,'Gear Values'!$A$2:$E$13, IF(COUNTBLANK('Attributes &amp; Prefixes'!$B$6:$C$6)&gt;0, "2", "3"), 0), COUNTIF($D$6:$E$6, L$2)&gt;0, VLOOKUP($J30,'Gear Values'!$A$2:$E$13, IF(COUNTBLANK('Attributes &amp; Prefixes'!$B$6:$C$6)&gt;0, "4", "5"), 0)), "")</f>
        <v>45</v>
      </c>
      <c r="M30" s="137" t="str" cm="1">
        <f t="array" ref="M30">IF(COUNTIF($B$6:$E$6, M$2)&gt;0, _xlfn.IFS(COUNTIF($B$6:$C$6, M$2)&gt;0, VLOOKUP($J30,'Gear Values'!$A$2:$E$13, IF(COUNTBLANK('Attributes &amp; Prefixes'!$B$6:$C$6)&gt;0, "2", "3"), 0), COUNTIF($D$6:$E$6, M$2)&gt;0, VLOOKUP($J30,'Gear Values'!$A$2:$E$13, IF(COUNTBLANK('Attributes &amp; Prefixes'!$B$6:$C$6)&gt;0, "4", "5"), 0)), "")</f>
        <v/>
      </c>
      <c r="N30" s="137" t="str" cm="1">
        <f t="array" ref="N30">IF(COUNTIF($B$6:$E$6, N$2)&gt;0, _xlfn.IFS(COUNTIF($B$6:$C$6, N$2)&gt;0, VLOOKUP($J30,'Gear Values'!$A$2:$E$13, IF(COUNTBLANK('Attributes &amp; Prefixes'!$B$6:$C$6)&gt;0, "2", "3"), 0), COUNTIF($D$6:$E$6, N$2)&gt;0, VLOOKUP($J30,'Gear Values'!$A$2:$E$13, IF(COUNTBLANK('Attributes &amp; Prefixes'!$B$6:$C$6)&gt;0, "4", "5"), 0)), "")</f>
        <v/>
      </c>
      <c r="O30" s="137" t="str" cm="1">
        <f t="array" ref="O30">IF(COUNTIF($B$6:$E$6, O$2)&gt;0, _xlfn.IFS(COUNTIF($B$6:$C$6, O$2)&gt;0, VLOOKUP($J30,'Gear Values'!$A$2:$E$13, IF(COUNTBLANK('Attributes &amp; Prefixes'!$B$6:$C$6)&gt;0, "2", "3"), 0), COUNTIF($D$6:$E$6, O$2)&gt;0, VLOOKUP($J30,'Gear Values'!$A$2:$E$13, IF(COUNTBLANK('Attributes &amp; Prefixes'!$B$6:$C$6)&gt;0, "4", "5"), 0)), "")</f>
        <v/>
      </c>
      <c r="P30" s="137" t="str" cm="1">
        <f t="array" ref="P30">IF(COUNTIF($B$6:$E$6, P$2)&gt;0, _xlfn.IFS(COUNTIF($B$6:$C$6, P$2)&gt;0, VLOOKUP($J30,'Gear Values'!$A$2:$E$13, IF(COUNTBLANK('Attributes &amp; Prefixes'!$B$6:$C$6)&gt;0, "2", "3"), 0), COUNTIF($D$6:$E$6, P$2)&gt;0, VLOOKUP($J30,'Gear Values'!$A$2:$E$13, IF(COUNTBLANK('Attributes &amp; Prefixes'!$B$6:$C$6)&gt;0, "4", "5"), 0)), "")</f>
        <v/>
      </c>
      <c r="Q30" s="137" t="str" cm="1">
        <f t="array" ref="Q30">IF(COUNTIF($B$6:$E$6, Q$2)&gt;0, _xlfn.IFS(COUNTIF($B$6:$C$6, Q$2)&gt;0, VLOOKUP($J30,'Gear Values'!$A$2:$E$13, IF(COUNTBLANK('Attributes &amp; Prefixes'!$B$6:$C$6)&gt;0, "2", "3"), 0), COUNTIF($D$6:$E$6, Q$2)&gt;0, VLOOKUP($J30,'Gear Values'!$A$2:$E$13, IF(COUNTBLANK('Attributes &amp; Prefixes'!$B$6:$C$6)&gt;0, "4", "5"), 0)), "")</f>
        <v/>
      </c>
      <c r="R30" s="137" cm="1">
        <f t="array" ref="R30">IF(COUNTIF($B$6:$E$6, R$2)&gt;0, _xlfn.IFS(COUNTIF($B$6:$C$6, R$2)&gt;0, VLOOKUP($J30,'Gear Values'!$A$2:$E$13, IF(COUNTBLANK('Attributes &amp; Prefixes'!$B$6:$C$6)&gt;0, "2", "3"), 0), COUNTIF($D$6:$E$6, R$2)&gt;0, VLOOKUP($J30,'Gear Values'!$A$2:$E$13, IF(COUNTBLANK('Attributes &amp; Prefixes'!$B$6:$C$6)&gt;0, "4", "5"), 0)), "")</f>
        <v>32</v>
      </c>
      <c r="S30" s="138" t="str" cm="1">
        <f t="array" ref="S30">IF(COUNTIF($B$6:$E$6, S$2)&gt;0, _xlfn.IFS(COUNTIF($B$6:$C$6, S$2)&gt;0, VLOOKUP($J30,'Gear Values'!$A$2:$E$13, IF(COUNTBLANK('Attributes &amp; Prefixes'!$B$6:$C$6)&gt;0, "2", "3"), 0), COUNTIF($D$6:$E$6, S$2)&gt;0, VLOOKUP($J30,'Gear Values'!$A$2:$E$13, IF(COUNTBLANK('Attributes &amp; Prefixes'!$B$6:$C$6)&gt;0, "4", "5"), 0)), "")</f>
        <v/>
      </c>
      <c r="V30" s="112"/>
      <c r="W30" s="113"/>
    </row>
    <row r="31" spans="1:23">
      <c r="A31" s="128" t="s">
        <v>2456</v>
      </c>
      <c r="B31" s="121" t="s">
        <v>8</v>
      </c>
      <c r="C31" s="122" t="s">
        <v>14</v>
      </c>
      <c r="D31" s="122" t="s">
        <v>9</v>
      </c>
      <c r="E31" s="122" t="s">
        <v>10</v>
      </c>
      <c r="F31" s="448" t="str">
        <f>IF(OR(COUNTBLANK(AttributeFilter) = 1,AttributeFilter="(Select)"), A31, IF(COUNTIF(B31:E31, AttributeFilter)&gt;0, A31, ""))</f>
        <v>Minstrel</v>
      </c>
      <c r="G31" s="111"/>
      <c r="H31" s="130" t="str">
        <f>_xlfn.CONCAT(I$27,J31)</f>
        <v>AssassinChest</v>
      </c>
      <c r="I31" s="520"/>
      <c r="J31" s="144" t="s">
        <v>44</v>
      </c>
      <c r="K31" s="136" cm="1">
        <f t="array" ref="K31">IF(COUNTIF($B$6:$E$6, K$2)&gt;0, _xlfn.IFS(COUNTIF($B$6:$C$6, K$2)&gt;0, VLOOKUP($J31,'Gear Values'!$A$2:$E$13, IF(COUNTBLANK('Attributes &amp; Prefixes'!$B$6:$C$6)&gt;0, "2", "3"), 0), COUNTIF($D$6:$E$6, K$2)&gt;0, VLOOKUP($J31,'Gear Values'!$A$2:$E$13, IF(COUNTBLANK('Attributes &amp; Prefixes'!$B$6:$C$6)&gt;0, "4", "5"), 0)), "")</f>
        <v>96</v>
      </c>
      <c r="L31" s="137" cm="1">
        <f t="array" ref="L31">IF(COUNTIF($B$6:$E$6, L$2)&gt;0, _xlfn.IFS(COUNTIF($B$6:$C$6, L$2)&gt;0, VLOOKUP($J31,'Gear Values'!$A$2:$E$13, IF(COUNTBLANK('Attributes &amp; Prefixes'!$B$6:$C$6)&gt;0, "2", "3"), 0), COUNTIF($D$6:$E$6, L$2)&gt;0, VLOOKUP($J31,'Gear Values'!$A$2:$E$13, IF(COUNTBLANK('Attributes &amp; Prefixes'!$B$6:$C$6)&gt;0, "4", "5"), 0)), "")</f>
        <v>134</v>
      </c>
      <c r="M31" s="137" t="str" cm="1">
        <f t="array" ref="M31">IF(COUNTIF($B$6:$E$6, M$2)&gt;0, _xlfn.IFS(COUNTIF($B$6:$C$6, M$2)&gt;0, VLOOKUP($J31,'Gear Values'!$A$2:$E$13, IF(COUNTBLANK('Attributes &amp; Prefixes'!$B$6:$C$6)&gt;0, "2", "3"), 0), COUNTIF($D$6:$E$6, M$2)&gt;0, VLOOKUP($J31,'Gear Values'!$A$2:$E$13, IF(COUNTBLANK('Attributes &amp; Prefixes'!$B$6:$C$6)&gt;0, "4", "5"), 0)), "")</f>
        <v/>
      </c>
      <c r="N31" s="137" t="str" cm="1">
        <f t="array" ref="N31">IF(COUNTIF($B$6:$E$6, N$2)&gt;0, _xlfn.IFS(COUNTIF($B$6:$C$6, N$2)&gt;0, VLOOKUP($J31,'Gear Values'!$A$2:$E$13, IF(COUNTBLANK('Attributes &amp; Prefixes'!$B$6:$C$6)&gt;0, "2", "3"), 0), COUNTIF($D$6:$E$6, N$2)&gt;0, VLOOKUP($J31,'Gear Values'!$A$2:$E$13, IF(COUNTBLANK('Attributes &amp; Prefixes'!$B$6:$C$6)&gt;0, "4", "5"), 0)), "")</f>
        <v/>
      </c>
      <c r="O31" s="137" t="str" cm="1">
        <f t="array" ref="O31">IF(COUNTIF($B$6:$E$6, O$2)&gt;0, _xlfn.IFS(COUNTIF($B$6:$C$6, O$2)&gt;0, VLOOKUP($J31,'Gear Values'!$A$2:$E$13, IF(COUNTBLANK('Attributes &amp; Prefixes'!$B$6:$C$6)&gt;0, "2", "3"), 0), COUNTIF($D$6:$E$6, O$2)&gt;0, VLOOKUP($J31,'Gear Values'!$A$2:$E$13, IF(COUNTBLANK('Attributes &amp; Prefixes'!$B$6:$C$6)&gt;0, "4", "5"), 0)), "")</f>
        <v/>
      </c>
      <c r="P31" s="137" t="str" cm="1">
        <f t="array" ref="P31">IF(COUNTIF($B$6:$E$6, P$2)&gt;0, _xlfn.IFS(COUNTIF($B$6:$C$6, P$2)&gt;0, VLOOKUP($J31,'Gear Values'!$A$2:$E$13, IF(COUNTBLANK('Attributes &amp; Prefixes'!$B$6:$C$6)&gt;0, "2", "3"), 0), COUNTIF($D$6:$E$6, P$2)&gt;0, VLOOKUP($J31,'Gear Values'!$A$2:$E$13, IF(COUNTBLANK('Attributes &amp; Prefixes'!$B$6:$C$6)&gt;0, "4", "5"), 0)), "")</f>
        <v/>
      </c>
      <c r="Q31" s="137" t="str" cm="1">
        <f t="array" ref="Q31">IF(COUNTIF($B$6:$E$6, Q$2)&gt;0, _xlfn.IFS(COUNTIF($B$6:$C$6, Q$2)&gt;0, VLOOKUP($J31,'Gear Values'!$A$2:$E$13, IF(COUNTBLANK('Attributes &amp; Prefixes'!$B$6:$C$6)&gt;0, "2", "3"), 0), COUNTIF($D$6:$E$6, Q$2)&gt;0, VLOOKUP($J31,'Gear Values'!$A$2:$E$13, IF(COUNTBLANK('Attributes &amp; Prefixes'!$B$6:$C$6)&gt;0, "4", "5"), 0)), "")</f>
        <v/>
      </c>
      <c r="R31" s="137" cm="1">
        <f t="array" ref="R31">IF(COUNTIF($B$6:$E$6, R$2)&gt;0, _xlfn.IFS(COUNTIF($B$6:$C$6, R$2)&gt;0, VLOOKUP($J31,'Gear Values'!$A$2:$E$13, IF(COUNTBLANK('Attributes &amp; Prefixes'!$B$6:$C$6)&gt;0, "2", "3"), 0), COUNTIF($D$6:$E$6, R$2)&gt;0, VLOOKUP($J31,'Gear Values'!$A$2:$E$13, IF(COUNTBLANK('Attributes &amp; Prefixes'!$B$6:$C$6)&gt;0, "4", "5"), 0)), "")</f>
        <v>96</v>
      </c>
      <c r="S31" s="138" t="str" cm="1">
        <f t="array" ref="S31">IF(COUNTIF($B$6:$E$6, S$2)&gt;0, _xlfn.IFS(COUNTIF($B$6:$C$6, S$2)&gt;0, VLOOKUP($J31,'Gear Values'!$A$2:$E$13, IF(COUNTBLANK('Attributes &amp; Prefixes'!$B$6:$C$6)&gt;0, "2", "3"), 0), COUNTIF($D$6:$E$6, S$2)&gt;0, VLOOKUP($J31,'Gear Values'!$A$2:$E$13, IF(COUNTBLANK('Attributes &amp; Prefixes'!$B$6:$C$6)&gt;0, "4", "5"), 0)), "")</f>
        <v/>
      </c>
      <c r="V31" s="112"/>
      <c r="W31" s="113"/>
    </row>
    <row r="32" spans="1:23">
      <c r="A32" s="128" t="s">
        <v>2457</v>
      </c>
      <c r="B32" s="121" t="s">
        <v>8</v>
      </c>
      <c r="C32" s="122"/>
      <c r="D32" s="122" t="s">
        <v>14</v>
      </c>
      <c r="E32" s="122" t="s">
        <v>9</v>
      </c>
      <c r="F32" s="448" t="str">
        <f>IF(OR(COUNTBLANK(AttributeFilter) = 1,AttributeFilter="(Select)"), A32, IF(COUNTIF(B32:E32, AttributeFilter)&gt;0, A32, ""))</f>
        <v>Nomad</v>
      </c>
      <c r="G32" s="111"/>
      <c r="H32" s="130" t="str">
        <f>_xlfn.CONCAT(I$27,J32)</f>
        <v>AssassinHands</v>
      </c>
      <c r="I32" s="520"/>
      <c r="J32" s="144" t="s">
        <v>45</v>
      </c>
      <c r="K32" s="136" cm="1">
        <f t="array" ref="K32">IF(COUNTIF($B$6:$E$6, K$2)&gt;0, _xlfn.IFS(COUNTIF($B$6:$C$6, K$2)&gt;0, VLOOKUP($J32,'Gear Values'!$A$2:$E$13, IF(COUNTBLANK('Attributes &amp; Prefixes'!$B$6:$C$6)&gt;0, "2", "3"), 0), COUNTIF($D$6:$E$6, K$2)&gt;0, VLOOKUP($J32,'Gear Values'!$A$2:$E$13, IF(COUNTBLANK('Attributes &amp; Prefixes'!$B$6:$C$6)&gt;0, "4", "5"), 0)), "")</f>
        <v>32</v>
      </c>
      <c r="L32" s="137" cm="1">
        <f t="array" ref="L32">IF(COUNTIF($B$6:$E$6, L$2)&gt;0, _xlfn.IFS(COUNTIF($B$6:$C$6, L$2)&gt;0, VLOOKUP($J32,'Gear Values'!$A$2:$E$13, IF(COUNTBLANK('Attributes &amp; Prefixes'!$B$6:$C$6)&gt;0, "2", "3"), 0), COUNTIF($D$6:$E$6, L$2)&gt;0, VLOOKUP($J32,'Gear Values'!$A$2:$E$13, IF(COUNTBLANK('Attributes &amp; Prefixes'!$B$6:$C$6)&gt;0, "4", "5"), 0)), "")</f>
        <v>45</v>
      </c>
      <c r="M32" s="137" t="str" cm="1">
        <f t="array" ref="M32">IF(COUNTIF($B$6:$E$6, M$2)&gt;0, _xlfn.IFS(COUNTIF($B$6:$C$6, M$2)&gt;0, VLOOKUP($J32,'Gear Values'!$A$2:$E$13, IF(COUNTBLANK('Attributes &amp; Prefixes'!$B$6:$C$6)&gt;0, "2", "3"), 0), COUNTIF($D$6:$E$6, M$2)&gt;0, VLOOKUP($J32,'Gear Values'!$A$2:$E$13, IF(COUNTBLANK('Attributes &amp; Prefixes'!$B$6:$C$6)&gt;0, "4", "5"), 0)), "")</f>
        <v/>
      </c>
      <c r="N32" s="137" t="str" cm="1">
        <f t="array" ref="N32">IF(COUNTIF($B$6:$E$6, N$2)&gt;0, _xlfn.IFS(COUNTIF($B$6:$C$6, N$2)&gt;0, VLOOKUP($J32,'Gear Values'!$A$2:$E$13, IF(COUNTBLANK('Attributes &amp; Prefixes'!$B$6:$C$6)&gt;0, "2", "3"), 0), COUNTIF($D$6:$E$6, N$2)&gt;0, VLOOKUP($J32,'Gear Values'!$A$2:$E$13, IF(COUNTBLANK('Attributes &amp; Prefixes'!$B$6:$C$6)&gt;0, "4", "5"), 0)), "")</f>
        <v/>
      </c>
      <c r="O32" s="137" t="str" cm="1">
        <f t="array" ref="O32">IF(COUNTIF($B$6:$E$6, O$2)&gt;0, _xlfn.IFS(COUNTIF($B$6:$C$6, O$2)&gt;0, VLOOKUP($J32,'Gear Values'!$A$2:$E$13, IF(COUNTBLANK('Attributes &amp; Prefixes'!$B$6:$C$6)&gt;0, "2", "3"), 0), COUNTIF($D$6:$E$6, O$2)&gt;0, VLOOKUP($J32,'Gear Values'!$A$2:$E$13, IF(COUNTBLANK('Attributes &amp; Prefixes'!$B$6:$C$6)&gt;0, "4", "5"), 0)), "")</f>
        <v/>
      </c>
      <c r="P32" s="137" t="str" cm="1">
        <f t="array" ref="P32">IF(COUNTIF($B$6:$E$6, P$2)&gt;0, _xlfn.IFS(COUNTIF($B$6:$C$6, P$2)&gt;0, VLOOKUP($J32,'Gear Values'!$A$2:$E$13, IF(COUNTBLANK('Attributes &amp; Prefixes'!$B$6:$C$6)&gt;0, "2", "3"), 0), COUNTIF($D$6:$E$6, P$2)&gt;0, VLOOKUP($J32,'Gear Values'!$A$2:$E$13, IF(COUNTBLANK('Attributes &amp; Prefixes'!$B$6:$C$6)&gt;0, "4", "5"), 0)), "")</f>
        <v/>
      </c>
      <c r="Q32" s="137" t="str" cm="1">
        <f t="array" ref="Q32">IF(COUNTIF($B$6:$E$6, Q$2)&gt;0, _xlfn.IFS(COUNTIF($B$6:$C$6, Q$2)&gt;0, VLOOKUP($J32,'Gear Values'!$A$2:$E$13, IF(COUNTBLANK('Attributes &amp; Prefixes'!$B$6:$C$6)&gt;0, "2", "3"), 0), COUNTIF($D$6:$E$6, Q$2)&gt;0, VLOOKUP($J32,'Gear Values'!$A$2:$E$13, IF(COUNTBLANK('Attributes &amp; Prefixes'!$B$6:$C$6)&gt;0, "4", "5"), 0)), "")</f>
        <v/>
      </c>
      <c r="R32" s="137" cm="1">
        <f t="array" ref="R32">IF(COUNTIF($B$6:$E$6, R$2)&gt;0, _xlfn.IFS(COUNTIF($B$6:$C$6, R$2)&gt;0, VLOOKUP($J32,'Gear Values'!$A$2:$E$13, IF(COUNTBLANK('Attributes &amp; Prefixes'!$B$6:$C$6)&gt;0, "2", "3"), 0), COUNTIF($D$6:$E$6, R$2)&gt;0, VLOOKUP($J32,'Gear Values'!$A$2:$E$13, IF(COUNTBLANK('Attributes &amp; Prefixes'!$B$6:$C$6)&gt;0, "4", "5"), 0)), "")</f>
        <v>32</v>
      </c>
      <c r="S32" s="138" t="str" cm="1">
        <f t="array" ref="S32">IF(COUNTIF($B$6:$E$6, S$2)&gt;0, _xlfn.IFS(COUNTIF($B$6:$C$6, S$2)&gt;0, VLOOKUP($J32,'Gear Values'!$A$2:$E$13, IF(COUNTBLANK('Attributes &amp; Prefixes'!$B$6:$C$6)&gt;0, "2", "3"), 0), COUNTIF($D$6:$E$6, S$2)&gt;0, VLOOKUP($J32,'Gear Values'!$A$2:$E$13, IF(COUNTBLANK('Attributes &amp; Prefixes'!$B$6:$C$6)&gt;0, "4", "5"), 0)), "")</f>
        <v/>
      </c>
      <c r="V32" s="112"/>
      <c r="W32" s="113"/>
    </row>
    <row r="33" spans="1:23">
      <c r="A33" s="128" t="s">
        <v>2458</v>
      </c>
      <c r="B33" s="121" t="s">
        <v>6</v>
      </c>
      <c r="C33" s="122" t="s">
        <v>7</v>
      </c>
      <c r="D33" s="122" t="s">
        <v>8</v>
      </c>
      <c r="E33" s="122" t="s">
        <v>9</v>
      </c>
      <c r="F33" s="448" t="str">
        <f>IF(OR(COUNTBLANK(AttributeFilter) = 1,AttributeFilter="(Select)"), A33, IF(COUNTIF(B33:E33, AttributeFilter)&gt;0, A33, ""))</f>
        <v>Paladin</v>
      </c>
      <c r="G33" s="111"/>
      <c r="H33" s="130" t="str">
        <f>_xlfn.CONCAT(I$27,J33)</f>
        <v>AssassinLegs</v>
      </c>
      <c r="I33" s="520"/>
      <c r="J33" s="144" t="s">
        <v>47</v>
      </c>
      <c r="K33" s="136" cm="1">
        <f t="array" ref="K33">IF(COUNTIF($B$6:$E$6, K$2)&gt;0, _xlfn.IFS(COUNTIF($B$6:$C$6, K$2)&gt;0, VLOOKUP($J33,'Gear Values'!$A$2:$E$13, IF(COUNTBLANK('Attributes &amp; Prefixes'!$B$6:$C$6)&gt;0, "2", "3"), 0), COUNTIF($D$6:$E$6, K$2)&gt;0, VLOOKUP($J33,'Gear Values'!$A$2:$E$13, IF(COUNTBLANK('Attributes &amp; Prefixes'!$B$6:$C$6)&gt;0, "4", "5"), 0)), "")</f>
        <v>64</v>
      </c>
      <c r="L33" s="137" cm="1">
        <f t="array" ref="L33">IF(COUNTIF($B$6:$E$6, L$2)&gt;0, _xlfn.IFS(COUNTIF($B$6:$C$6, L$2)&gt;0, VLOOKUP($J33,'Gear Values'!$A$2:$E$13, IF(COUNTBLANK('Attributes &amp; Prefixes'!$B$6:$C$6)&gt;0, "2", "3"), 0), COUNTIF($D$6:$E$6, L$2)&gt;0, VLOOKUP($J33,'Gear Values'!$A$2:$E$13, IF(COUNTBLANK('Attributes &amp; Prefixes'!$B$6:$C$6)&gt;0, "4", "5"), 0)), "")</f>
        <v>90</v>
      </c>
      <c r="M33" s="137" t="str" cm="1">
        <f t="array" ref="M33">IF(COUNTIF($B$6:$E$6, M$2)&gt;0, _xlfn.IFS(COUNTIF($B$6:$C$6, M$2)&gt;0, VLOOKUP($J33,'Gear Values'!$A$2:$E$13, IF(COUNTBLANK('Attributes &amp; Prefixes'!$B$6:$C$6)&gt;0, "2", "3"), 0), COUNTIF($D$6:$E$6, M$2)&gt;0, VLOOKUP($J33,'Gear Values'!$A$2:$E$13, IF(COUNTBLANK('Attributes &amp; Prefixes'!$B$6:$C$6)&gt;0, "4", "5"), 0)), "")</f>
        <v/>
      </c>
      <c r="N33" s="137" t="str" cm="1">
        <f t="array" ref="N33">IF(COUNTIF($B$6:$E$6, N$2)&gt;0, _xlfn.IFS(COUNTIF($B$6:$C$6, N$2)&gt;0, VLOOKUP($J33,'Gear Values'!$A$2:$E$13, IF(COUNTBLANK('Attributes &amp; Prefixes'!$B$6:$C$6)&gt;0, "2", "3"), 0), COUNTIF($D$6:$E$6, N$2)&gt;0, VLOOKUP($J33,'Gear Values'!$A$2:$E$13, IF(COUNTBLANK('Attributes &amp; Prefixes'!$B$6:$C$6)&gt;0, "4", "5"), 0)), "")</f>
        <v/>
      </c>
      <c r="O33" s="137" t="str" cm="1">
        <f t="array" ref="O33">IF(COUNTIF($B$6:$E$6, O$2)&gt;0, _xlfn.IFS(COUNTIF($B$6:$C$6, O$2)&gt;0, VLOOKUP($J33,'Gear Values'!$A$2:$E$13, IF(COUNTBLANK('Attributes &amp; Prefixes'!$B$6:$C$6)&gt;0, "2", "3"), 0), COUNTIF($D$6:$E$6, O$2)&gt;0, VLOOKUP($J33,'Gear Values'!$A$2:$E$13, IF(COUNTBLANK('Attributes &amp; Prefixes'!$B$6:$C$6)&gt;0, "4", "5"), 0)), "")</f>
        <v/>
      </c>
      <c r="P33" s="137" t="str" cm="1">
        <f t="array" ref="P33">IF(COUNTIF($B$6:$E$6, P$2)&gt;0, _xlfn.IFS(COUNTIF($B$6:$C$6, P$2)&gt;0, VLOOKUP($J33,'Gear Values'!$A$2:$E$13, IF(COUNTBLANK('Attributes &amp; Prefixes'!$B$6:$C$6)&gt;0, "2", "3"), 0), COUNTIF($D$6:$E$6, P$2)&gt;0, VLOOKUP($J33,'Gear Values'!$A$2:$E$13, IF(COUNTBLANK('Attributes &amp; Prefixes'!$B$6:$C$6)&gt;0, "4", "5"), 0)), "")</f>
        <v/>
      </c>
      <c r="Q33" s="137" t="str" cm="1">
        <f t="array" ref="Q33">IF(COUNTIF($B$6:$E$6, Q$2)&gt;0, _xlfn.IFS(COUNTIF($B$6:$C$6, Q$2)&gt;0, VLOOKUP($J33,'Gear Values'!$A$2:$E$13, IF(COUNTBLANK('Attributes &amp; Prefixes'!$B$6:$C$6)&gt;0, "2", "3"), 0), COUNTIF($D$6:$E$6, Q$2)&gt;0, VLOOKUP($J33,'Gear Values'!$A$2:$E$13, IF(COUNTBLANK('Attributes &amp; Prefixes'!$B$6:$C$6)&gt;0, "4", "5"), 0)), "")</f>
        <v/>
      </c>
      <c r="R33" s="137" cm="1">
        <f t="array" ref="R33">IF(COUNTIF($B$6:$E$6, R$2)&gt;0, _xlfn.IFS(COUNTIF($B$6:$C$6, R$2)&gt;0, VLOOKUP($J33,'Gear Values'!$A$2:$E$13, IF(COUNTBLANK('Attributes &amp; Prefixes'!$B$6:$C$6)&gt;0, "2", "3"), 0), COUNTIF($D$6:$E$6, R$2)&gt;0, VLOOKUP($J33,'Gear Values'!$A$2:$E$13, IF(COUNTBLANK('Attributes &amp; Prefixes'!$B$6:$C$6)&gt;0, "4", "5"), 0)), "")</f>
        <v>64</v>
      </c>
      <c r="S33" s="138" t="str" cm="1">
        <f t="array" ref="S33">IF(COUNTIF($B$6:$E$6, S$2)&gt;0, _xlfn.IFS(COUNTIF($B$6:$C$6, S$2)&gt;0, VLOOKUP($J33,'Gear Values'!$A$2:$E$13, IF(COUNTBLANK('Attributes &amp; Prefixes'!$B$6:$C$6)&gt;0, "2", "3"), 0), COUNTIF($D$6:$E$6, S$2)&gt;0, VLOOKUP($J33,'Gear Values'!$A$2:$E$13, IF(COUNTBLANK('Attributes &amp; Prefixes'!$B$6:$C$6)&gt;0, "4", "5"), 0)), "")</f>
        <v/>
      </c>
      <c r="V33" s="112"/>
      <c r="W33" s="113"/>
    </row>
    <row r="34" spans="1:23">
      <c r="A34" s="128" t="s">
        <v>2459</v>
      </c>
      <c r="B34" s="121" t="s">
        <v>9</v>
      </c>
      <c r="C34" s="122" t="s">
        <v>11</v>
      </c>
      <c r="D34" s="122" t="s">
        <v>14</v>
      </c>
      <c r="E34" s="122" t="s">
        <v>10</v>
      </c>
      <c r="F34" s="448" t="str">
        <f>IF(OR(COUNTBLANK(AttributeFilter) = 1,AttributeFilter="(Select)"), A34, IF(COUNTIF(B34:E34, AttributeFilter)&gt;0, A34, ""))</f>
        <v>Plaguedoctor</v>
      </c>
      <c r="G34" s="111"/>
      <c r="H34" s="130" t="str">
        <f>_xlfn.CONCAT(I$27,J34)</f>
        <v>AssassinFeet</v>
      </c>
      <c r="I34" s="520"/>
      <c r="J34" s="144" t="s">
        <v>48</v>
      </c>
      <c r="K34" s="136" cm="1">
        <f t="array" ref="K34">IF(COUNTIF($B$6:$E$6, K$2)&gt;0, _xlfn.IFS(COUNTIF($B$6:$C$6, K$2)&gt;0, VLOOKUP($J34,'Gear Values'!$A$2:$E$13, IF(COUNTBLANK('Attributes &amp; Prefixes'!$B$6:$C$6)&gt;0, "2", "3"), 0), COUNTIF($D$6:$E$6, K$2)&gt;0, VLOOKUP($J34,'Gear Values'!$A$2:$E$13, IF(COUNTBLANK('Attributes &amp; Prefixes'!$B$6:$C$6)&gt;0, "4", "5"), 0)), "")</f>
        <v>32</v>
      </c>
      <c r="L34" s="137" cm="1">
        <f t="array" ref="L34">IF(COUNTIF($B$6:$E$6, L$2)&gt;0, _xlfn.IFS(COUNTIF($B$6:$C$6, L$2)&gt;0, VLOOKUP($J34,'Gear Values'!$A$2:$E$13, IF(COUNTBLANK('Attributes &amp; Prefixes'!$B$6:$C$6)&gt;0, "2", "3"), 0), COUNTIF($D$6:$E$6, L$2)&gt;0, VLOOKUP($J34,'Gear Values'!$A$2:$E$13, IF(COUNTBLANK('Attributes &amp; Prefixes'!$B$6:$C$6)&gt;0, "4", "5"), 0)), "")</f>
        <v>45</v>
      </c>
      <c r="M34" s="137" t="str" cm="1">
        <f t="array" ref="M34">IF(COUNTIF($B$6:$E$6, M$2)&gt;0, _xlfn.IFS(COUNTIF($B$6:$C$6, M$2)&gt;0, VLOOKUP($J34,'Gear Values'!$A$2:$E$13, IF(COUNTBLANK('Attributes &amp; Prefixes'!$B$6:$C$6)&gt;0, "2", "3"), 0), COUNTIF($D$6:$E$6, M$2)&gt;0, VLOOKUP($J34,'Gear Values'!$A$2:$E$13, IF(COUNTBLANK('Attributes &amp; Prefixes'!$B$6:$C$6)&gt;0, "4", "5"), 0)), "")</f>
        <v/>
      </c>
      <c r="N34" s="137" t="str" cm="1">
        <f t="array" ref="N34">IF(COUNTIF($B$6:$E$6, N$2)&gt;0, _xlfn.IFS(COUNTIF($B$6:$C$6, N$2)&gt;0, VLOOKUP($J34,'Gear Values'!$A$2:$E$13, IF(COUNTBLANK('Attributes &amp; Prefixes'!$B$6:$C$6)&gt;0, "2", "3"), 0), COUNTIF($D$6:$E$6, N$2)&gt;0, VLOOKUP($J34,'Gear Values'!$A$2:$E$13, IF(COUNTBLANK('Attributes &amp; Prefixes'!$B$6:$C$6)&gt;0, "4", "5"), 0)), "")</f>
        <v/>
      </c>
      <c r="O34" s="137" t="str" cm="1">
        <f t="array" ref="O34">IF(COUNTIF($B$6:$E$6, O$2)&gt;0, _xlfn.IFS(COUNTIF($B$6:$C$6, O$2)&gt;0, VLOOKUP($J34,'Gear Values'!$A$2:$E$13, IF(COUNTBLANK('Attributes &amp; Prefixes'!$B$6:$C$6)&gt;0, "2", "3"), 0), COUNTIF($D$6:$E$6, O$2)&gt;0, VLOOKUP($J34,'Gear Values'!$A$2:$E$13, IF(COUNTBLANK('Attributes &amp; Prefixes'!$B$6:$C$6)&gt;0, "4", "5"), 0)), "")</f>
        <v/>
      </c>
      <c r="P34" s="137" t="str" cm="1">
        <f t="array" ref="P34">IF(COUNTIF($B$6:$E$6, P$2)&gt;0, _xlfn.IFS(COUNTIF($B$6:$C$6, P$2)&gt;0, VLOOKUP($J34,'Gear Values'!$A$2:$E$13, IF(COUNTBLANK('Attributes &amp; Prefixes'!$B$6:$C$6)&gt;0, "2", "3"), 0), COUNTIF($D$6:$E$6, P$2)&gt;0, VLOOKUP($J34,'Gear Values'!$A$2:$E$13, IF(COUNTBLANK('Attributes &amp; Prefixes'!$B$6:$C$6)&gt;0, "4", "5"), 0)), "")</f>
        <v/>
      </c>
      <c r="Q34" s="137" t="str" cm="1">
        <f t="array" ref="Q34">IF(COUNTIF($B$6:$E$6, Q$2)&gt;0, _xlfn.IFS(COUNTIF($B$6:$C$6, Q$2)&gt;0, VLOOKUP($J34,'Gear Values'!$A$2:$E$13, IF(COUNTBLANK('Attributes &amp; Prefixes'!$B$6:$C$6)&gt;0, "2", "3"), 0), COUNTIF($D$6:$E$6, Q$2)&gt;0, VLOOKUP($J34,'Gear Values'!$A$2:$E$13, IF(COUNTBLANK('Attributes &amp; Prefixes'!$B$6:$C$6)&gt;0, "4", "5"), 0)), "")</f>
        <v/>
      </c>
      <c r="R34" s="137" cm="1">
        <f t="array" ref="R34">IF(COUNTIF($B$6:$E$6, R$2)&gt;0, _xlfn.IFS(COUNTIF($B$6:$C$6, R$2)&gt;0, VLOOKUP($J34,'Gear Values'!$A$2:$E$13, IF(COUNTBLANK('Attributes &amp; Prefixes'!$B$6:$C$6)&gt;0, "2", "3"), 0), COUNTIF($D$6:$E$6, R$2)&gt;0, VLOOKUP($J34,'Gear Values'!$A$2:$E$13, IF(COUNTBLANK('Attributes &amp; Prefixes'!$B$6:$C$6)&gt;0, "4", "5"), 0)), "")</f>
        <v>32</v>
      </c>
      <c r="S34" s="138" t="str" cm="1">
        <f t="array" ref="S34">IF(COUNTIF($B$6:$E$6, S$2)&gt;0, _xlfn.IFS(COUNTIF($B$6:$C$6, S$2)&gt;0, VLOOKUP($J34,'Gear Values'!$A$2:$E$13, IF(COUNTBLANK('Attributes &amp; Prefixes'!$B$6:$C$6)&gt;0, "2", "3"), 0), COUNTIF($D$6:$E$6, S$2)&gt;0, VLOOKUP($J34,'Gear Values'!$A$2:$E$13, IF(COUNTBLANK('Attributes &amp; Prefixes'!$B$6:$C$6)&gt;0, "4", "5"), 0)), "")</f>
        <v/>
      </c>
      <c r="V34" s="112"/>
      <c r="W34" s="113"/>
    </row>
    <row r="35" spans="1:23">
      <c r="A35" s="128" t="s">
        <v>2460</v>
      </c>
      <c r="B35" s="121" t="s">
        <v>11</v>
      </c>
      <c r="C35" s="122"/>
      <c r="D35" s="122" t="s">
        <v>7</v>
      </c>
      <c r="E35" s="122" t="s">
        <v>8</v>
      </c>
      <c r="F35" s="448" t="str">
        <f>IF(OR(COUNTBLANK(AttributeFilter) = 1,AttributeFilter="(Select)"), A35, IF(COUNTIF(B35:E35, AttributeFilter)&gt;0, A35, ""))</f>
        <v>Rabid</v>
      </c>
      <c r="G35" s="111"/>
      <c r="H35" s="130" t="str">
        <f>_xlfn.CONCAT(A$72,J35)</f>
        <v>OpalEar</v>
      </c>
      <c r="I35" s="520"/>
      <c r="J35" s="144" t="s">
        <v>49</v>
      </c>
      <c r="K35" s="136" cm="1">
        <f t="array" ref="K35">IF(COUNTIF($B$6:$E$6, K$2)&gt;0, _xlfn.IFS(COUNTIF($B$6:$C$6, K$2)&gt;0, VLOOKUP($J35,'Gear Values'!$A$2:$E$13, IF(COUNTBLANK('Attributes &amp; Prefixes'!$B$6:$C$6)&gt;0, "2", "3"), 0), COUNTIF($D$6:$E$6, K$2)&gt;0, VLOOKUP($J35,'Gear Values'!$A$2:$E$13, IF(COUNTBLANK('Attributes &amp; Prefixes'!$B$6:$C$6)&gt;0, "4", "5"), 0)), "")</f>
        <v>53</v>
      </c>
      <c r="L35" s="137" cm="1">
        <f t="array" ref="L35">IF(COUNTIF($B$6:$E$6, L$2)&gt;0, _xlfn.IFS(COUNTIF($B$6:$C$6, L$2)&gt;0, VLOOKUP($J35,'Gear Values'!$A$2:$E$13, IF(COUNTBLANK('Attributes &amp; Prefixes'!$B$6:$C$6)&gt;0, "2", "3"), 0), COUNTIF($D$6:$E$6, L$2)&gt;0, VLOOKUP($J35,'Gear Values'!$A$2:$E$13, IF(COUNTBLANK('Attributes &amp; Prefixes'!$B$6:$C$6)&gt;0, "4", "5"), 0)), "")</f>
        <v>75</v>
      </c>
      <c r="M35" s="137" t="str" cm="1">
        <f t="array" ref="M35">IF(COUNTIF($B$6:$E$6, M$2)&gt;0, _xlfn.IFS(COUNTIF($B$6:$C$6, M$2)&gt;0, VLOOKUP($J35,'Gear Values'!$A$2:$E$13, IF(COUNTBLANK('Attributes &amp; Prefixes'!$B$6:$C$6)&gt;0, "2", "3"), 0), COUNTIF($D$6:$E$6, M$2)&gt;0, VLOOKUP($J35,'Gear Values'!$A$2:$E$13, IF(COUNTBLANK('Attributes &amp; Prefixes'!$B$6:$C$6)&gt;0, "4", "5"), 0)), "")</f>
        <v/>
      </c>
      <c r="N35" s="137" t="str" cm="1">
        <f t="array" ref="N35">IF(COUNTIF($B$6:$E$6, N$2)&gt;0, _xlfn.IFS(COUNTIF($B$6:$C$6, N$2)&gt;0, VLOOKUP($J35,'Gear Values'!$A$2:$E$13, IF(COUNTBLANK('Attributes &amp; Prefixes'!$B$6:$C$6)&gt;0, "2", "3"), 0), COUNTIF($D$6:$E$6, N$2)&gt;0, VLOOKUP($J35,'Gear Values'!$A$2:$E$13, IF(COUNTBLANK('Attributes &amp; Prefixes'!$B$6:$C$6)&gt;0, "4", "5"), 0)), "")</f>
        <v/>
      </c>
      <c r="O35" s="137" t="str" cm="1">
        <f t="array" ref="O35">IF(COUNTIF($B$6:$E$6, O$2)&gt;0, _xlfn.IFS(COUNTIF($B$6:$C$6, O$2)&gt;0, VLOOKUP($J35,'Gear Values'!$A$2:$E$13, IF(COUNTBLANK('Attributes &amp; Prefixes'!$B$6:$C$6)&gt;0, "2", "3"), 0), COUNTIF($D$6:$E$6, O$2)&gt;0, VLOOKUP($J35,'Gear Values'!$A$2:$E$13, IF(COUNTBLANK('Attributes &amp; Prefixes'!$B$6:$C$6)&gt;0, "4", "5"), 0)), "")</f>
        <v/>
      </c>
      <c r="P35" s="137" t="str" cm="1">
        <f t="array" ref="P35">IF(COUNTIF($B$6:$E$6, P$2)&gt;0, _xlfn.IFS(COUNTIF($B$6:$C$6, P$2)&gt;0, VLOOKUP($J35,'Gear Values'!$A$2:$E$13, IF(COUNTBLANK('Attributes &amp; Prefixes'!$B$6:$C$6)&gt;0, "2", "3"), 0), COUNTIF($D$6:$E$6, P$2)&gt;0, VLOOKUP($J35,'Gear Values'!$A$2:$E$13, IF(COUNTBLANK('Attributes &amp; Prefixes'!$B$6:$C$6)&gt;0, "4", "5"), 0)), "")</f>
        <v/>
      </c>
      <c r="Q35" s="137" t="str" cm="1">
        <f t="array" ref="Q35">IF(COUNTIF($B$6:$E$6, Q$2)&gt;0, _xlfn.IFS(COUNTIF($B$6:$C$6, Q$2)&gt;0, VLOOKUP($J35,'Gear Values'!$A$2:$E$13, IF(COUNTBLANK('Attributes &amp; Prefixes'!$B$6:$C$6)&gt;0, "2", "3"), 0), COUNTIF($D$6:$E$6, Q$2)&gt;0, VLOOKUP($J35,'Gear Values'!$A$2:$E$13, IF(COUNTBLANK('Attributes &amp; Prefixes'!$B$6:$C$6)&gt;0, "4", "5"), 0)), "")</f>
        <v/>
      </c>
      <c r="R35" s="137" cm="1">
        <f t="array" ref="R35">IF(COUNTIF($B$6:$E$6, R$2)&gt;0, _xlfn.IFS(COUNTIF($B$6:$C$6, R$2)&gt;0, VLOOKUP($J35,'Gear Values'!$A$2:$E$13, IF(COUNTBLANK('Attributes &amp; Prefixes'!$B$6:$C$6)&gt;0, "2", "3"), 0), COUNTIF($D$6:$E$6, R$2)&gt;0, VLOOKUP($J35,'Gear Values'!$A$2:$E$13, IF(COUNTBLANK('Attributes &amp; Prefixes'!$B$6:$C$6)&gt;0, "4", "5"), 0)), "")</f>
        <v>53</v>
      </c>
      <c r="S35" s="138" t="str" cm="1">
        <f t="array" ref="S35">IF(COUNTIF($B$6:$E$6, S$2)&gt;0, _xlfn.IFS(COUNTIF($B$6:$C$6, S$2)&gt;0, VLOOKUP($J35,'Gear Values'!$A$2:$E$13, IF(COUNTBLANK('Attributes &amp; Prefixes'!$B$6:$C$6)&gt;0, "2", "3"), 0), COUNTIF($D$6:$E$6, S$2)&gt;0, VLOOKUP($J35,'Gear Values'!$A$2:$E$13, IF(COUNTBLANK('Attributes &amp; Prefixes'!$B$6:$C$6)&gt;0, "4", "5"), 0)), "")</f>
        <v/>
      </c>
      <c r="V35" s="112"/>
      <c r="W35" s="113"/>
    </row>
    <row r="36" spans="1:23">
      <c r="A36" s="128" t="s">
        <v>2461</v>
      </c>
      <c r="B36" s="121" t="s">
        <v>7</v>
      </c>
      <c r="C36" s="122"/>
      <c r="D36" s="122" t="s">
        <v>6</v>
      </c>
      <c r="E36" s="122" t="s">
        <v>11</v>
      </c>
      <c r="F36" s="448" t="str">
        <f>IF(OR(COUNTBLANK(AttributeFilter) = 1,AttributeFilter="(Select)"), A36, IF(COUNTIF(B36:E36, AttributeFilter)&gt;0, A36, ""))</f>
        <v>Rampager</v>
      </c>
      <c r="G36" s="111"/>
      <c r="H36" s="130" t="str">
        <f>_xlfn.CONCAT(A$72,J36)</f>
        <v>OpalFinger</v>
      </c>
      <c r="I36" s="520"/>
      <c r="J36" s="144" t="s">
        <v>51</v>
      </c>
      <c r="K36" s="136" cm="1">
        <f t="array" ref="K36">IF(COUNTIF($B$6:$E$6, K$2)&gt;0, _xlfn.IFS(COUNTIF($B$6:$C$6, K$2)&gt;0, VLOOKUP($J36,'Gear Values'!$A$2:$E$13, IF(COUNTBLANK('Attributes &amp; Prefixes'!$B$6:$C$6)&gt;0, "2", "3"), 0), COUNTIF($D$6:$E$6, K$2)&gt;0, VLOOKUP($J36,'Gear Values'!$A$2:$E$13, IF(COUNTBLANK('Attributes &amp; Prefixes'!$B$6:$C$6)&gt;0, "4", "5"), 0)), "")</f>
        <v>64</v>
      </c>
      <c r="L36" s="137" cm="1">
        <f t="array" ref="L36">IF(COUNTIF($B$6:$E$6, L$2)&gt;0, _xlfn.IFS(COUNTIF($B$6:$C$6, L$2)&gt;0, VLOOKUP($J36,'Gear Values'!$A$2:$E$13, IF(COUNTBLANK('Attributes &amp; Prefixes'!$B$6:$C$6)&gt;0, "2", "3"), 0), COUNTIF($D$6:$E$6, L$2)&gt;0, VLOOKUP($J36,'Gear Values'!$A$2:$E$13, IF(COUNTBLANK('Attributes &amp; Prefixes'!$B$6:$C$6)&gt;0, "4", "5"), 0)), "")</f>
        <v>90</v>
      </c>
      <c r="M36" s="137" t="str" cm="1">
        <f t="array" ref="M36">IF(COUNTIF($B$6:$E$6, M$2)&gt;0, _xlfn.IFS(COUNTIF($B$6:$C$6, M$2)&gt;0, VLOOKUP($J36,'Gear Values'!$A$2:$E$13, IF(COUNTBLANK('Attributes &amp; Prefixes'!$B$6:$C$6)&gt;0, "2", "3"), 0), COUNTIF($D$6:$E$6, M$2)&gt;0, VLOOKUP($J36,'Gear Values'!$A$2:$E$13, IF(COUNTBLANK('Attributes &amp; Prefixes'!$B$6:$C$6)&gt;0, "4", "5"), 0)), "")</f>
        <v/>
      </c>
      <c r="N36" s="137" t="str" cm="1">
        <f t="array" ref="N36">IF(COUNTIF($B$6:$E$6, N$2)&gt;0, _xlfn.IFS(COUNTIF($B$6:$C$6, N$2)&gt;0, VLOOKUP($J36,'Gear Values'!$A$2:$E$13, IF(COUNTBLANK('Attributes &amp; Prefixes'!$B$6:$C$6)&gt;0, "2", "3"), 0), COUNTIF($D$6:$E$6, N$2)&gt;0, VLOOKUP($J36,'Gear Values'!$A$2:$E$13, IF(COUNTBLANK('Attributes &amp; Prefixes'!$B$6:$C$6)&gt;0, "4", "5"), 0)), "")</f>
        <v/>
      </c>
      <c r="O36" s="137" t="str" cm="1">
        <f t="array" ref="O36">IF(COUNTIF($B$6:$E$6, O$2)&gt;0, _xlfn.IFS(COUNTIF($B$6:$C$6, O$2)&gt;0, VLOOKUP($J36,'Gear Values'!$A$2:$E$13, IF(COUNTBLANK('Attributes &amp; Prefixes'!$B$6:$C$6)&gt;0, "2", "3"), 0), COUNTIF($D$6:$E$6, O$2)&gt;0, VLOOKUP($J36,'Gear Values'!$A$2:$E$13, IF(COUNTBLANK('Attributes &amp; Prefixes'!$B$6:$C$6)&gt;0, "4", "5"), 0)), "")</f>
        <v/>
      </c>
      <c r="P36" s="137" t="str" cm="1">
        <f t="array" ref="P36">IF(COUNTIF($B$6:$E$6, P$2)&gt;0, _xlfn.IFS(COUNTIF($B$6:$C$6, P$2)&gt;0, VLOOKUP($J36,'Gear Values'!$A$2:$E$13, IF(COUNTBLANK('Attributes &amp; Prefixes'!$B$6:$C$6)&gt;0, "2", "3"), 0), COUNTIF($D$6:$E$6, P$2)&gt;0, VLOOKUP($J36,'Gear Values'!$A$2:$E$13, IF(COUNTBLANK('Attributes &amp; Prefixes'!$B$6:$C$6)&gt;0, "4", "5"), 0)), "")</f>
        <v/>
      </c>
      <c r="Q36" s="137" t="str" cm="1">
        <f t="array" ref="Q36">IF(COUNTIF($B$6:$E$6, Q$2)&gt;0, _xlfn.IFS(COUNTIF($B$6:$C$6, Q$2)&gt;0, VLOOKUP($J36,'Gear Values'!$A$2:$E$13, IF(COUNTBLANK('Attributes &amp; Prefixes'!$B$6:$C$6)&gt;0, "2", "3"), 0), COUNTIF($D$6:$E$6, Q$2)&gt;0, VLOOKUP($J36,'Gear Values'!$A$2:$E$13, IF(COUNTBLANK('Attributes &amp; Prefixes'!$B$6:$C$6)&gt;0, "4", "5"), 0)), "")</f>
        <v/>
      </c>
      <c r="R36" s="137" cm="1">
        <f t="array" ref="R36">IF(COUNTIF($B$6:$E$6, R$2)&gt;0, _xlfn.IFS(COUNTIF($B$6:$C$6, R$2)&gt;0, VLOOKUP($J36,'Gear Values'!$A$2:$E$13, IF(COUNTBLANK('Attributes &amp; Prefixes'!$B$6:$C$6)&gt;0, "2", "3"), 0), COUNTIF($D$6:$E$6, R$2)&gt;0, VLOOKUP($J36,'Gear Values'!$A$2:$E$13, IF(COUNTBLANK('Attributes &amp; Prefixes'!$B$6:$C$6)&gt;0, "4", "5"), 0)), "")</f>
        <v>64</v>
      </c>
      <c r="S36" s="138" t="str" cm="1">
        <f t="array" ref="S36">IF(COUNTIF($B$6:$E$6, S$2)&gt;0, _xlfn.IFS(COUNTIF($B$6:$C$6, S$2)&gt;0, VLOOKUP($J36,'Gear Values'!$A$2:$E$13, IF(COUNTBLANK('Attributes &amp; Prefixes'!$B$6:$C$6)&gt;0, "2", "3"), 0), COUNTIF($D$6:$E$6, S$2)&gt;0, VLOOKUP($J36,'Gear Values'!$A$2:$E$13, IF(COUNTBLANK('Attributes &amp; Prefixes'!$B$6:$C$6)&gt;0, "4", "5"), 0)), "")</f>
        <v/>
      </c>
      <c r="V36" s="112"/>
      <c r="W36" s="113"/>
    </row>
    <row r="37" spans="1:23">
      <c r="A37" s="128" t="s">
        <v>2138</v>
      </c>
      <c r="B37" s="121" t="s">
        <v>9</v>
      </c>
      <c r="C37" s="122" t="s">
        <v>11</v>
      </c>
      <c r="D37" s="122" t="s">
        <v>10</v>
      </c>
      <c r="E37" s="122" t="s">
        <v>12</v>
      </c>
      <c r="F37" s="448" t="str">
        <f>IF(OR(COUNTBLANK(AttributeFilter) = 1,AttributeFilter="(Select)"), A37, IF(COUNTIF(B37:E37, AttributeFilter)&gt;0, A37, ""))</f>
        <v>Ritualist</v>
      </c>
      <c r="G37" s="111"/>
      <c r="H37" s="130" t="str">
        <f>_xlfn.CONCAT(A$72,J37)</f>
        <v>OpalNeck</v>
      </c>
      <c r="I37" s="520"/>
      <c r="J37" s="144" t="s">
        <v>52</v>
      </c>
      <c r="K37" s="136" cm="1">
        <f t="array" ref="K37">IF(COUNTIF($B$6:$E$6, K$2)&gt;0, _xlfn.IFS(COUNTIF($B$6:$C$6, K$2)&gt;0, VLOOKUP($J37,'Gear Values'!$A$2:$E$13, IF(COUNTBLANK('Attributes &amp; Prefixes'!$B$6:$C$6)&gt;0, "2", "3"), 0), COUNTIF($D$6:$E$6, K$2)&gt;0, VLOOKUP($J37,'Gear Values'!$A$2:$E$13, IF(COUNTBLANK('Attributes &amp; Prefixes'!$B$6:$C$6)&gt;0, "4", "5"), 0)), "")</f>
        <v>85</v>
      </c>
      <c r="L37" s="137" cm="1">
        <f t="array" ref="L37">IF(COUNTIF($B$6:$E$6, L$2)&gt;0, _xlfn.IFS(COUNTIF($B$6:$C$6, L$2)&gt;0, VLOOKUP($J37,'Gear Values'!$A$2:$E$13, IF(COUNTBLANK('Attributes &amp; Prefixes'!$B$6:$C$6)&gt;0, "2", "3"), 0), COUNTIF($D$6:$E$6, L$2)&gt;0, VLOOKUP($J37,'Gear Values'!$A$2:$E$13, IF(COUNTBLANK('Attributes &amp; Prefixes'!$B$6:$C$6)&gt;0, "4", "5"), 0)), "")</f>
        <v>120</v>
      </c>
      <c r="M37" s="137" t="str" cm="1">
        <f t="array" ref="M37">IF(COUNTIF($B$6:$E$6, M$2)&gt;0, _xlfn.IFS(COUNTIF($B$6:$C$6, M$2)&gt;0, VLOOKUP($J37,'Gear Values'!$A$2:$E$13, IF(COUNTBLANK('Attributes &amp; Prefixes'!$B$6:$C$6)&gt;0, "2", "3"), 0), COUNTIF($D$6:$E$6, M$2)&gt;0, VLOOKUP($J37,'Gear Values'!$A$2:$E$13, IF(COUNTBLANK('Attributes &amp; Prefixes'!$B$6:$C$6)&gt;0, "4", "5"), 0)), "")</f>
        <v/>
      </c>
      <c r="N37" s="137" t="str" cm="1">
        <f t="array" ref="N37">IF(COUNTIF($B$6:$E$6, N$2)&gt;0, _xlfn.IFS(COUNTIF($B$6:$C$6, N$2)&gt;0, VLOOKUP($J37,'Gear Values'!$A$2:$E$13, IF(COUNTBLANK('Attributes &amp; Prefixes'!$B$6:$C$6)&gt;0, "2", "3"), 0), COUNTIF($D$6:$E$6, N$2)&gt;0, VLOOKUP($J37,'Gear Values'!$A$2:$E$13, IF(COUNTBLANK('Attributes &amp; Prefixes'!$B$6:$C$6)&gt;0, "4", "5"), 0)), "")</f>
        <v/>
      </c>
      <c r="O37" s="137" t="str" cm="1">
        <f t="array" ref="O37">IF(COUNTIF($B$6:$E$6, O$2)&gt;0, _xlfn.IFS(COUNTIF($B$6:$C$6, O$2)&gt;0, VLOOKUP($J37,'Gear Values'!$A$2:$E$13, IF(COUNTBLANK('Attributes &amp; Prefixes'!$B$6:$C$6)&gt;0, "2", "3"), 0), COUNTIF($D$6:$E$6, O$2)&gt;0, VLOOKUP($J37,'Gear Values'!$A$2:$E$13, IF(COUNTBLANK('Attributes &amp; Prefixes'!$B$6:$C$6)&gt;0, "4", "5"), 0)), "")</f>
        <v/>
      </c>
      <c r="P37" s="137" t="str" cm="1">
        <f t="array" ref="P37">IF(COUNTIF($B$6:$E$6, P$2)&gt;0, _xlfn.IFS(COUNTIF($B$6:$C$6, P$2)&gt;0, VLOOKUP($J37,'Gear Values'!$A$2:$E$13, IF(COUNTBLANK('Attributes &amp; Prefixes'!$B$6:$C$6)&gt;0, "2", "3"), 0), COUNTIF($D$6:$E$6, P$2)&gt;0, VLOOKUP($J37,'Gear Values'!$A$2:$E$13, IF(COUNTBLANK('Attributes &amp; Prefixes'!$B$6:$C$6)&gt;0, "4", "5"), 0)), "")</f>
        <v/>
      </c>
      <c r="Q37" s="137" t="str" cm="1">
        <f t="array" ref="Q37">IF(COUNTIF($B$6:$E$6, Q$2)&gt;0, _xlfn.IFS(COUNTIF($B$6:$C$6, Q$2)&gt;0, VLOOKUP($J37,'Gear Values'!$A$2:$E$13, IF(COUNTBLANK('Attributes &amp; Prefixes'!$B$6:$C$6)&gt;0, "2", "3"), 0), COUNTIF($D$6:$E$6, Q$2)&gt;0, VLOOKUP($J37,'Gear Values'!$A$2:$E$13, IF(COUNTBLANK('Attributes &amp; Prefixes'!$B$6:$C$6)&gt;0, "4", "5"), 0)), "")</f>
        <v/>
      </c>
      <c r="R37" s="137" cm="1">
        <f t="array" ref="R37">IF(COUNTIF($B$6:$E$6, R$2)&gt;0, _xlfn.IFS(COUNTIF($B$6:$C$6, R$2)&gt;0, VLOOKUP($J37,'Gear Values'!$A$2:$E$13, IF(COUNTBLANK('Attributes &amp; Prefixes'!$B$6:$C$6)&gt;0, "2", "3"), 0), COUNTIF($D$6:$E$6, R$2)&gt;0, VLOOKUP($J37,'Gear Values'!$A$2:$E$13, IF(COUNTBLANK('Attributes &amp; Prefixes'!$B$6:$C$6)&gt;0, "4", "5"), 0)), "")</f>
        <v>85</v>
      </c>
      <c r="S37" s="138" t="str" cm="1">
        <f t="array" ref="S37">IF(COUNTIF($B$6:$E$6, S$2)&gt;0, _xlfn.IFS(COUNTIF($B$6:$C$6, S$2)&gt;0, VLOOKUP($J37,'Gear Values'!$A$2:$E$13, IF(COUNTBLANK('Attributes &amp; Prefixes'!$B$6:$C$6)&gt;0, "2", "3"), 0), COUNTIF($D$6:$E$6, S$2)&gt;0, VLOOKUP($J37,'Gear Values'!$A$2:$E$13, IF(COUNTBLANK('Attributes &amp; Prefixes'!$B$6:$C$6)&gt;0, "4", "5"), 0)), "")</f>
        <v/>
      </c>
      <c r="V37" s="112"/>
      <c r="W37" s="113"/>
    </row>
    <row r="38" spans="1:23">
      <c r="A38" s="128" t="s">
        <v>2462</v>
      </c>
      <c r="B38" s="121" t="s">
        <v>6</v>
      </c>
      <c r="C38" s="122" t="s">
        <v>11</v>
      </c>
      <c r="D38" s="122" t="s">
        <v>9</v>
      </c>
      <c r="E38" s="122" t="s">
        <v>14</v>
      </c>
      <c r="F38" s="448" t="str">
        <f>IF(OR(COUNTBLANK(AttributeFilter) = 1,AttributeFilter="(Select)"), A38, IF(COUNTIF(B38:E38, AttributeFilter)&gt;0, A38, ""))</f>
        <v>Sage</v>
      </c>
      <c r="G38" s="111"/>
      <c r="H38" s="130" t="str">
        <f>_xlfn.CONCAT(I$27,J38)</f>
        <v>AssassinBack</v>
      </c>
      <c r="I38" s="521"/>
      <c r="J38" s="146" t="s">
        <v>53</v>
      </c>
      <c r="K38" s="147" cm="1">
        <f t="array" ref="K38">IF(COUNTIF($B$6:$E$6, K$2)&gt;0, _xlfn.IFS(COUNTIF($B$6:$C$6, K$2)&gt;0, VLOOKUP($J38,'Gear Values'!$A$2:$E$13, IF(COUNTBLANK('Attributes &amp; Prefixes'!$B$6:$C$6)&gt;0, "2", "3"), 0), COUNTIF($D$6:$E$6, K$2)&gt;0, VLOOKUP($J38,'Gear Values'!$A$2:$E$13, IF(COUNTBLANK('Attributes &amp; Prefixes'!$B$6:$C$6)&gt;0, "4", "5"), 0)), "")</f>
        <v>18</v>
      </c>
      <c r="L38" s="148" cm="1">
        <f t="array" ref="L38">IF(COUNTIF($B$6:$E$6, L$2)&gt;0, _xlfn.IFS(COUNTIF($B$6:$C$6, L$2)&gt;0, VLOOKUP($J38,'Gear Values'!$A$2:$E$13, IF(COUNTBLANK('Attributes &amp; Prefixes'!$B$6:$C$6)&gt;0, "2", "3"), 0), COUNTIF($D$6:$E$6, L$2)&gt;0, VLOOKUP($J38,'Gear Values'!$A$2:$E$13, IF(COUNTBLANK('Attributes &amp; Prefixes'!$B$6:$C$6)&gt;0, "4", "5"), 0)), "")</f>
        <v>32</v>
      </c>
      <c r="M38" s="148" t="str" cm="1">
        <f t="array" ref="M38">IF(COUNTIF($B$6:$E$6, M$2)&gt;0, _xlfn.IFS(COUNTIF($B$6:$C$6, M$2)&gt;0, VLOOKUP($J38,'Gear Values'!$A$2:$E$13, IF(COUNTBLANK('Attributes &amp; Prefixes'!$B$6:$C$6)&gt;0, "2", "3"), 0), COUNTIF($D$6:$E$6, M$2)&gt;0, VLOOKUP($J38,'Gear Values'!$A$2:$E$13, IF(COUNTBLANK('Attributes &amp; Prefixes'!$B$6:$C$6)&gt;0, "4", "5"), 0)), "")</f>
        <v/>
      </c>
      <c r="N38" s="148" t="str" cm="1">
        <f t="array" ref="N38">IF(COUNTIF($B$6:$E$6, N$2)&gt;0, _xlfn.IFS(COUNTIF($B$6:$C$6, N$2)&gt;0, VLOOKUP($J38,'Gear Values'!$A$2:$E$13, IF(COUNTBLANK('Attributes &amp; Prefixes'!$B$6:$C$6)&gt;0, "2", "3"), 0), COUNTIF($D$6:$E$6, N$2)&gt;0, VLOOKUP($J38,'Gear Values'!$A$2:$E$13, IF(COUNTBLANK('Attributes &amp; Prefixes'!$B$6:$C$6)&gt;0, "4", "5"), 0)), "")</f>
        <v/>
      </c>
      <c r="O38" s="148" t="str" cm="1">
        <f t="array" ref="O38">IF(COUNTIF($B$6:$E$6, O$2)&gt;0, _xlfn.IFS(COUNTIF($B$6:$C$6, O$2)&gt;0, VLOOKUP($J38,'Gear Values'!$A$2:$E$13, IF(COUNTBLANK('Attributes &amp; Prefixes'!$B$6:$C$6)&gt;0, "2", "3"), 0), COUNTIF($D$6:$E$6, O$2)&gt;0, VLOOKUP($J38,'Gear Values'!$A$2:$E$13, IF(COUNTBLANK('Attributes &amp; Prefixes'!$B$6:$C$6)&gt;0, "4", "5"), 0)), "")</f>
        <v/>
      </c>
      <c r="P38" s="148" t="str" cm="1">
        <f t="array" ref="P38">IF(COUNTIF($B$6:$E$6, P$2)&gt;0, _xlfn.IFS(COUNTIF($B$6:$C$6, P$2)&gt;0, VLOOKUP($J38,'Gear Values'!$A$2:$E$13, IF(COUNTBLANK('Attributes &amp; Prefixes'!$B$6:$C$6)&gt;0, "2", "3"), 0), COUNTIF($D$6:$E$6, P$2)&gt;0, VLOOKUP($J38,'Gear Values'!$A$2:$E$13, IF(COUNTBLANK('Attributes &amp; Prefixes'!$B$6:$C$6)&gt;0, "4", "5"), 0)), "")</f>
        <v/>
      </c>
      <c r="Q38" s="148" t="str" cm="1">
        <f t="array" ref="Q38">IF(COUNTIF($B$6:$E$6, Q$2)&gt;0, _xlfn.IFS(COUNTIF($B$6:$C$6, Q$2)&gt;0, VLOOKUP($J38,'Gear Values'!$A$2:$E$13, IF(COUNTBLANK('Attributes &amp; Prefixes'!$B$6:$C$6)&gt;0, "2", "3"), 0), COUNTIF($D$6:$E$6, Q$2)&gt;0, VLOOKUP($J38,'Gear Values'!$A$2:$E$13, IF(COUNTBLANK('Attributes &amp; Prefixes'!$B$6:$C$6)&gt;0, "4", "5"), 0)), "")</f>
        <v/>
      </c>
      <c r="R38" s="148" cm="1">
        <f t="array" ref="R38">IF(COUNTIF($B$6:$E$6, R$2)&gt;0, _xlfn.IFS(COUNTIF($B$6:$C$6, R$2)&gt;0, VLOOKUP($J38,'Gear Values'!$A$2:$E$13, IF(COUNTBLANK('Attributes &amp; Prefixes'!$B$6:$C$6)&gt;0, "2", "3"), 0), COUNTIF($D$6:$E$6, R$2)&gt;0, VLOOKUP($J38,'Gear Values'!$A$2:$E$13, IF(COUNTBLANK('Attributes &amp; Prefixes'!$B$6:$C$6)&gt;0, "4", "5"), 0)), "")</f>
        <v>18</v>
      </c>
      <c r="S38" s="150" t="str" cm="1">
        <f t="array" ref="S38">IF(COUNTIF($B$6:$E$6, S$2)&gt;0, _xlfn.IFS(COUNTIF($B$6:$C$6, S$2)&gt;0, VLOOKUP($J38,'Gear Values'!$A$2:$E$13, IF(COUNTBLANK('Attributes &amp; Prefixes'!$B$6:$C$6)&gt;0, "2", "3"), 0), COUNTIF($D$6:$E$6, S$2)&gt;0, VLOOKUP($J38,'Gear Values'!$A$2:$E$13, IF(COUNTBLANK('Attributes &amp; Prefixes'!$B$6:$C$6)&gt;0, "4", "5"), 0)), "")</f>
        <v/>
      </c>
      <c r="V38" s="112"/>
      <c r="W38" s="113"/>
    </row>
    <row r="39" spans="1:23">
      <c r="A39" s="128" t="s">
        <v>2463</v>
      </c>
      <c r="B39" s="121" t="s">
        <v>9</v>
      </c>
      <c r="C39" s="122"/>
      <c r="D39" s="122" t="s">
        <v>6</v>
      </c>
      <c r="E39" s="122" t="s">
        <v>8</v>
      </c>
      <c r="F39" s="448" t="str">
        <f>IF(OR(COUNTBLANK(AttributeFilter) = 1,AttributeFilter="(Select)"), A39, IF(COUNTIF(B39:E39, AttributeFilter)&gt;0, A39, ""))</f>
        <v>Sentinel</v>
      </c>
      <c r="G39" s="111"/>
      <c r="H39" s="130" t="str">
        <f>_xlfn.CONCAT(I$39,J39)</f>
        <v>AvatarWeapon (1H)</v>
      </c>
      <c r="I39" s="519" t="str">
        <f>A7</f>
        <v>Avatar</v>
      </c>
      <c r="J39" s="145" t="s">
        <v>37</v>
      </c>
      <c r="K39" s="133" cm="1">
        <f t="array" ref="K39">IF(COUNTIF($B$7:$E$7, K$2)&gt;0, _xlfn.IFS(COUNTIF($B$7:$C$7, K$2)&gt;0, VLOOKUP($J39,'Gear Values'!$A$2:$E$13, IF(COUNTBLANK('Attributes &amp; Prefixes'!$B$7:$C$7)&gt;0, "2", "3"), 0), COUNTIF($D$7:$E$7, K$2)&gt;0, VLOOKUP($J39,'Gear Values'!$A$2:$E$13, IF(COUNTBLANK('Attributes &amp; Prefixes'!$B$7:$C$7)&gt;0, "4", "5"), 0)), "")</f>
        <v>102</v>
      </c>
      <c r="L39" s="134" cm="1">
        <f t="array" ref="L39">IF(COUNTIF($B$7:$E$7, L$2)&gt;0, _xlfn.IFS(COUNTIF($B$7:$C$7, L$2)&gt;0, VLOOKUP($J39,'Gear Values'!$A$2:$E$13, IF(COUNTBLANK('Attributes &amp; Prefixes'!$B$7:$C$7)&gt;0, "2", "3"), 0), COUNTIF($D$7:$E$7, L$2)&gt;0, VLOOKUP($J39,'Gear Values'!$A$2:$E$13, IF(COUNTBLANK('Attributes &amp; Prefixes'!$B$7:$C$7)&gt;0, "4", "5"), 0)), "")</f>
        <v>102</v>
      </c>
      <c r="M39" s="134" t="str" cm="1">
        <f t="array" ref="M39">IF(COUNTIF($B$7:$E$7, M$2)&gt;0, _xlfn.IFS(COUNTIF($B$7:$C$7, M$2)&gt;0, VLOOKUP($J39,'Gear Values'!$A$2:$E$13, IF(COUNTBLANK('Attributes &amp; Prefixes'!$B$7:$C$7)&gt;0, "2", "3"), 0), COUNTIF($D$7:$E$7, M$2)&gt;0, VLOOKUP($J39,'Gear Values'!$A$2:$E$13, IF(COUNTBLANK('Attributes &amp; Prefixes'!$B$7:$C$7)&gt;0, "4", "5"), 0)), "")</f>
        <v/>
      </c>
      <c r="N39" s="134" cm="1">
        <f t="array" ref="N39">IF(COUNTIF($B$7:$E$7, N$2)&gt;0, _xlfn.IFS(COUNTIF($B$7:$C$7, N$2)&gt;0, VLOOKUP($J39,'Gear Values'!$A$2:$E$13, IF(COUNTBLANK('Attributes &amp; Prefixes'!$B$7:$C$7)&gt;0, "2", "3"), 0), COUNTIF($D$7:$E$7, N$2)&gt;0, VLOOKUP($J39,'Gear Values'!$A$2:$E$13, IF(COUNTBLANK('Attributes &amp; Prefixes'!$B$7:$C$7)&gt;0, "4", "5"), 0)), "")</f>
        <v>56</v>
      </c>
      <c r="O39" s="134" t="str" cm="1">
        <f t="array" ref="O39">IF(COUNTIF($B$7:$E$7, O$2)&gt;0, _xlfn.IFS(COUNTIF($B$7:$C$7, O$2)&gt;0, VLOOKUP($J39,'Gear Values'!$A$2:$E$13, IF(COUNTBLANK('Attributes &amp; Prefixes'!$B$7:$C$7)&gt;0, "2", "3"), 0), COUNTIF($D$7:$E$7, O$2)&gt;0, VLOOKUP($J39,'Gear Values'!$A$2:$E$13, IF(COUNTBLANK('Attributes &amp; Prefixes'!$B$7:$C$7)&gt;0, "4", "5"), 0)), "")</f>
        <v/>
      </c>
      <c r="P39" s="134" t="str" cm="1">
        <f t="array" ref="P39">IF(COUNTIF($B$7:$E$7, P$2)&gt;0, _xlfn.IFS(COUNTIF($B$7:$C$7, P$2)&gt;0, VLOOKUP($J39,'Gear Values'!$A$2:$E$13, IF(COUNTBLANK('Attributes &amp; Prefixes'!$B$7:$C$7)&gt;0, "2", "3"), 0), COUNTIF($D$7:$E$7, P$2)&gt;0, VLOOKUP($J39,'Gear Values'!$A$2:$E$13, IF(COUNTBLANK('Attributes &amp; Prefixes'!$B$7:$C$7)&gt;0, "4", "5"), 0)), "")</f>
        <v/>
      </c>
      <c r="Q39" s="134" t="str" cm="1">
        <f t="array" ref="Q39">IF(COUNTIF($B$7:$E$7, Q$2)&gt;0, _xlfn.IFS(COUNTIF($B$7:$C$7, Q$2)&gt;0, VLOOKUP($J39,'Gear Values'!$A$2:$E$13, IF(COUNTBLANK('Attributes &amp; Prefixes'!$B$7:$C$7)&gt;0, "2", "3"), 0), COUNTIF($D$7:$E$7, Q$2)&gt;0, VLOOKUP($J39,'Gear Values'!$A$2:$E$13, IF(COUNTBLANK('Attributes &amp; Prefixes'!$B$7:$C$7)&gt;0, "4", "5"), 0)), "")</f>
        <v/>
      </c>
      <c r="R39" s="134" t="str" cm="1">
        <f t="array" ref="R39">IF(COUNTIF($B$7:$E$7, R$2)&gt;0, _xlfn.IFS(COUNTIF($B$7:$C$7, R$2)&gt;0, VLOOKUP($J39,'Gear Values'!$A$2:$E$13, IF(COUNTBLANK('Attributes &amp; Prefixes'!$B$7:$C$7)&gt;0, "2", "3"), 0), COUNTIF($D$7:$E$7, R$2)&gt;0, VLOOKUP($J39,'Gear Values'!$A$2:$E$13, IF(COUNTBLANK('Attributes &amp; Prefixes'!$B$7:$C$7)&gt;0, "4", "5"), 0)), "")</f>
        <v/>
      </c>
      <c r="S39" s="135" cm="1">
        <f t="array" ref="S39">IF(COUNTIF($B$7:$E$7, S$2)&gt;0, _xlfn.IFS(COUNTIF($B$7:$C$7, S$2)&gt;0, VLOOKUP($J39,'Gear Values'!$A$2:$E$13, IF(COUNTBLANK('Attributes &amp; Prefixes'!$B$7:$C$7)&gt;0, "2", "3"), 0), COUNTIF($D$7:$E$7, S$2)&gt;0, VLOOKUP($J39,'Gear Values'!$A$2:$E$13, IF(COUNTBLANK('Attributes &amp; Prefixes'!$B$7:$C$7)&gt;0, "4", "5"), 0)), "")</f>
        <v>56</v>
      </c>
      <c r="V39" s="112"/>
      <c r="W39" s="113"/>
    </row>
    <row r="40" spans="1:23">
      <c r="A40" s="128" t="s">
        <v>2464</v>
      </c>
      <c r="B40" s="121" t="s">
        <v>7</v>
      </c>
      <c r="C40" s="122" t="s">
        <v>11</v>
      </c>
      <c r="D40" s="122" t="s">
        <v>10</v>
      </c>
      <c r="E40" s="122" t="s">
        <v>14</v>
      </c>
      <c r="F40" s="448" t="str">
        <f>IF(OR(COUNTBLANK(AttributeFilter) = 1,AttributeFilter="(Select)"), A40, IF(COUNTIF(B40:E40, AttributeFilter)&gt;0, A40, ""))</f>
        <v>Seraph</v>
      </c>
      <c r="G40" s="111"/>
      <c r="H40" s="130" t="str">
        <f>_xlfn.CONCAT(I$39,J40)</f>
        <v>AvatarWeapon (2H)</v>
      </c>
      <c r="I40" s="520"/>
      <c r="J40" s="144" t="s">
        <v>39</v>
      </c>
      <c r="K40" s="136" cm="1">
        <f t="array" ref="K40">IF(COUNTIF($B$7:$E$7, K$2)&gt;0, _xlfn.IFS(COUNTIF($B$7:$C$7, K$2)&gt;0, VLOOKUP($J40,'Gear Values'!$A$2:$E$13, IF(COUNTBLANK('Attributes &amp; Prefixes'!$B$7:$C$7)&gt;0, "2", "3"), 0), COUNTIF($D$7:$E$7, K$2)&gt;0, VLOOKUP($J40,'Gear Values'!$A$2:$E$13, IF(COUNTBLANK('Attributes &amp; Prefixes'!$B$7:$C$7)&gt;0, "4", "5"), 0)), "")</f>
        <v>205</v>
      </c>
      <c r="L40" s="137" cm="1">
        <f t="array" ref="L40">IF(COUNTIF($B$7:$E$7, L$2)&gt;0, _xlfn.IFS(COUNTIF($B$7:$C$7, L$2)&gt;0, VLOOKUP($J40,'Gear Values'!$A$2:$E$13, IF(COUNTBLANK('Attributes &amp; Prefixes'!$B$7:$C$7)&gt;0, "2", "3"), 0), COUNTIF($D$7:$E$7, L$2)&gt;0, VLOOKUP($J40,'Gear Values'!$A$2:$E$13, IF(COUNTBLANK('Attributes &amp; Prefixes'!$B$7:$C$7)&gt;0, "4", "5"), 0)), "")</f>
        <v>205</v>
      </c>
      <c r="M40" s="137" t="str" cm="1">
        <f t="array" ref="M40">IF(COUNTIF($B$7:$E$7, M$2)&gt;0, _xlfn.IFS(COUNTIF($B$7:$C$7, M$2)&gt;0, VLOOKUP($J40,'Gear Values'!$A$2:$E$13, IF(COUNTBLANK('Attributes &amp; Prefixes'!$B$7:$C$7)&gt;0, "2", "3"), 0), COUNTIF($D$7:$E$7, M$2)&gt;0, VLOOKUP($J40,'Gear Values'!$A$2:$E$13, IF(COUNTBLANK('Attributes &amp; Prefixes'!$B$7:$C$7)&gt;0, "4", "5"), 0)), "")</f>
        <v/>
      </c>
      <c r="N40" s="137" cm="1">
        <f t="array" ref="N40">IF(COUNTIF($B$7:$E$7, N$2)&gt;0, _xlfn.IFS(COUNTIF($B$7:$C$7, N$2)&gt;0, VLOOKUP($J40,'Gear Values'!$A$2:$E$13, IF(COUNTBLANK('Attributes &amp; Prefixes'!$B$7:$C$7)&gt;0, "2", "3"), 0), COUNTIF($D$7:$E$7, N$2)&gt;0, VLOOKUP($J40,'Gear Values'!$A$2:$E$13, IF(COUNTBLANK('Attributes &amp; Prefixes'!$B$7:$C$7)&gt;0, "4", "5"), 0)), "")</f>
        <v>113</v>
      </c>
      <c r="O40" s="137" t="str" cm="1">
        <f t="array" ref="O40">IF(COUNTIF($B$7:$E$7, O$2)&gt;0, _xlfn.IFS(COUNTIF($B$7:$C$7, O$2)&gt;0, VLOOKUP($J40,'Gear Values'!$A$2:$E$13, IF(COUNTBLANK('Attributes &amp; Prefixes'!$B$7:$C$7)&gt;0, "2", "3"), 0), COUNTIF($D$7:$E$7, O$2)&gt;0, VLOOKUP($J40,'Gear Values'!$A$2:$E$13, IF(COUNTBLANK('Attributes &amp; Prefixes'!$B$7:$C$7)&gt;0, "4", "5"), 0)), "")</f>
        <v/>
      </c>
      <c r="P40" s="137" t="str" cm="1">
        <f t="array" ref="P40">IF(COUNTIF($B$7:$E$7, P$2)&gt;0, _xlfn.IFS(COUNTIF($B$7:$C$7, P$2)&gt;0, VLOOKUP($J40,'Gear Values'!$A$2:$E$13, IF(COUNTBLANK('Attributes &amp; Prefixes'!$B$7:$C$7)&gt;0, "2", "3"), 0), COUNTIF($D$7:$E$7, P$2)&gt;0, VLOOKUP($J40,'Gear Values'!$A$2:$E$13, IF(COUNTBLANK('Attributes &amp; Prefixes'!$B$7:$C$7)&gt;0, "4", "5"), 0)), "")</f>
        <v/>
      </c>
      <c r="Q40" s="137" t="str" cm="1">
        <f t="array" ref="Q40">IF(COUNTIF($B$7:$E$7, Q$2)&gt;0, _xlfn.IFS(COUNTIF($B$7:$C$7, Q$2)&gt;0, VLOOKUP($J40,'Gear Values'!$A$2:$E$13, IF(COUNTBLANK('Attributes &amp; Prefixes'!$B$7:$C$7)&gt;0, "2", "3"), 0), COUNTIF($D$7:$E$7, Q$2)&gt;0, VLOOKUP($J40,'Gear Values'!$A$2:$E$13, IF(COUNTBLANK('Attributes &amp; Prefixes'!$B$7:$C$7)&gt;0, "4", "5"), 0)), "")</f>
        <v/>
      </c>
      <c r="R40" s="137" t="str" cm="1">
        <f t="array" ref="R40">IF(COUNTIF($B$7:$E$7, R$2)&gt;0, _xlfn.IFS(COUNTIF($B$7:$C$7, R$2)&gt;0, VLOOKUP($J40,'Gear Values'!$A$2:$E$13, IF(COUNTBLANK('Attributes &amp; Prefixes'!$B$7:$C$7)&gt;0, "2", "3"), 0), COUNTIF($D$7:$E$7, R$2)&gt;0, VLOOKUP($J40,'Gear Values'!$A$2:$E$13, IF(COUNTBLANK('Attributes &amp; Prefixes'!$B$7:$C$7)&gt;0, "4", "5"), 0)), "")</f>
        <v/>
      </c>
      <c r="S40" s="138" cm="1">
        <f t="array" ref="S40">IF(COUNTIF($B$7:$E$7, S$2)&gt;0, _xlfn.IFS(COUNTIF($B$7:$C$7, S$2)&gt;0, VLOOKUP($J40,'Gear Values'!$A$2:$E$13, IF(COUNTBLANK('Attributes &amp; Prefixes'!$B$7:$C$7)&gt;0, "2", "3"), 0), COUNTIF($D$7:$E$7, S$2)&gt;0, VLOOKUP($J40,'Gear Values'!$A$2:$E$13, IF(COUNTBLANK('Attributes &amp; Prefixes'!$B$7:$C$7)&gt;0, "4", "5"), 0)), "")</f>
        <v>113</v>
      </c>
      <c r="V40" s="112"/>
      <c r="W40" s="113"/>
    </row>
    <row r="41" spans="1:23">
      <c r="A41" s="128" t="s">
        <v>2465</v>
      </c>
      <c r="B41" s="121" t="s">
        <v>8</v>
      </c>
      <c r="C41" s="122"/>
      <c r="D41" s="122" t="s">
        <v>11</v>
      </c>
      <c r="E41" s="122" t="s">
        <v>14</v>
      </c>
      <c r="F41" s="448" t="str">
        <f>IF(OR(COUNTBLANK(AttributeFilter) = 1,AttributeFilter="(Select)"), A41, IF(COUNTIF(B41:E41, AttributeFilter)&gt;0, A41, ""))</f>
        <v>Settler</v>
      </c>
      <c r="G41" s="111"/>
      <c r="H41" s="130" t="str">
        <f>_xlfn.CONCAT(I$39,J41)</f>
        <v>AvatarHead</v>
      </c>
      <c r="I41" s="520"/>
      <c r="J41" s="144" t="s">
        <v>40</v>
      </c>
      <c r="K41" s="136" cm="1">
        <f t="array" ref="K41">IF(COUNTIF($B$7:$E$7, K$2)&gt;0, _xlfn.IFS(COUNTIF($B$7:$C$7, K$2)&gt;0, VLOOKUP($J41,'Gear Values'!$A$2:$E$13, IF(COUNTBLANK('Attributes &amp; Prefixes'!$B$7:$C$7)&gt;0, "2", "3"), 0), COUNTIF($D$7:$E$7, K$2)&gt;0, VLOOKUP($J41,'Gear Values'!$A$2:$E$13, IF(COUNTBLANK('Attributes &amp; Prefixes'!$B$7:$C$7)&gt;0, "4", "5"), 0)), "")</f>
        <v>51</v>
      </c>
      <c r="L41" s="137" cm="1">
        <f t="array" ref="L41">IF(COUNTIF($B$7:$E$7, L$2)&gt;0, _xlfn.IFS(COUNTIF($B$7:$C$7, L$2)&gt;0, VLOOKUP($J41,'Gear Values'!$A$2:$E$13, IF(COUNTBLANK('Attributes &amp; Prefixes'!$B$7:$C$7)&gt;0, "2", "3"), 0), COUNTIF($D$7:$E$7, L$2)&gt;0, VLOOKUP($J41,'Gear Values'!$A$2:$E$13, IF(COUNTBLANK('Attributes &amp; Prefixes'!$B$7:$C$7)&gt;0, "4", "5"), 0)), "")</f>
        <v>51</v>
      </c>
      <c r="M41" s="137" t="str" cm="1">
        <f t="array" ref="M41">IF(COUNTIF($B$7:$E$7, M$2)&gt;0, _xlfn.IFS(COUNTIF($B$7:$C$7, M$2)&gt;0, VLOOKUP($J41,'Gear Values'!$A$2:$E$13, IF(COUNTBLANK('Attributes &amp; Prefixes'!$B$7:$C$7)&gt;0, "2", "3"), 0), COUNTIF($D$7:$E$7, M$2)&gt;0, VLOOKUP($J41,'Gear Values'!$A$2:$E$13, IF(COUNTBLANK('Attributes &amp; Prefixes'!$B$7:$C$7)&gt;0, "4", "5"), 0)), "")</f>
        <v/>
      </c>
      <c r="N41" s="137" cm="1">
        <f t="array" ref="N41">IF(COUNTIF($B$7:$E$7, N$2)&gt;0, _xlfn.IFS(COUNTIF($B$7:$C$7, N$2)&gt;0, VLOOKUP($J41,'Gear Values'!$A$2:$E$13, IF(COUNTBLANK('Attributes &amp; Prefixes'!$B$7:$C$7)&gt;0, "2", "3"), 0), COUNTIF($D$7:$E$7, N$2)&gt;0, VLOOKUP($J41,'Gear Values'!$A$2:$E$13, IF(COUNTBLANK('Attributes &amp; Prefixes'!$B$7:$C$7)&gt;0, "4", "5"), 0)), "")</f>
        <v>28</v>
      </c>
      <c r="O41" s="137" t="str" cm="1">
        <f t="array" ref="O41">IF(COUNTIF($B$7:$E$7, O$2)&gt;0, _xlfn.IFS(COUNTIF($B$7:$C$7, O$2)&gt;0, VLOOKUP($J41,'Gear Values'!$A$2:$E$13, IF(COUNTBLANK('Attributes &amp; Prefixes'!$B$7:$C$7)&gt;0, "2", "3"), 0), COUNTIF($D$7:$E$7, O$2)&gt;0, VLOOKUP($J41,'Gear Values'!$A$2:$E$13, IF(COUNTBLANK('Attributes &amp; Prefixes'!$B$7:$C$7)&gt;0, "4", "5"), 0)), "")</f>
        <v/>
      </c>
      <c r="P41" s="137" t="str" cm="1">
        <f t="array" ref="P41">IF(COUNTIF($B$7:$E$7, P$2)&gt;0, _xlfn.IFS(COUNTIF($B$7:$C$7, P$2)&gt;0, VLOOKUP($J41,'Gear Values'!$A$2:$E$13, IF(COUNTBLANK('Attributes &amp; Prefixes'!$B$7:$C$7)&gt;0, "2", "3"), 0), COUNTIF($D$7:$E$7, P$2)&gt;0, VLOOKUP($J41,'Gear Values'!$A$2:$E$13, IF(COUNTBLANK('Attributes &amp; Prefixes'!$B$7:$C$7)&gt;0, "4", "5"), 0)), "")</f>
        <v/>
      </c>
      <c r="Q41" s="137" t="str" cm="1">
        <f t="array" ref="Q41">IF(COUNTIF($B$7:$E$7, Q$2)&gt;0, _xlfn.IFS(COUNTIF($B$7:$C$7, Q$2)&gt;0, VLOOKUP($J41,'Gear Values'!$A$2:$E$13, IF(COUNTBLANK('Attributes &amp; Prefixes'!$B$7:$C$7)&gt;0, "2", "3"), 0), COUNTIF($D$7:$E$7, Q$2)&gt;0, VLOOKUP($J41,'Gear Values'!$A$2:$E$13, IF(COUNTBLANK('Attributes &amp; Prefixes'!$B$7:$C$7)&gt;0, "4", "5"), 0)), "")</f>
        <v/>
      </c>
      <c r="R41" s="137" t="str" cm="1">
        <f t="array" ref="R41">IF(COUNTIF($B$7:$E$7, R$2)&gt;0, _xlfn.IFS(COUNTIF($B$7:$C$7, R$2)&gt;0, VLOOKUP($J41,'Gear Values'!$A$2:$E$13, IF(COUNTBLANK('Attributes &amp; Prefixes'!$B$7:$C$7)&gt;0, "2", "3"), 0), COUNTIF($D$7:$E$7, R$2)&gt;0, VLOOKUP($J41,'Gear Values'!$A$2:$E$13, IF(COUNTBLANK('Attributes &amp; Prefixes'!$B$7:$C$7)&gt;0, "4", "5"), 0)), "")</f>
        <v/>
      </c>
      <c r="S41" s="138" cm="1">
        <f t="array" ref="S41">IF(COUNTIF($B$7:$E$7, S$2)&gt;0, _xlfn.IFS(COUNTIF($B$7:$C$7, S$2)&gt;0, VLOOKUP($J41,'Gear Values'!$A$2:$E$13, IF(COUNTBLANK('Attributes &amp; Prefixes'!$B$7:$C$7)&gt;0, "2", "3"), 0), COUNTIF($D$7:$E$7, S$2)&gt;0, VLOOKUP($J41,'Gear Values'!$A$2:$E$13, IF(COUNTBLANK('Attributes &amp; Prefixes'!$B$7:$C$7)&gt;0, "4", "5"), 0)), "")</f>
        <v>28</v>
      </c>
      <c r="V41" s="112"/>
      <c r="W41" s="113"/>
    </row>
    <row r="42" spans="1:23">
      <c r="A42" s="128" t="s">
        <v>2466</v>
      </c>
      <c r="B42" s="121" t="s">
        <v>9</v>
      </c>
      <c r="C42" s="122"/>
      <c r="D42" s="122" t="s">
        <v>11</v>
      </c>
      <c r="E42" s="122" t="s">
        <v>14</v>
      </c>
      <c r="F42" s="448" t="str">
        <f>IF(OR(COUNTBLANK(AttributeFilter) = 1,AttributeFilter="(Select)"), A42, IF(COUNTIF(B42:E42, AttributeFilter)&gt;0, A42, ""))</f>
        <v>Shaman</v>
      </c>
      <c r="G42" s="111"/>
      <c r="H42" s="130" t="str">
        <f>_xlfn.CONCAT(I$39,J42)</f>
        <v>AvatarShoulders</v>
      </c>
      <c r="I42" s="520"/>
      <c r="J42" s="144" t="s">
        <v>42</v>
      </c>
      <c r="K42" s="136" cm="1">
        <f t="array" ref="K42">IF(COUNTIF($B$7:$E$7, K$2)&gt;0, _xlfn.IFS(COUNTIF($B$7:$C$7, K$2)&gt;0, VLOOKUP($J42,'Gear Values'!$A$2:$E$13, IF(COUNTBLANK('Attributes &amp; Prefixes'!$B$7:$C$7)&gt;0, "2", "3"), 0), COUNTIF($D$7:$E$7, K$2)&gt;0, VLOOKUP($J42,'Gear Values'!$A$2:$E$13, IF(COUNTBLANK('Attributes &amp; Prefixes'!$B$7:$C$7)&gt;0, "4", "5"), 0)), "")</f>
        <v>38</v>
      </c>
      <c r="L42" s="137" cm="1">
        <f t="array" ref="L42">IF(COUNTIF($B$7:$E$7, L$2)&gt;0, _xlfn.IFS(COUNTIF($B$7:$C$7, L$2)&gt;0, VLOOKUP($J42,'Gear Values'!$A$2:$E$13, IF(COUNTBLANK('Attributes &amp; Prefixes'!$B$7:$C$7)&gt;0, "2", "3"), 0), COUNTIF($D$7:$E$7, L$2)&gt;0, VLOOKUP($J42,'Gear Values'!$A$2:$E$13, IF(COUNTBLANK('Attributes &amp; Prefixes'!$B$7:$C$7)&gt;0, "4", "5"), 0)), "")</f>
        <v>38</v>
      </c>
      <c r="M42" s="137" t="str" cm="1">
        <f t="array" ref="M42">IF(COUNTIF($B$7:$E$7, M$2)&gt;0, _xlfn.IFS(COUNTIF($B$7:$C$7, M$2)&gt;0, VLOOKUP($J42,'Gear Values'!$A$2:$E$13, IF(COUNTBLANK('Attributes &amp; Prefixes'!$B$7:$C$7)&gt;0, "2", "3"), 0), COUNTIF($D$7:$E$7, M$2)&gt;0, VLOOKUP($J42,'Gear Values'!$A$2:$E$13, IF(COUNTBLANK('Attributes &amp; Prefixes'!$B$7:$C$7)&gt;0, "4", "5"), 0)), "")</f>
        <v/>
      </c>
      <c r="N42" s="137" cm="1">
        <f t="array" ref="N42">IF(COUNTIF($B$7:$E$7, N$2)&gt;0, _xlfn.IFS(COUNTIF($B$7:$C$7, N$2)&gt;0, VLOOKUP($J42,'Gear Values'!$A$2:$E$13, IF(COUNTBLANK('Attributes &amp; Prefixes'!$B$7:$C$7)&gt;0, "2", "3"), 0), COUNTIF($D$7:$E$7, N$2)&gt;0, VLOOKUP($J42,'Gear Values'!$A$2:$E$13, IF(COUNTBLANK('Attributes &amp; Prefixes'!$B$7:$C$7)&gt;0, "4", "5"), 0)), "")</f>
        <v>21</v>
      </c>
      <c r="O42" s="137" t="str" cm="1">
        <f t="array" ref="O42">IF(COUNTIF($B$7:$E$7, O$2)&gt;0, _xlfn.IFS(COUNTIF($B$7:$C$7, O$2)&gt;0, VLOOKUP($J42,'Gear Values'!$A$2:$E$13, IF(COUNTBLANK('Attributes &amp; Prefixes'!$B$7:$C$7)&gt;0, "2", "3"), 0), COUNTIF($D$7:$E$7, O$2)&gt;0, VLOOKUP($J42,'Gear Values'!$A$2:$E$13, IF(COUNTBLANK('Attributes &amp; Prefixes'!$B$7:$C$7)&gt;0, "4", "5"), 0)), "")</f>
        <v/>
      </c>
      <c r="P42" s="137" t="str" cm="1">
        <f t="array" ref="P42">IF(COUNTIF($B$7:$E$7, P$2)&gt;0, _xlfn.IFS(COUNTIF($B$7:$C$7, P$2)&gt;0, VLOOKUP($J42,'Gear Values'!$A$2:$E$13, IF(COUNTBLANK('Attributes &amp; Prefixes'!$B$7:$C$7)&gt;0, "2", "3"), 0), COUNTIF($D$7:$E$7, P$2)&gt;0, VLOOKUP($J42,'Gear Values'!$A$2:$E$13, IF(COUNTBLANK('Attributes &amp; Prefixes'!$B$7:$C$7)&gt;0, "4", "5"), 0)), "")</f>
        <v/>
      </c>
      <c r="Q42" s="137" t="str" cm="1">
        <f t="array" ref="Q42">IF(COUNTIF($B$7:$E$7, Q$2)&gt;0, _xlfn.IFS(COUNTIF($B$7:$C$7, Q$2)&gt;0, VLOOKUP($J42,'Gear Values'!$A$2:$E$13, IF(COUNTBLANK('Attributes &amp; Prefixes'!$B$7:$C$7)&gt;0, "2", "3"), 0), COUNTIF($D$7:$E$7, Q$2)&gt;0, VLOOKUP($J42,'Gear Values'!$A$2:$E$13, IF(COUNTBLANK('Attributes &amp; Prefixes'!$B$7:$C$7)&gt;0, "4", "5"), 0)), "")</f>
        <v/>
      </c>
      <c r="R42" s="137" t="str" cm="1">
        <f t="array" ref="R42">IF(COUNTIF($B$7:$E$7, R$2)&gt;0, _xlfn.IFS(COUNTIF($B$7:$C$7, R$2)&gt;0, VLOOKUP($J42,'Gear Values'!$A$2:$E$13, IF(COUNTBLANK('Attributes &amp; Prefixes'!$B$7:$C$7)&gt;0, "2", "3"), 0), COUNTIF($D$7:$E$7, R$2)&gt;0, VLOOKUP($J42,'Gear Values'!$A$2:$E$13, IF(COUNTBLANK('Attributes &amp; Prefixes'!$B$7:$C$7)&gt;0, "4", "5"), 0)), "")</f>
        <v/>
      </c>
      <c r="S42" s="138" cm="1">
        <f t="array" ref="S42">IF(COUNTIF($B$7:$E$7, S$2)&gt;0, _xlfn.IFS(COUNTIF($B$7:$C$7, S$2)&gt;0, VLOOKUP($J42,'Gear Values'!$A$2:$E$13, IF(COUNTBLANK('Attributes &amp; Prefixes'!$B$7:$C$7)&gt;0, "2", "3"), 0), COUNTIF($D$7:$E$7, S$2)&gt;0, VLOOKUP($J42,'Gear Values'!$A$2:$E$13, IF(COUNTBLANK('Attributes &amp; Prefixes'!$B$7:$C$7)&gt;0, "4", "5"), 0)), "")</f>
        <v>21</v>
      </c>
      <c r="V42" s="112"/>
      <c r="W42" s="113"/>
    </row>
    <row r="43" spans="1:23">
      <c r="A43" s="128" t="s">
        <v>2467</v>
      </c>
      <c r="B43" s="121" t="s">
        <v>11</v>
      </c>
      <c r="C43" s="122"/>
      <c r="D43" s="122" t="s">
        <v>6</v>
      </c>
      <c r="E43" s="122" t="s">
        <v>7</v>
      </c>
      <c r="F43" s="448" t="str">
        <f>IF(OR(COUNTBLANK(AttributeFilter) = 1,AttributeFilter="(Select)"), A43, IF(COUNTIF(B43:E43, AttributeFilter)&gt;0, A43, ""))</f>
        <v>Sinister</v>
      </c>
      <c r="G43" s="111"/>
      <c r="H43" s="130" t="str">
        <f>_xlfn.CONCAT(I$39,J43)</f>
        <v>AvatarChest</v>
      </c>
      <c r="I43" s="520"/>
      <c r="J43" s="144" t="s">
        <v>44</v>
      </c>
      <c r="K43" s="136" cm="1">
        <f t="array" ref="K43">IF(COUNTIF($B$7:$E$7, K$2)&gt;0, _xlfn.IFS(COUNTIF($B$7:$C$7, K$2)&gt;0, VLOOKUP($J43,'Gear Values'!$A$2:$E$13, IF(COUNTBLANK('Attributes &amp; Prefixes'!$B$7:$C$7)&gt;0, "2", "3"), 0), COUNTIF($D$7:$E$7, K$2)&gt;0, VLOOKUP($J43,'Gear Values'!$A$2:$E$13, IF(COUNTBLANK('Attributes &amp; Prefixes'!$B$7:$C$7)&gt;0, "4", "5"), 0)), "")</f>
        <v>115</v>
      </c>
      <c r="L43" s="137" cm="1">
        <f t="array" ref="L43">IF(COUNTIF($B$7:$E$7, L$2)&gt;0, _xlfn.IFS(COUNTIF($B$7:$C$7, L$2)&gt;0, VLOOKUP($J43,'Gear Values'!$A$2:$E$13, IF(COUNTBLANK('Attributes &amp; Prefixes'!$B$7:$C$7)&gt;0, "2", "3"), 0), COUNTIF($D$7:$E$7, L$2)&gt;0, VLOOKUP($J43,'Gear Values'!$A$2:$E$13, IF(COUNTBLANK('Attributes &amp; Prefixes'!$B$7:$C$7)&gt;0, "4", "5"), 0)), "")</f>
        <v>115</v>
      </c>
      <c r="M43" s="137" t="str" cm="1">
        <f t="array" ref="M43">IF(COUNTIF($B$7:$E$7, M$2)&gt;0, _xlfn.IFS(COUNTIF($B$7:$C$7, M$2)&gt;0, VLOOKUP($J43,'Gear Values'!$A$2:$E$13, IF(COUNTBLANK('Attributes &amp; Prefixes'!$B$7:$C$7)&gt;0, "2", "3"), 0), COUNTIF($D$7:$E$7, M$2)&gt;0, VLOOKUP($J43,'Gear Values'!$A$2:$E$13, IF(COUNTBLANK('Attributes &amp; Prefixes'!$B$7:$C$7)&gt;0, "4", "5"), 0)), "")</f>
        <v/>
      </c>
      <c r="N43" s="137" cm="1">
        <f t="array" ref="N43">IF(COUNTIF($B$7:$E$7, N$2)&gt;0, _xlfn.IFS(COUNTIF($B$7:$C$7, N$2)&gt;0, VLOOKUP($J43,'Gear Values'!$A$2:$E$13, IF(COUNTBLANK('Attributes &amp; Prefixes'!$B$7:$C$7)&gt;0, "2", "3"), 0), COUNTIF($D$7:$E$7, N$2)&gt;0, VLOOKUP($J43,'Gear Values'!$A$2:$E$13, IF(COUNTBLANK('Attributes &amp; Prefixes'!$B$7:$C$7)&gt;0, "4", "5"), 0)), "")</f>
        <v>63</v>
      </c>
      <c r="O43" s="137" t="str" cm="1">
        <f t="array" ref="O43">IF(COUNTIF($B$7:$E$7, O$2)&gt;0, _xlfn.IFS(COUNTIF($B$7:$C$7, O$2)&gt;0, VLOOKUP($J43,'Gear Values'!$A$2:$E$13, IF(COUNTBLANK('Attributes &amp; Prefixes'!$B$7:$C$7)&gt;0, "2", "3"), 0), COUNTIF($D$7:$E$7, O$2)&gt;0, VLOOKUP($J43,'Gear Values'!$A$2:$E$13, IF(COUNTBLANK('Attributes &amp; Prefixes'!$B$7:$C$7)&gt;0, "4", "5"), 0)), "")</f>
        <v/>
      </c>
      <c r="P43" s="137" t="str" cm="1">
        <f t="array" ref="P43">IF(COUNTIF($B$7:$E$7, P$2)&gt;0, _xlfn.IFS(COUNTIF($B$7:$C$7, P$2)&gt;0, VLOOKUP($J43,'Gear Values'!$A$2:$E$13, IF(COUNTBLANK('Attributes &amp; Prefixes'!$B$7:$C$7)&gt;0, "2", "3"), 0), COUNTIF($D$7:$E$7, P$2)&gt;0, VLOOKUP($J43,'Gear Values'!$A$2:$E$13, IF(COUNTBLANK('Attributes &amp; Prefixes'!$B$7:$C$7)&gt;0, "4", "5"), 0)), "")</f>
        <v/>
      </c>
      <c r="Q43" s="137" t="str" cm="1">
        <f t="array" ref="Q43">IF(COUNTIF($B$7:$E$7, Q$2)&gt;0, _xlfn.IFS(COUNTIF($B$7:$C$7, Q$2)&gt;0, VLOOKUP($J43,'Gear Values'!$A$2:$E$13, IF(COUNTBLANK('Attributes &amp; Prefixes'!$B$7:$C$7)&gt;0, "2", "3"), 0), COUNTIF($D$7:$E$7, Q$2)&gt;0, VLOOKUP($J43,'Gear Values'!$A$2:$E$13, IF(COUNTBLANK('Attributes &amp; Prefixes'!$B$7:$C$7)&gt;0, "4", "5"), 0)), "")</f>
        <v/>
      </c>
      <c r="R43" s="137" t="str" cm="1">
        <f t="array" ref="R43">IF(COUNTIF($B$7:$E$7, R$2)&gt;0, _xlfn.IFS(COUNTIF($B$7:$C$7, R$2)&gt;0, VLOOKUP($J43,'Gear Values'!$A$2:$E$13, IF(COUNTBLANK('Attributes &amp; Prefixes'!$B$7:$C$7)&gt;0, "2", "3"), 0), COUNTIF($D$7:$E$7, R$2)&gt;0, VLOOKUP($J43,'Gear Values'!$A$2:$E$13, IF(COUNTBLANK('Attributes &amp; Prefixes'!$B$7:$C$7)&gt;0, "4", "5"), 0)), "")</f>
        <v/>
      </c>
      <c r="S43" s="138" cm="1">
        <f t="array" ref="S43">IF(COUNTIF($B$7:$E$7, S$2)&gt;0, _xlfn.IFS(COUNTIF($B$7:$C$7, S$2)&gt;0, VLOOKUP($J43,'Gear Values'!$A$2:$E$13, IF(COUNTBLANK('Attributes &amp; Prefixes'!$B$7:$C$7)&gt;0, "2", "3"), 0), COUNTIF($D$7:$E$7, S$2)&gt;0, VLOOKUP($J43,'Gear Values'!$A$2:$E$13, IF(COUNTBLANK('Attributes &amp; Prefixes'!$B$7:$C$7)&gt;0, "4", "5"), 0)), "")</f>
        <v>63</v>
      </c>
      <c r="V43" s="112"/>
      <c r="W43" s="113"/>
    </row>
    <row r="44" spans="1:23">
      <c r="A44" s="128" t="s">
        <v>2468</v>
      </c>
      <c r="B44" s="121" t="s">
        <v>6</v>
      </c>
      <c r="C44" s="122"/>
      <c r="D44" s="122" t="s">
        <v>8</v>
      </c>
      <c r="E44" s="122" t="s">
        <v>9</v>
      </c>
      <c r="F44" s="448" t="str">
        <f>IF(OR(COUNTBLANK(AttributeFilter) = 1,AttributeFilter="(Select)"), A44, IF(COUNTIF(B44:E44, AttributeFilter)&gt;0, A44, ""))</f>
        <v>Soldier</v>
      </c>
      <c r="G44" s="111"/>
      <c r="H44" s="130" t="str">
        <f>_xlfn.CONCAT(I$39,J44)</f>
        <v>AvatarHands</v>
      </c>
      <c r="I44" s="520"/>
      <c r="J44" s="144" t="s">
        <v>45</v>
      </c>
      <c r="K44" s="136" cm="1">
        <f t="array" ref="K44">IF(COUNTIF($B$7:$E$7, K$2)&gt;0, _xlfn.IFS(COUNTIF($B$7:$C$7, K$2)&gt;0, VLOOKUP($J44,'Gear Values'!$A$2:$E$13, IF(COUNTBLANK('Attributes &amp; Prefixes'!$B$7:$C$7)&gt;0, "2", "3"), 0), COUNTIF($D$7:$E$7, K$2)&gt;0, VLOOKUP($J44,'Gear Values'!$A$2:$E$13, IF(COUNTBLANK('Attributes &amp; Prefixes'!$B$7:$C$7)&gt;0, "4", "5"), 0)), "")</f>
        <v>38</v>
      </c>
      <c r="L44" s="137" cm="1">
        <f t="array" ref="L44">IF(COUNTIF($B$7:$E$7, L$2)&gt;0, _xlfn.IFS(COUNTIF($B$7:$C$7, L$2)&gt;0, VLOOKUP($J44,'Gear Values'!$A$2:$E$13, IF(COUNTBLANK('Attributes &amp; Prefixes'!$B$7:$C$7)&gt;0, "2", "3"), 0), COUNTIF($D$7:$E$7, L$2)&gt;0, VLOOKUP($J44,'Gear Values'!$A$2:$E$13, IF(COUNTBLANK('Attributes &amp; Prefixes'!$B$7:$C$7)&gt;0, "4", "5"), 0)), "")</f>
        <v>38</v>
      </c>
      <c r="M44" s="137" t="str" cm="1">
        <f t="array" ref="M44">IF(COUNTIF($B$7:$E$7, M$2)&gt;0, _xlfn.IFS(COUNTIF($B$7:$C$7, M$2)&gt;0, VLOOKUP($J44,'Gear Values'!$A$2:$E$13, IF(COUNTBLANK('Attributes &amp; Prefixes'!$B$7:$C$7)&gt;0, "2", "3"), 0), COUNTIF($D$7:$E$7, M$2)&gt;0, VLOOKUP($J44,'Gear Values'!$A$2:$E$13, IF(COUNTBLANK('Attributes &amp; Prefixes'!$B$7:$C$7)&gt;0, "4", "5"), 0)), "")</f>
        <v/>
      </c>
      <c r="N44" s="137" cm="1">
        <f t="array" ref="N44">IF(COUNTIF($B$7:$E$7, N$2)&gt;0, _xlfn.IFS(COUNTIF($B$7:$C$7, N$2)&gt;0, VLOOKUP($J44,'Gear Values'!$A$2:$E$13, IF(COUNTBLANK('Attributes &amp; Prefixes'!$B$7:$C$7)&gt;0, "2", "3"), 0), COUNTIF($D$7:$E$7, N$2)&gt;0, VLOOKUP($J44,'Gear Values'!$A$2:$E$13, IF(COUNTBLANK('Attributes &amp; Prefixes'!$B$7:$C$7)&gt;0, "4", "5"), 0)), "")</f>
        <v>21</v>
      </c>
      <c r="O44" s="137" t="str" cm="1">
        <f t="array" ref="O44">IF(COUNTIF($B$7:$E$7, O$2)&gt;0, _xlfn.IFS(COUNTIF($B$7:$C$7, O$2)&gt;0, VLOOKUP($J44,'Gear Values'!$A$2:$E$13, IF(COUNTBLANK('Attributes &amp; Prefixes'!$B$7:$C$7)&gt;0, "2", "3"), 0), COUNTIF($D$7:$E$7, O$2)&gt;0, VLOOKUP($J44,'Gear Values'!$A$2:$E$13, IF(COUNTBLANK('Attributes &amp; Prefixes'!$B$7:$C$7)&gt;0, "4", "5"), 0)), "")</f>
        <v/>
      </c>
      <c r="P44" s="137" t="str" cm="1">
        <f t="array" ref="P44">IF(COUNTIF($B$7:$E$7, P$2)&gt;0, _xlfn.IFS(COUNTIF($B$7:$C$7, P$2)&gt;0, VLOOKUP($J44,'Gear Values'!$A$2:$E$13, IF(COUNTBLANK('Attributes &amp; Prefixes'!$B$7:$C$7)&gt;0, "2", "3"), 0), COUNTIF($D$7:$E$7, P$2)&gt;0, VLOOKUP($J44,'Gear Values'!$A$2:$E$13, IF(COUNTBLANK('Attributes &amp; Prefixes'!$B$7:$C$7)&gt;0, "4", "5"), 0)), "")</f>
        <v/>
      </c>
      <c r="Q44" s="137" t="str" cm="1">
        <f t="array" ref="Q44">IF(COUNTIF($B$7:$E$7, Q$2)&gt;0, _xlfn.IFS(COUNTIF($B$7:$C$7, Q$2)&gt;0, VLOOKUP($J44,'Gear Values'!$A$2:$E$13, IF(COUNTBLANK('Attributes &amp; Prefixes'!$B$7:$C$7)&gt;0, "2", "3"), 0), COUNTIF($D$7:$E$7, Q$2)&gt;0, VLOOKUP($J44,'Gear Values'!$A$2:$E$13, IF(COUNTBLANK('Attributes &amp; Prefixes'!$B$7:$C$7)&gt;0, "4", "5"), 0)), "")</f>
        <v/>
      </c>
      <c r="R44" s="137" t="str" cm="1">
        <f t="array" ref="R44">IF(COUNTIF($B$7:$E$7, R$2)&gt;0, _xlfn.IFS(COUNTIF($B$7:$C$7, R$2)&gt;0, VLOOKUP($J44,'Gear Values'!$A$2:$E$13, IF(COUNTBLANK('Attributes &amp; Prefixes'!$B$7:$C$7)&gt;0, "2", "3"), 0), COUNTIF($D$7:$E$7, R$2)&gt;0, VLOOKUP($J44,'Gear Values'!$A$2:$E$13, IF(COUNTBLANK('Attributes &amp; Prefixes'!$B$7:$C$7)&gt;0, "4", "5"), 0)), "")</f>
        <v/>
      </c>
      <c r="S44" s="138" cm="1">
        <f t="array" ref="S44">IF(COUNTIF($B$7:$E$7, S$2)&gt;0, _xlfn.IFS(COUNTIF($B$7:$C$7, S$2)&gt;0, VLOOKUP($J44,'Gear Values'!$A$2:$E$13, IF(COUNTBLANK('Attributes &amp; Prefixes'!$B$7:$C$7)&gt;0, "2", "3"), 0), COUNTIF($D$7:$E$7, S$2)&gt;0, VLOOKUP($J44,'Gear Values'!$A$2:$E$13, IF(COUNTBLANK('Attributes &amp; Prefixes'!$B$7:$C$7)&gt;0, "4", "5"), 0)), "")</f>
        <v>21</v>
      </c>
      <c r="V44" s="112"/>
      <c r="W44" s="113"/>
    </row>
    <row r="45" spans="1:23">
      <c r="A45" s="128" t="s">
        <v>2469</v>
      </c>
      <c r="B45" s="121" t="s">
        <v>6</v>
      </c>
      <c r="C45" s="122" t="s">
        <v>7</v>
      </c>
      <c r="D45" s="122" t="s">
        <v>9</v>
      </c>
      <c r="E45" s="122" t="s">
        <v>11</v>
      </c>
      <c r="F45" s="448" t="str">
        <f>IF(OR(COUNTBLANK(AttributeFilter) = 1,AttributeFilter="(Select)"), A45, IF(COUNTIF(B45:E45, AttributeFilter)&gt;0, A45, ""))</f>
        <v>Swashbuckler</v>
      </c>
      <c r="G45" s="111"/>
      <c r="H45" s="130" t="str">
        <f>_xlfn.CONCAT(I$39,J45)</f>
        <v>AvatarLegs</v>
      </c>
      <c r="I45" s="520"/>
      <c r="J45" s="144" t="s">
        <v>47</v>
      </c>
      <c r="K45" s="136" cm="1">
        <f t="array" ref="K45">IF(COUNTIF($B$7:$E$7, K$2)&gt;0, _xlfn.IFS(COUNTIF($B$7:$C$7, K$2)&gt;0, VLOOKUP($J45,'Gear Values'!$A$2:$E$13, IF(COUNTBLANK('Attributes &amp; Prefixes'!$B$7:$C$7)&gt;0, "2", "3"), 0), COUNTIF($D$7:$E$7, K$2)&gt;0, VLOOKUP($J45,'Gear Values'!$A$2:$E$13, IF(COUNTBLANK('Attributes &amp; Prefixes'!$B$7:$C$7)&gt;0, "4", "5"), 0)), "")</f>
        <v>77</v>
      </c>
      <c r="L45" s="137" cm="1">
        <f t="array" ref="L45">IF(COUNTIF($B$7:$E$7, L$2)&gt;0, _xlfn.IFS(COUNTIF($B$7:$C$7, L$2)&gt;0, VLOOKUP($J45,'Gear Values'!$A$2:$E$13, IF(COUNTBLANK('Attributes &amp; Prefixes'!$B$7:$C$7)&gt;0, "2", "3"), 0), COUNTIF($D$7:$E$7, L$2)&gt;0, VLOOKUP($J45,'Gear Values'!$A$2:$E$13, IF(COUNTBLANK('Attributes &amp; Prefixes'!$B$7:$C$7)&gt;0, "4", "5"), 0)), "")</f>
        <v>77</v>
      </c>
      <c r="M45" s="137" t="str" cm="1">
        <f t="array" ref="M45">IF(COUNTIF($B$7:$E$7, M$2)&gt;0, _xlfn.IFS(COUNTIF($B$7:$C$7, M$2)&gt;0, VLOOKUP($J45,'Gear Values'!$A$2:$E$13, IF(COUNTBLANK('Attributes &amp; Prefixes'!$B$7:$C$7)&gt;0, "2", "3"), 0), COUNTIF($D$7:$E$7, M$2)&gt;0, VLOOKUP($J45,'Gear Values'!$A$2:$E$13, IF(COUNTBLANK('Attributes &amp; Prefixes'!$B$7:$C$7)&gt;0, "4", "5"), 0)), "")</f>
        <v/>
      </c>
      <c r="N45" s="137" cm="1">
        <f t="array" ref="N45">IF(COUNTIF($B$7:$E$7, N$2)&gt;0, _xlfn.IFS(COUNTIF($B$7:$C$7, N$2)&gt;0, VLOOKUP($J45,'Gear Values'!$A$2:$E$13, IF(COUNTBLANK('Attributes &amp; Prefixes'!$B$7:$C$7)&gt;0, "2", "3"), 0), COUNTIF($D$7:$E$7, N$2)&gt;0, VLOOKUP($J45,'Gear Values'!$A$2:$E$13, IF(COUNTBLANK('Attributes &amp; Prefixes'!$B$7:$C$7)&gt;0, "4", "5"), 0)), "")</f>
        <v>42</v>
      </c>
      <c r="O45" s="137" t="str" cm="1">
        <f t="array" ref="O45">IF(COUNTIF($B$7:$E$7, O$2)&gt;0, _xlfn.IFS(COUNTIF($B$7:$C$7, O$2)&gt;0, VLOOKUP($J45,'Gear Values'!$A$2:$E$13, IF(COUNTBLANK('Attributes &amp; Prefixes'!$B$7:$C$7)&gt;0, "2", "3"), 0), COUNTIF($D$7:$E$7, O$2)&gt;0, VLOOKUP($J45,'Gear Values'!$A$2:$E$13, IF(COUNTBLANK('Attributes &amp; Prefixes'!$B$7:$C$7)&gt;0, "4", "5"), 0)), "")</f>
        <v/>
      </c>
      <c r="P45" s="137" t="str" cm="1">
        <f t="array" ref="P45">IF(COUNTIF($B$7:$E$7, P$2)&gt;0, _xlfn.IFS(COUNTIF($B$7:$C$7, P$2)&gt;0, VLOOKUP($J45,'Gear Values'!$A$2:$E$13, IF(COUNTBLANK('Attributes &amp; Prefixes'!$B$7:$C$7)&gt;0, "2", "3"), 0), COUNTIF($D$7:$E$7, P$2)&gt;0, VLOOKUP($J45,'Gear Values'!$A$2:$E$13, IF(COUNTBLANK('Attributes &amp; Prefixes'!$B$7:$C$7)&gt;0, "4", "5"), 0)), "")</f>
        <v/>
      </c>
      <c r="Q45" s="137" t="str" cm="1">
        <f t="array" ref="Q45">IF(COUNTIF($B$7:$E$7, Q$2)&gt;0, _xlfn.IFS(COUNTIF($B$7:$C$7, Q$2)&gt;0, VLOOKUP($J45,'Gear Values'!$A$2:$E$13, IF(COUNTBLANK('Attributes &amp; Prefixes'!$B$7:$C$7)&gt;0, "2", "3"), 0), COUNTIF($D$7:$E$7, Q$2)&gt;0, VLOOKUP($J45,'Gear Values'!$A$2:$E$13, IF(COUNTBLANK('Attributes &amp; Prefixes'!$B$7:$C$7)&gt;0, "4", "5"), 0)), "")</f>
        <v/>
      </c>
      <c r="R45" s="137" t="str" cm="1">
        <f t="array" ref="R45">IF(COUNTIF($B$7:$E$7, R$2)&gt;0, _xlfn.IFS(COUNTIF($B$7:$C$7, R$2)&gt;0, VLOOKUP($J45,'Gear Values'!$A$2:$E$13, IF(COUNTBLANK('Attributes &amp; Prefixes'!$B$7:$C$7)&gt;0, "2", "3"), 0), COUNTIF($D$7:$E$7, R$2)&gt;0, VLOOKUP($J45,'Gear Values'!$A$2:$E$13, IF(COUNTBLANK('Attributes &amp; Prefixes'!$B$7:$C$7)&gt;0, "4", "5"), 0)), "")</f>
        <v/>
      </c>
      <c r="S45" s="138" cm="1">
        <f t="array" ref="S45">IF(COUNTIF($B$7:$E$7, S$2)&gt;0, _xlfn.IFS(COUNTIF($B$7:$C$7, S$2)&gt;0, VLOOKUP($J45,'Gear Values'!$A$2:$E$13, IF(COUNTBLANK('Attributes &amp; Prefixes'!$B$7:$C$7)&gt;0, "2", "3"), 0), COUNTIF($D$7:$E$7, S$2)&gt;0, VLOOKUP($J45,'Gear Values'!$A$2:$E$13, IF(COUNTBLANK('Attributes &amp; Prefixes'!$B$7:$C$7)&gt;0, "4", "5"), 0)), "")</f>
        <v>42</v>
      </c>
      <c r="V45" s="112"/>
      <c r="W45" s="113"/>
    </row>
    <row r="46" spans="1:23">
      <c r="A46" s="128" t="s">
        <v>2470</v>
      </c>
      <c r="B46" s="121" t="s">
        <v>8</v>
      </c>
      <c r="C46" s="122" t="s">
        <v>11</v>
      </c>
      <c r="D46" s="122" t="s">
        <v>9</v>
      </c>
      <c r="E46" s="122" t="s">
        <v>12</v>
      </c>
      <c r="F46" s="448" t="str">
        <f>IF(OR(COUNTBLANK(AttributeFilter) = 1,AttributeFilter="(Select)"), A46, IF(COUNTIF(B46:E46, AttributeFilter)&gt;0, A46, ""))</f>
        <v>Trailblazer</v>
      </c>
      <c r="G46" s="111"/>
      <c r="H46" s="130" t="str">
        <f>_xlfn.CONCAT(I$39,J46)</f>
        <v>AvatarFeet</v>
      </c>
      <c r="I46" s="520"/>
      <c r="J46" s="144" t="s">
        <v>48</v>
      </c>
      <c r="K46" s="136" cm="1">
        <f t="array" ref="K46">IF(COUNTIF($B$7:$E$7, K$2)&gt;0, _xlfn.IFS(COUNTIF($B$7:$C$7, K$2)&gt;0, VLOOKUP($J46,'Gear Values'!$A$2:$E$13, IF(COUNTBLANK('Attributes &amp; Prefixes'!$B$7:$C$7)&gt;0, "2", "3"), 0), COUNTIF($D$7:$E$7, K$2)&gt;0, VLOOKUP($J46,'Gear Values'!$A$2:$E$13, IF(COUNTBLANK('Attributes &amp; Prefixes'!$B$7:$C$7)&gt;0, "4", "5"), 0)), "")</f>
        <v>38</v>
      </c>
      <c r="L46" s="137" cm="1">
        <f t="array" ref="L46">IF(COUNTIF($B$7:$E$7, L$2)&gt;0, _xlfn.IFS(COUNTIF($B$7:$C$7, L$2)&gt;0, VLOOKUP($J46,'Gear Values'!$A$2:$E$13, IF(COUNTBLANK('Attributes &amp; Prefixes'!$B$7:$C$7)&gt;0, "2", "3"), 0), COUNTIF($D$7:$E$7, L$2)&gt;0, VLOOKUP($J46,'Gear Values'!$A$2:$E$13, IF(COUNTBLANK('Attributes &amp; Prefixes'!$B$7:$C$7)&gt;0, "4", "5"), 0)), "")</f>
        <v>38</v>
      </c>
      <c r="M46" s="137" t="str" cm="1">
        <f t="array" ref="M46">IF(COUNTIF($B$7:$E$7, M$2)&gt;0, _xlfn.IFS(COUNTIF($B$7:$C$7, M$2)&gt;0, VLOOKUP($J46,'Gear Values'!$A$2:$E$13, IF(COUNTBLANK('Attributes &amp; Prefixes'!$B$7:$C$7)&gt;0, "2", "3"), 0), COUNTIF($D$7:$E$7, M$2)&gt;0, VLOOKUP($J46,'Gear Values'!$A$2:$E$13, IF(COUNTBLANK('Attributes &amp; Prefixes'!$B$7:$C$7)&gt;0, "4", "5"), 0)), "")</f>
        <v/>
      </c>
      <c r="N46" s="137" cm="1">
        <f t="array" ref="N46">IF(COUNTIF($B$7:$E$7, N$2)&gt;0, _xlfn.IFS(COUNTIF($B$7:$C$7, N$2)&gt;0, VLOOKUP($J46,'Gear Values'!$A$2:$E$13, IF(COUNTBLANK('Attributes &amp; Prefixes'!$B$7:$C$7)&gt;0, "2", "3"), 0), COUNTIF($D$7:$E$7, N$2)&gt;0, VLOOKUP($J46,'Gear Values'!$A$2:$E$13, IF(COUNTBLANK('Attributes &amp; Prefixes'!$B$7:$C$7)&gt;0, "4", "5"), 0)), "")</f>
        <v>21</v>
      </c>
      <c r="O46" s="137" t="str" cm="1">
        <f t="array" ref="O46">IF(COUNTIF($B$7:$E$7, O$2)&gt;0, _xlfn.IFS(COUNTIF($B$7:$C$7, O$2)&gt;0, VLOOKUP($J46,'Gear Values'!$A$2:$E$13, IF(COUNTBLANK('Attributes &amp; Prefixes'!$B$7:$C$7)&gt;0, "2", "3"), 0), COUNTIF($D$7:$E$7, O$2)&gt;0, VLOOKUP($J46,'Gear Values'!$A$2:$E$13, IF(COUNTBLANK('Attributes &amp; Prefixes'!$B$7:$C$7)&gt;0, "4", "5"), 0)), "")</f>
        <v/>
      </c>
      <c r="P46" s="137" t="str" cm="1">
        <f t="array" ref="P46">IF(COUNTIF($B$7:$E$7, P$2)&gt;0, _xlfn.IFS(COUNTIF($B$7:$C$7, P$2)&gt;0, VLOOKUP($J46,'Gear Values'!$A$2:$E$13, IF(COUNTBLANK('Attributes &amp; Prefixes'!$B$7:$C$7)&gt;0, "2", "3"), 0), COUNTIF($D$7:$E$7, P$2)&gt;0, VLOOKUP($J46,'Gear Values'!$A$2:$E$13, IF(COUNTBLANK('Attributes &amp; Prefixes'!$B$7:$C$7)&gt;0, "4", "5"), 0)), "")</f>
        <v/>
      </c>
      <c r="Q46" s="137" t="str" cm="1">
        <f t="array" ref="Q46">IF(COUNTIF($B$7:$E$7, Q$2)&gt;0, _xlfn.IFS(COUNTIF($B$7:$C$7, Q$2)&gt;0, VLOOKUP($J46,'Gear Values'!$A$2:$E$13, IF(COUNTBLANK('Attributes &amp; Prefixes'!$B$7:$C$7)&gt;0, "2", "3"), 0), COUNTIF($D$7:$E$7, Q$2)&gt;0, VLOOKUP($J46,'Gear Values'!$A$2:$E$13, IF(COUNTBLANK('Attributes &amp; Prefixes'!$B$7:$C$7)&gt;0, "4", "5"), 0)), "")</f>
        <v/>
      </c>
      <c r="R46" s="137" t="str" cm="1">
        <f t="array" ref="R46">IF(COUNTIF($B$7:$E$7, R$2)&gt;0, _xlfn.IFS(COUNTIF($B$7:$C$7, R$2)&gt;0, VLOOKUP($J46,'Gear Values'!$A$2:$E$13, IF(COUNTBLANK('Attributes &amp; Prefixes'!$B$7:$C$7)&gt;0, "2", "3"), 0), COUNTIF($D$7:$E$7, R$2)&gt;0, VLOOKUP($J46,'Gear Values'!$A$2:$E$13, IF(COUNTBLANK('Attributes &amp; Prefixes'!$B$7:$C$7)&gt;0, "4", "5"), 0)), "")</f>
        <v/>
      </c>
      <c r="S46" s="138" cm="1">
        <f t="array" ref="S46">IF(COUNTIF($B$7:$E$7, S$2)&gt;0, _xlfn.IFS(COUNTIF($B$7:$C$7, S$2)&gt;0, VLOOKUP($J46,'Gear Values'!$A$2:$E$13, IF(COUNTBLANK('Attributes &amp; Prefixes'!$B$7:$C$7)&gt;0, "2", "3"), 0), COUNTIF($D$7:$E$7, S$2)&gt;0, VLOOKUP($J46,'Gear Values'!$A$2:$E$13, IF(COUNTBLANK('Attributes &amp; Prefixes'!$B$7:$C$7)&gt;0, "4", "5"), 0)), "")</f>
        <v>21</v>
      </c>
      <c r="V46" s="112"/>
      <c r="W46" s="113"/>
    </row>
    <row r="47" spans="1:23">
      <c r="A47" s="128" t="s">
        <v>2471</v>
      </c>
      <c r="B47" s="121" t="s">
        <v>6</v>
      </c>
      <c r="C47" s="122" t="s">
        <v>11</v>
      </c>
      <c r="D47" s="122" t="s">
        <v>7</v>
      </c>
      <c r="E47" s="122" t="s">
        <v>8</v>
      </c>
      <c r="F47" s="448" t="str">
        <f>IF(OR(COUNTBLANK(AttributeFilter) = 1,AttributeFilter="(Select)"), A47, IF(COUNTIF(B47:E47, AttributeFilter)&gt;0, A47, ""))</f>
        <v>Tyrant</v>
      </c>
      <c r="G47" s="111"/>
      <c r="H47" s="130" t="str">
        <f>_xlfn.CONCAT(I$39,J47)</f>
        <v>AvatarEar</v>
      </c>
      <c r="I47" s="520"/>
      <c r="J47" s="144" t="s">
        <v>49</v>
      </c>
      <c r="K47" s="136" cm="1">
        <f t="array" ref="K47">IF(COUNTIF($B$7:$E$7, K$2)&gt;0, _xlfn.IFS(COUNTIF($B$7:$C$7, K$2)&gt;0, VLOOKUP($J47,'Gear Values'!$A$2:$E$13, IF(COUNTBLANK('Attributes &amp; Prefixes'!$B$7:$C$7)&gt;0, "2", "3"), 0), COUNTIF($D$7:$E$7, K$2)&gt;0, VLOOKUP($J47,'Gear Values'!$A$2:$E$13, IF(COUNTBLANK('Attributes &amp; Prefixes'!$B$7:$C$7)&gt;0, "4", "5"), 0)), "")</f>
        <v>64</v>
      </c>
      <c r="L47" s="137" cm="1">
        <f t="array" ref="L47">IF(COUNTIF($B$7:$E$7, L$2)&gt;0, _xlfn.IFS(COUNTIF($B$7:$C$7, L$2)&gt;0, VLOOKUP($J47,'Gear Values'!$A$2:$E$13, IF(COUNTBLANK('Attributes &amp; Prefixes'!$B$7:$C$7)&gt;0, "2", "3"), 0), COUNTIF($D$7:$E$7, L$2)&gt;0, VLOOKUP($J47,'Gear Values'!$A$2:$E$13, IF(COUNTBLANK('Attributes &amp; Prefixes'!$B$7:$C$7)&gt;0, "4", "5"), 0)), "")</f>
        <v>64</v>
      </c>
      <c r="M47" s="137" t="str" cm="1">
        <f t="array" ref="M47">IF(COUNTIF($B$7:$E$7, M$2)&gt;0, _xlfn.IFS(COUNTIF($B$7:$C$7, M$2)&gt;0, VLOOKUP($J47,'Gear Values'!$A$2:$E$13, IF(COUNTBLANK('Attributes &amp; Prefixes'!$B$7:$C$7)&gt;0, "2", "3"), 0), COUNTIF($D$7:$E$7, M$2)&gt;0, VLOOKUP($J47,'Gear Values'!$A$2:$E$13, IF(COUNTBLANK('Attributes &amp; Prefixes'!$B$7:$C$7)&gt;0, "4", "5"), 0)), "")</f>
        <v/>
      </c>
      <c r="N47" s="137" cm="1">
        <f t="array" ref="N47">IF(COUNTIF($B$7:$E$7, N$2)&gt;0, _xlfn.IFS(COUNTIF($B$7:$C$7, N$2)&gt;0, VLOOKUP($J47,'Gear Values'!$A$2:$E$13, IF(COUNTBLANK('Attributes &amp; Prefixes'!$B$7:$C$7)&gt;0, "2", "3"), 0), COUNTIF($D$7:$E$7, N$2)&gt;0, VLOOKUP($J47,'Gear Values'!$A$2:$E$13, IF(COUNTBLANK('Attributes &amp; Prefixes'!$B$7:$C$7)&gt;0, "4", "5"), 0)), "")</f>
        <v>35</v>
      </c>
      <c r="O47" s="137" t="str" cm="1">
        <f t="array" ref="O47">IF(COUNTIF($B$7:$E$7, O$2)&gt;0, _xlfn.IFS(COUNTIF($B$7:$C$7, O$2)&gt;0, VLOOKUP($J47,'Gear Values'!$A$2:$E$13, IF(COUNTBLANK('Attributes &amp; Prefixes'!$B$7:$C$7)&gt;0, "2", "3"), 0), COUNTIF($D$7:$E$7, O$2)&gt;0, VLOOKUP($J47,'Gear Values'!$A$2:$E$13, IF(COUNTBLANK('Attributes &amp; Prefixes'!$B$7:$C$7)&gt;0, "4", "5"), 0)), "")</f>
        <v/>
      </c>
      <c r="P47" s="137" t="str" cm="1">
        <f t="array" ref="P47">IF(COUNTIF($B$7:$E$7, P$2)&gt;0, _xlfn.IFS(COUNTIF($B$7:$C$7, P$2)&gt;0, VLOOKUP($J47,'Gear Values'!$A$2:$E$13, IF(COUNTBLANK('Attributes &amp; Prefixes'!$B$7:$C$7)&gt;0, "2", "3"), 0), COUNTIF($D$7:$E$7, P$2)&gt;0, VLOOKUP($J47,'Gear Values'!$A$2:$E$13, IF(COUNTBLANK('Attributes &amp; Prefixes'!$B$7:$C$7)&gt;0, "4", "5"), 0)), "")</f>
        <v/>
      </c>
      <c r="Q47" s="137" t="str" cm="1">
        <f t="array" ref="Q47">IF(COUNTIF($B$7:$E$7, Q$2)&gt;0, _xlfn.IFS(COUNTIF($B$7:$C$7, Q$2)&gt;0, VLOOKUP($J47,'Gear Values'!$A$2:$E$13, IF(COUNTBLANK('Attributes &amp; Prefixes'!$B$7:$C$7)&gt;0, "2", "3"), 0), COUNTIF($D$7:$E$7, Q$2)&gt;0, VLOOKUP($J47,'Gear Values'!$A$2:$E$13, IF(COUNTBLANK('Attributes &amp; Prefixes'!$B$7:$C$7)&gt;0, "4", "5"), 0)), "")</f>
        <v/>
      </c>
      <c r="R47" s="137" t="str" cm="1">
        <f t="array" ref="R47">IF(COUNTIF($B$7:$E$7, R$2)&gt;0, _xlfn.IFS(COUNTIF($B$7:$C$7, R$2)&gt;0, VLOOKUP($J47,'Gear Values'!$A$2:$E$13, IF(COUNTBLANK('Attributes &amp; Prefixes'!$B$7:$C$7)&gt;0, "2", "3"), 0), COUNTIF($D$7:$E$7, R$2)&gt;0, VLOOKUP($J47,'Gear Values'!$A$2:$E$13, IF(COUNTBLANK('Attributes &amp; Prefixes'!$B$7:$C$7)&gt;0, "4", "5"), 0)), "")</f>
        <v/>
      </c>
      <c r="S47" s="138" cm="1">
        <f t="array" ref="S47">IF(COUNTIF($B$7:$E$7, S$2)&gt;0, _xlfn.IFS(COUNTIF($B$7:$C$7, S$2)&gt;0, VLOOKUP($J47,'Gear Values'!$A$2:$E$13, IF(COUNTBLANK('Attributes &amp; Prefixes'!$B$7:$C$7)&gt;0, "2", "3"), 0), COUNTIF($D$7:$E$7, S$2)&gt;0, VLOOKUP($J47,'Gear Values'!$A$2:$E$13, IF(COUNTBLANK('Attributes &amp; Prefixes'!$B$7:$C$7)&gt;0, "4", "5"), 0)), "")</f>
        <v>35</v>
      </c>
      <c r="V47" s="112"/>
      <c r="W47" s="113"/>
    </row>
    <row r="48" spans="1:23">
      <c r="A48" s="128" t="s">
        <v>2472</v>
      </c>
      <c r="B48" s="121" t="s">
        <v>6</v>
      </c>
      <c r="C48" s="122"/>
      <c r="D48" s="122" t="s">
        <v>9</v>
      </c>
      <c r="E48" s="122" t="s">
        <v>13</v>
      </c>
      <c r="F48" s="448" t="str">
        <f>IF(OR(COUNTBLANK(AttributeFilter) = 1,AttributeFilter="(Select)"), A48, IF(COUNTIF(B48:E48, AttributeFilter)&gt;0, A48, ""))</f>
        <v>Valkyrie</v>
      </c>
      <c r="G48" s="111"/>
      <c r="H48" s="130" t="str">
        <f>_xlfn.CONCAT(I$39,J48)</f>
        <v>AvatarFinger</v>
      </c>
      <c r="I48" s="520"/>
      <c r="J48" s="144" t="s">
        <v>51</v>
      </c>
      <c r="K48" s="136" cm="1">
        <f t="array" ref="K48">IF(COUNTIF($B$7:$E$7, K$2)&gt;0, _xlfn.IFS(COUNTIF($B$7:$C$7, K$2)&gt;0, VLOOKUP($J48,'Gear Values'!$A$2:$E$13, IF(COUNTBLANK('Attributes &amp; Prefixes'!$B$7:$C$7)&gt;0, "2", "3"), 0), COUNTIF($D$7:$E$7, K$2)&gt;0, VLOOKUP($J48,'Gear Values'!$A$2:$E$13, IF(COUNTBLANK('Attributes &amp; Prefixes'!$B$7:$C$7)&gt;0, "4", "5"), 0)), "")</f>
        <v>77</v>
      </c>
      <c r="L48" s="137" cm="1">
        <f t="array" ref="L48">IF(COUNTIF($B$7:$E$7, L$2)&gt;0, _xlfn.IFS(COUNTIF($B$7:$C$7, L$2)&gt;0, VLOOKUP($J48,'Gear Values'!$A$2:$E$13, IF(COUNTBLANK('Attributes &amp; Prefixes'!$B$7:$C$7)&gt;0, "2", "3"), 0), COUNTIF($D$7:$E$7, L$2)&gt;0, VLOOKUP($J48,'Gear Values'!$A$2:$E$13, IF(COUNTBLANK('Attributes &amp; Prefixes'!$B$7:$C$7)&gt;0, "4", "5"), 0)), "")</f>
        <v>77</v>
      </c>
      <c r="M48" s="137" t="str" cm="1">
        <f t="array" ref="M48">IF(COUNTIF($B$7:$E$7, M$2)&gt;0, _xlfn.IFS(COUNTIF($B$7:$C$7, M$2)&gt;0, VLOOKUP($J48,'Gear Values'!$A$2:$E$13, IF(COUNTBLANK('Attributes &amp; Prefixes'!$B$7:$C$7)&gt;0, "2", "3"), 0), COUNTIF($D$7:$E$7, M$2)&gt;0, VLOOKUP($J48,'Gear Values'!$A$2:$E$13, IF(COUNTBLANK('Attributes &amp; Prefixes'!$B$7:$C$7)&gt;0, "4", "5"), 0)), "")</f>
        <v/>
      </c>
      <c r="N48" s="137" cm="1">
        <f t="array" ref="N48">IF(COUNTIF($B$7:$E$7, N$2)&gt;0, _xlfn.IFS(COUNTIF($B$7:$C$7, N$2)&gt;0, VLOOKUP($J48,'Gear Values'!$A$2:$E$13, IF(COUNTBLANK('Attributes &amp; Prefixes'!$B$7:$C$7)&gt;0, "2", "3"), 0), COUNTIF($D$7:$E$7, N$2)&gt;0, VLOOKUP($J48,'Gear Values'!$A$2:$E$13, IF(COUNTBLANK('Attributes &amp; Prefixes'!$B$7:$C$7)&gt;0, "4", "5"), 0)), "")</f>
        <v>42</v>
      </c>
      <c r="O48" s="137" t="str" cm="1">
        <f t="array" ref="O48">IF(COUNTIF($B$7:$E$7, O$2)&gt;0, _xlfn.IFS(COUNTIF($B$7:$C$7, O$2)&gt;0, VLOOKUP($J48,'Gear Values'!$A$2:$E$13, IF(COUNTBLANK('Attributes &amp; Prefixes'!$B$7:$C$7)&gt;0, "2", "3"), 0), COUNTIF($D$7:$E$7, O$2)&gt;0, VLOOKUP($J48,'Gear Values'!$A$2:$E$13, IF(COUNTBLANK('Attributes &amp; Prefixes'!$B$7:$C$7)&gt;0, "4", "5"), 0)), "")</f>
        <v/>
      </c>
      <c r="P48" s="137" t="str" cm="1">
        <f t="array" ref="P48">IF(COUNTIF($B$7:$E$7, P$2)&gt;0, _xlfn.IFS(COUNTIF($B$7:$C$7, P$2)&gt;0, VLOOKUP($J48,'Gear Values'!$A$2:$E$13, IF(COUNTBLANK('Attributes &amp; Prefixes'!$B$7:$C$7)&gt;0, "2", "3"), 0), COUNTIF($D$7:$E$7, P$2)&gt;0, VLOOKUP($J48,'Gear Values'!$A$2:$E$13, IF(COUNTBLANK('Attributes &amp; Prefixes'!$B$7:$C$7)&gt;0, "4", "5"), 0)), "")</f>
        <v/>
      </c>
      <c r="Q48" s="137" t="str" cm="1">
        <f t="array" ref="Q48">IF(COUNTIF($B$7:$E$7, Q$2)&gt;0, _xlfn.IFS(COUNTIF($B$7:$C$7, Q$2)&gt;0, VLOOKUP($J48,'Gear Values'!$A$2:$E$13, IF(COUNTBLANK('Attributes &amp; Prefixes'!$B$7:$C$7)&gt;0, "2", "3"), 0), COUNTIF($D$7:$E$7, Q$2)&gt;0, VLOOKUP($J48,'Gear Values'!$A$2:$E$13, IF(COUNTBLANK('Attributes &amp; Prefixes'!$B$7:$C$7)&gt;0, "4", "5"), 0)), "")</f>
        <v/>
      </c>
      <c r="R48" s="137" t="str" cm="1">
        <f t="array" ref="R48">IF(COUNTIF($B$7:$E$7, R$2)&gt;0, _xlfn.IFS(COUNTIF($B$7:$C$7, R$2)&gt;0, VLOOKUP($J48,'Gear Values'!$A$2:$E$13, IF(COUNTBLANK('Attributes &amp; Prefixes'!$B$7:$C$7)&gt;0, "2", "3"), 0), COUNTIF($D$7:$E$7, R$2)&gt;0, VLOOKUP($J48,'Gear Values'!$A$2:$E$13, IF(COUNTBLANK('Attributes &amp; Prefixes'!$B$7:$C$7)&gt;0, "4", "5"), 0)), "")</f>
        <v/>
      </c>
      <c r="S48" s="138" cm="1">
        <f t="array" ref="S48">IF(COUNTIF($B$7:$E$7, S$2)&gt;0, _xlfn.IFS(COUNTIF($B$7:$C$7, S$2)&gt;0, VLOOKUP($J48,'Gear Values'!$A$2:$E$13, IF(COUNTBLANK('Attributes &amp; Prefixes'!$B$7:$C$7)&gt;0, "2", "3"), 0), COUNTIF($D$7:$E$7, S$2)&gt;0, VLOOKUP($J48,'Gear Values'!$A$2:$E$13, IF(COUNTBLANK('Attributes &amp; Prefixes'!$B$7:$C$7)&gt;0, "4", "5"), 0)), "")</f>
        <v>42</v>
      </c>
      <c r="V48" s="112"/>
      <c r="W48" s="113"/>
    </row>
    <row r="49" spans="1:23">
      <c r="A49" s="128" t="s">
        <v>2473</v>
      </c>
      <c r="B49" s="121" t="s">
        <v>6</v>
      </c>
      <c r="C49" s="122" t="s">
        <v>8</v>
      </c>
      <c r="D49" s="122" t="s">
        <v>10</v>
      </c>
      <c r="E49" s="122" t="s">
        <v>12</v>
      </c>
      <c r="F49" s="448" t="str">
        <f>IF(OR(COUNTBLANK(AttributeFilter) = 1,AttributeFilter="(Select)"), A49, IF(COUNTIF(B49:E49, AttributeFilter)&gt;0, A49, ""))</f>
        <v>Vigilant</v>
      </c>
      <c r="G49" s="111"/>
      <c r="H49" s="130" t="str">
        <f>_xlfn.CONCAT(I$39,J49)</f>
        <v>AvatarNeck</v>
      </c>
      <c r="I49" s="520"/>
      <c r="J49" s="144" t="s">
        <v>52</v>
      </c>
      <c r="K49" s="136" cm="1">
        <f t="array" ref="K49">IF(COUNTIF($B$7:$E$7, K$2)&gt;0, _xlfn.IFS(COUNTIF($B$7:$C$7, K$2)&gt;0, VLOOKUP($J49,'Gear Values'!$A$2:$E$13, IF(COUNTBLANK('Attributes &amp; Prefixes'!$B$7:$C$7)&gt;0, "2", "3"), 0), COUNTIF($D$7:$E$7, K$2)&gt;0, VLOOKUP($J49,'Gear Values'!$A$2:$E$13, IF(COUNTBLANK('Attributes &amp; Prefixes'!$B$7:$C$7)&gt;0, "4", "5"), 0)), "")</f>
        <v>102</v>
      </c>
      <c r="L49" s="137" cm="1">
        <f t="array" ref="L49">IF(COUNTIF($B$7:$E$7, L$2)&gt;0, _xlfn.IFS(COUNTIF($B$7:$C$7, L$2)&gt;0, VLOOKUP($J49,'Gear Values'!$A$2:$E$13, IF(COUNTBLANK('Attributes &amp; Prefixes'!$B$7:$C$7)&gt;0, "2", "3"), 0), COUNTIF($D$7:$E$7, L$2)&gt;0, VLOOKUP($J49,'Gear Values'!$A$2:$E$13, IF(COUNTBLANK('Attributes &amp; Prefixes'!$B$7:$C$7)&gt;0, "4", "5"), 0)), "")</f>
        <v>102</v>
      </c>
      <c r="M49" s="137" t="str" cm="1">
        <f t="array" ref="M49">IF(COUNTIF($B$7:$E$7, M$2)&gt;0, _xlfn.IFS(COUNTIF($B$7:$C$7, M$2)&gt;0, VLOOKUP($J49,'Gear Values'!$A$2:$E$13, IF(COUNTBLANK('Attributes &amp; Prefixes'!$B$7:$C$7)&gt;0, "2", "3"), 0), COUNTIF($D$7:$E$7, M$2)&gt;0, VLOOKUP($J49,'Gear Values'!$A$2:$E$13, IF(COUNTBLANK('Attributes &amp; Prefixes'!$B$7:$C$7)&gt;0, "4", "5"), 0)), "")</f>
        <v/>
      </c>
      <c r="N49" s="137" cm="1">
        <f t="array" ref="N49">IF(COUNTIF($B$7:$E$7, N$2)&gt;0, _xlfn.IFS(COUNTIF($B$7:$C$7, N$2)&gt;0, VLOOKUP($J49,'Gear Values'!$A$2:$E$13, IF(COUNTBLANK('Attributes &amp; Prefixes'!$B$7:$C$7)&gt;0, "2", "3"), 0), COUNTIF($D$7:$E$7, N$2)&gt;0, VLOOKUP($J49,'Gear Values'!$A$2:$E$13, IF(COUNTBLANK('Attributes &amp; Prefixes'!$B$7:$C$7)&gt;0, "4", "5"), 0)), "")</f>
        <v>56</v>
      </c>
      <c r="O49" s="137" t="str" cm="1">
        <f t="array" ref="O49">IF(COUNTIF($B$7:$E$7, O$2)&gt;0, _xlfn.IFS(COUNTIF($B$7:$C$7, O$2)&gt;0, VLOOKUP($J49,'Gear Values'!$A$2:$E$13, IF(COUNTBLANK('Attributes &amp; Prefixes'!$B$7:$C$7)&gt;0, "2", "3"), 0), COUNTIF($D$7:$E$7, O$2)&gt;0, VLOOKUP($J49,'Gear Values'!$A$2:$E$13, IF(COUNTBLANK('Attributes &amp; Prefixes'!$B$7:$C$7)&gt;0, "4", "5"), 0)), "")</f>
        <v/>
      </c>
      <c r="P49" s="137" t="str" cm="1">
        <f t="array" ref="P49">IF(COUNTIF($B$7:$E$7, P$2)&gt;0, _xlfn.IFS(COUNTIF($B$7:$C$7, P$2)&gt;0, VLOOKUP($J49,'Gear Values'!$A$2:$E$13, IF(COUNTBLANK('Attributes &amp; Prefixes'!$B$7:$C$7)&gt;0, "2", "3"), 0), COUNTIF($D$7:$E$7, P$2)&gt;0, VLOOKUP($J49,'Gear Values'!$A$2:$E$13, IF(COUNTBLANK('Attributes &amp; Prefixes'!$B$7:$C$7)&gt;0, "4", "5"), 0)), "")</f>
        <v/>
      </c>
      <c r="Q49" s="137" t="str" cm="1">
        <f t="array" ref="Q49">IF(COUNTIF($B$7:$E$7, Q$2)&gt;0, _xlfn.IFS(COUNTIF($B$7:$C$7, Q$2)&gt;0, VLOOKUP($J49,'Gear Values'!$A$2:$E$13, IF(COUNTBLANK('Attributes &amp; Prefixes'!$B$7:$C$7)&gt;0, "2", "3"), 0), COUNTIF($D$7:$E$7, Q$2)&gt;0, VLOOKUP($J49,'Gear Values'!$A$2:$E$13, IF(COUNTBLANK('Attributes &amp; Prefixes'!$B$7:$C$7)&gt;0, "4", "5"), 0)), "")</f>
        <v/>
      </c>
      <c r="R49" s="137" t="str" cm="1">
        <f t="array" ref="R49">IF(COUNTIF($B$7:$E$7, R$2)&gt;0, _xlfn.IFS(COUNTIF($B$7:$C$7, R$2)&gt;0, VLOOKUP($J49,'Gear Values'!$A$2:$E$13, IF(COUNTBLANK('Attributes &amp; Prefixes'!$B$7:$C$7)&gt;0, "2", "3"), 0), COUNTIF($D$7:$E$7, R$2)&gt;0, VLOOKUP($J49,'Gear Values'!$A$2:$E$13, IF(COUNTBLANK('Attributes &amp; Prefixes'!$B$7:$C$7)&gt;0, "4", "5"), 0)), "")</f>
        <v/>
      </c>
      <c r="S49" s="138" cm="1">
        <f t="array" ref="S49">IF(COUNTIF($B$7:$E$7, S$2)&gt;0, _xlfn.IFS(COUNTIF($B$7:$C$7, S$2)&gt;0, VLOOKUP($J49,'Gear Values'!$A$2:$E$13, IF(COUNTBLANK('Attributes &amp; Prefixes'!$B$7:$C$7)&gt;0, "2", "3"), 0), COUNTIF($D$7:$E$7, S$2)&gt;0, VLOOKUP($J49,'Gear Values'!$A$2:$E$13, IF(COUNTBLANK('Attributes &amp; Prefixes'!$B$7:$C$7)&gt;0, "4", "5"), 0)), "")</f>
        <v>56</v>
      </c>
      <c r="V49" s="112"/>
      <c r="W49" s="113"/>
    </row>
    <row r="50" spans="1:23">
      <c r="A50" s="128" t="s">
        <v>2474</v>
      </c>
      <c r="B50" s="121" t="s">
        <v>6</v>
      </c>
      <c r="C50" s="122" t="s">
        <v>11</v>
      </c>
      <c r="D50" s="122" t="s">
        <v>7</v>
      </c>
      <c r="E50" s="122" t="s">
        <v>12</v>
      </c>
      <c r="F50" s="448" t="str">
        <f>IF(OR(COUNTBLANK(AttributeFilter) = 1,AttributeFilter="(Select)"), A50, IF(COUNTIF(B50:E50, AttributeFilter)&gt;0, A50, ""))</f>
        <v>Viper</v>
      </c>
      <c r="G50" s="111"/>
      <c r="H50" s="130" t="str">
        <f>_xlfn.CONCAT(I$39,J50)</f>
        <v>AvatarBack</v>
      </c>
      <c r="I50" s="521"/>
      <c r="J50" s="146" t="s">
        <v>53</v>
      </c>
      <c r="K50" s="147" t="str" cm="1">
        <f t="array" ref="K50">IF(COUNTIF($B$7:$E$7, K$2)&gt;0, _xlfn.IFS(COUNTIF($B$7:$C$7, K$2)&gt;0, VLOOKUP($J50,'Gear Values'!$A$2:$E$13, IF(COUNTBLANK('Attributes &amp; Prefixes'!$B$7:$C$7)&gt;0, "2", "3"), 0), COUNTIF($D$7:$E$7, K$2)&gt;0, VLOOKUP($J50,'Gear Values'!$A$2:$E$13, IF(COUNTBLANK('Attributes &amp; Prefixes'!$B$7:$C$7)&gt;0, "4", "5"), 0)), "")</f>
        <v>N/A</v>
      </c>
      <c r="L50" s="148" t="str" cm="1">
        <f t="array" ref="L50">IF(COUNTIF($B$7:$E$7, L$2)&gt;0, _xlfn.IFS(COUNTIF($B$7:$C$7, L$2)&gt;0, VLOOKUP($J50,'Gear Values'!$A$2:$E$13, IF(COUNTBLANK('Attributes &amp; Prefixes'!$B$7:$C$7)&gt;0, "2", "3"), 0), COUNTIF($D$7:$E$7, L$2)&gt;0, VLOOKUP($J50,'Gear Values'!$A$2:$E$13, IF(COUNTBLANK('Attributes &amp; Prefixes'!$B$7:$C$7)&gt;0, "4", "5"), 0)), "")</f>
        <v>N/A</v>
      </c>
      <c r="M50" s="148" t="str" cm="1">
        <f t="array" ref="M50">IF(COUNTIF($B$7:$E$7, M$2)&gt;0, _xlfn.IFS(COUNTIF($B$7:$C$7, M$2)&gt;0, VLOOKUP($J50,'Gear Values'!$A$2:$E$13, IF(COUNTBLANK('Attributes &amp; Prefixes'!$B$7:$C$7)&gt;0, "2", "3"), 0), COUNTIF($D$7:$E$7, M$2)&gt;0, VLOOKUP($J50,'Gear Values'!$A$2:$E$13, IF(COUNTBLANK('Attributes &amp; Prefixes'!$B$7:$C$7)&gt;0, "4", "5"), 0)), "")</f>
        <v/>
      </c>
      <c r="N50" s="148" t="str" cm="1">
        <f t="array" ref="N50">IF(COUNTIF($B$7:$E$7, N$2)&gt;0, _xlfn.IFS(COUNTIF($B$7:$C$7, N$2)&gt;0, VLOOKUP($J50,'Gear Values'!$A$2:$E$13, IF(COUNTBLANK('Attributes &amp; Prefixes'!$B$7:$C$7)&gt;0, "2", "3"), 0), COUNTIF($D$7:$E$7, N$2)&gt;0, VLOOKUP($J50,'Gear Values'!$A$2:$E$13, IF(COUNTBLANK('Attributes &amp; Prefixes'!$B$7:$C$7)&gt;0, "4", "5"), 0)), "")</f>
        <v>N/A</v>
      </c>
      <c r="O50" s="148" t="str" cm="1">
        <f t="array" ref="O50">IF(COUNTIF($B$7:$E$7, O$2)&gt;0, _xlfn.IFS(COUNTIF($B$7:$C$7, O$2)&gt;0, VLOOKUP($J50,'Gear Values'!$A$2:$E$13, IF(COUNTBLANK('Attributes &amp; Prefixes'!$B$7:$C$7)&gt;0, "2", "3"), 0), COUNTIF($D$7:$E$7, O$2)&gt;0, VLOOKUP($J50,'Gear Values'!$A$2:$E$13, IF(COUNTBLANK('Attributes &amp; Prefixes'!$B$7:$C$7)&gt;0, "4", "5"), 0)), "")</f>
        <v/>
      </c>
      <c r="P50" s="148" t="str" cm="1">
        <f t="array" ref="P50">IF(COUNTIF($B$7:$E$7, P$2)&gt;0, _xlfn.IFS(COUNTIF($B$7:$C$7, P$2)&gt;0, VLOOKUP($J50,'Gear Values'!$A$2:$E$13, IF(COUNTBLANK('Attributes &amp; Prefixes'!$B$7:$C$7)&gt;0, "2", "3"), 0), COUNTIF($D$7:$E$7, P$2)&gt;0, VLOOKUP($J50,'Gear Values'!$A$2:$E$13, IF(COUNTBLANK('Attributes &amp; Prefixes'!$B$7:$C$7)&gt;0, "4", "5"), 0)), "")</f>
        <v/>
      </c>
      <c r="Q50" s="148" t="str" cm="1">
        <f t="array" ref="Q50">IF(COUNTIF($B$7:$E$7, Q$2)&gt;0, _xlfn.IFS(COUNTIF($B$7:$C$7, Q$2)&gt;0, VLOOKUP($J50,'Gear Values'!$A$2:$E$13, IF(COUNTBLANK('Attributes &amp; Prefixes'!$B$7:$C$7)&gt;0, "2", "3"), 0), COUNTIF($D$7:$E$7, Q$2)&gt;0, VLOOKUP($J50,'Gear Values'!$A$2:$E$13, IF(COUNTBLANK('Attributes &amp; Prefixes'!$B$7:$C$7)&gt;0, "4", "5"), 0)), "")</f>
        <v/>
      </c>
      <c r="R50" s="148" t="str" cm="1">
        <f t="array" ref="R50">IF(COUNTIF($B$7:$E$7, R$2)&gt;0, _xlfn.IFS(COUNTIF($B$7:$C$7, R$2)&gt;0, VLOOKUP($J50,'Gear Values'!$A$2:$E$13, IF(COUNTBLANK('Attributes &amp; Prefixes'!$B$7:$C$7)&gt;0, "2", "3"), 0), COUNTIF($D$7:$E$7, R$2)&gt;0, VLOOKUP($J50,'Gear Values'!$A$2:$E$13, IF(COUNTBLANK('Attributes &amp; Prefixes'!$B$7:$C$7)&gt;0, "4", "5"), 0)), "")</f>
        <v/>
      </c>
      <c r="S50" s="150" t="str" cm="1">
        <f t="array" ref="S50">IF(COUNTIF($B$7:$E$7, S$2)&gt;0, _xlfn.IFS(COUNTIF($B$7:$C$7, S$2)&gt;0, VLOOKUP($J50,'Gear Values'!$A$2:$E$13, IF(COUNTBLANK('Attributes &amp; Prefixes'!$B$7:$C$7)&gt;0, "2", "3"), 0), COUNTIF($D$7:$E$7, S$2)&gt;0, VLOOKUP($J50,'Gear Values'!$A$2:$E$13, IF(COUNTBLANK('Attributes &amp; Prefixes'!$B$7:$C$7)&gt;0, "4", "5"), 0)), "")</f>
        <v>N/A</v>
      </c>
      <c r="V50" s="112"/>
      <c r="W50" s="113"/>
    </row>
    <row r="51" spans="1:23">
      <c r="A51" s="128" t="s">
        <v>2475</v>
      </c>
      <c r="B51" s="121" t="s">
        <v>6</v>
      </c>
      <c r="C51" s="122" t="s">
        <v>9</v>
      </c>
      <c r="D51" s="122" t="s">
        <v>8</v>
      </c>
      <c r="E51" s="122" t="s">
        <v>10</v>
      </c>
      <c r="F51" s="448" t="str">
        <f>IF(OR(COUNTBLANK(AttributeFilter) = 1,AttributeFilter="(Select)"), A51, IF(COUNTIF(B51:E51, AttributeFilter)&gt;0, A51, ""))</f>
        <v>Wanderer</v>
      </c>
      <c r="G51" s="111"/>
      <c r="H51" s="130" t="str">
        <f>_xlfn.CONCAT(I$51,J51)</f>
        <v>BerserkerWeapon (1H)</v>
      </c>
      <c r="I51" s="519" t="str">
        <f>A8</f>
        <v>Berserker</v>
      </c>
      <c r="J51" s="145" t="s">
        <v>37</v>
      </c>
      <c r="K51" s="133" cm="1">
        <f t="array" ref="K51">IF(COUNTIF($B$8:$E$8, K$2)&gt;0, _xlfn.IFS(COUNTIF($B$8:$C$8, K$2)&gt;0, VLOOKUP($J51,'Gear Values'!$A$2:$E$13, IF(COUNTBLANK('Attributes &amp; Prefixes'!$B$8:$C$8)&gt;0, "2", "3"), 0), COUNTIF($D$8:$E$8, K$2)&gt;0, VLOOKUP($J51,'Gear Values'!$A$2:$E$13, IF(COUNTBLANK('Attributes &amp; Prefixes'!$B$8:$C$8)&gt;0, "4", "5"), 0)), "")</f>
        <v>120</v>
      </c>
      <c r="L51" s="134" cm="1">
        <f t="array" ref="L51">IF(COUNTIF($B$8:$E$8, L$2)&gt;0, _xlfn.IFS(COUNTIF($B$8:$C$8, L$2)&gt;0, VLOOKUP($J51,'Gear Values'!$A$2:$E$13, IF(COUNTBLANK('Attributes &amp; Prefixes'!$B$8:$C$8)&gt;0, "2", "3"), 0), COUNTIF($D$8:$E$8, L$2)&gt;0, VLOOKUP($J51,'Gear Values'!$A$2:$E$13, IF(COUNTBLANK('Attributes &amp; Prefixes'!$B$8:$C$8)&gt;0, "4", "5"), 0)), "")</f>
        <v>85</v>
      </c>
      <c r="M51" s="134" t="str" cm="1">
        <f t="array" ref="M51">IF(COUNTIF($B$8:$E$8, M$2)&gt;0, _xlfn.IFS(COUNTIF($B$8:$C$8, M$2)&gt;0, VLOOKUP($J51,'Gear Values'!$A$2:$E$13, IF(COUNTBLANK('Attributes &amp; Prefixes'!$B$8:$C$8)&gt;0, "2", "3"), 0), COUNTIF($D$8:$E$8, M$2)&gt;0, VLOOKUP($J51,'Gear Values'!$A$2:$E$13, IF(COUNTBLANK('Attributes &amp; Prefixes'!$B$8:$C$8)&gt;0, "4", "5"), 0)), "")</f>
        <v/>
      </c>
      <c r="N51" s="134" t="str" cm="1">
        <f t="array" ref="N51">IF(COUNTIF($B$8:$E$8, N$2)&gt;0, _xlfn.IFS(COUNTIF($B$8:$C$8, N$2)&gt;0, VLOOKUP($J51,'Gear Values'!$A$2:$E$13, IF(COUNTBLANK('Attributes &amp; Prefixes'!$B$8:$C$8)&gt;0, "2", "3"), 0), COUNTIF($D$8:$E$8, N$2)&gt;0, VLOOKUP($J51,'Gear Values'!$A$2:$E$13, IF(COUNTBLANK('Attributes &amp; Prefixes'!$B$8:$C$8)&gt;0, "4", "5"), 0)), "")</f>
        <v/>
      </c>
      <c r="O51" s="134" t="str" cm="1">
        <f t="array" ref="O51">IF(COUNTIF($B$8:$E$8, O$2)&gt;0, _xlfn.IFS(COUNTIF($B$8:$C$8, O$2)&gt;0, VLOOKUP($J51,'Gear Values'!$A$2:$E$13, IF(COUNTBLANK('Attributes &amp; Prefixes'!$B$8:$C$8)&gt;0, "2", "3"), 0), COUNTIF($D$8:$E$8, O$2)&gt;0, VLOOKUP($J51,'Gear Values'!$A$2:$E$13, IF(COUNTBLANK('Attributes &amp; Prefixes'!$B$8:$C$8)&gt;0, "4", "5"), 0)), "")</f>
        <v/>
      </c>
      <c r="P51" s="134" t="str" cm="1">
        <f t="array" ref="P51">IF(COUNTIF($B$8:$E$8, P$2)&gt;0, _xlfn.IFS(COUNTIF($B$8:$C$8, P$2)&gt;0, VLOOKUP($J51,'Gear Values'!$A$2:$E$13, IF(COUNTBLANK('Attributes &amp; Prefixes'!$B$8:$C$8)&gt;0, "2", "3"), 0), COUNTIF($D$8:$E$8, P$2)&gt;0, VLOOKUP($J51,'Gear Values'!$A$2:$E$13, IF(COUNTBLANK('Attributes &amp; Prefixes'!$B$8:$C$8)&gt;0, "4", "5"), 0)), "")</f>
        <v/>
      </c>
      <c r="Q51" s="134" t="str" cm="1">
        <f t="array" ref="Q51">IF(COUNTIF($B$8:$E$8, Q$2)&gt;0, _xlfn.IFS(COUNTIF($B$8:$C$8, Q$2)&gt;0, VLOOKUP($J51,'Gear Values'!$A$2:$E$13, IF(COUNTBLANK('Attributes &amp; Prefixes'!$B$8:$C$8)&gt;0, "2", "3"), 0), COUNTIF($D$8:$E$8, Q$2)&gt;0, VLOOKUP($J51,'Gear Values'!$A$2:$E$13, IF(COUNTBLANK('Attributes &amp; Prefixes'!$B$8:$C$8)&gt;0, "4", "5"), 0)), "")</f>
        <v/>
      </c>
      <c r="R51" s="134" cm="1">
        <f t="array" ref="R51">IF(COUNTIF($B$8:$E$8, R$2)&gt;0, _xlfn.IFS(COUNTIF($B$8:$C$8, R$2)&gt;0, VLOOKUP($J51,'Gear Values'!$A$2:$E$13, IF(COUNTBLANK('Attributes &amp; Prefixes'!$B$8:$C$8)&gt;0, "2", "3"), 0), COUNTIF($D$8:$E$8, R$2)&gt;0, VLOOKUP($J51,'Gear Values'!$A$2:$E$13, IF(COUNTBLANK('Attributes &amp; Prefixes'!$B$8:$C$8)&gt;0, "4", "5"), 0)), "")</f>
        <v>85</v>
      </c>
      <c r="S51" s="139" t="str" cm="1">
        <f t="array" ref="S51">IF(COUNTIF($B$8:$E$8, S$2)&gt;0, _xlfn.IFS(COUNTIF($B$8:$C$8, S$2)&gt;0, VLOOKUP($J51,'Gear Values'!$A$2:$E$13, IF(COUNTBLANK('Attributes &amp; Prefixes'!$B$8:$C$8)&gt;0, "2", "3"), 0), COUNTIF($D$8:$E$8, S$2)&gt;0, VLOOKUP($J51,'Gear Values'!$A$2:$E$13, IF(COUNTBLANK('Attributes &amp; Prefixes'!$B$8:$C$8)&gt;0, "4", "5"), 0)), "")</f>
        <v/>
      </c>
      <c r="V51" s="112"/>
      <c r="W51" s="113"/>
    </row>
    <row r="52" spans="1:23">
      <c r="A52" s="128" t="s">
        <v>2476</v>
      </c>
      <c r="B52" s="121" t="s">
        <v>6</v>
      </c>
      <c r="C52" s="122" t="s">
        <v>11</v>
      </c>
      <c r="D52" s="122" t="s">
        <v>7</v>
      </c>
      <c r="E52" s="122" t="s">
        <v>9</v>
      </c>
      <c r="F52" s="448" t="str">
        <f>IF(OR(COUNTBLANK(AttributeFilter) = 1,AttributeFilter="(Select)"), A52, IF(COUNTIF(B52:E52, AttributeFilter)&gt;0, A52, ""))</f>
        <v>Wizard</v>
      </c>
      <c r="G52" s="111"/>
      <c r="H52" s="130" t="str">
        <f>_xlfn.CONCAT(I$51,J52)</f>
        <v>BerserkerWeapon (2H)</v>
      </c>
      <c r="I52" s="520"/>
      <c r="J52" s="144" t="s">
        <v>39</v>
      </c>
      <c r="K52" s="136" cm="1">
        <f t="array" ref="K52">IF(COUNTIF($B$8:$E$8, K$2)&gt;0, _xlfn.IFS(COUNTIF($B$8:$C$8, K$2)&gt;0, VLOOKUP($J52,'Gear Values'!$A$2:$E$13, IF(COUNTBLANK('Attributes &amp; Prefixes'!$B$8:$C$8)&gt;0, "2", "3"), 0), COUNTIF($D$8:$E$8, K$2)&gt;0, VLOOKUP($J52,'Gear Values'!$A$2:$E$13, IF(COUNTBLANK('Attributes &amp; Prefixes'!$B$8:$C$8)&gt;0, "4", "5"), 0)), "")</f>
        <v>239</v>
      </c>
      <c r="L52" s="137" cm="1">
        <f t="array" ref="L52">IF(COUNTIF($B$8:$E$8, L$2)&gt;0, _xlfn.IFS(COUNTIF($B$8:$C$8, L$2)&gt;0, VLOOKUP($J52,'Gear Values'!$A$2:$E$13, IF(COUNTBLANK('Attributes &amp; Prefixes'!$B$8:$C$8)&gt;0, "2", "3"), 0), COUNTIF($D$8:$E$8, L$2)&gt;0, VLOOKUP($J52,'Gear Values'!$A$2:$E$13, IF(COUNTBLANK('Attributes &amp; Prefixes'!$B$8:$C$8)&gt;0, "4", "5"), 0)), "")</f>
        <v>171</v>
      </c>
      <c r="M52" s="137" t="str" cm="1">
        <f t="array" ref="M52">IF(COUNTIF($B$8:$E$8, M$2)&gt;0, _xlfn.IFS(COUNTIF($B$8:$C$8, M$2)&gt;0, VLOOKUP($J52,'Gear Values'!$A$2:$E$13, IF(COUNTBLANK('Attributes &amp; Prefixes'!$B$8:$C$8)&gt;0, "2", "3"), 0), COUNTIF($D$8:$E$8, M$2)&gt;0, VLOOKUP($J52,'Gear Values'!$A$2:$E$13, IF(COUNTBLANK('Attributes &amp; Prefixes'!$B$8:$C$8)&gt;0, "4", "5"), 0)), "")</f>
        <v/>
      </c>
      <c r="N52" s="137" t="str" cm="1">
        <f t="array" ref="N52">IF(COUNTIF($B$8:$E$8, N$2)&gt;0, _xlfn.IFS(COUNTIF($B$8:$C$8, N$2)&gt;0, VLOOKUP($J52,'Gear Values'!$A$2:$E$13, IF(COUNTBLANK('Attributes &amp; Prefixes'!$B$8:$C$8)&gt;0, "2", "3"), 0), COUNTIF($D$8:$E$8, N$2)&gt;0, VLOOKUP($J52,'Gear Values'!$A$2:$E$13, IF(COUNTBLANK('Attributes &amp; Prefixes'!$B$8:$C$8)&gt;0, "4", "5"), 0)), "")</f>
        <v/>
      </c>
      <c r="O52" s="137" t="str" cm="1">
        <f t="array" ref="O52">IF(COUNTIF($B$8:$E$8, O$2)&gt;0, _xlfn.IFS(COUNTIF($B$8:$C$8, O$2)&gt;0, VLOOKUP($J52,'Gear Values'!$A$2:$E$13, IF(COUNTBLANK('Attributes &amp; Prefixes'!$B$8:$C$8)&gt;0, "2", "3"), 0), COUNTIF($D$8:$E$8, O$2)&gt;0, VLOOKUP($J52,'Gear Values'!$A$2:$E$13, IF(COUNTBLANK('Attributes &amp; Prefixes'!$B$8:$C$8)&gt;0, "4", "5"), 0)), "")</f>
        <v/>
      </c>
      <c r="P52" s="137" t="str" cm="1">
        <f t="array" ref="P52">IF(COUNTIF($B$8:$E$8, P$2)&gt;0, _xlfn.IFS(COUNTIF($B$8:$C$8, P$2)&gt;0, VLOOKUP($J52,'Gear Values'!$A$2:$E$13, IF(COUNTBLANK('Attributes &amp; Prefixes'!$B$8:$C$8)&gt;0, "2", "3"), 0), COUNTIF($D$8:$E$8, P$2)&gt;0, VLOOKUP($J52,'Gear Values'!$A$2:$E$13, IF(COUNTBLANK('Attributes &amp; Prefixes'!$B$8:$C$8)&gt;0, "4", "5"), 0)), "")</f>
        <v/>
      </c>
      <c r="Q52" s="137" t="str" cm="1">
        <f t="array" ref="Q52">IF(COUNTIF($B$8:$E$8, Q$2)&gt;0, _xlfn.IFS(COUNTIF($B$8:$C$8, Q$2)&gt;0, VLOOKUP($J52,'Gear Values'!$A$2:$E$13, IF(COUNTBLANK('Attributes &amp; Prefixes'!$B$8:$C$8)&gt;0, "2", "3"), 0), COUNTIF($D$8:$E$8, Q$2)&gt;0, VLOOKUP($J52,'Gear Values'!$A$2:$E$13, IF(COUNTBLANK('Attributes &amp; Prefixes'!$B$8:$C$8)&gt;0, "4", "5"), 0)), "")</f>
        <v/>
      </c>
      <c r="R52" s="137" cm="1">
        <f t="array" ref="R52">IF(COUNTIF($B$8:$E$8, R$2)&gt;0, _xlfn.IFS(COUNTIF($B$8:$C$8, R$2)&gt;0, VLOOKUP($J52,'Gear Values'!$A$2:$E$13, IF(COUNTBLANK('Attributes &amp; Prefixes'!$B$8:$C$8)&gt;0, "2", "3"), 0), COUNTIF($D$8:$E$8, R$2)&gt;0, VLOOKUP($J52,'Gear Values'!$A$2:$E$13, IF(COUNTBLANK('Attributes &amp; Prefixes'!$B$8:$C$8)&gt;0, "4", "5"), 0)), "")</f>
        <v>171</v>
      </c>
      <c r="S52" s="140" t="str" cm="1">
        <f t="array" ref="S52">IF(COUNTIF($B$8:$E$8, S$2)&gt;0, _xlfn.IFS(COUNTIF($B$8:$C$8, S$2)&gt;0, VLOOKUP($J52,'Gear Values'!$A$2:$E$13, IF(COUNTBLANK('Attributes &amp; Prefixes'!$B$8:$C$8)&gt;0, "2", "3"), 0), COUNTIF($D$8:$E$8, S$2)&gt;0, VLOOKUP($J52,'Gear Values'!$A$2:$E$13, IF(COUNTBLANK('Attributes &amp; Prefixes'!$B$8:$C$8)&gt;0, "4", "5"), 0)), "")</f>
        <v/>
      </c>
      <c r="V52" s="112"/>
      <c r="W52" s="113"/>
    </row>
    <row r="53" spans="1:23">
      <c r="A53" s="163" t="s">
        <v>2477</v>
      </c>
      <c r="B53" s="164" t="s">
        <v>6</v>
      </c>
      <c r="C53" s="165"/>
      <c r="D53" s="165" t="s">
        <v>7</v>
      </c>
      <c r="E53" s="165" t="s">
        <v>14</v>
      </c>
      <c r="F53" s="448" t="str">
        <f>IF(OR(COUNTBLANK(AttributeFilter) = 1,AttributeFilter="(Select)"), A53, IF(COUNTIF(B53:E53, AttributeFilter)&gt;0, A53, ""))</f>
        <v>Zealot</v>
      </c>
      <c r="G53" s="111"/>
      <c r="H53" s="130" t="str">
        <f>_xlfn.CONCAT(I$51,J53)</f>
        <v>BerserkerHead</v>
      </c>
      <c r="I53" s="520"/>
      <c r="J53" s="144" t="s">
        <v>40</v>
      </c>
      <c r="K53" s="136" cm="1">
        <f t="array" ref="K53">IF(COUNTIF($B$8:$E$8, K$2)&gt;0, _xlfn.IFS(COUNTIF($B$8:$C$8, K$2)&gt;0, VLOOKUP($J53,'Gear Values'!$A$2:$E$13, IF(COUNTBLANK('Attributes &amp; Prefixes'!$B$8:$C$8)&gt;0, "2", "3"), 0), COUNTIF($D$8:$E$8, K$2)&gt;0, VLOOKUP($J53,'Gear Values'!$A$2:$E$13, IF(COUNTBLANK('Attributes &amp; Prefixes'!$B$8:$C$8)&gt;0, "4", "5"), 0)), "")</f>
        <v>60</v>
      </c>
      <c r="L53" s="137" cm="1">
        <f t="array" ref="L53">IF(COUNTIF($B$8:$E$8, L$2)&gt;0, _xlfn.IFS(COUNTIF($B$8:$C$8, L$2)&gt;0, VLOOKUP($J53,'Gear Values'!$A$2:$E$13, IF(COUNTBLANK('Attributes &amp; Prefixes'!$B$8:$C$8)&gt;0, "2", "3"), 0), COUNTIF($D$8:$E$8, L$2)&gt;0, VLOOKUP($J53,'Gear Values'!$A$2:$E$13, IF(COUNTBLANK('Attributes &amp; Prefixes'!$B$8:$C$8)&gt;0, "4", "5"), 0)), "")</f>
        <v>43</v>
      </c>
      <c r="M53" s="137" t="str" cm="1">
        <f t="array" ref="M53">IF(COUNTIF($B$8:$E$8, M$2)&gt;0, _xlfn.IFS(COUNTIF($B$8:$C$8, M$2)&gt;0, VLOOKUP($J53,'Gear Values'!$A$2:$E$13, IF(COUNTBLANK('Attributes &amp; Prefixes'!$B$8:$C$8)&gt;0, "2", "3"), 0), COUNTIF($D$8:$E$8, M$2)&gt;0, VLOOKUP($J53,'Gear Values'!$A$2:$E$13, IF(COUNTBLANK('Attributes &amp; Prefixes'!$B$8:$C$8)&gt;0, "4", "5"), 0)), "")</f>
        <v/>
      </c>
      <c r="N53" s="137" t="str" cm="1">
        <f t="array" ref="N53">IF(COUNTIF($B$8:$E$8, N$2)&gt;0, _xlfn.IFS(COUNTIF($B$8:$C$8, N$2)&gt;0, VLOOKUP($J53,'Gear Values'!$A$2:$E$13, IF(COUNTBLANK('Attributes &amp; Prefixes'!$B$8:$C$8)&gt;0, "2", "3"), 0), COUNTIF($D$8:$E$8, N$2)&gt;0, VLOOKUP($J53,'Gear Values'!$A$2:$E$13, IF(COUNTBLANK('Attributes &amp; Prefixes'!$B$8:$C$8)&gt;0, "4", "5"), 0)), "")</f>
        <v/>
      </c>
      <c r="O53" s="137" t="str" cm="1">
        <f t="array" ref="O53">IF(COUNTIF($B$8:$E$8, O$2)&gt;0, _xlfn.IFS(COUNTIF($B$8:$C$8, O$2)&gt;0, VLOOKUP($J53,'Gear Values'!$A$2:$E$13, IF(COUNTBLANK('Attributes &amp; Prefixes'!$B$8:$C$8)&gt;0, "2", "3"), 0), COUNTIF($D$8:$E$8, O$2)&gt;0, VLOOKUP($J53,'Gear Values'!$A$2:$E$13, IF(COUNTBLANK('Attributes &amp; Prefixes'!$B$8:$C$8)&gt;0, "4", "5"), 0)), "")</f>
        <v/>
      </c>
      <c r="P53" s="137" t="str" cm="1">
        <f t="array" ref="P53">IF(COUNTIF($B$8:$E$8, P$2)&gt;0, _xlfn.IFS(COUNTIF($B$8:$C$8, P$2)&gt;0, VLOOKUP($J53,'Gear Values'!$A$2:$E$13, IF(COUNTBLANK('Attributes &amp; Prefixes'!$B$8:$C$8)&gt;0, "2", "3"), 0), COUNTIF($D$8:$E$8, P$2)&gt;0, VLOOKUP($J53,'Gear Values'!$A$2:$E$13, IF(COUNTBLANK('Attributes &amp; Prefixes'!$B$8:$C$8)&gt;0, "4", "5"), 0)), "")</f>
        <v/>
      </c>
      <c r="Q53" s="137" t="str" cm="1">
        <f t="array" ref="Q53">IF(COUNTIF($B$8:$E$8, Q$2)&gt;0, _xlfn.IFS(COUNTIF($B$8:$C$8, Q$2)&gt;0, VLOOKUP($J53,'Gear Values'!$A$2:$E$13, IF(COUNTBLANK('Attributes &amp; Prefixes'!$B$8:$C$8)&gt;0, "2", "3"), 0), COUNTIF($D$8:$E$8, Q$2)&gt;0, VLOOKUP($J53,'Gear Values'!$A$2:$E$13, IF(COUNTBLANK('Attributes &amp; Prefixes'!$B$8:$C$8)&gt;0, "4", "5"), 0)), "")</f>
        <v/>
      </c>
      <c r="R53" s="137" cm="1">
        <f t="array" ref="R53">IF(COUNTIF($B$8:$E$8, R$2)&gt;0, _xlfn.IFS(COUNTIF($B$8:$C$8, R$2)&gt;0, VLOOKUP($J53,'Gear Values'!$A$2:$E$13, IF(COUNTBLANK('Attributes &amp; Prefixes'!$B$8:$C$8)&gt;0, "2", "3"), 0), COUNTIF($D$8:$E$8, R$2)&gt;0, VLOOKUP($J53,'Gear Values'!$A$2:$E$13, IF(COUNTBLANK('Attributes &amp; Prefixes'!$B$8:$C$8)&gt;0, "4", "5"), 0)), "")</f>
        <v>43</v>
      </c>
      <c r="S53" s="140" t="str" cm="1">
        <f t="array" ref="S53">IF(COUNTIF($B$8:$E$8, S$2)&gt;0, _xlfn.IFS(COUNTIF($B$8:$C$8, S$2)&gt;0, VLOOKUP($J53,'Gear Values'!$A$2:$E$13, IF(COUNTBLANK('Attributes &amp; Prefixes'!$B$8:$C$8)&gt;0, "2", "3"), 0), COUNTIF($D$8:$E$8, S$2)&gt;0, VLOOKUP($J53,'Gear Values'!$A$2:$E$13, IF(COUNTBLANK('Attributes &amp; Prefixes'!$B$8:$C$8)&gt;0, "4", "5"), 0)), "")</f>
        <v/>
      </c>
      <c r="V53" s="112"/>
      <c r="W53" s="113"/>
    </row>
    <row r="54" spans="1:23">
      <c r="A54" s="166"/>
      <c r="B54" s="167"/>
      <c r="C54" s="168"/>
      <c r="D54" s="168"/>
      <c r="E54" s="169"/>
      <c r="F54" s="170" t="s">
        <v>4</v>
      </c>
      <c r="G54" s="111"/>
      <c r="H54" s="130" t="str">
        <f>_xlfn.CONCAT(I$51,J54)</f>
        <v>BerserkerShoulders</v>
      </c>
      <c r="I54" s="520"/>
      <c r="J54" s="144" t="s">
        <v>42</v>
      </c>
      <c r="K54" s="136" cm="1">
        <f t="array" ref="K54">IF(COUNTIF($B$8:$E$8, K$2)&gt;0, _xlfn.IFS(COUNTIF($B$8:$C$8, K$2)&gt;0, VLOOKUP($J54,'Gear Values'!$A$2:$E$13, IF(COUNTBLANK('Attributes &amp; Prefixes'!$B$8:$C$8)&gt;0, "2", "3"), 0), COUNTIF($D$8:$E$8, K$2)&gt;0, VLOOKUP($J54,'Gear Values'!$A$2:$E$13, IF(COUNTBLANK('Attributes &amp; Prefixes'!$B$8:$C$8)&gt;0, "4", "5"), 0)), "")</f>
        <v>45</v>
      </c>
      <c r="L54" s="137" cm="1">
        <f t="array" ref="L54">IF(COUNTIF($B$8:$E$8, L$2)&gt;0, _xlfn.IFS(COUNTIF($B$8:$C$8, L$2)&gt;0, VLOOKUP($J54,'Gear Values'!$A$2:$E$13, IF(COUNTBLANK('Attributes &amp; Prefixes'!$B$8:$C$8)&gt;0, "2", "3"), 0), COUNTIF($D$8:$E$8, L$2)&gt;0, VLOOKUP($J54,'Gear Values'!$A$2:$E$13, IF(COUNTBLANK('Attributes &amp; Prefixes'!$B$8:$C$8)&gt;0, "4", "5"), 0)), "")</f>
        <v>32</v>
      </c>
      <c r="M54" s="137" t="str" cm="1">
        <f t="array" ref="M54">IF(COUNTIF($B$8:$E$8, M$2)&gt;0, _xlfn.IFS(COUNTIF($B$8:$C$8, M$2)&gt;0, VLOOKUP($J54,'Gear Values'!$A$2:$E$13, IF(COUNTBLANK('Attributes &amp; Prefixes'!$B$8:$C$8)&gt;0, "2", "3"), 0), COUNTIF($D$8:$E$8, M$2)&gt;0, VLOOKUP($J54,'Gear Values'!$A$2:$E$13, IF(COUNTBLANK('Attributes &amp; Prefixes'!$B$8:$C$8)&gt;0, "4", "5"), 0)), "")</f>
        <v/>
      </c>
      <c r="N54" s="137" t="str" cm="1">
        <f t="array" ref="N54">IF(COUNTIF($B$8:$E$8, N$2)&gt;0, _xlfn.IFS(COUNTIF($B$8:$C$8, N$2)&gt;0, VLOOKUP($J54,'Gear Values'!$A$2:$E$13, IF(COUNTBLANK('Attributes &amp; Prefixes'!$B$8:$C$8)&gt;0, "2", "3"), 0), COUNTIF($D$8:$E$8, N$2)&gt;0, VLOOKUP($J54,'Gear Values'!$A$2:$E$13, IF(COUNTBLANK('Attributes &amp; Prefixes'!$B$8:$C$8)&gt;0, "4", "5"), 0)), "")</f>
        <v/>
      </c>
      <c r="O54" s="137" t="str" cm="1">
        <f t="array" ref="O54">IF(COUNTIF($B$8:$E$8, O$2)&gt;0, _xlfn.IFS(COUNTIF($B$8:$C$8, O$2)&gt;0, VLOOKUP($J54,'Gear Values'!$A$2:$E$13, IF(COUNTBLANK('Attributes &amp; Prefixes'!$B$8:$C$8)&gt;0, "2", "3"), 0), COUNTIF($D$8:$E$8, O$2)&gt;0, VLOOKUP($J54,'Gear Values'!$A$2:$E$13, IF(COUNTBLANK('Attributes &amp; Prefixes'!$B$8:$C$8)&gt;0, "4", "5"), 0)), "")</f>
        <v/>
      </c>
      <c r="P54" s="137" t="str" cm="1">
        <f t="array" ref="P54">IF(COUNTIF($B$8:$E$8, P$2)&gt;0, _xlfn.IFS(COUNTIF($B$8:$C$8, P$2)&gt;0, VLOOKUP($J54,'Gear Values'!$A$2:$E$13, IF(COUNTBLANK('Attributes &amp; Prefixes'!$B$8:$C$8)&gt;0, "2", "3"), 0), COUNTIF($D$8:$E$8, P$2)&gt;0, VLOOKUP($J54,'Gear Values'!$A$2:$E$13, IF(COUNTBLANK('Attributes &amp; Prefixes'!$B$8:$C$8)&gt;0, "4", "5"), 0)), "")</f>
        <v/>
      </c>
      <c r="Q54" s="137" t="str" cm="1">
        <f t="array" ref="Q54">IF(COUNTIF($B$8:$E$8, Q$2)&gt;0, _xlfn.IFS(COUNTIF($B$8:$C$8, Q$2)&gt;0, VLOOKUP($J54,'Gear Values'!$A$2:$E$13, IF(COUNTBLANK('Attributes &amp; Prefixes'!$B$8:$C$8)&gt;0, "2", "3"), 0), COUNTIF($D$8:$E$8, Q$2)&gt;0, VLOOKUP($J54,'Gear Values'!$A$2:$E$13, IF(COUNTBLANK('Attributes &amp; Prefixes'!$B$8:$C$8)&gt;0, "4", "5"), 0)), "")</f>
        <v/>
      </c>
      <c r="R54" s="137" cm="1">
        <f t="array" ref="R54">IF(COUNTIF($B$8:$E$8, R$2)&gt;0, _xlfn.IFS(COUNTIF($B$8:$C$8, R$2)&gt;0, VLOOKUP($J54,'Gear Values'!$A$2:$E$13, IF(COUNTBLANK('Attributes &amp; Prefixes'!$B$8:$C$8)&gt;0, "2", "3"), 0), COUNTIF($D$8:$E$8, R$2)&gt;0, VLOOKUP($J54,'Gear Values'!$A$2:$E$13, IF(COUNTBLANK('Attributes &amp; Prefixes'!$B$8:$C$8)&gt;0, "4", "5"), 0)), "")</f>
        <v>32</v>
      </c>
      <c r="S54" s="140" t="str" cm="1">
        <f t="array" ref="S54">IF(COUNTIF($B$8:$E$8, S$2)&gt;0, _xlfn.IFS(COUNTIF($B$8:$C$8, S$2)&gt;0, VLOOKUP($J54,'Gear Values'!$A$2:$E$13, IF(COUNTBLANK('Attributes &amp; Prefixes'!$B$8:$C$8)&gt;0, "2", "3"), 0), COUNTIF($D$8:$E$8, S$2)&gt;0, VLOOKUP($J54,'Gear Values'!$A$2:$E$13, IF(COUNTBLANK('Attributes &amp; Prefixes'!$B$8:$C$8)&gt;0, "4", "5"), 0)), "")</f>
        <v/>
      </c>
      <c r="V54" s="112"/>
      <c r="W54" s="113"/>
    </row>
    <row r="55" spans="1:23">
      <c r="A55" s="127" t="s">
        <v>2478</v>
      </c>
      <c r="B55" s="119" t="s">
        <v>6</v>
      </c>
      <c r="C55" s="120" t="s">
        <v>8</v>
      </c>
      <c r="D55" s="120" t="s">
        <v>13</v>
      </c>
      <c r="E55" s="120" t="s">
        <v>14</v>
      </c>
      <c r="F55" s="449" t="str">
        <f>IF(OR(COUNTBLANK(AttributeFilter) = 1,AttributeFilter="(Select)"), A55, IF(COUNTIF(B55:E55, AttributeFilter)&gt;0, A55, ""))</f>
        <v>Agate</v>
      </c>
      <c r="G55" s="111"/>
      <c r="H55" s="130" t="str">
        <f>_xlfn.CONCAT(I$51,J55)</f>
        <v>BerserkerChest</v>
      </c>
      <c r="I55" s="520"/>
      <c r="J55" s="144" t="s">
        <v>44</v>
      </c>
      <c r="K55" s="136" cm="1">
        <f t="array" ref="K55">IF(COUNTIF($B$8:$E$8, K$2)&gt;0, _xlfn.IFS(COUNTIF($B$8:$C$8, K$2)&gt;0, VLOOKUP($J55,'Gear Values'!$A$2:$E$13, IF(COUNTBLANK('Attributes &amp; Prefixes'!$B$8:$C$8)&gt;0, "2", "3"), 0), COUNTIF($D$8:$E$8, K$2)&gt;0, VLOOKUP($J55,'Gear Values'!$A$2:$E$13, IF(COUNTBLANK('Attributes &amp; Prefixes'!$B$8:$C$8)&gt;0, "4", "5"), 0)), "")</f>
        <v>134</v>
      </c>
      <c r="L55" s="137" cm="1">
        <f t="array" ref="L55">IF(COUNTIF($B$8:$E$8, L$2)&gt;0, _xlfn.IFS(COUNTIF($B$8:$C$8, L$2)&gt;0, VLOOKUP($J55,'Gear Values'!$A$2:$E$13, IF(COUNTBLANK('Attributes &amp; Prefixes'!$B$8:$C$8)&gt;0, "2", "3"), 0), COUNTIF($D$8:$E$8, L$2)&gt;0, VLOOKUP($J55,'Gear Values'!$A$2:$E$13, IF(COUNTBLANK('Attributes &amp; Prefixes'!$B$8:$C$8)&gt;0, "4", "5"), 0)), "")</f>
        <v>96</v>
      </c>
      <c r="M55" s="137" t="str" cm="1">
        <f t="array" ref="M55">IF(COUNTIF($B$8:$E$8, M$2)&gt;0, _xlfn.IFS(COUNTIF($B$8:$C$8, M$2)&gt;0, VLOOKUP($J55,'Gear Values'!$A$2:$E$13, IF(COUNTBLANK('Attributes &amp; Prefixes'!$B$8:$C$8)&gt;0, "2", "3"), 0), COUNTIF($D$8:$E$8, M$2)&gt;0, VLOOKUP($J55,'Gear Values'!$A$2:$E$13, IF(COUNTBLANK('Attributes &amp; Prefixes'!$B$8:$C$8)&gt;0, "4", "5"), 0)), "")</f>
        <v/>
      </c>
      <c r="N55" s="137" t="str" cm="1">
        <f t="array" ref="N55">IF(COUNTIF($B$8:$E$8, N$2)&gt;0, _xlfn.IFS(COUNTIF($B$8:$C$8, N$2)&gt;0, VLOOKUP($J55,'Gear Values'!$A$2:$E$13, IF(COUNTBLANK('Attributes &amp; Prefixes'!$B$8:$C$8)&gt;0, "2", "3"), 0), COUNTIF($D$8:$E$8, N$2)&gt;0, VLOOKUP($J55,'Gear Values'!$A$2:$E$13, IF(COUNTBLANK('Attributes &amp; Prefixes'!$B$8:$C$8)&gt;0, "4", "5"), 0)), "")</f>
        <v/>
      </c>
      <c r="O55" s="137" t="str" cm="1">
        <f t="array" ref="O55">IF(COUNTIF($B$8:$E$8, O$2)&gt;0, _xlfn.IFS(COUNTIF($B$8:$C$8, O$2)&gt;0, VLOOKUP($J55,'Gear Values'!$A$2:$E$13, IF(COUNTBLANK('Attributes &amp; Prefixes'!$B$8:$C$8)&gt;0, "2", "3"), 0), COUNTIF($D$8:$E$8, O$2)&gt;0, VLOOKUP($J55,'Gear Values'!$A$2:$E$13, IF(COUNTBLANK('Attributes &amp; Prefixes'!$B$8:$C$8)&gt;0, "4", "5"), 0)), "")</f>
        <v/>
      </c>
      <c r="P55" s="137" t="str" cm="1">
        <f t="array" ref="P55">IF(COUNTIF($B$8:$E$8, P$2)&gt;0, _xlfn.IFS(COUNTIF($B$8:$C$8, P$2)&gt;0, VLOOKUP($J55,'Gear Values'!$A$2:$E$13, IF(COUNTBLANK('Attributes &amp; Prefixes'!$B$8:$C$8)&gt;0, "2", "3"), 0), COUNTIF($D$8:$E$8, P$2)&gt;0, VLOOKUP($J55,'Gear Values'!$A$2:$E$13, IF(COUNTBLANK('Attributes &amp; Prefixes'!$B$8:$C$8)&gt;0, "4", "5"), 0)), "")</f>
        <v/>
      </c>
      <c r="Q55" s="137" t="str" cm="1">
        <f t="array" ref="Q55">IF(COUNTIF($B$8:$E$8, Q$2)&gt;0, _xlfn.IFS(COUNTIF($B$8:$C$8, Q$2)&gt;0, VLOOKUP($J55,'Gear Values'!$A$2:$E$13, IF(COUNTBLANK('Attributes &amp; Prefixes'!$B$8:$C$8)&gt;0, "2", "3"), 0), COUNTIF($D$8:$E$8, Q$2)&gt;0, VLOOKUP($J55,'Gear Values'!$A$2:$E$13, IF(COUNTBLANK('Attributes &amp; Prefixes'!$B$8:$C$8)&gt;0, "4", "5"), 0)), "")</f>
        <v/>
      </c>
      <c r="R55" s="137" cm="1">
        <f t="array" ref="R55">IF(COUNTIF($B$8:$E$8, R$2)&gt;0, _xlfn.IFS(COUNTIF($B$8:$C$8, R$2)&gt;0, VLOOKUP($J55,'Gear Values'!$A$2:$E$13, IF(COUNTBLANK('Attributes &amp; Prefixes'!$B$8:$C$8)&gt;0, "2", "3"), 0), COUNTIF($D$8:$E$8, R$2)&gt;0, VLOOKUP($J55,'Gear Values'!$A$2:$E$13, IF(COUNTBLANK('Attributes &amp; Prefixes'!$B$8:$C$8)&gt;0, "4", "5"), 0)), "")</f>
        <v>96</v>
      </c>
      <c r="S55" s="140" t="str" cm="1">
        <f t="array" ref="S55">IF(COUNTIF($B$8:$E$8, S$2)&gt;0, _xlfn.IFS(COUNTIF($B$8:$C$8, S$2)&gt;0, VLOOKUP($J55,'Gear Values'!$A$2:$E$13, IF(COUNTBLANK('Attributes &amp; Prefixes'!$B$8:$C$8)&gt;0, "2", "3"), 0), COUNTIF($D$8:$E$8, S$2)&gt;0, VLOOKUP($J55,'Gear Values'!$A$2:$E$13, IF(COUNTBLANK('Attributes &amp; Prefixes'!$B$8:$C$8)&gt;0, "4", "5"), 0)), "")</f>
        <v/>
      </c>
      <c r="V55" s="112"/>
      <c r="W55" s="113"/>
    </row>
    <row r="56" spans="1:23">
      <c r="A56" s="128" t="s">
        <v>2479</v>
      </c>
      <c r="B56" s="121" t="s">
        <v>8</v>
      </c>
      <c r="C56" s="122"/>
      <c r="D56" s="122" t="s">
        <v>9</v>
      </c>
      <c r="E56" s="122" t="s">
        <v>14</v>
      </c>
      <c r="F56" s="449" t="str">
        <f>IF(OR(COUNTBLANK(AttributeFilter) = 1,AttributeFilter="(Select)"), A56, IF(COUNTIF(B56:E56, AttributeFilter)&gt;0, A56, ""))</f>
        <v>Ambrite</v>
      </c>
      <c r="G56" s="111"/>
      <c r="H56" s="130" t="str">
        <f>_xlfn.CONCAT(I$51,J56)</f>
        <v>BerserkerHands</v>
      </c>
      <c r="I56" s="520"/>
      <c r="J56" s="144" t="s">
        <v>45</v>
      </c>
      <c r="K56" s="136" cm="1">
        <f t="array" ref="K56">IF(COUNTIF($B$8:$E$8, K$2)&gt;0, _xlfn.IFS(COUNTIF($B$8:$C$8, K$2)&gt;0, VLOOKUP($J56,'Gear Values'!$A$2:$E$13, IF(COUNTBLANK('Attributes &amp; Prefixes'!$B$8:$C$8)&gt;0, "2", "3"), 0), COUNTIF($D$8:$E$8, K$2)&gt;0, VLOOKUP($J56,'Gear Values'!$A$2:$E$13, IF(COUNTBLANK('Attributes &amp; Prefixes'!$B$8:$C$8)&gt;0, "4", "5"), 0)), "")</f>
        <v>45</v>
      </c>
      <c r="L56" s="137" cm="1">
        <f t="array" ref="L56">IF(COUNTIF($B$8:$E$8, L$2)&gt;0, _xlfn.IFS(COUNTIF($B$8:$C$8, L$2)&gt;0, VLOOKUP($J56,'Gear Values'!$A$2:$E$13, IF(COUNTBLANK('Attributes &amp; Prefixes'!$B$8:$C$8)&gt;0, "2", "3"), 0), COUNTIF($D$8:$E$8, L$2)&gt;0, VLOOKUP($J56,'Gear Values'!$A$2:$E$13, IF(COUNTBLANK('Attributes &amp; Prefixes'!$B$8:$C$8)&gt;0, "4", "5"), 0)), "")</f>
        <v>32</v>
      </c>
      <c r="M56" s="137" t="str" cm="1">
        <f t="array" ref="M56">IF(COUNTIF($B$8:$E$8, M$2)&gt;0, _xlfn.IFS(COUNTIF($B$8:$C$8, M$2)&gt;0, VLOOKUP($J56,'Gear Values'!$A$2:$E$13, IF(COUNTBLANK('Attributes &amp; Prefixes'!$B$8:$C$8)&gt;0, "2", "3"), 0), COUNTIF($D$8:$E$8, M$2)&gt;0, VLOOKUP($J56,'Gear Values'!$A$2:$E$13, IF(COUNTBLANK('Attributes &amp; Prefixes'!$B$8:$C$8)&gt;0, "4", "5"), 0)), "")</f>
        <v/>
      </c>
      <c r="N56" s="137" t="str" cm="1">
        <f t="array" ref="N56">IF(COUNTIF($B$8:$E$8, N$2)&gt;0, _xlfn.IFS(COUNTIF($B$8:$C$8, N$2)&gt;0, VLOOKUP($J56,'Gear Values'!$A$2:$E$13, IF(COUNTBLANK('Attributes &amp; Prefixes'!$B$8:$C$8)&gt;0, "2", "3"), 0), COUNTIF($D$8:$E$8, N$2)&gt;0, VLOOKUP($J56,'Gear Values'!$A$2:$E$13, IF(COUNTBLANK('Attributes &amp; Prefixes'!$B$8:$C$8)&gt;0, "4", "5"), 0)), "")</f>
        <v/>
      </c>
      <c r="O56" s="137" t="str" cm="1">
        <f t="array" ref="O56">IF(COUNTIF($B$8:$E$8, O$2)&gt;0, _xlfn.IFS(COUNTIF($B$8:$C$8, O$2)&gt;0, VLOOKUP($J56,'Gear Values'!$A$2:$E$13, IF(COUNTBLANK('Attributes &amp; Prefixes'!$B$8:$C$8)&gt;0, "2", "3"), 0), COUNTIF($D$8:$E$8, O$2)&gt;0, VLOOKUP($J56,'Gear Values'!$A$2:$E$13, IF(COUNTBLANK('Attributes &amp; Prefixes'!$B$8:$C$8)&gt;0, "4", "5"), 0)), "")</f>
        <v/>
      </c>
      <c r="P56" s="137" t="str" cm="1">
        <f t="array" ref="P56">IF(COUNTIF($B$8:$E$8, P$2)&gt;0, _xlfn.IFS(COUNTIF($B$8:$C$8, P$2)&gt;0, VLOOKUP($J56,'Gear Values'!$A$2:$E$13, IF(COUNTBLANK('Attributes &amp; Prefixes'!$B$8:$C$8)&gt;0, "2", "3"), 0), COUNTIF($D$8:$E$8, P$2)&gt;0, VLOOKUP($J56,'Gear Values'!$A$2:$E$13, IF(COUNTBLANK('Attributes &amp; Prefixes'!$B$8:$C$8)&gt;0, "4", "5"), 0)), "")</f>
        <v/>
      </c>
      <c r="Q56" s="137" t="str" cm="1">
        <f t="array" ref="Q56">IF(COUNTIF($B$8:$E$8, Q$2)&gt;0, _xlfn.IFS(COUNTIF($B$8:$C$8, Q$2)&gt;0, VLOOKUP($J56,'Gear Values'!$A$2:$E$13, IF(COUNTBLANK('Attributes &amp; Prefixes'!$B$8:$C$8)&gt;0, "2", "3"), 0), COUNTIF($D$8:$E$8, Q$2)&gt;0, VLOOKUP($J56,'Gear Values'!$A$2:$E$13, IF(COUNTBLANK('Attributes &amp; Prefixes'!$B$8:$C$8)&gt;0, "4", "5"), 0)), "")</f>
        <v/>
      </c>
      <c r="R56" s="137" cm="1">
        <f t="array" ref="R56">IF(COUNTIF($B$8:$E$8, R$2)&gt;0, _xlfn.IFS(COUNTIF($B$8:$C$8, R$2)&gt;0, VLOOKUP($J56,'Gear Values'!$A$2:$E$13, IF(COUNTBLANK('Attributes &amp; Prefixes'!$B$8:$C$8)&gt;0, "2", "3"), 0), COUNTIF($D$8:$E$8, R$2)&gt;0, VLOOKUP($J56,'Gear Values'!$A$2:$E$13, IF(COUNTBLANK('Attributes &amp; Prefixes'!$B$8:$C$8)&gt;0, "4", "5"), 0)), "")</f>
        <v>32</v>
      </c>
      <c r="S56" s="140" t="str" cm="1">
        <f t="array" ref="S56">IF(COUNTIF($B$8:$E$8, S$2)&gt;0, _xlfn.IFS(COUNTIF($B$8:$C$8, S$2)&gt;0, VLOOKUP($J56,'Gear Values'!$A$2:$E$13, IF(COUNTBLANK('Attributes &amp; Prefixes'!$B$8:$C$8)&gt;0, "2", "3"), 0), COUNTIF($D$8:$E$8, S$2)&gt;0, VLOOKUP($J56,'Gear Values'!$A$2:$E$13, IF(COUNTBLANK('Attributes &amp; Prefixes'!$B$8:$C$8)&gt;0, "4", "5"), 0)), "")</f>
        <v/>
      </c>
      <c r="V56" s="112"/>
      <c r="W56" s="113"/>
    </row>
    <row r="57" spans="1:23">
      <c r="A57" s="128" t="s">
        <v>2480</v>
      </c>
      <c r="B57" s="121" t="s">
        <v>9</v>
      </c>
      <c r="C57" s="122"/>
      <c r="D57" s="122" t="s">
        <v>6</v>
      </c>
      <c r="E57" s="122" t="s">
        <v>8</v>
      </c>
      <c r="F57" s="449" t="str">
        <f>IF(OR(COUNTBLANK(AttributeFilter) = 1,AttributeFilter="(Select)"), A57, IF(COUNTIF(B57:E57, AttributeFilter)&gt;0, A57, ""))</f>
        <v>Azurite</v>
      </c>
      <c r="G57" s="111"/>
      <c r="H57" s="130" t="str">
        <f>_xlfn.CONCAT(I$51,J57)</f>
        <v>BerserkerLegs</v>
      </c>
      <c r="I57" s="520"/>
      <c r="J57" s="144" t="s">
        <v>47</v>
      </c>
      <c r="K57" s="136" cm="1">
        <f t="array" ref="K57">IF(COUNTIF($B$8:$E$8, K$2)&gt;0, _xlfn.IFS(COUNTIF($B$8:$C$8, K$2)&gt;0, VLOOKUP($J57,'Gear Values'!$A$2:$E$13, IF(COUNTBLANK('Attributes &amp; Prefixes'!$B$8:$C$8)&gt;0, "2", "3"), 0), COUNTIF($D$8:$E$8, K$2)&gt;0, VLOOKUP($J57,'Gear Values'!$A$2:$E$13, IF(COUNTBLANK('Attributes &amp; Prefixes'!$B$8:$C$8)&gt;0, "4", "5"), 0)), "")</f>
        <v>90</v>
      </c>
      <c r="L57" s="137" cm="1">
        <f t="array" ref="L57">IF(COUNTIF($B$8:$E$8, L$2)&gt;0, _xlfn.IFS(COUNTIF($B$8:$C$8, L$2)&gt;0, VLOOKUP($J57,'Gear Values'!$A$2:$E$13, IF(COUNTBLANK('Attributes &amp; Prefixes'!$B$8:$C$8)&gt;0, "2", "3"), 0), COUNTIF($D$8:$E$8, L$2)&gt;0, VLOOKUP($J57,'Gear Values'!$A$2:$E$13, IF(COUNTBLANK('Attributes &amp; Prefixes'!$B$8:$C$8)&gt;0, "4", "5"), 0)), "")</f>
        <v>64</v>
      </c>
      <c r="M57" s="137" t="str" cm="1">
        <f t="array" ref="M57">IF(COUNTIF($B$8:$E$8, M$2)&gt;0, _xlfn.IFS(COUNTIF($B$8:$C$8, M$2)&gt;0, VLOOKUP($J57,'Gear Values'!$A$2:$E$13, IF(COUNTBLANK('Attributes &amp; Prefixes'!$B$8:$C$8)&gt;0, "2", "3"), 0), COUNTIF($D$8:$E$8, M$2)&gt;0, VLOOKUP($J57,'Gear Values'!$A$2:$E$13, IF(COUNTBLANK('Attributes &amp; Prefixes'!$B$8:$C$8)&gt;0, "4", "5"), 0)), "")</f>
        <v/>
      </c>
      <c r="N57" s="137" t="str" cm="1">
        <f t="array" ref="N57">IF(COUNTIF($B$8:$E$8, N$2)&gt;0, _xlfn.IFS(COUNTIF($B$8:$C$8, N$2)&gt;0, VLOOKUP($J57,'Gear Values'!$A$2:$E$13, IF(COUNTBLANK('Attributes &amp; Prefixes'!$B$8:$C$8)&gt;0, "2", "3"), 0), COUNTIF($D$8:$E$8, N$2)&gt;0, VLOOKUP($J57,'Gear Values'!$A$2:$E$13, IF(COUNTBLANK('Attributes &amp; Prefixes'!$B$8:$C$8)&gt;0, "4", "5"), 0)), "")</f>
        <v/>
      </c>
      <c r="O57" s="137" t="str" cm="1">
        <f t="array" ref="O57">IF(COUNTIF($B$8:$E$8, O$2)&gt;0, _xlfn.IFS(COUNTIF($B$8:$C$8, O$2)&gt;0, VLOOKUP($J57,'Gear Values'!$A$2:$E$13, IF(COUNTBLANK('Attributes &amp; Prefixes'!$B$8:$C$8)&gt;0, "2", "3"), 0), COUNTIF($D$8:$E$8, O$2)&gt;0, VLOOKUP($J57,'Gear Values'!$A$2:$E$13, IF(COUNTBLANK('Attributes &amp; Prefixes'!$B$8:$C$8)&gt;0, "4", "5"), 0)), "")</f>
        <v/>
      </c>
      <c r="P57" s="137" t="str" cm="1">
        <f t="array" ref="P57">IF(COUNTIF($B$8:$E$8, P$2)&gt;0, _xlfn.IFS(COUNTIF($B$8:$C$8, P$2)&gt;0, VLOOKUP($J57,'Gear Values'!$A$2:$E$13, IF(COUNTBLANK('Attributes &amp; Prefixes'!$B$8:$C$8)&gt;0, "2", "3"), 0), COUNTIF($D$8:$E$8, P$2)&gt;0, VLOOKUP($J57,'Gear Values'!$A$2:$E$13, IF(COUNTBLANK('Attributes &amp; Prefixes'!$B$8:$C$8)&gt;0, "4", "5"), 0)), "")</f>
        <v/>
      </c>
      <c r="Q57" s="137" t="str" cm="1">
        <f t="array" ref="Q57">IF(COUNTIF($B$8:$E$8, Q$2)&gt;0, _xlfn.IFS(COUNTIF($B$8:$C$8, Q$2)&gt;0, VLOOKUP($J57,'Gear Values'!$A$2:$E$13, IF(COUNTBLANK('Attributes &amp; Prefixes'!$B$8:$C$8)&gt;0, "2", "3"), 0), COUNTIF($D$8:$E$8, Q$2)&gt;0, VLOOKUP($J57,'Gear Values'!$A$2:$E$13, IF(COUNTBLANK('Attributes &amp; Prefixes'!$B$8:$C$8)&gt;0, "4", "5"), 0)), "")</f>
        <v/>
      </c>
      <c r="R57" s="137" cm="1">
        <f t="array" ref="R57">IF(COUNTIF($B$8:$E$8, R$2)&gt;0, _xlfn.IFS(COUNTIF($B$8:$C$8, R$2)&gt;0, VLOOKUP($J57,'Gear Values'!$A$2:$E$13, IF(COUNTBLANK('Attributes &amp; Prefixes'!$B$8:$C$8)&gt;0, "2", "3"), 0), COUNTIF($D$8:$E$8, R$2)&gt;0, VLOOKUP($J57,'Gear Values'!$A$2:$E$13, IF(COUNTBLANK('Attributes &amp; Prefixes'!$B$8:$C$8)&gt;0, "4", "5"), 0)), "")</f>
        <v>64</v>
      </c>
      <c r="S57" s="140" t="str" cm="1">
        <f t="array" ref="S57">IF(COUNTIF($B$8:$E$8, S$2)&gt;0, _xlfn.IFS(COUNTIF($B$8:$C$8, S$2)&gt;0, VLOOKUP($J57,'Gear Values'!$A$2:$E$13, IF(COUNTBLANK('Attributes &amp; Prefixes'!$B$8:$C$8)&gt;0, "2", "3"), 0), COUNTIF($D$8:$E$8, S$2)&gt;0, VLOOKUP($J57,'Gear Values'!$A$2:$E$13, IF(COUNTBLANK('Attributes &amp; Prefixes'!$B$8:$C$8)&gt;0, "4", "5"), 0)), "")</f>
        <v/>
      </c>
      <c r="V57" s="112"/>
      <c r="W57" s="113"/>
    </row>
    <row r="58" spans="1:23">
      <c r="A58" s="128" t="s">
        <v>2481</v>
      </c>
      <c r="B58" s="121" t="s">
        <v>6</v>
      </c>
      <c r="C58" s="122"/>
      <c r="D58" s="122" t="s">
        <v>9</v>
      </c>
      <c r="E58" s="122" t="s">
        <v>13</v>
      </c>
      <c r="F58" s="449" t="str">
        <f>IF(OR(COUNTBLANK(AttributeFilter) = 1,AttributeFilter="(Select)"), A58, IF(COUNTIF(B58:E58, AttributeFilter)&gt;0, A58, ""))</f>
        <v>Beryl</v>
      </c>
      <c r="G58" s="111"/>
      <c r="H58" s="130" t="str">
        <f>_xlfn.CONCAT(I$51,J58)</f>
        <v>BerserkerFeet</v>
      </c>
      <c r="I58" s="520"/>
      <c r="J58" s="144" t="s">
        <v>48</v>
      </c>
      <c r="K58" s="136" cm="1">
        <f t="array" ref="K58">IF(COUNTIF($B$8:$E$8, K$2)&gt;0, _xlfn.IFS(COUNTIF($B$8:$C$8, K$2)&gt;0, VLOOKUP($J58,'Gear Values'!$A$2:$E$13, IF(COUNTBLANK('Attributes &amp; Prefixes'!$B$8:$C$8)&gt;0, "2", "3"), 0), COUNTIF($D$8:$E$8, K$2)&gt;0, VLOOKUP($J58,'Gear Values'!$A$2:$E$13, IF(COUNTBLANK('Attributes &amp; Prefixes'!$B$8:$C$8)&gt;0, "4", "5"), 0)), "")</f>
        <v>45</v>
      </c>
      <c r="L58" s="137" cm="1">
        <f t="array" ref="L58">IF(COUNTIF($B$8:$E$8, L$2)&gt;0, _xlfn.IFS(COUNTIF($B$8:$C$8, L$2)&gt;0, VLOOKUP($J58,'Gear Values'!$A$2:$E$13, IF(COUNTBLANK('Attributes &amp; Prefixes'!$B$8:$C$8)&gt;0, "2", "3"), 0), COUNTIF($D$8:$E$8, L$2)&gt;0, VLOOKUP($J58,'Gear Values'!$A$2:$E$13, IF(COUNTBLANK('Attributes &amp; Prefixes'!$B$8:$C$8)&gt;0, "4", "5"), 0)), "")</f>
        <v>32</v>
      </c>
      <c r="M58" s="137" t="str" cm="1">
        <f t="array" ref="M58">IF(COUNTIF($B$8:$E$8, M$2)&gt;0, _xlfn.IFS(COUNTIF($B$8:$C$8, M$2)&gt;0, VLOOKUP($J58,'Gear Values'!$A$2:$E$13, IF(COUNTBLANK('Attributes &amp; Prefixes'!$B$8:$C$8)&gt;0, "2", "3"), 0), COUNTIF($D$8:$E$8, M$2)&gt;0, VLOOKUP($J58,'Gear Values'!$A$2:$E$13, IF(COUNTBLANK('Attributes &amp; Prefixes'!$B$8:$C$8)&gt;0, "4", "5"), 0)), "")</f>
        <v/>
      </c>
      <c r="N58" s="137" t="str" cm="1">
        <f t="array" ref="N58">IF(COUNTIF($B$8:$E$8, N$2)&gt;0, _xlfn.IFS(COUNTIF($B$8:$C$8, N$2)&gt;0, VLOOKUP($J58,'Gear Values'!$A$2:$E$13, IF(COUNTBLANK('Attributes &amp; Prefixes'!$B$8:$C$8)&gt;0, "2", "3"), 0), COUNTIF($D$8:$E$8, N$2)&gt;0, VLOOKUP($J58,'Gear Values'!$A$2:$E$13, IF(COUNTBLANK('Attributes &amp; Prefixes'!$B$8:$C$8)&gt;0, "4", "5"), 0)), "")</f>
        <v/>
      </c>
      <c r="O58" s="137" t="str" cm="1">
        <f t="array" ref="O58">IF(COUNTIF($B$8:$E$8, O$2)&gt;0, _xlfn.IFS(COUNTIF($B$8:$C$8, O$2)&gt;0, VLOOKUP($J58,'Gear Values'!$A$2:$E$13, IF(COUNTBLANK('Attributes &amp; Prefixes'!$B$8:$C$8)&gt;0, "2", "3"), 0), COUNTIF($D$8:$E$8, O$2)&gt;0, VLOOKUP($J58,'Gear Values'!$A$2:$E$13, IF(COUNTBLANK('Attributes &amp; Prefixes'!$B$8:$C$8)&gt;0, "4", "5"), 0)), "")</f>
        <v/>
      </c>
      <c r="P58" s="137" t="str" cm="1">
        <f t="array" ref="P58">IF(COUNTIF($B$8:$E$8, P$2)&gt;0, _xlfn.IFS(COUNTIF($B$8:$C$8, P$2)&gt;0, VLOOKUP($J58,'Gear Values'!$A$2:$E$13, IF(COUNTBLANK('Attributes &amp; Prefixes'!$B$8:$C$8)&gt;0, "2", "3"), 0), COUNTIF($D$8:$E$8, P$2)&gt;0, VLOOKUP($J58,'Gear Values'!$A$2:$E$13, IF(COUNTBLANK('Attributes &amp; Prefixes'!$B$8:$C$8)&gt;0, "4", "5"), 0)), "")</f>
        <v/>
      </c>
      <c r="Q58" s="137" t="str" cm="1">
        <f t="array" ref="Q58">IF(COUNTIF($B$8:$E$8, Q$2)&gt;0, _xlfn.IFS(COUNTIF($B$8:$C$8, Q$2)&gt;0, VLOOKUP($J58,'Gear Values'!$A$2:$E$13, IF(COUNTBLANK('Attributes &amp; Prefixes'!$B$8:$C$8)&gt;0, "2", "3"), 0), COUNTIF($D$8:$E$8, Q$2)&gt;0, VLOOKUP($J58,'Gear Values'!$A$2:$E$13, IF(COUNTBLANK('Attributes &amp; Prefixes'!$B$8:$C$8)&gt;0, "4", "5"), 0)), "")</f>
        <v/>
      </c>
      <c r="R58" s="137" cm="1">
        <f t="array" ref="R58">IF(COUNTIF($B$8:$E$8, R$2)&gt;0, _xlfn.IFS(COUNTIF($B$8:$C$8, R$2)&gt;0, VLOOKUP($J58,'Gear Values'!$A$2:$E$13, IF(COUNTBLANK('Attributes &amp; Prefixes'!$B$8:$C$8)&gt;0, "2", "3"), 0), COUNTIF($D$8:$E$8, R$2)&gt;0, VLOOKUP($J58,'Gear Values'!$A$2:$E$13, IF(COUNTBLANK('Attributes &amp; Prefixes'!$B$8:$C$8)&gt;0, "4", "5"), 0)), "")</f>
        <v>32</v>
      </c>
      <c r="S58" s="140" t="str" cm="1">
        <f t="array" ref="S58">IF(COUNTIF($B$8:$E$8, S$2)&gt;0, _xlfn.IFS(COUNTIF($B$8:$C$8, S$2)&gt;0, VLOOKUP($J58,'Gear Values'!$A$2:$E$13, IF(COUNTBLANK('Attributes &amp; Prefixes'!$B$8:$C$8)&gt;0, "2", "3"), 0), COUNTIF($D$8:$E$8, S$2)&gt;0, VLOOKUP($J58,'Gear Values'!$A$2:$E$13, IF(COUNTBLANK('Attributes &amp; Prefixes'!$B$8:$C$8)&gt;0, "4", "5"), 0)), "")</f>
        <v/>
      </c>
      <c r="V58" s="112"/>
      <c r="W58" s="113"/>
    </row>
    <row r="59" spans="1:23">
      <c r="A59" s="128" t="s">
        <v>2482</v>
      </c>
      <c r="B59" s="121" t="s">
        <v>6</v>
      </c>
      <c r="C59" s="122" t="s">
        <v>11</v>
      </c>
      <c r="D59" s="122" t="s">
        <v>7</v>
      </c>
      <c r="E59" s="122" t="s">
        <v>12</v>
      </c>
      <c r="F59" s="449" t="str">
        <f>IF(OR(COUNTBLANK(AttributeFilter) = 1,AttributeFilter="(Select)"), A59, IF(COUNTIF(B59:E59, AttributeFilter)&gt;0, A59, ""))</f>
        <v>Black Diamond</v>
      </c>
      <c r="G59" s="111"/>
      <c r="H59" s="130" t="str">
        <f>_xlfn.CONCAT(A$75,J59)</f>
        <v>RubyEar</v>
      </c>
      <c r="I59" s="520"/>
      <c r="J59" s="144" t="s">
        <v>49</v>
      </c>
      <c r="K59" s="136" cm="1">
        <f t="array" ref="K59">IF(COUNTIF($B$8:$E$8, K$2)&gt;0, _xlfn.IFS(COUNTIF($B$8:$C$8, K$2)&gt;0, VLOOKUP($J59,'Gear Values'!$A$2:$E$13, IF(COUNTBLANK('Attributes &amp; Prefixes'!$B$8:$C$8)&gt;0, "2", "3"), 0), COUNTIF($D$8:$E$8, K$2)&gt;0, VLOOKUP($J59,'Gear Values'!$A$2:$E$13, IF(COUNTBLANK('Attributes &amp; Prefixes'!$B$8:$C$8)&gt;0, "4", "5"), 0)), "")</f>
        <v>75</v>
      </c>
      <c r="L59" s="137" cm="1">
        <f t="array" ref="L59">IF(COUNTIF($B$8:$E$8, L$2)&gt;0, _xlfn.IFS(COUNTIF($B$8:$C$8, L$2)&gt;0, VLOOKUP($J59,'Gear Values'!$A$2:$E$13, IF(COUNTBLANK('Attributes &amp; Prefixes'!$B$8:$C$8)&gt;0, "2", "3"), 0), COUNTIF($D$8:$E$8, L$2)&gt;0, VLOOKUP($J59,'Gear Values'!$A$2:$E$13, IF(COUNTBLANK('Attributes &amp; Prefixes'!$B$8:$C$8)&gt;0, "4", "5"), 0)), "")</f>
        <v>53</v>
      </c>
      <c r="M59" s="137" t="str" cm="1">
        <f t="array" ref="M59">IF(COUNTIF($B$8:$E$8, M$2)&gt;0, _xlfn.IFS(COUNTIF($B$8:$C$8, M$2)&gt;0, VLOOKUP($J59,'Gear Values'!$A$2:$E$13, IF(COUNTBLANK('Attributes &amp; Prefixes'!$B$8:$C$8)&gt;0, "2", "3"), 0), COUNTIF($D$8:$E$8, M$2)&gt;0, VLOOKUP($J59,'Gear Values'!$A$2:$E$13, IF(COUNTBLANK('Attributes &amp; Prefixes'!$B$8:$C$8)&gt;0, "4", "5"), 0)), "")</f>
        <v/>
      </c>
      <c r="N59" s="137" t="str" cm="1">
        <f t="array" ref="N59">IF(COUNTIF($B$8:$E$8, N$2)&gt;0, _xlfn.IFS(COUNTIF($B$8:$C$8, N$2)&gt;0, VLOOKUP($J59,'Gear Values'!$A$2:$E$13, IF(COUNTBLANK('Attributes &amp; Prefixes'!$B$8:$C$8)&gt;0, "2", "3"), 0), COUNTIF($D$8:$E$8, N$2)&gt;0, VLOOKUP($J59,'Gear Values'!$A$2:$E$13, IF(COUNTBLANK('Attributes &amp; Prefixes'!$B$8:$C$8)&gt;0, "4", "5"), 0)), "")</f>
        <v/>
      </c>
      <c r="O59" s="137" t="str" cm="1">
        <f t="array" ref="O59">IF(COUNTIF($B$8:$E$8, O$2)&gt;0, _xlfn.IFS(COUNTIF($B$8:$C$8, O$2)&gt;0, VLOOKUP($J59,'Gear Values'!$A$2:$E$13, IF(COUNTBLANK('Attributes &amp; Prefixes'!$B$8:$C$8)&gt;0, "2", "3"), 0), COUNTIF($D$8:$E$8, O$2)&gt;0, VLOOKUP($J59,'Gear Values'!$A$2:$E$13, IF(COUNTBLANK('Attributes &amp; Prefixes'!$B$8:$C$8)&gt;0, "4", "5"), 0)), "")</f>
        <v/>
      </c>
      <c r="P59" s="137" t="str" cm="1">
        <f t="array" ref="P59">IF(COUNTIF($B$8:$E$8, P$2)&gt;0, _xlfn.IFS(COUNTIF($B$8:$C$8, P$2)&gt;0, VLOOKUP($J59,'Gear Values'!$A$2:$E$13, IF(COUNTBLANK('Attributes &amp; Prefixes'!$B$8:$C$8)&gt;0, "2", "3"), 0), COUNTIF($D$8:$E$8, P$2)&gt;0, VLOOKUP($J59,'Gear Values'!$A$2:$E$13, IF(COUNTBLANK('Attributes &amp; Prefixes'!$B$8:$C$8)&gt;0, "4", "5"), 0)), "")</f>
        <v/>
      </c>
      <c r="Q59" s="137" t="str" cm="1">
        <f t="array" ref="Q59">IF(COUNTIF($B$8:$E$8, Q$2)&gt;0, _xlfn.IFS(COUNTIF($B$8:$C$8, Q$2)&gt;0, VLOOKUP($J59,'Gear Values'!$A$2:$E$13, IF(COUNTBLANK('Attributes &amp; Prefixes'!$B$8:$C$8)&gt;0, "2", "3"), 0), COUNTIF($D$8:$E$8, Q$2)&gt;0, VLOOKUP($J59,'Gear Values'!$A$2:$E$13, IF(COUNTBLANK('Attributes &amp; Prefixes'!$B$8:$C$8)&gt;0, "4", "5"), 0)), "")</f>
        <v/>
      </c>
      <c r="R59" s="137" cm="1">
        <f t="array" ref="R59">IF(COUNTIF($B$8:$E$8, R$2)&gt;0, _xlfn.IFS(COUNTIF($B$8:$C$8, R$2)&gt;0, VLOOKUP($J59,'Gear Values'!$A$2:$E$13, IF(COUNTBLANK('Attributes &amp; Prefixes'!$B$8:$C$8)&gt;0, "2", "3"), 0), COUNTIF($D$8:$E$8, R$2)&gt;0, VLOOKUP($J59,'Gear Values'!$A$2:$E$13, IF(COUNTBLANK('Attributes &amp; Prefixes'!$B$8:$C$8)&gt;0, "4", "5"), 0)), "")</f>
        <v>53</v>
      </c>
      <c r="S59" s="140" t="str" cm="1">
        <f t="array" ref="S59">IF(COUNTIF($B$8:$E$8, S$2)&gt;0, _xlfn.IFS(COUNTIF($B$8:$C$8, S$2)&gt;0, VLOOKUP($J59,'Gear Values'!$A$2:$E$13, IF(COUNTBLANK('Attributes &amp; Prefixes'!$B$8:$C$8)&gt;0, "2", "3"), 0), COUNTIF($D$8:$E$8, S$2)&gt;0, VLOOKUP($J59,'Gear Values'!$A$2:$E$13, IF(COUNTBLANK('Attributes &amp; Prefixes'!$B$8:$C$8)&gt;0, "4", "5"), 0)), "")</f>
        <v/>
      </c>
      <c r="V59" s="112"/>
      <c r="W59" s="113"/>
    </row>
    <row r="60" spans="1:23">
      <c r="A60" s="128" t="s">
        <v>2483</v>
      </c>
      <c r="B60" s="121" t="s">
        <v>6</v>
      </c>
      <c r="C60" s="122" t="s">
        <v>7</v>
      </c>
      <c r="D60" s="122" t="s">
        <v>8</v>
      </c>
      <c r="E60" s="122" t="s">
        <v>10</v>
      </c>
      <c r="F60" s="449" t="str">
        <f>IF(OR(COUNTBLANK(AttributeFilter) = 1,AttributeFilter="(Select)"), A60, IF(COUNTIF(B60:E60, AttributeFilter)&gt;0, A60, ""))</f>
        <v>Burl</v>
      </c>
      <c r="G60" s="111"/>
      <c r="H60" s="130" t="str">
        <f>_xlfn.CONCAT(A$75,J60)</f>
        <v>RubyFinger</v>
      </c>
      <c r="I60" s="520"/>
      <c r="J60" s="144" t="s">
        <v>51</v>
      </c>
      <c r="K60" s="136" cm="1">
        <f t="array" ref="K60">IF(COUNTIF($B$8:$E$8, K$2)&gt;0, _xlfn.IFS(COUNTIF($B$8:$C$8, K$2)&gt;0, VLOOKUP($J60,'Gear Values'!$A$2:$E$13, IF(COUNTBLANK('Attributes &amp; Prefixes'!$B$8:$C$8)&gt;0, "2", "3"), 0), COUNTIF($D$8:$E$8, K$2)&gt;0, VLOOKUP($J60,'Gear Values'!$A$2:$E$13, IF(COUNTBLANK('Attributes &amp; Prefixes'!$B$8:$C$8)&gt;0, "4", "5"), 0)), "")</f>
        <v>90</v>
      </c>
      <c r="L60" s="137" cm="1">
        <f t="array" ref="L60">IF(COUNTIF($B$8:$E$8, L$2)&gt;0, _xlfn.IFS(COUNTIF($B$8:$C$8, L$2)&gt;0, VLOOKUP($J60,'Gear Values'!$A$2:$E$13, IF(COUNTBLANK('Attributes &amp; Prefixes'!$B$8:$C$8)&gt;0, "2", "3"), 0), COUNTIF($D$8:$E$8, L$2)&gt;0, VLOOKUP($J60,'Gear Values'!$A$2:$E$13, IF(COUNTBLANK('Attributes &amp; Prefixes'!$B$8:$C$8)&gt;0, "4", "5"), 0)), "")</f>
        <v>64</v>
      </c>
      <c r="M60" s="137" t="str" cm="1">
        <f t="array" ref="M60">IF(COUNTIF($B$8:$E$8, M$2)&gt;0, _xlfn.IFS(COUNTIF($B$8:$C$8, M$2)&gt;0, VLOOKUP($J60,'Gear Values'!$A$2:$E$13, IF(COUNTBLANK('Attributes &amp; Prefixes'!$B$8:$C$8)&gt;0, "2", "3"), 0), COUNTIF($D$8:$E$8, M$2)&gt;0, VLOOKUP($J60,'Gear Values'!$A$2:$E$13, IF(COUNTBLANK('Attributes &amp; Prefixes'!$B$8:$C$8)&gt;0, "4", "5"), 0)), "")</f>
        <v/>
      </c>
      <c r="N60" s="137" t="str" cm="1">
        <f t="array" ref="N60">IF(COUNTIF($B$8:$E$8, N$2)&gt;0, _xlfn.IFS(COUNTIF($B$8:$C$8, N$2)&gt;0, VLOOKUP($J60,'Gear Values'!$A$2:$E$13, IF(COUNTBLANK('Attributes &amp; Prefixes'!$B$8:$C$8)&gt;0, "2", "3"), 0), COUNTIF($D$8:$E$8, N$2)&gt;0, VLOOKUP($J60,'Gear Values'!$A$2:$E$13, IF(COUNTBLANK('Attributes &amp; Prefixes'!$B$8:$C$8)&gt;0, "4", "5"), 0)), "")</f>
        <v/>
      </c>
      <c r="O60" s="137" t="str" cm="1">
        <f t="array" ref="O60">IF(COUNTIF($B$8:$E$8, O$2)&gt;0, _xlfn.IFS(COUNTIF($B$8:$C$8, O$2)&gt;0, VLOOKUP($J60,'Gear Values'!$A$2:$E$13, IF(COUNTBLANK('Attributes &amp; Prefixes'!$B$8:$C$8)&gt;0, "2", "3"), 0), COUNTIF($D$8:$E$8, O$2)&gt;0, VLOOKUP($J60,'Gear Values'!$A$2:$E$13, IF(COUNTBLANK('Attributes &amp; Prefixes'!$B$8:$C$8)&gt;0, "4", "5"), 0)), "")</f>
        <v/>
      </c>
      <c r="P60" s="137" t="str" cm="1">
        <f t="array" ref="P60">IF(COUNTIF($B$8:$E$8, P$2)&gt;0, _xlfn.IFS(COUNTIF($B$8:$C$8, P$2)&gt;0, VLOOKUP($J60,'Gear Values'!$A$2:$E$13, IF(COUNTBLANK('Attributes &amp; Prefixes'!$B$8:$C$8)&gt;0, "2", "3"), 0), COUNTIF($D$8:$E$8, P$2)&gt;0, VLOOKUP($J60,'Gear Values'!$A$2:$E$13, IF(COUNTBLANK('Attributes &amp; Prefixes'!$B$8:$C$8)&gt;0, "4", "5"), 0)), "")</f>
        <v/>
      </c>
      <c r="Q60" s="137" t="str" cm="1">
        <f t="array" ref="Q60">IF(COUNTIF($B$8:$E$8, Q$2)&gt;0, _xlfn.IFS(COUNTIF($B$8:$C$8, Q$2)&gt;0, VLOOKUP($J60,'Gear Values'!$A$2:$E$13, IF(COUNTBLANK('Attributes &amp; Prefixes'!$B$8:$C$8)&gt;0, "2", "3"), 0), COUNTIF($D$8:$E$8, Q$2)&gt;0, VLOOKUP($J60,'Gear Values'!$A$2:$E$13, IF(COUNTBLANK('Attributes &amp; Prefixes'!$B$8:$C$8)&gt;0, "4", "5"), 0)), "")</f>
        <v/>
      </c>
      <c r="R60" s="137" cm="1">
        <f t="array" ref="R60">IF(COUNTIF($B$8:$E$8, R$2)&gt;0, _xlfn.IFS(COUNTIF($B$8:$C$8, R$2)&gt;0, VLOOKUP($J60,'Gear Values'!$A$2:$E$13, IF(COUNTBLANK('Attributes &amp; Prefixes'!$B$8:$C$8)&gt;0, "2", "3"), 0), COUNTIF($D$8:$E$8, R$2)&gt;0, VLOOKUP($J60,'Gear Values'!$A$2:$E$13, IF(COUNTBLANK('Attributes &amp; Prefixes'!$B$8:$C$8)&gt;0, "4", "5"), 0)), "")</f>
        <v>64</v>
      </c>
      <c r="S60" s="140" t="str" cm="1">
        <f t="array" ref="S60">IF(COUNTIF($B$8:$E$8, S$2)&gt;0, _xlfn.IFS(COUNTIF($B$8:$C$8, S$2)&gt;0, VLOOKUP($J60,'Gear Values'!$A$2:$E$13, IF(COUNTBLANK('Attributes &amp; Prefixes'!$B$8:$C$8)&gt;0, "2", "3"), 0), COUNTIF($D$8:$E$8, S$2)&gt;0, VLOOKUP($J60,'Gear Values'!$A$2:$E$13, IF(COUNTBLANK('Attributes &amp; Prefixes'!$B$8:$C$8)&gt;0, "4", "5"), 0)), "")</f>
        <v/>
      </c>
      <c r="V60" s="112"/>
      <c r="W60" s="113"/>
    </row>
    <row r="61" spans="1:23">
      <c r="A61" s="128" t="s">
        <v>2484</v>
      </c>
      <c r="B61" s="121" t="s">
        <v>11</v>
      </c>
      <c r="C61" s="122"/>
      <c r="D61" s="122" t="s">
        <v>6</v>
      </c>
      <c r="E61" s="122" t="s">
        <v>7</v>
      </c>
      <c r="F61" s="449" t="str">
        <f>IF(OR(COUNTBLANK(AttributeFilter) = 1,AttributeFilter="(Select)"), A61, IF(COUNTIF(B61:E61, AttributeFilter)&gt;0, A61, ""))</f>
        <v>Charged Ambrite</v>
      </c>
      <c r="G61" s="111"/>
      <c r="H61" s="130" t="str">
        <f>_xlfn.CONCAT(A$75,J61)</f>
        <v>RubyNeck</v>
      </c>
      <c r="I61" s="520"/>
      <c r="J61" s="144" t="s">
        <v>52</v>
      </c>
      <c r="K61" s="136" cm="1">
        <f t="array" ref="K61">IF(COUNTIF($B$8:$E$8, K$2)&gt;0, _xlfn.IFS(COUNTIF($B$8:$C$8, K$2)&gt;0, VLOOKUP($J61,'Gear Values'!$A$2:$E$13, IF(COUNTBLANK('Attributes &amp; Prefixes'!$B$8:$C$8)&gt;0, "2", "3"), 0), COUNTIF($D$8:$E$8, K$2)&gt;0, VLOOKUP($J61,'Gear Values'!$A$2:$E$13, IF(COUNTBLANK('Attributes &amp; Prefixes'!$B$8:$C$8)&gt;0, "4", "5"), 0)), "")</f>
        <v>120</v>
      </c>
      <c r="L61" s="137" cm="1">
        <f t="array" ref="L61">IF(COUNTIF($B$8:$E$8, L$2)&gt;0, _xlfn.IFS(COUNTIF($B$8:$C$8, L$2)&gt;0, VLOOKUP($J61,'Gear Values'!$A$2:$E$13, IF(COUNTBLANK('Attributes &amp; Prefixes'!$B$8:$C$8)&gt;0, "2", "3"), 0), COUNTIF($D$8:$E$8, L$2)&gt;0, VLOOKUP($J61,'Gear Values'!$A$2:$E$13, IF(COUNTBLANK('Attributes &amp; Prefixes'!$B$8:$C$8)&gt;0, "4", "5"), 0)), "")</f>
        <v>85</v>
      </c>
      <c r="M61" s="137" t="str" cm="1">
        <f t="array" ref="M61">IF(COUNTIF($B$8:$E$8, M$2)&gt;0, _xlfn.IFS(COUNTIF($B$8:$C$8, M$2)&gt;0, VLOOKUP($J61,'Gear Values'!$A$2:$E$13, IF(COUNTBLANK('Attributes &amp; Prefixes'!$B$8:$C$8)&gt;0, "2", "3"), 0), COUNTIF($D$8:$E$8, M$2)&gt;0, VLOOKUP($J61,'Gear Values'!$A$2:$E$13, IF(COUNTBLANK('Attributes &amp; Prefixes'!$B$8:$C$8)&gt;0, "4", "5"), 0)), "")</f>
        <v/>
      </c>
      <c r="N61" s="137" t="str" cm="1">
        <f t="array" ref="N61">IF(COUNTIF($B$8:$E$8, N$2)&gt;0, _xlfn.IFS(COUNTIF($B$8:$C$8, N$2)&gt;0, VLOOKUP($J61,'Gear Values'!$A$2:$E$13, IF(COUNTBLANK('Attributes &amp; Prefixes'!$B$8:$C$8)&gt;0, "2", "3"), 0), COUNTIF($D$8:$E$8, N$2)&gt;0, VLOOKUP($J61,'Gear Values'!$A$2:$E$13, IF(COUNTBLANK('Attributes &amp; Prefixes'!$B$8:$C$8)&gt;0, "4", "5"), 0)), "")</f>
        <v/>
      </c>
      <c r="O61" s="137" t="str" cm="1">
        <f t="array" ref="O61">IF(COUNTIF($B$8:$E$8, O$2)&gt;0, _xlfn.IFS(COUNTIF($B$8:$C$8, O$2)&gt;0, VLOOKUP($J61,'Gear Values'!$A$2:$E$13, IF(COUNTBLANK('Attributes &amp; Prefixes'!$B$8:$C$8)&gt;0, "2", "3"), 0), COUNTIF($D$8:$E$8, O$2)&gt;0, VLOOKUP($J61,'Gear Values'!$A$2:$E$13, IF(COUNTBLANK('Attributes &amp; Prefixes'!$B$8:$C$8)&gt;0, "4", "5"), 0)), "")</f>
        <v/>
      </c>
      <c r="P61" s="137" t="str" cm="1">
        <f t="array" ref="P61">IF(COUNTIF($B$8:$E$8, P$2)&gt;0, _xlfn.IFS(COUNTIF($B$8:$C$8, P$2)&gt;0, VLOOKUP($J61,'Gear Values'!$A$2:$E$13, IF(COUNTBLANK('Attributes &amp; Prefixes'!$B$8:$C$8)&gt;0, "2", "3"), 0), COUNTIF($D$8:$E$8, P$2)&gt;0, VLOOKUP($J61,'Gear Values'!$A$2:$E$13, IF(COUNTBLANK('Attributes &amp; Prefixes'!$B$8:$C$8)&gt;0, "4", "5"), 0)), "")</f>
        <v/>
      </c>
      <c r="Q61" s="137" t="str" cm="1">
        <f t="array" ref="Q61">IF(COUNTIF($B$8:$E$8, Q$2)&gt;0, _xlfn.IFS(COUNTIF($B$8:$C$8, Q$2)&gt;0, VLOOKUP($J61,'Gear Values'!$A$2:$E$13, IF(COUNTBLANK('Attributes &amp; Prefixes'!$B$8:$C$8)&gt;0, "2", "3"), 0), COUNTIF($D$8:$E$8, Q$2)&gt;0, VLOOKUP($J61,'Gear Values'!$A$2:$E$13, IF(COUNTBLANK('Attributes &amp; Prefixes'!$B$8:$C$8)&gt;0, "4", "5"), 0)), "")</f>
        <v/>
      </c>
      <c r="R61" s="137" cm="1">
        <f t="array" ref="R61">IF(COUNTIF($B$8:$E$8, R$2)&gt;0, _xlfn.IFS(COUNTIF($B$8:$C$8, R$2)&gt;0, VLOOKUP($J61,'Gear Values'!$A$2:$E$13, IF(COUNTBLANK('Attributes &amp; Prefixes'!$B$8:$C$8)&gt;0, "2", "3"), 0), COUNTIF($D$8:$E$8, R$2)&gt;0, VLOOKUP($J61,'Gear Values'!$A$2:$E$13, IF(COUNTBLANK('Attributes &amp; Prefixes'!$B$8:$C$8)&gt;0, "4", "5"), 0)), "")</f>
        <v>85</v>
      </c>
      <c r="S61" s="140" t="str" cm="1">
        <f t="array" ref="S61">IF(COUNTIF($B$8:$E$8, S$2)&gt;0, _xlfn.IFS(COUNTIF($B$8:$C$8, S$2)&gt;0, VLOOKUP($J61,'Gear Values'!$A$2:$E$13, IF(COUNTBLANK('Attributes &amp; Prefixes'!$B$8:$C$8)&gt;0, "2", "3"), 0), COUNTIF($D$8:$E$8, S$2)&gt;0, VLOOKUP($J61,'Gear Values'!$A$2:$E$13, IF(COUNTBLANK('Attributes &amp; Prefixes'!$B$8:$C$8)&gt;0, "4", "5"), 0)), "")</f>
        <v/>
      </c>
      <c r="V61" s="112"/>
      <c r="W61" s="113"/>
    </row>
    <row r="62" spans="1:23">
      <c r="A62" s="128" t="s">
        <v>2485</v>
      </c>
      <c r="B62" s="525" t="s">
        <v>2439</v>
      </c>
      <c r="C62" s="526"/>
      <c r="D62" s="526"/>
      <c r="E62" s="526"/>
      <c r="F62" s="449" t="str">
        <f>IF(OR(COUNTBLANK(AttributeFilter) = 1,AttributeFilter="(Select)"), A62, IF(COUNTIF(B62:E62, AttributeFilter)&gt;0, A62, ""))</f>
        <v>Charged Quartz</v>
      </c>
      <c r="G62" s="111"/>
      <c r="H62" s="130" t="str">
        <f>_xlfn.CONCAT(I$51,J62)</f>
        <v>BerserkerBack</v>
      </c>
      <c r="I62" s="521"/>
      <c r="J62" s="146" t="s">
        <v>53</v>
      </c>
      <c r="K62" s="147" cm="1">
        <f t="array" ref="K62">IF(COUNTIF($B$8:$E$8, K$2)&gt;0, _xlfn.IFS(COUNTIF($B$8:$C$8, K$2)&gt;0, VLOOKUP($J62,'Gear Values'!$A$2:$E$13, IF(COUNTBLANK('Attributes &amp; Prefixes'!$B$8:$C$8)&gt;0, "2", "3"), 0), COUNTIF($D$8:$E$8, K$2)&gt;0, VLOOKUP($J62,'Gear Values'!$A$2:$E$13, IF(COUNTBLANK('Attributes &amp; Prefixes'!$B$8:$C$8)&gt;0, "4", "5"), 0)), "")</f>
        <v>32</v>
      </c>
      <c r="L62" s="148" cm="1">
        <f t="array" ref="L62">IF(COUNTIF($B$8:$E$8, L$2)&gt;0, _xlfn.IFS(COUNTIF($B$8:$C$8, L$2)&gt;0, VLOOKUP($J62,'Gear Values'!$A$2:$E$13, IF(COUNTBLANK('Attributes &amp; Prefixes'!$B$8:$C$8)&gt;0, "2", "3"), 0), COUNTIF($D$8:$E$8, L$2)&gt;0, VLOOKUP($J62,'Gear Values'!$A$2:$E$13, IF(COUNTBLANK('Attributes &amp; Prefixes'!$B$8:$C$8)&gt;0, "4", "5"), 0)), "")</f>
        <v>18</v>
      </c>
      <c r="M62" s="148" t="str" cm="1">
        <f t="array" ref="M62">IF(COUNTIF($B$8:$E$8, M$2)&gt;0, _xlfn.IFS(COUNTIF($B$8:$C$8, M$2)&gt;0, VLOOKUP($J62,'Gear Values'!$A$2:$E$13, IF(COUNTBLANK('Attributes &amp; Prefixes'!$B$8:$C$8)&gt;0, "2", "3"), 0), COUNTIF($D$8:$E$8, M$2)&gt;0, VLOOKUP($J62,'Gear Values'!$A$2:$E$13, IF(COUNTBLANK('Attributes &amp; Prefixes'!$B$8:$C$8)&gt;0, "4", "5"), 0)), "")</f>
        <v/>
      </c>
      <c r="N62" s="148" t="str" cm="1">
        <f t="array" ref="N62">IF(COUNTIF($B$8:$E$8, N$2)&gt;0, _xlfn.IFS(COUNTIF($B$8:$C$8, N$2)&gt;0, VLOOKUP($J62,'Gear Values'!$A$2:$E$13, IF(COUNTBLANK('Attributes &amp; Prefixes'!$B$8:$C$8)&gt;0, "2", "3"), 0), COUNTIF($D$8:$E$8, N$2)&gt;0, VLOOKUP($J62,'Gear Values'!$A$2:$E$13, IF(COUNTBLANK('Attributes &amp; Prefixes'!$B$8:$C$8)&gt;0, "4", "5"), 0)), "")</f>
        <v/>
      </c>
      <c r="O62" s="148" t="str" cm="1">
        <f t="array" ref="O62">IF(COUNTIF($B$8:$E$8, O$2)&gt;0, _xlfn.IFS(COUNTIF($B$8:$C$8, O$2)&gt;0, VLOOKUP($J62,'Gear Values'!$A$2:$E$13, IF(COUNTBLANK('Attributes &amp; Prefixes'!$B$8:$C$8)&gt;0, "2", "3"), 0), COUNTIF($D$8:$E$8, O$2)&gt;0, VLOOKUP($J62,'Gear Values'!$A$2:$E$13, IF(COUNTBLANK('Attributes &amp; Prefixes'!$B$8:$C$8)&gt;0, "4", "5"), 0)), "")</f>
        <v/>
      </c>
      <c r="P62" s="148" t="str" cm="1">
        <f t="array" ref="P62">IF(COUNTIF($B$8:$E$8, P$2)&gt;0, _xlfn.IFS(COUNTIF($B$8:$C$8, P$2)&gt;0, VLOOKUP($J62,'Gear Values'!$A$2:$E$13, IF(COUNTBLANK('Attributes &amp; Prefixes'!$B$8:$C$8)&gt;0, "2", "3"), 0), COUNTIF($D$8:$E$8, P$2)&gt;0, VLOOKUP($J62,'Gear Values'!$A$2:$E$13, IF(COUNTBLANK('Attributes &amp; Prefixes'!$B$8:$C$8)&gt;0, "4", "5"), 0)), "")</f>
        <v/>
      </c>
      <c r="Q62" s="148" t="str" cm="1">
        <f t="array" ref="Q62">IF(COUNTIF($B$8:$E$8, Q$2)&gt;0, _xlfn.IFS(COUNTIF($B$8:$C$8, Q$2)&gt;0, VLOOKUP($J62,'Gear Values'!$A$2:$E$13, IF(COUNTBLANK('Attributes &amp; Prefixes'!$B$8:$C$8)&gt;0, "2", "3"), 0), COUNTIF($D$8:$E$8, Q$2)&gt;0, VLOOKUP($J62,'Gear Values'!$A$2:$E$13, IF(COUNTBLANK('Attributes &amp; Prefixes'!$B$8:$C$8)&gt;0, "4", "5"), 0)), "")</f>
        <v/>
      </c>
      <c r="R62" s="148" cm="1">
        <f t="array" ref="R62">IF(COUNTIF($B$8:$E$8, R$2)&gt;0, _xlfn.IFS(COUNTIF($B$8:$C$8, R$2)&gt;0, VLOOKUP($J62,'Gear Values'!$A$2:$E$13, IF(COUNTBLANK('Attributes &amp; Prefixes'!$B$8:$C$8)&gt;0, "2", "3"), 0), COUNTIF($D$8:$E$8, R$2)&gt;0, VLOOKUP($J62,'Gear Values'!$A$2:$E$13, IF(COUNTBLANK('Attributes &amp; Prefixes'!$B$8:$C$8)&gt;0, "4", "5"), 0)), "")</f>
        <v>18</v>
      </c>
      <c r="S62" s="151" t="str" cm="1">
        <f t="array" ref="S62">IF(COUNTIF($B$8:$E$8, S$2)&gt;0, _xlfn.IFS(COUNTIF($B$8:$C$8, S$2)&gt;0, VLOOKUP($J62,'Gear Values'!$A$2:$E$13, IF(COUNTBLANK('Attributes &amp; Prefixes'!$B$8:$C$8)&gt;0, "2", "3"), 0), COUNTIF($D$8:$E$8, S$2)&gt;0, VLOOKUP($J62,'Gear Values'!$A$2:$E$13, IF(COUNTBLANK('Attributes &amp; Prefixes'!$B$8:$C$8)&gt;0, "4", "5"), 0)), "")</f>
        <v/>
      </c>
      <c r="V62" s="112"/>
      <c r="W62" s="113"/>
    </row>
    <row r="63" spans="1:23">
      <c r="A63" s="128" t="s">
        <v>50</v>
      </c>
      <c r="B63" s="121" t="s">
        <v>11</v>
      </c>
      <c r="C63" s="122"/>
      <c r="D63" s="122" t="s">
        <v>6</v>
      </c>
      <c r="E63" s="122" t="s">
        <v>9</v>
      </c>
      <c r="F63" s="449" t="str">
        <f>IF(OR(COUNTBLANK(AttributeFilter) = 1,AttributeFilter="(Select)"), A63, IF(COUNTIF(B63:E63, AttributeFilter)&gt;0, A63, ""))</f>
        <v>Chrysocola</v>
      </c>
      <c r="G63" s="111"/>
      <c r="H63" s="130" t="str">
        <f>_xlfn.CONCAT(I$63,J63)</f>
        <v>BringerWeapon (1H)</v>
      </c>
      <c r="I63" s="519" t="str">
        <f>A9</f>
        <v>Bringer</v>
      </c>
      <c r="J63" s="145" t="s">
        <v>37</v>
      </c>
      <c r="K63" s="133" t="str" cm="1">
        <f t="array" ref="K63">IF(COUNTIF($B$9:$E$9, K$2)&gt;0, _xlfn.IFS(COUNTIF($B$9:$C$9, K$2)&gt;0, VLOOKUP($J63,'Gear Values'!$A$2:$E$13, IF(COUNTBLANK('Attributes &amp; Prefixes'!$B$9:$C$9)&gt;0, "2", "3"), 0), COUNTIF($D$9:$E$9, K$2)&gt;0, VLOOKUP($J63,'Gear Values'!$A$2:$E$13, IF(COUNTBLANK('Attributes &amp; Prefixes'!$B$9:$C$9)&gt;0, "4", "5"), 0)), "")</f>
        <v/>
      </c>
      <c r="L63" s="134" cm="1">
        <f t="array" ref="L63">IF(COUNTIF($B$9:$E$9, L$2)&gt;0, _xlfn.IFS(COUNTIF($B$9:$C$9, L$2)&gt;0, VLOOKUP($J63,'Gear Values'!$A$2:$E$13, IF(COUNTBLANK('Attributes &amp; Prefixes'!$B$9:$C$9)&gt;0, "2", "3"), 0), COUNTIF($D$9:$E$9, L$2)&gt;0, VLOOKUP($J63,'Gear Values'!$A$2:$E$13, IF(COUNTBLANK('Attributes &amp; Prefixes'!$B$9:$C$9)&gt;0, "4", "5"), 0)), "")</f>
        <v>85</v>
      </c>
      <c r="M63" s="134" t="str" cm="1">
        <f t="array" ref="M63">IF(COUNTIF($B$9:$E$9, M$2)&gt;0, _xlfn.IFS(COUNTIF($B$9:$C$9, M$2)&gt;0, VLOOKUP($J63,'Gear Values'!$A$2:$E$13, IF(COUNTBLANK('Attributes &amp; Prefixes'!$B$9:$C$9)&gt;0, "2", "3"), 0), COUNTIF($D$9:$E$9, M$2)&gt;0, VLOOKUP($J63,'Gear Values'!$A$2:$E$13, IF(COUNTBLANK('Attributes &amp; Prefixes'!$B$9:$C$9)&gt;0, "4", "5"), 0)), "")</f>
        <v/>
      </c>
      <c r="N63" s="134" cm="1">
        <f t="array" ref="N63">IF(COUNTIF($B$9:$E$9, N$2)&gt;0, _xlfn.IFS(COUNTIF($B$9:$C$9, N$2)&gt;0, VLOOKUP($J63,'Gear Values'!$A$2:$E$13, IF(COUNTBLANK('Attributes &amp; Prefixes'!$B$9:$C$9)&gt;0, "2", "3"), 0), COUNTIF($D$9:$E$9, N$2)&gt;0, VLOOKUP($J63,'Gear Values'!$A$2:$E$13, IF(COUNTBLANK('Attributes &amp; Prefixes'!$B$9:$C$9)&gt;0, "4", "5"), 0)), "")</f>
        <v>85</v>
      </c>
      <c r="O63" s="134" t="str" cm="1">
        <f t="array" ref="O63">IF(COUNTIF($B$9:$E$9, O$2)&gt;0, _xlfn.IFS(COUNTIF($B$9:$C$9, O$2)&gt;0, VLOOKUP($J63,'Gear Values'!$A$2:$E$13, IF(COUNTBLANK('Attributes &amp; Prefixes'!$B$9:$C$9)&gt;0, "2", "3"), 0), COUNTIF($D$9:$E$9, O$2)&gt;0, VLOOKUP($J63,'Gear Values'!$A$2:$E$13, IF(COUNTBLANK('Attributes &amp; Prefixes'!$B$9:$C$9)&gt;0, "4", "5"), 0)), "")</f>
        <v/>
      </c>
      <c r="P63" s="134" t="str" cm="1">
        <f t="array" ref="P63">IF(COUNTIF($B$9:$E$9, P$2)&gt;0, _xlfn.IFS(COUNTIF($B$9:$C$9, P$2)&gt;0, VLOOKUP($J63,'Gear Values'!$A$2:$E$13, IF(COUNTBLANK('Attributes &amp; Prefixes'!$B$9:$C$9)&gt;0, "2", "3"), 0), COUNTIF($D$9:$E$9, P$2)&gt;0, VLOOKUP($J63,'Gear Values'!$A$2:$E$13, IF(COUNTBLANK('Attributes &amp; Prefixes'!$B$9:$C$9)&gt;0, "4", "5"), 0)), "")</f>
        <v/>
      </c>
      <c r="Q63" s="134" cm="1">
        <f t="array" ref="Q63">IF(COUNTIF($B$9:$E$9, Q$2)&gt;0, _xlfn.IFS(COUNTIF($B$9:$C$9, Q$2)&gt;0, VLOOKUP($J63,'Gear Values'!$A$2:$E$13, IF(COUNTBLANK('Attributes &amp; Prefixes'!$B$9:$C$9)&gt;0, "2", "3"), 0), COUNTIF($D$9:$E$9, Q$2)&gt;0, VLOOKUP($J63,'Gear Values'!$A$2:$E$13, IF(COUNTBLANK('Attributes &amp; Prefixes'!$B$9:$C$9)&gt;0, "4", "5"), 0)), "")</f>
        <v>120</v>
      </c>
      <c r="R63" s="134" t="str" cm="1">
        <f t="array" ref="R63">IF(COUNTIF($B$9:$E$9, R$2)&gt;0, _xlfn.IFS(COUNTIF($B$9:$C$9, R$2)&gt;0, VLOOKUP($J63,'Gear Values'!$A$2:$E$13, IF(COUNTBLANK('Attributes &amp; Prefixes'!$B$9:$C$9)&gt;0, "2", "3"), 0), COUNTIF($D$9:$E$9, R$2)&gt;0, VLOOKUP($J63,'Gear Values'!$A$2:$E$13, IF(COUNTBLANK('Attributes &amp; Prefixes'!$B$9:$C$9)&gt;0, "4", "5"), 0)), "")</f>
        <v/>
      </c>
      <c r="S63" s="139" t="str" cm="1">
        <f t="array" ref="S63">IF(COUNTIF($B$9:$E$9, S$2)&gt;0, _xlfn.IFS(COUNTIF($B$9:$C$9, S$2)&gt;0, VLOOKUP($J63,'Gear Values'!$A$2:$E$13, IF(COUNTBLANK('Attributes &amp; Prefixes'!$B$9:$C$9)&gt;0, "2", "3"), 0), COUNTIF($D$9:$E$9, S$2)&gt;0, VLOOKUP($J63,'Gear Values'!$A$2:$E$13, IF(COUNTBLANK('Attributes &amp; Prefixes'!$B$9:$C$9)&gt;0, "4", "5"), 0)), "")</f>
        <v/>
      </c>
      <c r="V63" s="112"/>
      <c r="W63" s="113"/>
    </row>
    <row r="64" spans="1:23">
      <c r="A64" s="128" t="s">
        <v>2486</v>
      </c>
      <c r="B64" s="121" t="s">
        <v>7</v>
      </c>
      <c r="C64" s="122"/>
      <c r="D64" s="122" t="s">
        <v>6</v>
      </c>
      <c r="E64" s="122" t="s">
        <v>11</v>
      </c>
      <c r="F64" s="449" t="str">
        <f>IF(OR(COUNTBLANK(AttributeFilter) = 1,AttributeFilter="(Select)"), A64, IF(COUNTIF(B64:E64, AttributeFilter)&gt;0, A64, ""))</f>
        <v>Coral</v>
      </c>
      <c r="G64" s="111"/>
      <c r="H64" s="130" t="str">
        <f>_xlfn.CONCAT(I$63,J64)</f>
        <v>BringerWeapon (2H)</v>
      </c>
      <c r="I64" s="520"/>
      <c r="J64" s="144" t="s">
        <v>39</v>
      </c>
      <c r="K64" s="136" t="str" cm="1">
        <f t="array" ref="K64">IF(COUNTIF($B$9:$E$9, K$2)&gt;0, _xlfn.IFS(COUNTIF($B$9:$C$9, K$2)&gt;0, VLOOKUP($J64,'Gear Values'!$A$2:$E$13, IF(COUNTBLANK('Attributes &amp; Prefixes'!$B$9:$C$9)&gt;0, "2", "3"), 0), COUNTIF($D$9:$E$9, K$2)&gt;0, VLOOKUP($J64,'Gear Values'!$A$2:$E$13, IF(COUNTBLANK('Attributes &amp; Prefixes'!$B$9:$C$9)&gt;0, "4", "5"), 0)), "")</f>
        <v/>
      </c>
      <c r="L64" s="137" cm="1">
        <f t="array" ref="L64">IF(COUNTIF($B$9:$E$9, L$2)&gt;0, _xlfn.IFS(COUNTIF($B$9:$C$9, L$2)&gt;0, VLOOKUP($J64,'Gear Values'!$A$2:$E$13, IF(COUNTBLANK('Attributes &amp; Prefixes'!$B$9:$C$9)&gt;0, "2", "3"), 0), COUNTIF($D$9:$E$9, L$2)&gt;0, VLOOKUP($J64,'Gear Values'!$A$2:$E$13, IF(COUNTBLANK('Attributes &amp; Prefixes'!$B$9:$C$9)&gt;0, "4", "5"), 0)), "")</f>
        <v>171</v>
      </c>
      <c r="M64" s="137" t="str" cm="1">
        <f t="array" ref="M64">IF(COUNTIF($B$9:$E$9, M$2)&gt;0, _xlfn.IFS(COUNTIF($B$9:$C$9, M$2)&gt;0, VLOOKUP($J64,'Gear Values'!$A$2:$E$13, IF(COUNTBLANK('Attributes &amp; Prefixes'!$B$9:$C$9)&gt;0, "2", "3"), 0), COUNTIF($D$9:$E$9, M$2)&gt;0, VLOOKUP($J64,'Gear Values'!$A$2:$E$13, IF(COUNTBLANK('Attributes &amp; Prefixes'!$B$9:$C$9)&gt;0, "4", "5"), 0)), "")</f>
        <v/>
      </c>
      <c r="N64" s="137" cm="1">
        <f t="array" ref="N64">IF(COUNTIF($B$9:$E$9, N$2)&gt;0, _xlfn.IFS(COUNTIF($B$9:$C$9, N$2)&gt;0, VLOOKUP($J64,'Gear Values'!$A$2:$E$13, IF(COUNTBLANK('Attributes &amp; Prefixes'!$B$9:$C$9)&gt;0, "2", "3"), 0), COUNTIF($D$9:$E$9, N$2)&gt;0, VLOOKUP($J64,'Gear Values'!$A$2:$E$13, IF(COUNTBLANK('Attributes &amp; Prefixes'!$B$9:$C$9)&gt;0, "4", "5"), 0)), "")</f>
        <v>171</v>
      </c>
      <c r="O64" s="137" t="str" cm="1">
        <f t="array" ref="O64">IF(COUNTIF($B$9:$E$9, O$2)&gt;0, _xlfn.IFS(COUNTIF($B$9:$C$9, O$2)&gt;0, VLOOKUP($J64,'Gear Values'!$A$2:$E$13, IF(COUNTBLANK('Attributes &amp; Prefixes'!$B$9:$C$9)&gt;0, "2", "3"), 0), COUNTIF($D$9:$E$9, O$2)&gt;0, VLOOKUP($J64,'Gear Values'!$A$2:$E$13, IF(COUNTBLANK('Attributes &amp; Prefixes'!$B$9:$C$9)&gt;0, "4", "5"), 0)), "")</f>
        <v/>
      </c>
      <c r="P64" s="137" t="str" cm="1">
        <f t="array" ref="P64">IF(COUNTIF($B$9:$E$9, P$2)&gt;0, _xlfn.IFS(COUNTIF($B$9:$C$9, P$2)&gt;0, VLOOKUP($J64,'Gear Values'!$A$2:$E$13, IF(COUNTBLANK('Attributes &amp; Prefixes'!$B$9:$C$9)&gt;0, "2", "3"), 0), COUNTIF($D$9:$E$9, P$2)&gt;0, VLOOKUP($J64,'Gear Values'!$A$2:$E$13, IF(COUNTBLANK('Attributes &amp; Prefixes'!$B$9:$C$9)&gt;0, "4", "5"), 0)), "")</f>
        <v/>
      </c>
      <c r="Q64" s="137" cm="1">
        <f t="array" ref="Q64">IF(COUNTIF($B$9:$E$9, Q$2)&gt;0, _xlfn.IFS(COUNTIF($B$9:$C$9, Q$2)&gt;0, VLOOKUP($J64,'Gear Values'!$A$2:$E$13, IF(COUNTBLANK('Attributes &amp; Prefixes'!$B$9:$C$9)&gt;0, "2", "3"), 0), COUNTIF($D$9:$E$9, Q$2)&gt;0, VLOOKUP($J64,'Gear Values'!$A$2:$E$13, IF(COUNTBLANK('Attributes &amp; Prefixes'!$B$9:$C$9)&gt;0, "4", "5"), 0)), "")</f>
        <v>239</v>
      </c>
      <c r="R64" s="137" t="str" cm="1">
        <f t="array" ref="R64">IF(COUNTIF($B$9:$E$9, R$2)&gt;0, _xlfn.IFS(COUNTIF($B$9:$C$9, R$2)&gt;0, VLOOKUP($J64,'Gear Values'!$A$2:$E$13, IF(COUNTBLANK('Attributes &amp; Prefixes'!$B$9:$C$9)&gt;0, "2", "3"), 0), COUNTIF($D$9:$E$9, R$2)&gt;0, VLOOKUP($J64,'Gear Values'!$A$2:$E$13, IF(COUNTBLANK('Attributes &amp; Prefixes'!$B$9:$C$9)&gt;0, "4", "5"), 0)), "")</f>
        <v/>
      </c>
      <c r="S64" s="140" t="str" cm="1">
        <f t="array" ref="S64">IF(COUNTIF($B$9:$E$9, S$2)&gt;0, _xlfn.IFS(COUNTIF($B$9:$C$9, S$2)&gt;0, VLOOKUP($J64,'Gear Values'!$A$2:$E$13, IF(COUNTBLANK('Attributes &amp; Prefixes'!$B$9:$C$9)&gt;0, "2", "3"), 0), COUNTIF($D$9:$E$9, S$2)&gt;0, VLOOKUP($J64,'Gear Values'!$A$2:$E$13, IF(COUNTBLANK('Attributes &amp; Prefixes'!$B$9:$C$9)&gt;0, "4", "5"), 0)), "")</f>
        <v/>
      </c>
      <c r="V64" s="112"/>
      <c r="W64" s="113"/>
    </row>
    <row r="65" spans="1:23">
      <c r="A65" s="128" t="s">
        <v>2487</v>
      </c>
      <c r="B65" s="121" t="s">
        <v>6</v>
      </c>
      <c r="C65" s="122" t="s">
        <v>7</v>
      </c>
      <c r="D65" s="122" t="s">
        <v>9</v>
      </c>
      <c r="E65" s="122" t="s">
        <v>13</v>
      </c>
      <c r="F65" s="449" t="str">
        <f>IF(OR(COUNTBLANK(AttributeFilter) = 1,AttributeFilter="(Select)"), A65, IF(COUNTIF(B65:E65, AttributeFilter)&gt;0, A65, ""))</f>
        <v>Ebony</v>
      </c>
      <c r="G65" s="111"/>
      <c r="H65" s="130" t="str">
        <f>_xlfn.CONCAT(I$63,J65)</f>
        <v>BringerHead</v>
      </c>
      <c r="I65" s="520"/>
      <c r="J65" s="144" t="s">
        <v>40</v>
      </c>
      <c r="K65" s="136" t="str" cm="1">
        <f t="array" ref="K65">IF(COUNTIF($B$9:$E$9, K$2)&gt;0, _xlfn.IFS(COUNTIF($B$9:$C$9, K$2)&gt;0, VLOOKUP($J65,'Gear Values'!$A$2:$E$13, IF(COUNTBLANK('Attributes &amp; Prefixes'!$B$9:$C$9)&gt;0, "2", "3"), 0), COUNTIF($D$9:$E$9, K$2)&gt;0, VLOOKUP($J65,'Gear Values'!$A$2:$E$13, IF(COUNTBLANK('Attributes &amp; Prefixes'!$B$9:$C$9)&gt;0, "4", "5"), 0)), "")</f>
        <v/>
      </c>
      <c r="L65" s="137" cm="1">
        <f t="array" ref="L65">IF(COUNTIF($B$9:$E$9, L$2)&gt;0, _xlfn.IFS(COUNTIF($B$9:$C$9, L$2)&gt;0, VLOOKUP($J65,'Gear Values'!$A$2:$E$13, IF(COUNTBLANK('Attributes &amp; Prefixes'!$B$9:$C$9)&gt;0, "2", "3"), 0), COUNTIF($D$9:$E$9, L$2)&gt;0, VLOOKUP($J65,'Gear Values'!$A$2:$E$13, IF(COUNTBLANK('Attributes &amp; Prefixes'!$B$9:$C$9)&gt;0, "4", "5"), 0)), "")</f>
        <v>43</v>
      </c>
      <c r="M65" s="137" t="str" cm="1">
        <f t="array" ref="M65">IF(COUNTIF($B$9:$E$9, M$2)&gt;0, _xlfn.IFS(COUNTIF($B$9:$C$9, M$2)&gt;0, VLOOKUP($J65,'Gear Values'!$A$2:$E$13, IF(COUNTBLANK('Attributes &amp; Prefixes'!$B$9:$C$9)&gt;0, "2", "3"), 0), COUNTIF($D$9:$E$9, M$2)&gt;0, VLOOKUP($J65,'Gear Values'!$A$2:$E$13, IF(COUNTBLANK('Attributes &amp; Prefixes'!$B$9:$C$9)&gt;0, "4", "5"), 0)), "")</f>
        <v/>
      </c>
      <c r="N65" s="137" cm="1">
        <f t="array" ref="N65">IF(COUNTIF($B$9:$E$9, N$2)&gt;0, _xlfn.IFS(COUNTIF($B$9:$C$9, N$2)&gt;0, VLOOKUP($J65,'Gear Values'!$A$2:$E$13, IF(COUNTBLANK('Attributes &amp; Prefixes'!$B$9:$C$9)&gt;0, "2", "3"), 0), COUNTIF($D$9:$E$9, N$2)&gt;0, VLOOKUP($J65,'Gear Values'!$A$2:$E$13, IF(COUNTBLANK('Attributes &amp; Prefixes'!$B$9:$C$9)&gt;0, "4", "5"), 0)), "")</f>
        <v>43</v>
      </c>
      <c r="O65" s="137" t="str" cm="1">
        <f t="array" ref="O65">IF(COUNTIF($B$9:$E$9, O$2)&gt;0, _xlfn.IFS(COUNTIF($B$9:$C$9, O$2)&gt;0, VLOOKUP($J65,'Gear Values'!$A$2:$E$13, IF(COUNTBLANK('Attributes &amp; Prefixes'!$B$9:$C$9)&gt;0, "2", "3"), 0), COUNTIF($D$9:$E$9, O$2)&gt;0, VLOOKUP($J65,'Gear Values'!$A$2:$E$13, IF(COUNTBLANK('Attributes &amp; Prefixes'!$B$9:$C$9)&gt;0, "4", "5"), 0)), "")</f>
        <v/>
      </c>
      <c r="P65" s="137" t="str" cm="1">
        <f t="array" ref="P65">IF(COUNTIF($B$9:$E$9, P$2)&gt;0, _xlfn.IFS(COUNTIF($B$9:$C$9, P$2)&gt;0, VLOOKUP($J65,'Gear Values'!$A$2:$E$13, IF(COUNTBLANK('Attributes &amp; Prefixes'!$B$9:$C$9)&gt;0, "2", "3"), 0), COUNTIF($D$9:$E$9, P$2)&gt;0, VLOOKUP($J65,'Gear Values'!$A$2:$E$13, IF(COUNTBLANK('Attributes &amp; Prefixes'!$B$9:$C$9)&gt;0, "4", "5"), 0)), "")</f>
        <v/>
      </c>
      <c r="Q65" s="137" cm="1">
        <f t="array" ref="Q65">IF(COUNTIF($B$9:$E$9, Q$2)&gt;0, _xlfn.IFS(COUNTIF($B$9:$C$9, Q$2)&gt;0, VLOOKUP($J65,'Gear Values'!$A$2:$E$13, IF(COUNTBLANK('Attributes &amp; Prefixes'!$B$9:$C$9)&gt;0, "2", "3"), 0), COUNTIF($D$9:$E$9, Q$2)&gt;0, VLOOKUP($J65,'Gear Values'!$A$2:$E$13, IF(COUNTBLANK('Attributes &amp; Prefixes'!$B$9:$C$9)&gt;0, "4", "5"), 0)), "")</f>
        <v>60</v>
      </c>
      <c r="R65" s="137" t="str" cm="1">
        <f t="array" ref="R65">IF(COUNTIF($B$9:$E$9, R$2)&gt;0, _xlfn.IFS(COUNTIF($B$9:$C$9, R$2)&gt;0, VLOOKUP($J65,'Gear Values'!$A$2:$E$13, IF(COUNTBLANK('Attributes &amp; Prefixes'!$B$9:$C$9)&gt;0, "2", "3"), 0), COUNTIF($D$9:$E$9, R$2)&gt;0, VLOOKUP($J65,'Gear Values'!$A$2:$E$13, IF(COUNTBLANK('Attributes &amp; Prefixes'!$B$9:$C$9)&gt;0, "4", "5"), 0)), "")</f>
        <v/>
      </c>
      <c r="S65" s="140" t="str" cm="1">
        <f t="array" ref="S65">IF(COUNTIF($B$9:$E$9, S$2)&gt;0, _xlfn.IFS(COUNTIF($B$9:$C$9, S$2)&gt;0, VLOOKUP($J65,'Gear Values'!$A$2:$E$13, IF(COUNTBLANK('Attributes &amp; Prefixes'!$B$9:$C$9)&gt;0, "2", "3"), 0), COUNTIF($D$9:$E$9, S$2)&gt;0, VLOOKUP($J65,'Gear Values'!$A$2:$E$13, IF(COUNTBLANK('Attributes &amp; Prefixes'!$B$9:$C$9)&gt;0, "4", "5"), 0)), "")</f>
        <v/>
      </c>
      <c r="V65" s="112"/>
      <c r="W65" s="113"/>
    </row>
    <row r="66" spans="1:23">
      <c r="A66" s="128" t="s">
        <v>2488</v>
      </c>
      <c r="B66" s="121" t="s">
        <v>8</v>
      </c>
      <c r="C66" s="122"/>
      <c r="D66" s="122" t="s">
        <v>6</v>
      </c>
      <c r="E66" s="122" t="s">
        <v>7</v>
      </c>
      <c r="F66" s="449" t="str">
        <f>IF(OR(COUNTBLANK(AttributeFilter) = 1,AttributeFilter="(Select)"), A66, IF(COUNTIF(B66:E66, AttributeFilter)&gt;0, A66, ""))</f>
        <v>Emerald</v>
      </c>
      <c r="G66" s="111"/>
      <c r="H66" s="130" t="str">
        <f>_xlfn.CONCAT(I$63,J66)</f>
        <v>BringerShoulders</v>
      </c>
      <c r="I66" s="520"/>
      <c r="J66" s="144" t="s">
        <v>42</v>
      </c>
      <c r="K66" s="136" t="str" cm="1">
        <f t="array" ref="K66">IF(COUNTIF($B$9:$E$9, K$2)&gt;0, _xlfn.IFS(COUNTIF($B$9:$C$9, K$2)&gt;0, VLOOKUP($J66,'Gear Values'!$A$2:$E$13, IF(COUNTBLANK('Attributes &amp; Prefixes'!$B$9:$C$9)&gt;0, "2", "3"), 0), COUNTIF($D$9:$E$9, K$2)&gt;0, VLOOKUP($J66,'Gear Values'!$A$2:$E$13, IF(COUNTBLANK('Attributes &amp; Prefixes'!$B$9:$C$9)&gt;0, "4", "5"), 0)), "")</f>
        <v/>
      </c>
      <c r="L66" s="137" cm="1">
        <f t="array" ref="L66">IF(COUNTIF($B$9:$E$9, L$2)&gt;0, _xlfn.IFS(COUNTIF($B$9:$C$9, L$2)&gt;0, VLOOKUP($J66,'Gear Values'!$A$2:$E$13, IF(COUNTBLANK('Attributes &amp; Prefixes'!$B$9:$C$9)&gt;0, "2", "3"), 0), COUNTIF($D$9:$E$9, L$2)&gt;0, VLOOKUP($J66,'Gear Values'!$A$2:$E$13, IF(COUNTBLANK('Attributes &amp; Prefixes'!$B$9:$C$9)&gt;0, "4", "5"), 0)), "")</f>
        <v>32</v>
      </c>
      <c r="M66" s="137" t="str" cm="1">
        <f t="array" ref="M66">IF(COUNTIF($B$9:$E$9, M$2)&gt;0, _xlfn.IFS(COUNTIF($B$9:$C$9, M$2)&gt;0, VLOOKUP($J66,'Gear Values'!$A$2:$E$13, IF(COUNTBLANK('Attributes &amp; Prefixes'!$B$9:$C$9)&gt;0, "2", "3"), 0), COUNTIF($D$9:$E$9, M$2)&gt;0, VLOOKUP($J66,'Gear Values'!$A$2:$E$13, IF(COUNTBLANK('Attributes &amp; Prefixes'!$B$9:$C$9)&gt;0, "4", "5"), 0)), "")</f>
        <v/>
      </c>
      <c r="N66" s="137" cm="1">
        <f t="array" ref="N66">IF(COUNTIF($B$9:$E$9, N$2)&gt;0, _xlfn.IFS(COUNTIF($B$9:$C$9, N$2)&gt;0, VLOOKUP($J66,'Gear Values'!$A$2:$E$13, IF(COUNTBLANK('Attributes &amp; Prefixes'!$B$9:$C$9)&gt;0, "2", "3"), 0), COUNTIF($D$9:$E$9, N$2)&gt;0, VLOOKUP($J66,'Gear Values'!$A$2:$E$13, IF(COUNTBLANK('Attributes &amp; Prefixes'!$B$9:$C$9)&gt;0, "4", "5"), 0)), "")</f>
        <v>32</v>
      </c>
      <c r="O66" s="137" t="str" cm="1">
        <f t="array" ref="O66">IF(COUNTIF($B$9:$E$9, O$2)&gt;0, _xlfn.IFS(COUNTIF($B$9:$C$9, O$2)&gt;0, VLOOKUP($J66,'Gear Values'!$A$2:$E$13, IF(COUNTBLANK('Attributes &amp; Prefixes'!$B$9:$C$9)&gt;0, "2", "3"), 0), COUNTIF($D$9:$E$9, O$2)&gt;0, VLOOKUP($J66,'Gear Values'!$A$2:$E$13, IF(COUNTBLANK('Attributes &amp; Prefixes'!$B$9:$C$9)&gt;0, "4", "5"), 0)), "")</f>
        <v/>
      </c>
      <c r="P66" s="137" t="str" cm="1">
        <f t="array" ref="P66">IF(COUNTIF($B$9:$E$9, P$2)&gt;0, _xlfn.IFS(COUNTIF($B$9:$C$9, P$2)&gt;0, VLOOKUP($J66,'Gear Values'!$A$2:$E$13, IF(COUNTBLANK('Attributes &amp; Prefixes'!$B$9:$C$9)&gt;0, "2", "3"), 0), COUNTIF($D$9:$E$9, P$2)&gt;0, VLOOKUP($J66,'Gear Values'!$A$2:$E$13, IF(COUNTBLANK('Attributes &amp; Prefixes'!$B$9:$C$9)&gt;0, "4", "5"), 0)), "")</f>
        <v/>
      </c>
      <c r="Q66" s="137" cm="1">
        <f t="array" ref="Q66">IF(COUNTIF($B$9:$E$9, Q$2)&gt;0, _xlfn.IFS(COUNTIF($B$9:$C$9, Q$2)&gt;0, VLOOKUP($J66,'Gear Values'!$A$2:$E$13, IF(COUNTBLANK('Attributes &amp; Prefixes'!$B$9:$C$9)&gt;0, "2", "3"), 0), COUNTIF($D$9:$E$9, Q$2)&gt;0, VLOOKUP($J66,'Gear Values'!$A$2:$E$13, IF(COUNTBLANK('Attributes &amp; Prefixes'!$B$9:$C$9)&gt;0, "4", "5"), 0)), "")</f>
        <v>45</v>
      </c>
      <c r="R66" s="137" t="str" cm="1">
        <f t="array" ref="R66">IF(COUNTIF($B$9:$E$9, R$2)&gt;0, _xlfn.IFS(COUNTIF($B$9:$C$9, R$2)&gt;0, VLOOKUP($J66,'Gear Values'!$A$2:$E$13, IF(COUNTBLANK('Attributes &amp; Prefixes'!$B$9:$C$9)&gt;0, "2", "3"), 0), COUNTIF($D$9:$E$9, R$2)&gt;0, VLOOKUP($J66,'Gear Values'!$A$2:$E$13, IF(COUNTBLANK('Attributes &amp; Prefixes'!$B$9:$C$9)&gt;0, "4", "5"), 0)), "")</f>
        <v/>
      </c>
      <c r="S66" s="140" t="str" cm="1">
        <f t="array" ref="S66">IF(COUNTIF($B$9:$E$9, S$2)&gt;0, _xlfn.IFS(COUNTIF($B$9:$C$9, S$2)&gt;0, VLOOKUP($J66,'Gear Values'!$A$2:$E$13, IF(COUNTBLANK('Attributes &amp; Prefixes'!$B$9:$C$9)&gt;0, "2", "3"), 0), COUNTIF($D$9:$E$9, S$2)&gt;0, VLOOKUP($J66,'Gear Values'!$A$2:$E$13, IF(COUNTBLANK('Attributes &amp; Prefixes'!$B$9:$C$9)&gt;0, "4", "5"), 0)), "")</f>
        <v/>
      </c>
      <c r="V66" s="112"/>
      <c r="W66" s="113"/>
    </row>
    <row r="67" spans="1:23">
      <c r="A67" s="128" t="s">
        <v>2489</v>
      </c>
      <c r="B67" s="121" t="s">
        <v>6</v>
      </c>
      <c r="C67" s="122" t="s">
        <v>8</v>
      </c>
      <c r="D67" s="122" t="s">
        <v>10</v>
      </c>
      <c r="E67" s="122" t="s">
        <v>12</v>
      </c>
      <c r="F67" s="449" t="str">
        <f>IF(OR(COUNTBLANK(AttributeFilter) = 1,AttributeFilter="(Select)"), A67, IF(COUNTIF(B67:E67, AttributeFilter)&gt;0, A67, ""))</f>
        <v>Flax Blossom</v>
      </c>
      <c r="G67" s="111"/>
      <c r="H67" s="130" t="str">
        <f>_xlfn.CONCAT(I$63,J68)</f>
        <v>BringerHands</v>
      </c>
      <c r="I67" s="520"/>
      <c r="J67" s="144" t="s">
        <v>44</v>
      </c>
      <c r="K67" s="136" t="str" cm="1">
        <f t="array" ref="K67">IF(COUNTIF($B$9:$E$9, K$2)&gt;0, _xlfn.IFS(COUNTIF($B$9:$C$9, K$2)&gt;0, VLOOKUP($J68,'Gear Values'!$A$2:$E$13, IF(COUNTBLANK('Attributes &amp; Prefixes'!$B$9:$C$9)&gt;0, "2", "3"), 0), COUNTIF($D$9:$E$9, K$2)&gt;0, VLOOKUP($J68,'Gear Values'!$A$2:$E$13, IF(COUNTBLANK('Attributes &amp; Prefixes'!$B$9:$C$9)&gt;0, "4", "5"), 0)), "")</f>
        <v/>
      </c>
      <c r="L67" s="137" cm="1">
        <f t="array" ref="L67">IF(COUNTIF($B$9:$E$9, L$2)&gt;0, _xlfn.IFS(COUNTIF($B$9:$C$9, L$2)&gt;0, VLOOKUP($J68,'Gear Values'!$A$2:$E$13, IF(COUNTBLANK('Attributes &amp; Prefixes'!$B$9:$C$9)&gt;0, "2", "3"), 0), COUNTIF($D$9:$E$9, L$2)&gt;0, VLOOKUP($J68,'Gear Values'!$A$2:$E$13, IF(COUNTBLANK('Attributes &amp; Prefixes'!$B$9:$C$9)&gt;0, "4", "5"), 0)), "")</f>
        <v>32</v>
      </c>
      <c r="M67" s="137" t="str" cm="1">
        <f t="array" ref="M67">IF(COUNTIF($B$9:$E$9, M$2)&gt;0, _xlfn.IFS(COUNTIF($B$9:$C$9, M$2)&gt;0, VLOOKUP($J68,'Gear Values'!$A$2:$E$13, IF(COUNTBLANK('Attributes &amp; Prefixes'!$B$9:$C$9)&gt;0, "2", "3"), 0), COUNTIF($D$9:$E$9, M$2)&gt;0, VLOOKUP($J68,'Gear Values'!$A$2:$E$13, IF(COUNTBLANK('Attributes &amp; Prefixes'!$B$9:$C$9)&gt;0, "4", "5"), 0)), "")</f>
        <v/>
      </c>
      <c r="N67" s="137" cm="1">
        <f t="array" ref="N67">IF(COUNTIF($B$9:$E$9, N$2)&gt;0, _xlfn.IFS(COUNTIF($B$9:$C$9, N$2)&gt;0, VLOOKUP($J68,'Gear Values'!$A$2:$E$13, IF(COUNTBLANK('Attributes &amp; Prefixes'!$B$9:$C$9)&gt;0, "2", "3"), 0), COUNTIF($D$9:$E$9, N$2)&gt;0, VLOOKUP($J68,'Gear Values'!$A$2:$E$13, IF(COUNTBLANK('Attributes &amp; Prefixes'!$B$9:$C$9)&gt;0, "4", "5"), 0)), "")</f>
        <v>32</v>
      </c>
      <c r="O67" s="137" t="str" cm="1">
        <f t="array" ref="O67">IF(COUNTIF($B$9:$E$9, O$2)&gt;0, _xlfn.IFS(COUNTIF($B$9:$C$9, O$2)&gt;0, VLOOKUP($J68,'Gear Values'!$A$2:$E$13, IF(COUNTBLANK('Attributes &amp; Prefixes'!$B$9:$C$9)&gt;0, "2", "3"), 0), COUNTIF($D$9:$E$9, O$2)&gt;0, VLOOKUP($J68,'Gear Values'!$A$2:$E$13, IF(COUNTBLANK('Attributes &amp; Prefixes'!$B$9:$C$9)&gt;0, "4", "5"), 0)), "")</f>
        <v/>
      </c>
      <c r="P67" s="137" t="str" cm="1">
        <f t="array" ref="P67">IF(COUNTIF($B$9:$E$9, P$2)&gt;0, _xlfn.IFS(COUNTIF($B$9:$C$9, P$2)&gt;0, VLOOKUP($J68,'Gear Values'!$A$2:$E$13, IF(COUNTBLANK('Attributes &amp; Prefixes'!$B$9:$C$9)&gt;0, "2", "3"), 0), COUNTIF($D$9:$E$9, P$2)&gt;0, VLOOKUP($J68,'Gear Values'!$A$2:$E$13, IF(COUNTBLANK('Attributes &amp; Prefixes'!$B$9:$C$9)&gt;0, "4", "5"), 0)), "")</f>
        <v/>
      </c>
      <c r="Q67" s="137" cm="1">
        <f t="array" ref="Q67">IF(COUNTIF($B$9:$E$9, Q$2)&gt;0, _xlfn.IFS(COUNTIF($B$9:$C$9, Q$2)&gt;0, VLOOKUP($J68,'Gear Values'!$A$2:$E$13, IF(COUNTBLANK('Attributes &amp; Prefixes'!$B$9:$C$9)&gt;0, "2", "3"), 0), COUNTIF($D$9:$E$9, Q$2)&gt;0, VLOOKUP($J68,'Gear Values'!$A$2:$E$13, IF(COUNTBLANK('Attributes &amp; Prefixes'!$B$9:$C$9)&gt;0, "4", "5"), 0)), "")</f>
        <v>45</v>
      </c>
      <c r="R67" s="137" t="str" cm="1">
        <f t="array" ref="R67">IF(COUNTIF($B$9:$E$9, R$2)&gt;0, _xlfn.IFS(COUNTIF($B$9:$C$9, R$2)&gt;0, VLOOKUP($J68,'Gear Values'!$A$2:$E$13, IF(COUNTBLANK('Attributes &amp; Prefixes'!$B$9:$C$9)&gt;0, "2", "3"), 0), COUNTIF($D$9:$E$9, R$2)&gt;0, VLOOKUP($J68,'Gear Values'!$A$2:$E$13, IF(COUNTBLANK('Attributes &amp; Prefixes'!$B$9:$C$9)&gt;0, "4", "5"), 0)), "")</f>
        <v/>
      </c>
      <c r="S67" s="140" t="str" cm="1">
        <f t="array" ref="S67">IF(COUNTIF($B$9:$E$9, S$2)&gt;0, _xlfn.IFS(COUNTIF($B$9:$C$9, S$2)&gt;0, VLOOKUP($J68,'Gear Values'!$A$2:$E$13, IF(COUNTBLANK('Attributes &amp; Prefixes'!$B$9:$C$9)&gt;0, "2", "3"), 0), COUNTIF($D$9:$E$9, S$2)&gt;0, VLOOKUP($J68,'Gear Values'!$A$2:$E$13, IF(COUNTBLANK('Attributes &amp; Prefixes'!$B$9:$C$9)&gt;0, "4", "5"), 0)), "")</f>
        <v/>
      </c>
      <c r="V67" s="112"/>
      <c r="W67" s="113"/>
    </row>
    <row r="68" spans="1:23">
      <c r="A68" s="128" t="s">
        <v>2490</v>
      </c>
      <c r="B68" s="121" t="s">
        <v>8</v>
      </c>
      <c r="C68" s="122" t="s">
        <v>14</v>
      </c>
      <c r="D68" s="122" t="s">
        <v>9</v>
      </c>
      <c r="E68" s="122" t="s">
        <v>10</v>
      </c>
      <c r="F68" s="449" t="str">
        <f>IF(OR(COUNTBLANK(AttributeFilter) = 1,AttributeFilter="(Select)"), A68, IF(COUNTIF(B68:E68, AttributeFilter)&gt;0, A68, ""))</f>
        <v>Freshwater Pearl</v>
      </c>
      <c r="G68" s="111"/>
      <c r="H68" s="130" t="str">
        <f>_xlfn.CONCAT(I$63,J68)</f>
        <v>BringerHands</v>
      </c>
      <c r="I68" s="520"/>
      <c r="J68" s="144" t="s">
        <v>45</v>
      </c>
      <c r="K68" s="136" t="str" cm="1">
        <f t="array" ref="K68">IF(COUNTIF($B$9:$E$9, K$2)&gt;0, _xlfn.IFS(COUNTIF($B$9:$C$9, K$2)&gt;0, VLOOKUP($J68,'Gear Values'!$A$2:$E$13, IF(COUNTBLANK('Attributes &amp; Prefixes'!$B$9:$C$9)&gt;0, "2", "3"), 0), COUNTIF($D$9:$E$9, K$2)&gt;0, VLOOKUP($J68,'Gear Values'!$A$2:$E$13, IF(COUNTBLANK('Attributes &amp; Prefixes'!$B$9:$C$9)&gt;0, "4", "5"), 0)), "")</f>
        <v/>
      </c>
      <c r="L68" s="137" cm="1">
        <f t="array" ref="L68">IF(COUNTIF($B$9:$E$9, L$2)&gt;0, _xlfn.IFS(COUNTIF($B$9:$C$9, L$2)&gt;0, VLOOKUP($J68,'Gear Values'!$A$2:$E$13, IF(COUNTBLANK('Attributes &amp; Prefixes'!$B$9:$C$9)&gt;0, "2", "3"), 0), COUNTIF($D$9:$E$9, L$2)&gt;0, VLOOKUP($J68,'Gear Values'!$A$2:$E$13, IF(COUNTBLANK('Attributes &amp; Prefixes'!$B$9:$C$9)&gt;0, "4", "5"), 0)), "")</f>
        <v>32</v>
      </c>
      <c r="M68" s="137" t="str" cm="1">
        <f t="array" ref="M68">IF(COUNTIF($B$9:$E$9, M$2)&gt;0, _xlfn.IFS(COUNTIF($B$9:$C$9, M$2)&gt;0, VLOOKUP($J68,'Gear Values'!$A$2:$E$13, IF(COUNTBLANK('Attributes &amp; Prefixes'!$B$9:$C$9)&gt;0, "2", "3"), 0), COUNTIF($D$9:$E$9, M$2)&gt;0, VLOOKUP($J68,'Gear Values'!$A$2:$E$13, IF(COUNTBLANK('Attributes &amp; Prefixes'!$B$9:$C$9)&gt;0, "4", "5"), 0)), "")</f>
        <v/>
      </c>
      <c r="N68" s="137" cm="1">
        <f t="array" ref="N68">IF(COUNTIF($B$9:$E$9, N$2)&gt;0, _xlfn.IFS(COUNTIF($B$9:$C$9, N$2)&gt;0, VLOOKUP($J68,'Gear Values'!$A$2:$E$13, IF(COUNTBLANK('Attributes &amp; Prefixes'!$B$9:$C$9)&gt;0, "2", "3"), 0), COUNTIF($D$9:$E$9, N$2)&gt;0, VLOOKUP($J68,'Gear Values'!$A$2:$E$13, IF(COUNTBLANK('Attributes &amp; Prefixes'!$B$9:$C$9)&gt;0, "4", "5"), 0)), "")</f>
        <v>32</v>
      </c>
      <c r="O68" s="137" t="str" cm="1">
        <f t="array" ref="O68">IF(COUNTIF($B$9:$E$9, O$2)&gt;0, _xlfn.IFS(COUNTIF($B$9:$C$9, O$2)&gt;0, VLOOKUP($J68,'Gear Values'!$A$2:$E$13, IF(COUNTBLANK('Attributes &amp; Prefixes'!$B$9:$C$9)&gt;0, "2", "3"), 0), COUNTIF($D$9:$E$9, O$2)&gt;0, VLOOKUP($J68,'Gear Values'!$A$2:$E$13, IF(COUNTBLANK('Attributes &amp; Prefixes'!$B$9:$C$9)&gt;0, "4", "5"), 0)), "")</f>
        <v/>
      </c>
      <c r="P68" s="137" t="str" cm="1">
        <f t="array" ref="P68">IF(COUNTIF($B$9:$E$9, P$2)&gt;0, _xlfn.IFS(COUNTIF($B$9:$C$9, P$2)&gt;0, VLOOKUP($J68,'Gear Values'!$A$2:$E$13, IF(COUNTBLANK('Attributes &amp; Prefixes'!$B$9:$C$9)&gt;0, "2", "3"), 0), COUNTIF($D$9:$E$9, P$2)&gt;0, VLOOKUP($J68,'Gear Values'!$A$2:$E$13, IF(COUNTBLANK('Attributes &amp; Prefixes'!$B$9:$C$9)&gt;0, "4", "5"), 0)), "")</f>
        <v/>
      </c>
      <c r="Q68" s="137" cm="1">
        <f t="array" ref="Q68">IF(COUNTIF($B$9:$E$9, Q$2)&gt;0, _xlfn.IFS(COUNTIF($B$9:$C$9, Q$2)&gt;0, VLOOKUP($J68,'Gear Values'!$A$2:$E$13, IF(COUNTBLANK('Attributes &amp; Prefixes'!$B$9:$C$9)&gt;0, "2", "3"), 0), COUNTIF($D$9:$E$9, Q$2)&gt;0, VLOOKUP($J68,'Gear Values'!$A$2:$E$13, IF(COUNTBLANK('Attributes &amp; Prefixes'!$B$9:$C$9)&gt;0, "4", "5"), 0)), "")</f>
        <v>45</v>
      </c>
      <c r="R68" s="137" t="str" cm="1">
        <f t="array" ref="R68">IF(COUNTIF($B$9:$E$9, R$2)&gt;0, _xlfn.IFS(COUNTIF($B$9:$C$9, R$2)&gt;0, VLOOKUP($J68,'Gear Values'!$A$2:$E$13, IF(COUNTBLANK('Attributes &amp; Prefixes'!$B$9:$C$9)&gt;0, "2", "3"), 0), COUNTIF($D$9:$E$9, R$2)&gt;0, VLOOKUP($J68,'Gear Values'!$A$2:$E$13, IF(COUNTBLANK('Attributes &amp; Prefixes'!$B$9:$C$9)&gt;0, "4", "5"), 0)), "")</f>
        <v/>
      </c>
      <c r="S68" s="140" t="str" cm="1">
        <f t="array" ref="S68">IF(COUNTIF($B$9:$E$9, S$2)&gt;0, _xlfn.IFS(COUNTIF($B$9:$C$9, S$2)&gt;0, VLOOKUP($J68,'Gear Values'!$A$2:$E$13, IF(COUNTBLANK('Attributes &amp; Prefixes'!$B$9:$C$9)&gt;0, "2", "3"), 0), COUNTIF($D$9:$E$9, S$2)&gt;0, VLOOKUP($J68,'Gear Values'!$A$2:$E$13, IF(COUNTBLANK('Attributes &amp; Prefixes'!$B$9:$C$9)&gt;0, "4", "5"), 0)), "")</f>
        <v/>
      </c>
      <c r="V68" s="112"/>
      <c r="W68" s="113"/>
    </row>
    <row r="69" spans="1:23">
      <c r="A69" s="128" t="s">
        <v>2491</v>
      </c>
      <c r="B69" s="121" t="s">
        <v>6</v>
      </c>
      <c r="C69" s="122" t="s">
        <v>13</v>
      </c>
      <c r="D69" s="122" t="s">
        <v>7</v>
      </c>
      <c r="E69" s="122" t="s">
        <v>9</v>
      </c>
      <c r="F69" s="449" t="str">
        <f>IF(OR(COUNTBLANK(AttributeFilter) = 1,AttributeFilter="(Select)"), A69, IF(COUNTIF(B69:E69, AttributeFilter)&gt;0, A69, ""))</f>
        <v>Jade</v>
      </c>
      <c r="G69" s="111"/>
      <c r="H69" s="130" t="str">
        <f>_xlfn.CONCAT(I$63,J69)</f>
        <v>BringerLegs</v>
      </c>
      <c r="I69" s="520"/>
      <c r="J69" s="144" t="s">
        <v>47</v>
      </c>
      <c r="K69" s="136" t="str" cm="1">
        <f t="array" ref="K69">IF(COUNTIF($B$9:$E$9, K$2)&gt;0, _xlfn.IFS(COUNTIF($B$9:$C$9, K$2)&gt;0, VLOOKUP($J69,'Gear Values'!$A$2:$E$13, IF(COUNTBLANK('Attributes &amp; Prefixes'!$B$9:$C$9)&gt;0, "2", "3"), 0), COUNTIF($D$9:$E$9, K$2)&gt;0, VLOOKUP($J69,'Gear Values'!$A$2:$E$13, IF(COUNTBLANK('Attributes &amp; Prefixes'!$B$9:$C$9)&gt;0, "4", "5"), 0)), "")</f>
        <v/>
      </c>
      <c r="L69" s="137" cm="1">
        <f t="array" ref="L69">IF(COUNTIF($B$9:$E$9, L$2)&gt;0, _xlfn.IFS(COUNTIF($B$9:$C$9, L$2)&gt;0, VLOOKUP($J69,'Gear Values'!$A$2:$E$13, IF(COUNTBLANK('Attributes &amp; Prefixes'!$B$9:$C$9)&gt;0, "2", "3"), 0), COUNTIF($D$9:$E$9, L$2)&gt;0, VLOOKUP($J69,'Gear Values'!$A$2:$E$13, IF(COUNTBLANK('Attributes &amp; Prefixes'!$B$9:$C$9)&gt;0, "4", "5"), 0)), "")</f>
        <v>64</v>
      </c>
      <c r="M69" s="137" t="str" cm="1">
        <f t="array" ref="M69">IF(COUNTIF($B$9:$E$9, M$2)&gt;0, _xlfn.IFS(COUNTIF($B$9:$C$9, M$2)&gt;0, VLOOKUP($J69,'Gear Values'!$A$2:$E$13, IF(COUNTBLANK('Attributes &amp; Prefixes'!$B$9:$C$9)&gt;0, "2", "3"), 0), COUNTIF($D$9:$E$9, M$2)&gt;0, VLOOKUP($J69,'Gear Values'!$A$2:$E$13, IF(COUNTBLANK('Attributes &amp; Prefixes'!$B$9:$C$9)&gt;0, "4", "5"), 0)), "")</f>
        <v/>
      </c>
      <c r="N69" s="137" cm="1">
        <f t="array" ref="N69">IF(COUNTIF($B$9:$E$9, N$2)&gt;0, _xlfn.IFS(COUNTIF($B$9:$C$9, N$2)&gt;0, VLOOKUP($J69,'Gear Values'!$A$2:$E$13, IF(COUNTBLANK('Attributes &amp; Prefixes'!$B$9:$C$9)&gt;0, "2", "3"), 0), COUNTIF($D$9:$E$9, N$2)&gt;0, VLOOKUP($J69,'Gear Values'!$A$2:$E$13, IF(COUNTBLANK('Attributes &amp; Prefixes'!$B$9:$C$9)&gt;0, "4", "5"), 0)), "")</f>
        <v>64</v>
      </c>
      <c r="O69" s="137" t="str" cm="1">
        <f t="array" ref="O69">IF(COUNTIF($B$9:$E$9, O$2)&gt;0, _xlfn.IFS(COUNTIF($B$9:$C$9, O$2)&gt;0, VLOOKUP($J69,'Gear Values'!$A$2:$E$13, IF(COUNTBLANK('Attributes &amp; Prefixes'!$B$9:$C$9)&gt;0, "2", "3"), 0), COUNTIF($D$9:$E$9, O$2)&gt;0, VLOOKUP($J69,'Gear Values'!$A$2:$E$13, IF(COUNTBLANK('Attributes &amp; Prefixes'!$B$9:$C$9)&gt;0, "4", "5"), 0)), "")</f>
        <v/>
      </c>
      <c r="P69" s="137" t="str" cm="1">
        <f t="array" ref="P69">IF(COUNTIF($B$9:$E$9, P$2)&gt;0, _xlfn.IFS(COUNTIF($B$9:$C$9, P$2)&gt;0, VLOOKUP($J69,'Gear Values'!$A$2:$E$13, IF(COUNTBLANK('Attributes &amp; Prefixes'!$B$9:$C$9)&gt;0, "2", "3"), 0), COUNTIF($D$9:$E$9, P$2)&gt;0, VLOOKUP($J69,'Gear Values'!$A$2:$E$13, IF(COUNTBLANK('Attributes &amp; Prefixes'!$B$9:$C$9)&gt;0, "4", "5"), 0)), "")</f>
        <v/>
      </c>
      <c r="Q69" s="137" cm="1">
        <f t="array" ref="Q69">IF(COUNTIF($B$9:$E$9, Q$2)&gt;0, _xlfn.IFS(COUNTIF($B$9:$C$9, Q$2)&gt;0, VLOOKUP($J69,'Gear Values'!$A$2:$E$13, IF(COUNTBLANK('Attributes &amp; Prefixes'!$B$9:$C$9)&gt;0, "2", "3"), 0), COUNTIF($D$9:$E$9, Q$2)&gt;0, VLOOKUP($J69,'Gear Values'!$A$2:$E$13, IF(COUNTBLANK('Attributes &amp; Prefixes'!$B$9:$C$9)&gt;0, "4", "5"), 0)), "")</f>
        <v>90</v>
      </c>
      <c r="R69" s="137" t="str" cm="1">
        <f t="array" ref="R69">IF(COUNTIF($B$9:$E$9, R$2)&gt;0, _xlfn.IFS(COUNTIF($B$9:$C$9, R$2)&gt;0, VLOOKUP($J69,'Gear Values'!$A$2:$E$13, IF(COUNTBLANK('Attributes &amp; Prefixes'!$B$9:$C$9)&gt;0, "2", "3"), 0), COUNTIF($D$9:$E$9, R$2)&gt;0, VLOOKUP($J69,'Gear Values'!$A$2:$E$13, IF(COUNTBLANK('Attributes &amp; Prefixes'!$B$9:$C$9)&gt;0, "4", "5"), 0)), "")</f>
        <v/>
      </c>
      <c r="S69" s="140" t="str" cm="1">
        <f t="array" ref="S69">IF(COUNTIF($B$9:$E$9, S$2)&gt;0, _xlfn.IFS(COUNTIF($B$9:$C$9, S$2)&gt;0, VLOOKUP($J69,'Gear Values'!$A$2:$E$13, IF(COUNTBLANK('Attributes &amp; Prefixes'!$B$9:$C$9)&gt;0, "2", "3"), 0), COUNTIF($D$9:$E$9, S$2)&gt;0, VLOOKUP($J69,'Gear Values'!$A$2:$E$13, IF(COUNTBLANK('Attributes &amp; Prefixes'!$B$9:$C$9)&gt;0, "4", "5"), 0)), "")</f>
        <v/>
      </c>
      <c r="V69" s="112"/>
      <c r="W69" s="113"/>
    </row>
    <row r="70" spans="1:23">
      <c r="A70" s="128" t="s">
        <v>2492</v>
      </c>
      <c r="B70" s="121" t="s">
        <v>8</v>
      </c>
      <c r="C70" s="122" t="s">
        <v>11</v>
      </c>
      <c r="D70" s="122" t="s">
        <v>9</v>
      </c>
      <c r="E70" s="122" t="s">
        <v>12</v>
      </c>
      <c r="F70" s="449" t="str">
        <f>IF(OR(COUNTBLANK(AttributeFilter) = 1,AttributeFilter="(Select)"), A70, IF(COUNTIF(B70:E70, AttributeFilter)&gt;0, A70, ""))</f>
        <v>Maguuma Lily</v>
      </c>
      <c r="G70" s="111"/>
      <c r="H70" s="130" t="str">
        <f>_xlfn.CONCAT(I$63,J70)</f>
        <v>BringerFeet</v>
      </c>
      <c r="I70" s="520"/>
      <c r="J70" s="144" t="s">
        <v>48</v>
      </c>
      <c r="K70" s="136" t="str" cm="1">
        <f t="array" ref="K70">IF(COUNTIF($B$9:$E$9, K$2)&gt;0, _xlfn.IFS(COUNTIF($B$9:$C$9, K$2)&gt;0, VLOOKUP($J70,'Gear Values'!$A$2:$E$13, IF(COUNTBLANK('Attributes &amp; Prefixes'!$B$9:$C$9)&gt;0, "2", "3"), 0), COUNTIF($D$9:$E$9, K$2)&gt;0, VLOOKUP($J70,'Gear Values'!$A$2:$E$13, IF(COUNTBLANK('Attributes &amp; Prefixes'!$B$9:$C$9)&gt;0, "4", "5"), 0)), "")</f>
        <v/>
      </c>
      <c r="L70" s="137" cm="1">
        <f t="array" ref="L70">IF(COUNTIF($B$9:$E$9, L$2)&gt;0, _xlfn.IFS(COUNTIF($B$9:$C$9, L$2)&gt;0, VLOOKUP($J70,'Gear Values'!$A$2:$E$13, IF(COUNTBLANK('Attributes &amp; Prefixes'!$B$9:$C$9)&gt;0, "2", "3"), 0), COUNTIF($D$9:$E$9, L$2)&gt;0, VLOOKUP($J70,'Gear Values'!$A$2:$E$13, IF(COUNTBLANK('Attributes &amp; Prefixes'!$B$9:$C$9)&gt;0, "4", "5"), 0)), "")</f>
        <v>32</v>
      </c>
      <c r="M70" s="137" t="str" cm="1">
        <f t="array" ref="M70">IF(COUNTIF($B$9:$E$9, M$2)&gt;0, _xlfn.IFS(COUNTIF($B$9:$C$9, M$2)&gt;0, VLOOKUP($J70,'Gear Values'!$A$2:$E$13, IF(COUNTBLANK('Attributes &amp; Prefixes'!$B$9:$C$9)&gt;0, "2", "3"), 0), COUNTIF($D$9:$E$9, M$2)&gt;0, VLOOKUP($J70,'Gear Values'!$A$2:$E$13, IF(COUNTBLANK('Attributes &amp; Prefixes'!$B$9:$C$9)&gt;0, "4", "5"), 0)), "")</f>
        <v/>
      </c>
      <c r="N70" s="137" cm="1">
        <f t="array" ref="N70">IF(COUNTIF($B$9:$E$9, N$2)&gt;0, _xlfn.IFS(COUNTIF($B$9:$C$9, N$2)&gt;0, VLOOKUP($J70,'Gear Values'!$A$2:$E$13, IF(COUNTBLANK('Attributes &amp; Prefixes'!$B$9:$C$9)&gt;0, "2", "3"), 0), COUNTIF($D$9:$E$9, N$2)&gt;0, VLOOKUP($J70,'Gear Values'!$A$2:$E$13, IF(COUNTBLANK('Attributes &amp; Prefixes'!$B$9:$C$9)&gt;0, "4", "5"), 0)), "")</f>
        <v>32</v>
      </c>
      <c r="O70" s="137" t="str" cm="1">
        <f t="array" ref="O70">IF(COUNTIF($B$9:$E$9, O$2)&gt;0, _xlfn.IFS(COUNTIF($B$9:$C$9, O$2)&gt;0, VLOOKUP($J70,'Gear Values'!$A$2:$E$13, IF(COUNTBLANK('Attributes &amp; Prefixes'!$B$9:$C$9)&gt;0, "2", "3"), 0), COUNTIF($D$9:$E$9, O$2)&gt;0, VLOOKUP($J70,'Gear Values'!$A$2:$E$13, IF(COUNTBLANK('Attributes &amp; Prefixes'!$B$9:$C$9)&gt;0, "4", "5"), 0)), "")</f>
        <v/>
      </c>
      <c r="P70" s="137" t="str" cm="1">
        <f t="array" ref="P70">IF(COUNTIF($B$9:$E$9, P$2)&gt;0, _xlfn.IFS(COUNTIF($B$9:$C$9, P$2)&gt;0, VLOOKUP($J70,'Gear Values'!$A$2:$E$13, IF(COUNTBLANK('Attributes &amp; Prefixes'!$B$9:$C$9)&gt;0, "2", "3"), 0), COUNTIF($D$9:$E$9, P$2)&gt;0, VLOOKUP($J70,'Gear Values'!$A$2:$E$13, IF(COUNTBLANK('Attributes &amp; Prefixes'!$B$9:$C$9)&gt;0, "4", "5"), 0)), "")</f>
        <v/>
      </c>
      <c r="Q70" s="137" cm="1">
        <f t="array" ref="Q70">IF(COUNTIF($B$9:$E$9, Q$2)&gt;0, _xlfn.IFS(COUNTIF($B$9:$C$9, Q$2)&gt;0, VLOOKUP($J70,'Gear Values'!$A$2:$E$13, IF(COUNTBLANK('Attributes &amp; Prefixes'!$B$9:$C$9)&gt;0, "2", "3"), 0), COUNTIF($D$9:$E$9, Q$2)&gt;0, VLOOKUP($J70,'Gear Values'!$A$2:$E$13, IF(COUNTBLANK('Attributes &amp; Prefixes'!$B$9:$C$9)&gt;0, "4", "5"), 0)), "")</f>
        <v>45</v>
      </c>
      <c r="R70" s="137" t="str" cm="1">
        <f t="array" ref="R70">IF(COUNTIF($B$9:$E$9, R$2)&gt;0, _xlfn.IFS(COUNTIF($B$9:$C$9, R$2)&gt;0, VLOOKUP($J70,'Gear Values'!$A$2:$E$13, IF(COUNTBLANK('Attributes &amp; Prefixes'!$B$9:$C$9)&gt;0, "2", "3"), 0), COUNTIF($D$9:$E$9, R$2)&gt;0, VLOOKUP($J70,'Gear Values'!$A$2:$E$13, IF(COUNTBLANK('Attributes &amp; Prefixes'!$B$9:$C$9)&gt;0, "4", "5"), 0)), "")</f>
        <v/>
      </c>
      <c r="S70" s="140" t="str" cm="1">
        <f t="array" ref="S70">IF(COUNTIF($B$9:$E$9, S$2)&gt;0, _xlfn.IFS(COUNTIF($B$9:$C$9, S$2)&gt;0, VLOOKUP($J70,'Gear Values'!$A$2:$E$13, IF(COUNTBLANK('Attributes &amp; Prefixes'!$B$9:$C$9)&gt;0, "2", "3"), 0), COUNTIF($D$9:$E$9, S$2)&gt;0, VLOOKUP($J70,'Gear Values'!$A$2:$E$13, IF(COUNTBLANK('Attributes &amp; Prefixes'!$B$9:$C$9)&gt;0, "4", "5"), 0)), "")</f>
        <v/>
      </c>
      <c r="V70" s="112"/>
      <c r="W70" s="113"/>
    </row>
    <row r="71" spans="1:23">
      <c r="A71" s="128" t="s">
        <v>2493</v>
      </c>
      <c r="B71" s="121" t="s">
        <v>6</v>
      </c>
      <c r="C71" s="122" t="s">
        <v>9</v>
      </c>
      <c r="D71" s="122" t="s">
        <v>8</v>
      </c>
      <c r="E71" s="122" t="s">
        <v>10</v>
      </c>
      <c r="F71" s="449" t="str">
        <f>IF(OR(COUNTBLANK(AttributeFilter) = 1,AttributeFilter="(Select)"), A71, IF(COUNTIF(B71:E71, AttributeFilter)&gt;0, A71, ""))</f>
        <v>Moonstone</v>
      </c>
      <c r="G71" s="111"/>
      <c r="H71" s="130" t="str">
        <f>_xlfn.CONCAT(I$63,J71)</f>
        <v>BringerEar</v>
      </c>
      <c r="I71" s="520"/>
      <c r="J71" s="144" t="s">
        <v>49</v>
      </c>
      <c r="K71" s="136" t="str" cm="1">
        <f t="array" ref="K71">IF(COUNTIF($B$9:$E$9, K$2)&gt;0, _xlfn.IFS(COUNTIF($B$9:$C$9, K$2)&gt;0, VLOOKUP($J71,'Gear Values'!$A$2:$E$13, IF(COUNTBLANK('Attributes &amp; Prefixes'!$B$9:$C$9)&gt;0, "2", "3"), 0), COUNTIF($D$9:$E$9, K$2)&gt;0, VLOOKUP($J71,'Gear Values'!$A$2:$E$13, IF(COUNTBLANK('Attributes &amp; Prefixes'!$B$9:$C$9)&gt;0, "4", "5"), 0)), "")</f>
        <v/>
      </c>
      <c r="L71" s="137" cm="1">
        <f t="array" ref="L71">IF(COUNTIF($B$9:$E$9, L$2)&gt;0, _xlfn.IFS(COUNTIF($B$9:$C$9, L$2)&gt;0, VLOOKUP($J71,'Gear Values'!$A$2:$E$13, IF(COUNTBLANK('Attributes &amp; Prefixes'!$B$9:$C$9)&gt;0, "2", "3"), 0), COUNTIF($D$9:$E$9, L$2)&gt;0, VLOOKUP($J71,'Gear Values'!$A$2:$E$13, IF(COUNTBLANK('Attributes &amp; Prefixes'!$B$9:$C$9)&gt;0, "4", "5"), 0)), "")</f>
        <v>53</v>
      </c>
      <c r="M71" s="137" t="str" cm="1">
        <f t="array" ref="M71">IF(COUNTIF($B$9:$E$9, M$2)&gt;0, _xlfn.IFS(COUNTIF($B$9:$C$9, M$2)&gt;0, VLOOKUP($J71,'Gear Values'!$A$2:$E$13, IF(COUNTBLANK('Attributes &amp; Prefixes'!$B$9:$C$9)&gt;0, "2", "3"), 0), COUNTIF($D$9:$E$9, M$2)&gt;0, VLOOKUP($J71,'Gear Values'!$A$2:$E$13, IF(COUNTBLANK('Attributes &amp; Prefixes'!$B$9:$C$9)&gt;0, "4", "5"), 0)), "")</f>
        <v/>
      </c>
      <c r="N71" s="137" cm="1">
        <f t="array" ref="N71">IF(COUNTIF($B$9:$E$9, N$2)&gt;0, _xlfn.IFS(COUNTIF($B$9:$C$9, N$2)&gt;0, VLOOKUP($J71,'Gear Values'!$A$2:$E$13, IF(COUNTBLANK('Attributes &amp; Prefixes'!$B$9:$C$9)&gt;0, "2", "3"), 0), COUNTIF($D$9:$E$9, N$2)&gt;0, VLOOKUP($J71,'Gear Values'!$A$2:$E$13, IF(COUNTBLANK('Attributes &amp; Prefixes'!$B$9:$C$9)&gt;0, "4", "5"), 0)), "")</f>
        <v>53</v>
      </c>
      <c r="O71" s="137" t="str" cm="1">
        <f t="array" ref="O71">IF(COUNTIF($B$9:$E$9, O$2)&gt;0, _xlfn.IFS(COUNTIF($B$9:$C$9, O$2)&gt;0, VLOOKUP($J71,'Gear Values'!$A$2:$E$13, IF(COUNTBLANK('Attributes &amp; Prefixes'!$B$9:$C$9)&gt;0, "2", "3"), 0), COUNTIF($D$9:$E$9, O$2)&gt;0, VLOOKUP($J71,'Gear Values'!$A$2:$E$13, IF(COUNTBLANK('Attributes &amp; Prefixes'!$B$9:$C$9)&gt;0, "4", "5"), 0)), "")</f>
        <v/>
      </c>
      <c r="P71" s="137" t="str" cm="1">
        <f t="array" ref="P71">IF(COUNTIF($B$9:$E$9, P$2)&gt;0, _xlfn.IFS(COUNTIF($B$9:$C$9, P$2)&gt;0, VLOOKUP($J71,'Gear Values'!$A$2:$E$13, IF(COUNTBLANK('Attributes &amp; Prefixes'!$B$9:$C$9)&gt;0, "2", "3"), 0), COUNTIF($D$9:$E$9, P$2)&gt;0, VLOOKUP($J71,'Gear Values'!$A$2:$E$13, IF(COUNTBLANK('Attributes &amp; Prefixes'!$B$9:$C$9)&gt;0, "4", "5"), 0)), "")</f>
        <v/>
      </c>
      <c r="Q71" s="137" cm="1">
        <f t="array" ref="Q71">IF(COUNTIF($B$9:$E$9, Q$2)&gt;0, _xlfn.IFS(COUNTIF($B$9:$C$9, Q$2)&gt;0, VLOOKUP($J71,'Gear Values'!$A$2:$E$13, IF(COUNTBLANK('Attributes &amp; Prefixes'!$B$9:$C$9)&gt;0, "2", "3"), 0), COUNTIF($D$9:$E$9, Q$2)&gt;0, VLOOKUP($J71,'Gear Values'!$A$2:$E$13, IF(COUNTBLANK('Attributes &amp; Prefixes'!$B$9:$C$9)&gt;0, "4", "5"), 0)), "")</f>
        <v>75</v>
      </c>
      <c r="R71" s="137" t="str" cm="1">
        <f t="array" ref="R71">IF(COUNTIF($B$9:$E$9, R$2)&gt;0, _xlfn.IFS(COUNTIF($B$9:$C$9, R$2)&gt;0, VLOOKUP($J71,'Gear Values'!$A$2:$E$13, IF(COUNTBLANK('Attributes &amp; Prefixes'!$B$9:$C$9)&gt;0, "2", "3"), 0), COUNTIF($D$9:$E$9, R$2)&gt;0, VLOOKUP($J71,'Gear Values'!$A$2:$E$13, IF(COUNTBLANK('Attributes &amp; Prefixes'!$B$9:$C$9)&gt;0, "4", "5"), 0)), "")</f>
        <v/>
      </c>
      <c r="S71" s="140" t="str" cm="1">
        <f t="array" ref="S71">IF(COUNTIF($B$9:$E$9, S$2)&gt;0, _xlfn.IFS(COUNTIF($B$9:$C$9, S$2)&gt;0, VLOOKUP($J71,'Gear Values'!$A$2:$E$13, IF(COUNTBLANK('Attributes &amp; Prefixes'!$B$9:$C$9)&gt;0, "2", "3"), 0), COUNTIF($D$9:$E$9, S$2)&gt;0, VLOOKUP($J71,'Gear Values'!$A$2:$E$13, IF(COUNTBLANK('Attributes &amp; Prefixes'!$B$9:$C$9)&gt;0, "4", "5"), 0)), "")</f>
        <v/>
      </c>
      <c r="V71" s="112"/>
      <c r="W71" s="113"/>
    </row>
    <row r="72" spans="1:23">
      <c r="A72" s="128" t="s">
        <v>2494</v>
      </c>
      <c r="B72" s="121" t="s">
        <v>7</v>
      </c>
      <c r="C72" s="122"/>
      <c r="D72" s="122" t="s">
        <v>6</v>
      </c>
      <c r="E72" s="122" t="s">
        <v>13</v>
      </c>
      <c r="F72" s="449" t="str">
        <f>IF(OR(COUNTBLANK(AttributeFilter) = 1,AttributeFilter="(Select)"), A72, IF(COUNTIF(B72:E72, AttributeFilter)&gt;0, A72, ""))</f>
        <v>Opal</v>
      </c>
      <c r="G72" s="111"/>
      <c r="H72" s="130" t="str">
        <f>_xlfn.CONCAT(I$63,J72)</f>
        <v>BringerFinger</v>
      </c>
      <c r="I72" s="520"/>
      <c r="J72" s="144" t="s">
        <v>51</v>
      </c>
      <c r="K72" s="136" t="str" cm="1">
        <f t="array" ref="K72">IF(COUNTIF($B$9:$E$9, K$2)&gt;0, _xlfn.IFS(COUNTIF($B$9:$C$9, K$2)&gt;0, VLOOKUP($J72,'Gear Values'!$A$2:$E$13, IF(COUNTBLANK('Attributes &amp; Prefixes'!$B$9:$C$9)&gt;0, "2", "3"), 0), COUNTIF($D$9:$E$9, K$2)&gt;0, VLOOKUP($J72,'Gear Values'!$A$2:$E$13, IF(COUNTBLANK('Attributes &amp; Prefixes'!$B$9:$C$9)&gt;0, "4", "5"), 0)), "")</f>
        <v/>
      </c>
      <c r="L72" s="137" cm="1">
        <f t="array" ref="L72">IF(COUNTIF($B$9:$E$9, L$2)&gt;0, _xlfn.IFS(COUNTIF($B$9:$C$9, L$2)&gt;0, VLOOKUP($J72,'Gear Values'!$A$2:$E$13, IF(COUNTBLANK('Attributes &amp; Prefixes'!$B$9:$C$9)&gt;0, "2", "3"), 0), COUNTIF($D$9:$E$9, L$2)&gt;0, VLOOKUP($J72,'Gear Values'!$A$2:$E$13, IF(COUNTBLANK('Attributes &amp; Prefixes'!$B$9:$C$9)&gt;0, "4", "5"), 0)), "")</f>
        <v>64</v>
      </c>
      <c r="M72" s="137" t="str" cm="1">
        <f t="array" ref="M72">IF(COUNTIF($B$9:$E$9, M$2)&gt;0, _xlfn.IFS(COUNTIF($B$9:$C$9, M$2)&gt;0, VLOOKUP($J72,'Gear Values'!$A$2:$E$13, IF(COUNTBLANK('Attributes &amp; Prefixes'!$B$9:$C$9)&gt;0, "2", "3"), 0), COUNTIF($D$9:$E$9, M$2)&gt;0, VLOOKUP($J72,'Gear Values'!$A$2:$E$13, IF(COUNTBLANK('Attributes &amp; Prefixes'!$B$9:$C$9)&gt;0, "4", "5"), 0)), "")</f>
        <v/>
      </c>
      <c r="N72" s="137" cm="1">
        <f t="array" ref="N72">IF(COUNTIF($B$9:$E$9, N$2)&gt;0, _xlfn.IFS(COUNTIF($B$9:$C$9, N$2)&gt;0, VLOOKUP($J72,'Gear Values'!$A$2:$E$13, IF(COUNTBLANK('Attributes &amp; Prefixes'!$B$9:$C$9)&gt;0, "2", "3"), 0), COUNTIF($D$9:$E$9, N$2)&gt;0, VLOOKUP($J72,'Gear Values'!$A$2:$E$13, IF(COUNTBLANK('Attributes &amp; Prefixes'!$B$9:$C$9)&gt;0, "4", "5"), 0)), "")</f>
        <v>64</v>
      </c>
      <c r="O72" s="137" t="str" cm="1">
        <f t="array" ref="O72">IF(COUNTIF($B$9:$E$9, O$2)&gt;0, _xlfn.IFS(COUNTIF($B$9:$C$9, O$2)&gt;0, VLOOKUP($J72,'Gear Values'!$A$2:$E$13, IF(COUNTBLANK('Attributes &amp; Prefixes'!$B$9:$C$9)&gt;0, "2", "3"), 0), COUNTIF($D$9:$E$9, O$2)&gt;0, VLOOKUP($J72,'Gear Values'!$A$2:$E$13, IF(COUNTBLANK('Attributes &amp; Prefixes'!$B$9:$C$9)&gt;0, "4", "5"), 0)), "")</f>
        <v/>
      </c>
      <c r="P72" s="137" t="str" cm="1">
        <f t="array" ref="P72">IF(COUNTIF($B$9:$E$9, P$2)&gt;0, _xlfn.IFS(COUNTIF($B$9:$C$9, P$2)&gt;0, VLOOKUP($J72,'Gear Values'!$A$2:$E$13, IF(COUNTBLANK('Attributes &amp; Prefixes'!$B$9:$C$9)&gt;0, "2", "3"), 0), COUNTIF($D$9:$E$9, P$2)&gt;0, VLOOKUP($J72,'Gear Values'!$A$2:$E$13, IF(COUNTBLANK('Attributes &amp; Prefixes'!$B$9:$C$9)&gt;0, "4", "5"), 0)), "")</f>
        <v/>
      </c>
      <c r="Q72" s="137" cm="1">
        <f t="array" ref="Q72">IF(COUNTIF($B$9:$E$9, Q$2)&gt;0, _xlfn.IFS(COUNTIF($B$9:$C$9, Q$2)&gt;0, VLOOKUP($J72,'Gear Values'!$A$2:$E$13, IF(COUNTBLANK('Attributes &amp; Prefixes'!$B$9:$C$9)&gt;0, "2", "3"), 0), COUNTIF($D$9:$E$9, Q$2)&gt;0, VLOOKUP($J72,'Gear Values'!$A$2:$E$13, IF(COUNTBLANK('Attributes &amp; Prefixes'!$B$9:$C$9)&gt;0, "4", "5"), 0)), "")</f>
        <v>90</v>
      </c>
      <c r="R72" s="137" t="str" cm="1">
        <f t="array" ref="R72">IF(COUNTIF($B$9:$E$9, R$2)&gt;0, _xlfn.IFS(COUNTIF($B$9:$C$9, R$2)&gt;0, VLOOKUP($J72,'Gear Values'!$A$2:$E$13, IF(COUNTBLANK('Attributes &amp; Prefixes'!$B$9:$C$9)&gt;0, "2", "3"), 0), COUNTIF($D$9:$E$9, R$2)&gt;0, VLOOKUP($J72,'Gear Values'!$A$2:$E$13, IF(COUNTBLANK('Attributes &amp; Prefixes'!$B$9:$C$9)&gt;0, "4", "5"), 0)), "")</f>
        <v/>
      </c>
      <c r="S72" s="140" t="str" cm="1">
        <f t="array" ref="S72">IF(COUNTIF($B$9:$E$9, S$2)&gt;0, _xlfn.IFS(COUNTIF($B$9:$C$9, S$2)&gt;0, VLOOKUP($J72,'Gear Values'!$A$2:$E$13, IF(COUNTBLANK('Attributes &amp; Prefixes'!$B$9:$C$9)&gt;0, "2", "3"), 0), COUNTIF($D$9:$E$9, S$2)&gt;0, VLOOKUP($J72,'Gear Values'!$A$2:$E$13, IF(COUNTBLANK('Attributes &amp; Prefixes'!$B$9:$C$9)&gt;0, "4", "5"), 0)), "")</f>
        <v/>
      </c>
      <c r="V72" s="112"/>
      <c r="W72" s="113"/>
    </row>
    <row r="73" spans="1:23">
      <c r="A73" s="128" t="s">
        <v>2495</v>
      </c>
      <c r="B73" s="121" t="s">
        <v>14</v>
      </c>
      <c r="C73" s="122"/>
      <c r="D73" s="122" t="s">
        <v>8</v>
      </c>
      <c r="E73" s="122" t="s">
        <v>11</v>
      </c>
      <c r="F73" s="449" t="str">
        <f>IF(OR(COUNTBLANK(AttributeFilter) = 1,AttributeFilter="(Select)"), A73, IF(COUNTIF(B73:E73, AttributeFilter)&gt;0, A73, ""))</f>
        <v>Passiflora</v>
      </c>
      <c r="G73" s="111"/>
      <c r="H73" s="130" t="str">
        <f>_xlfn.CONCAT(I$63,J73)</f>
        <v>BringerNeck</v>
      </c>
      <c r="I73" s="520"/>
      <c r="J73" s="144" t="s">
        <v>52</v>
      </c>
      <c r="K73" s="136" t="str" cm="1">
        <f t="array" ref="K73">IF(COUNTIF($B$9:$E$9, K$2)&gt;0, _xlfn.IFS(COUNTIF($B$9:$C$9, K$2)&gt;0, VLOOKUP($J73,'Gear Values'!$A$2:$E$13, IF(COUNTBLANK('Attributes &amp; Prefixes'!$B$9:$C$9)&gt;0, "2", "3"), 0), COUNTIF($D$9:$E$9, K$2)&gt;0, VLOOKUP($J73,'Gear Values'!$A$2:$E$13, IF(COUNTBLANK('Attributes &amp; Prefixes'!$B$9:$C$9)&gt;0, "4", "5"), 0)), "")</f>
        <v/>
      </c>
      <c r="L73" s="137" cm="1">
        <f t="array" ref="L73">IF(COUNTIF($B$9:$E$9, L$2)&gt;0, _xlfn.IFS(COUNTIF($B$9:$C$9, L$2)&gt;0, VLOOKUP($J73,'Gear Values'!$A$2:$E$13, IF(COUNTBLANK('Attributes &amp; Prefixes'!$B$9:$C$9)&gt;0, "2", "3"), 0), COUNTIF($D$9:$E$9, L$2)&gt;0, VLOOKUP($J73,'Gear Values'!$A$2:$E$13, IF(COUNTBLANK('Attributes &amp; Prefixes'!$B$9:$C$9)&gt;0, "4", "5"), 0)), "")</f>
        <v>85</v>
      </c>
      <c r="M73" s="137" t="str" cm="1">
        <f t="array" ref="M73">IF(COUNTIF($B$9:$E$9, M$2)&gt;0, _xlfn.IFS(COUNTIF($B$9:$C$9, M$2)&gt;0, VLOOKUP($J73,'Gear Values'!$A$2:$E$13, IF(COUNTBLANK('Attributes &amp; Prefixes'!$B$9:$C$9)&gt;0, "2", "3"), 0), COUNTIF($D$9:$E$9, M$2)&gt;0, VLOOKUP($J73,'Gear Values'!$A$2:$E$13, IF(COUNTBLANK('Attributes &amp; Prefixes'!$B$9:$C$9)&gt;0, "4", "5"), 0)), "")</f>
        <v/>
      </c>
      <c r="N73" s="137" cm="1">
        <f t="array" ref="N73">IF(COUNTIF($B$9:$E$9, N$2)&gt;0, _xlfn.IFS(COUNTIF($B$9:$C$9, N$2)&gt;0, VLOOKUP($J73,'Gear Values'!$A$2:$E$13, IF(COUNTBLANK('Attributes &amp; Prefixes'!$B$9:$C$9)&gt;0, "2", "3"), 0), COUNTIF($D$9:$E$9, N$2)&gt;0, VLOOKUP($J73,'Gear Values'!$A$2:$E$13, IF(COUNTBLANK('Attributes &amp; Prefixes'!$B$9:$C$9)&gt;0, "4", "5"), 0)), "")</f>
        <v>85</v>
      </c>
      <c r="O73" s="137" t="str" cm="1">
        <f t="array" ref="O73">IF(COUNTIF($B$9:$E$9, O$2)&gt;0, _xlfn.IFS(COUNTIF($B$9:$C$9, O$2)&gt;0, VLOOKUP($J73,'Gear Values'!$A$2:$E$13, IF(COUNTBLANK('Attributes &amp; Prefixes'!$B$9:$C$9)&gt;0, "2", "3"), 0), COUNTIF($D$9:$E$9, O$2)&gt;0, VLOOKUP($J73,'Gear Values'!$A$2:$E$13, IF(COUNTBLANK('Attributes &amp; Prefixes'!$B$9:$C$9)&gt;0, "4", "5"), 0)), "")</f>
        <v/>
      </c>
      <c r="P73" s="137" t="str" cm="1">
        <f t="array" ref="P73">IF(COUNTIF($B$9:$E$9, P$2)&gt;0, _xlfn.IFS(COUNTIF($B$9:$C$9, P$2)&gt;0, VLOOKUP($J73,'Gear Values'!$A$2:$E$13, IF(COUNTBLANK('Attributes &amp; Prefixes'!$B$9:$C$9)&gt;0, "2", "3"), 0), COUNTIF($D$9:$E$9, P$2)&gt;0, VLOOKUP($J73,'Gear Values'!$A$2:$E$13, IF(COUNTBLANK('Attributes &amp; Prefixes'!$B$9:$C$9)&gt;0, "4", "5"), 0)), "")</f>
        <v/>
      </c>
      <c r="Q73" s="137" cm="1">
        <f t="array" ref="Q73">IF(COUNTIF($B$9:$E$9, Q$2)&gt;0, _xlfn.IFS(COUNTIF($B$9:$C$9, Q$2)&gt;0, VLOOKUP($J73,'Gear Values'!$A$2:$E$13, IF(COUNTBLANK('Attributes &amp; Prefixes'!$B$9:$C$9)&gt;0, "2", "3"), 0), COUNTIF($D$9:$E$9, Q$2)&gt;0, VLOOKUP($J73,'Gear Values'!$A$2:$E$13, IF(COUNTBLANK('Attributes &amp; Prefixes'!$B$9:$C$9)&gt;0, "4", "5"), 0)), "")</f>
        <v>120</v>
      </c>
      <c r="R73" s="137" t="str" cm="1">
        <f t="array" ref="R73">IF(COUNTIF($B$9:$E$9, R$2)&gt;0, _xlfn.IFS(COUNTIF($B$9:$C$9, R$2)&gt;0, VLOOKUP($J73,'Gear Values'!$A$2:$E$13, IF(COUNTBLANK('Attributes &amp; Prefixes'!$B$9:$C$9)&gt;0, "2", "3"), 0), COUNTIF($D$9:$E$9, R$2)&gt;0, VLOOKUP($J73,'Gear Values'!$A$2:$E$13, IF(COUNTBLANK('Attributes &amp; Prefixes'!$B$9:$C$9)&gt;0, "4", "5"), 0)), "")</f>
        <v/>
      </c>
      <c r="S73" s="140" t="str" cm="1">
        <f t="array" ref="S73">IF(COUNTIF($B$9:$E$9, S$2)&gt;0, _xlfn.IFS(COUNTIF($B$9:$C$9, S$2)&gt;0, VLOOKUP($J73,'Gear Values'!$A$2:$E$13, IF(COUNTBLANK('Attributes &amp; Prefixes'!$B$9:$C$9)&gt;0, "2", "3"), 0), COUNTIF($D$9:$E$9, S$2)&gt;0, VLOOKUP($J73,'Gear Values'!$A$2:$E$13, IF(COUNTBLANK('Attributes &amp; Prefixes'!$B$9:$C$9)&gt;0, "4", "5"), 0)), "")</f>
        <v/>
      </c>
      <c r="V73" s="112"/>
      <c r="W73" s="113"/>
    </row>
    <row r="74" spans="1:23">
      <c r="A74" s="128" t="s">
        <v>2496</v>
      </c>
      <c r="B74" s="121" t="s">
        <v>9</v>
      </c>
      <c r="C74" s="122" t="s">
        <v>11</v>
      </c>
      <c r="D74" s="122" t="s">
        <v>10</v>
      </c>
      <c r="E74" s="122" t="s">
        <v>12</v>
      </c>
      <c r="F74" s="449" t="str">
        <f>IF(OR(COUNTBLANK(AttributeFilter) = 1,AttributeFilter="(Select)"), A74, IF(COUNTIF(B74:E74, AttributeFilter)&gt;0, A74, ""))</f>
        <v>Polished-Resin</v>
      </c>
      <c r="G74" s="111"/>
      <c r="H74" s="130" t="str">
        <f>_xlfn.CONCAT(I$63,J74)</f>
        <v>BringerBack</v>
      </c>
      <c r="I74" s="521"/>
      <c r="J74" s="146" t="s">
        <v>53</v>
      </c>
      <c r="K74" s="147" t="str" cm="1">
        <f t="array" ref="K74">IF(COUNTIF($B$9:$E$9, K$2)&gt;0, _xlfn.IFS(COUNTIF($B$9:$C$9, K$2)&gt;0, VLOOKUP($J74,'Gear Values'!$A$2:$E$13, IF(COUNTBLANK('Attributes &amp; Prefixes'!$B$9:$C$9)&gt;0, "2", "3"), 0), COUNTIF($D$9:$E$9, K$2)&gt;0, VLOOKUP($J74,'Gear Values'!$A$2:$E$13, IF(COUNTBLANK('Attributes &amp; Prefixes'!$B$9:$C$9)&gt;0, "4", "5"), 0)), "")</f>
        <v/>
      </c>
      <c r="L74" s="148" cm="1">
        <f t="array" ref="L74">IF(COUNTIF($B$9:$E$9, L$2)&gt;0, _xlfn.IFS(COUNTIF($B$9:$C$9, L$2)&gt;0, VLOOKUP($J74,'Gear Values'!$A$2:$E$13, IF(COUNTBLANK('Attributes &amp; Prefixes'!$B$9:$C$9)&gt;0, "2", "3"), 0), COUNTIF($D$9:$E$9, L$2)&gt;0, VLOOKUP($J74,'Gear Values'!$A$2:$E$13, IF(COUNTBLANK('Attributes &amp; Prefixes'!$B$9:$C$9)&gt;0, "4", "5"), 0)), "")</f>
        <v>18</v>
      </c>
      <c r="M74" s="148" t="str" cm="1">
        <f t="array" ref="M74">IF(COUNTIF($B$9:$E$9, M$2)&gt;0, _xlfn.IFS(COUNTIF($B$9:$C$9, M$2)&gt;0, VLOOKUP($J74,'Gear Values'!$A$2:$E$13, IF(COUNTBLANK('Attributes &amp; Prefixes'!$B$9:$C$9)&gt;0, "2", "3"), 0), COUNTIF($D$9:$E$9, M$2)&gt;0, VLOOKUP($J74,'Gear Values'!$A$2:$E$13, IF(COUNTBLANK('Attributes &amp; Prefixes'!$B$9:$C$9)&gt;0, "4", "5"), 0)), "")</f>
        <v/>
      </c>
      <c r="N74" s="148" cm="1">
        <f t="array" ref="N74">IF(COUNTIF($B$9:$E$9, N$2)&gt;0, _xlfn.IFS(COUNTIF($B$9:$C$9, N$2)&gt;0, VLOOKUP($J74,'Gear Values'!$A$2:$E$13, IF(COUNTBLANK('Attributes &amp; Prefixes'!$B$9:$C$9)&gt;0, "2", "3"), 0), COUNTIF($D$9:$E$9, N$2)&gt;0, VLOOKUP($J74,'Gear Values'!$A$2:$E$13, IF(COUNTBLANK('Attributes &amp; Prefixes'!$B$9:$C$9)&gt;0, "4", "5"), 0)), "")</f>
        <v>18</v>
      </c>
      <c r="O74" s="148" t="str" cm="1">
        <f t="array" ref="O74">IF(COUNTIF($B$9:$E$9, O$2)&gt;0, _xlfn.IFS(COUNTIF($B$9:$C$9, O$2)&gt;0, VLOOKUP($J74,'Gear Values'!$A$2:$E$13, IF(COUNTBLANK('Attributes &amp; Prefixes'!$B$9:$C$9)&gt;0, "2", "3"), 0), COUNTIF($D$9:$E$9, O$2)&gt;0, VLOOKUP($J74,'Gear Values'!$A$2:$E$13, IF(COUNTBLANK('Attributes &amp; Prefixes'!$B$9:$C$9)&gt;0, "4", "5"), 0)), "")</f>
        <v/>
      </c>
      <c r="P74" s="148" t="str" cm="1">
        <f t="array" ref="P74">IF(COUNTIF($B$9:$E$9, P$2)&gt;0, _xlfn.IFS(COUNTIF($B$9:$C$9, P$2)&gt;0, VLOOKUP($J74,'Gear Values'!$A$2:$E$13, IF(COUNTBLANK('Attributes &amp; Prefixes'!$B$9:$C$9)&gt;0, "2", "3"), 0), COUNTIF($D$9:$E$9, P$2)&gt;0, VLOOKUP($J74,'Gear Values'!$A$2:$E$13, IF(COUNTBLANK('Attributes &amp; Prefixes'!$B$9:$C$9)&gt;0, "4", "5"), 0)), "")</f>
        <v/>
      </c>
      <c r="Q74" s="148" cm="1">
        <f t="array" ref="Q74">IF(COUNTIF($B$9:$E$9, Q$2)&gt;0, _xlfn.IFS(COUNTIF($B$9:$C$9, Q$2)&gt;0, VLOOKUP($J74,'Gear Values'!$A$2:$E$13, IF(COUNTBLANK('Attributes &amp; Prefixes'!$B$9:$C$9)&gt;0, "2", "3"), 0), COUNTIF($D$9:$E$9, Q$2)&gt;0, VLOOKUP($J74,'Gear Values'!$A$2:$E$13, IF(COUNTBLANK('Attributes &amp; Prefixes'!$B$9:$C$9)&gt;0, "4", "5"), 0)), "")</f>
        <v>32</v>
      </c>
      <c r="R74" s="148" t="str" cm="1">
        <f t="array" ref="R74">IF(COUNTIF($B$9:$E$9, R$2)&gt;0, _xlfn.IFS(COUNTIF($B$9:$C$9, R$2)&gt;0, VLOOKUP($J74,'Gear Values'!$A$2:$E$13, IF(COUNTBLANK('Attributes &amp; Prefixes'!$B$9:$C$9)&gt;0, "2", "3"), 0), COUNTIF($D$9:$E$9, R$2)&gt;0, VLOOKUP($J74,'Gear Values'!$A$2:$E$13, IF(COUNTBLANK('Attributes &amp; Prefixes'!$B$9:$C$9)&gt;0, "4", "5"), 0)), "")</f>
        <v/>
      </c>
      <c r="S74" s="151" t="str" cm="1">
        <f t="array" ref="S74">IF(COUNTIF($B$9:$E$9, S$2)&gt;0, _xlfn.IFS(COUNTIF($B$9:$C$9, S$2)&gt;0, VLOOKUP($J74,'Gear Values'!$A$2:$E$13, IF(COUNTBLANK('Attributes &amp; Prefixes'!$B$9:$C$9)&gt;0, "2", "3"), 0), COUNTIF($D$9:$E$9, S$2)&gt;0, VLOOKUP($J74,'Gear Values'!$A$2:$E$13, IF(COUNTBLANK('Attributes &amp; Prefixes'!$B$9:$C$9)&gt;0, "4", "5"), 0)), "")</f>
        <v/>
      </c>
      <c r="V74" s="112"/>
      <c r="W74" s="113"/>
    </row>
    <row r="75" spans="1:23">
      <c r="A75" s="128" t="s">
        <v>2497</v>
      </c>
      <c r="B75" s="121" t="s">
        <v>6</v>
      </c>
      <c r="C75" s="122"/>
      <c r="D75" s="122" t="s">
        <v>7</v>
      </c>
      <c r="E75" s="122" t="s">
        <v>13</v>
      </c>
      <c r="F75" s="449" t="str">
        <f>IF(OR(COUNTBLANK(AttributeFilter) = 1,AttributeFilter="(Select)"), A75, IF(COUNTIF(B75:E75, AttributeFilter)&gt;0, A75, ""))</f>
        <v>Ruby</v>
      </c>
      <c r="G75" s="111"/>
      <c r="H75" s="130" t="str">
        <f>_xlfn.CONCAT(I$75,J75)</f>
        <v>CaptainWeapon (1H)</v>
      </c>
      <c r="I75" s="519" t="str">
        <f>A10</f>
        <v>Captain</v>
      </c>
      <c r="J75" s="145" t="s">
        <v>37</v>
      </c>
      <c r="K75" s="133" cm="1">
        <f t="array" ref="K75">IF(COUNTIF($B$10:$E$10, K$2)&gt;0, _xlfn.IFS(COUNTIF($B$10:$C$10, K$2)&gt;0, VLOOKUP($J75,'Gear Values'!$A$2:$E$13, IF(COUNTBLANK('Attributes &amp; Prefixes'!$B$10:$C$10)&gt;0, "2", "3"), 0), COUNTIF($D$10:$E$10, K$2)&gt;0, VLOOKUP($J75,'Gear Values'!$A$2:$E$13, IF(COUNTBLANK('Attributes &amp; Prefixes'!$B$10:$C$10)&gt;0, "4", "5"), 0)), "")</f>
        <v>85</v>
      </c>
      <c r="L75" s="134" cm="1">
        <f t="array" ref="L75">IF(COUNTIF($B$10:$E$10, L$2)&gt;0, _xlfn.IFS(COUNTIF($B$10:$C$10, L$2)&gt;0, VLOOKUP($J75,'Gear Values'!$A$2:$E$13, IF(COUNTBLANK('Attributes &amp; Prefixes'!$B$10:$C$10)&gt;0, "2", "3"), 0), COUNTIF($D$10:$E$10, L$2)&gt;0, VLOOKUP($J75,'Gear Values'!$A$2:$E$13, IF(COUNTBLANK('Attributes &amp; Prefixes'!$B$10:$C$10)&gt;0, "4", "5"), 0)), "")</f>
        <v>120</v>
      </c>
      <c r="M75" s="134" cm="1">
        <f t="array" ref="M75">IF(COUNTIF($B$10:$E$10, M$2)&gt;0, _xlfn.IFS(COUNTIF($B$10:$C$10, M$2)&gt;0, VLOOKUP($J75,'Gear Values'!$A$2:$E$13, IF(COUNTBLANK('Attributes &amp; Prefixes'!$B$10:$C$10)&gt;0, "2", "3"), 0), COUNTIF($D$10:$E$10, M$2)&gt;0, VLOOKUP($J75,'Gear Values'!$A$2:$E$13, IF(COUNTBLANK('Attributes &amp; Prefixes'!$B$10:$C$10)&gt;0, "4", "5"), 0)), "")</f>
        <v>85</v>
      </c>
      <c r="N75" s="134" t="str" cm="1">
        <f t="array" ref="N75">IF(COUNTIF($B$10:$E$10, N$2)&gt;0, _xlfn.IFS(COUNTIF($B$10:$C$10, N$2)&gt;0, VLOOKUP($J75,'Gear Values'!$A$2:$E$13, IF(COUNTBLANK('Attributes &amp; Prefixes'!$B$10:$C$10)&gt;0, "2", "3"), 0), COUNTIF($D$10:$E$10, N$2)&gt;0, VLOOKUP($J75,'Gear Values'!$A$2:$E$13, IF(COUNTBLANK('Attributes &amp; Prefixes'!$B$10:$C$10)&gt;0, "4", "5"), 0)), "")</f>
        <v/>
      </c>
      <c r="O75" s="134" t="str" cm="1">
        <f t="array" ref="O75">IF(COUNTIF($B$10:$E$10, O$2)&gt;0, _xlfn.IFS(COUNTIF($B$10:$C$10, O$2)&gt;0, VLOOKUP($J75,'Gear Values'!$A$2:$E$13, IF(COUNTBLANK('Attributes &amp; Prefixes'!$B$10:$C$10)&gt;0, "2", "3"), 0), COUNTIF($D$10:$E$10, O$2)&gt;0, VLOOKUP($J75,'Gear Values'!$A$2:$E$13, IF(COUNTBLANK('Attributes &amp; Prefixes'!$B$10:$C$10)&gt;0, "4", "5"), 0)), "")</f>
        <v/>
      </c>
      <c r="P75" s="134" t="str" cm="1">
        <f t="array" ref="P75">IF(COUNTIF($B$10:$E$10, P$2)&gt;0, _xlfn.IFS(COUNTIF($B$10:$C$10, P$2)&gt;0, VLOOKUP($J75,'Gear Values'!$A$2:$E$13, IF(COUNTBLANK('Attributes &amp; Prefixes'!$B$10:$C$10)&gt;0, "2", "3"), 0), COUNTIF($D$10:$E$10, P$2)&gt;0, VLOOKUP($J75,'Gear Values'!$A$2:$E$13, IF(COUNTBLANK('Attributes &amp; Prefixes'!$B$10:$C$10)&gt;0, "4", "5"), 0)), "")</f>
        <v/>
      </c>
      <c r="Q75" s="134" t="str" cm="1">
        <f t="array" ref="Q75">IF(COUNTIF($B$10:$E$10, Q$2)&gt;0, _xlfn.IFS(COUNTIF($B$10:$C$10, Q$2)&gt;0, VLOOKUP($J75,'Gear Values'!$A$2:$E$13, IF(COUNTBLANK('Attributes &amp; Prefixes'!$B$10:$C$10)&gt;0, "2", "3"), 0), COUNTIF($D$10:$E$10, Q$2)&gt;0, VLOOKUP($J75,'Gear Values'!$A$2:$E$13, IF(COUNTBLANK('Attributes &amp; Prefixes'!$B$10:$C$10)&gt;0, "4", "5"), 0)), "")</f>
        <v/>
      </c>
      <c r="R75" s="134" t="str" cm="1">
        <f t="array" ref="R75">IF(COUNTIF($B$10:$E$10, R$2)&gt;0, _xlfn.IFS(COUNTIF($B$10:$C$10, R$2)&gt;0, VLOOKUP($J75,'Gear Values'!$A$2:$E$13, IF(COUNTBLANK('Attributes &amp; Prefixes'!$B$10:$C$10)&gt;0, "2", "3"), 0), COUNTIF($D$10:$E$10, R$2)&gt;0, VLOOKUP($J75,'Gear Values'!$A$2:$E$13, IF(COUNTBLANK('Attributes &amp; Prefixes'!$B$10:$C$10)&gt;0, "4", "5"), 0)), "")</f>
        <v/>
      </c>
      <c r="S75" s="139" t="str" cm="1">
        <f t="array" ref="S75">IF(COUNTIF($B$10:$E$10, S$2)&gt;0, _xlfn.IFS(COUNTIF($B$10:$C$10, S$2)&gt;0, VLOOKUP($J75,'Gear Values'!$A$2:$E$13, IF(COUNTBLANK('Attributes &amp; Prefixes'!$B$10:$C$10)&gt;0, "2", "3"), 0), COUNTIF($D$10:$E$10, S$2)&gt;0, VLOOKUP($J75,'Gear Values'!$A$2:$E$13, IF(COUNTBLANK('Attributes &amp; Prefixes'!$B$10:$C$10)&gt;0, "4", "5"), 0)), "")</f>
        <v/>
      </c>
      <c r="V75" s="112"/>
      <c r="W75" s="113"/>
    </row>
    <row r="76" spans="1:23">
      <c r="A76" s="128" t="s">
        <v>2498</v>
      </c>
      <c r="B76" s="121" t="s">
        <v>14</v>
      </c>
      <c r="C76" s="122"/>
      <c r="D76" s="122" t="s">
        <v>6</v>
      </c>
      <c r="E76" s="122" t="s">
        <v>8</v>
      </c>
      <c r="F76" s="449" t="str">
        <f>IF(OR(COUNTBLANK(AttributeFilter) = 1,AttributeFilter="(Select)"), A76, IF(COUNTIF(B76:E76, AttributeFilter)&gt;0, A76, ""))</f>
        <v>Sapphire</v>
      </c>
      <c r="G76" s="111"/>
      <c r="H76" s="130" t="str">
        <f>_xlfn.CONCAT(I$75,J76)</f>
        <v>CaptainWeapon (2H)</v>
      </c>
      <c r="I76" s="520"/>
      <c r="J76" s="144" t="s">
        <v>39</v>
      </c>
      <c r="K76" s="136" cm="1">
        <f t="array" ref="K76">IF(COUNTIF($B$10:$E$10, K$2)&gt;0, _xlfn.IFS(COUNTIF($B$10:$C$10, K$2)&gt;0, VLOOKUP($J76,'Gear Values'!$A$2:$E$13, IF(COUNTBLANK('Attributes &amp; Prefixes'!$B$10:$C$10)&gt;0, "2", "3"), 0), COUNTIF($D$10:$E$10, K$2)&gt;0, VLOOKUP($J76,'Gear Values'!$A$2:$E$13, IF(COUNTBLANK('Attributes &amp; Prefixes'!$B$10:$C$10)&gt;0, "4", "5"), 0)), "")</f>
        <v>171</v>
      </c>
      <c r="L76" s="137" cm="1">
        <f t="array" ref="L76">IF(COUNTIF($B$10:$E$10, L$2)&gt;0, _xlfn.IFS(COUNTIF($B$10:$C$10, L$2)&gt;0, VLOOKUP($J76,'Gear Values'!$A$2:$E$13, IF(COUNTBLANK('Attributes &amp; Prefixes'!$B$10:$C$10)&gt;0, "2", "3"), 0), COUNTIF($D$10:$E$10, L$2)&gt;0, VLOOKUP($J76,'Gear Values'!$A$2:$E$13, IF(COUNTBLANK('Attributes &amp; Prefixes'!$B$10:$C$10)&gt;0, "4", "5"), 0)), "")</f>
        <v>239</v>
      </c>
      <c r="M76" s="137" cm="1">
        <f t="array" ref="M76">IF(COUNTIF($B$10:$E$10, M$2)&gt;0, _xlfn.IFS(COUNTIF($B$10:$C$10, M$2)&gt;0, VLOOKUP($J76,'Gear Values'!$A$2:$E$13, IF(COUNTBLANK('Attributes &amp; Prefixes'!$B$10:$C$10)&gt;0, "2", "3"), 0), COUNTIF($D$10:$E$10, M$2)&gt;0, VLOOKUP($J76,'Gear Values'!$A$2:$E$13, IF(COUNTBLANK('Attributes &amp; Prefixes'!$B$10:$C$10)&gt;0, "4", "5"), 0)), "")</f>
        <v>171</v>
      </c>
      <c r="N76" s="137" t="str" cm="1">
        <f t="array" ref="N76">IF(COUNTIF($B$10:$E$10, N$2)&gt;0, _xlfn.IFS(COUNTIF($B$10:$C$10, N$2)&gt;0, VLOOKUP($J76,'Gear Values'!$A$2:$E$13, IF(COUNTBLANK('Attributes &amp; Prefixes'!$B$10:$C$10)&gt;0, "2", "3"), 0), COUNTIF($D$10:$E$10, N$2)&gt;0, VLOOKUP($J76,'Gear Values'!$A$2:$E$13, IF(COUNTBLANK('Attributes &amp; Prefixes'!$B$10:$C$10)&gt;0, "4", "5"), 0)), "")</f>
        <v/>
      </c>
      <c r="O76" s="137" t="str" cm="1">
        <f t="array" ref="O76">IF(COUNTIF($B$10:$E$10, O$2)&gt;0, _xlfn.IFS(COUNTIF($B$10:$C$10, O$2)&gt;0, VLOOKUP($J76,'Gear Values'!$A$2:$E$13, IF(COUNTBLANK('Attributes &amp; Prefixes'!$B$10:$C$10)&gt;0, "2", "3"), 0), COUNTIF($D$10:$E$10, O$2)&gt;0, VLOOKUP($J76,'Gear Values'!$A$2:$E$13, IF(COUNTBLANK('Attributes &amp; Prefixes'!$B$10:$C$10)&gt;0, "4", "5"), 0)), "")</f>
        <v/>
      </c>
      <c r="P76" s="137" t="str" cm="1">
        <f t="array" ref="P76">IF(COUNTIF($B$10:$E$10, P$2)&gt;0, _xlfn.IFS(COUNTIF($B$10:$C$10, P$2)&gt;0, VLOOKUP($J76,'Gear Values'!$A$2:$E$13, IF(COUNTBLANK('Attributes &amp; Prefixes'!$B$10:$C$10)&gt;0, "2", "3"), 0), COUNTIF($D$10:$E$10, P$2)&gt;0, VLOOKUP($J76,'Gear Values'!$A$2:$E$13, IF(COUNTBLANK('Attributes &amp; Prefixes'!$B$10:$C$10)&gt;0, "4", "5"), 0)), "")</f>
        <v/>
      </c>
      <c r="Q76" s="137" t="str" cm="1">
        <f t="array" ref="Q76">IF(COUNTIF($B$10:$E$10, Q$2)&gt;0, _xlfn.IFS(COUNTIF($B$10:$C$10, Q$2)&gt;0, VLOOKUP($J76,'Gear Values'!$A$2:$E$13, IF(COUNTBLANK('Attributes &amp; Prefixes'!$B$10:$C$10)&gt;0, "2", "3"), 0), COUNTIF($D$10:$E$10, Q$2)&gt;0, VLOOKUP($J76,'Gear Values'!$A$2:$E$13, IF(COUNTBLANK('Attributes &amp; Prefixes'!$B$10:$C$10)&gt;0, "4", "5"), 0)), "")</f>
        <v/>
      </c>
      <c r="R76" s="137" t="str" cm="1">
        <f t="array" ref="R76">IF(COUNTIF($B$10:$E$10, R$2)&gt;0, _xlfn.IFS(COUNTIF($B$10:$C$10, R$2)&gt;0, VLOOKUP($J76,'Gear Values'!$A$2:$E$13, IF(COUNTBLANK('Attributes &amp; Prefixes'!$B$10:$C$10)&gt;0, "2", "3"), 0), COUNTIF($D$10:$E$10, R$2)&gt;0, VLOOKUP($J76,'Gear Values'!$A$2:$E$13, IF(COUNTBLANK('Attributes &amp; Prefixes'!$B$10:$C$10)&gt;0, "4", "5"), 0)), "")</f>
        <v/>
      </c>
      <c r="S76" s="140" t="str" cm="1">
        <f t="array" ref="S76">IF(COUNTIF($B$10:$E$10, S$2)&gt;0, _xlfn.IFS(COUNTIF($B$10:$C$10, S$2)&gt;0, VLOOKUP($J76,'Gear Values'!$A$2:$E$13, IF(COUNTBLANK('Attributes &amp; Prefixes'!$B$10:$C$10)&gt;0, "2", "3"), 0), COUNTIF($D$10:$E$10, S$2)&gt;0, VLOOKUP($J76,'Gear Values'!$A$2:$E$13, IF(COUNTBLANK('Attributes &amp; Prefixes'!$B$10:$C$10)&gt;0, "4", "5"), 0)), "")</f>
        <v/>
      </c>
      <c r="V76" s="112"/>
      <c r="W76" s="113"/>
    </row>
    <row r="77" spans="1:23">
      <c r="A77" s="128" t="s">
        <v>2499</v>
      </c>
      <c r="B77" s="121" t="s">
        <v>8</v>
      </c>
      <c r="C77" s="122"/>
      <c r="D77" s="122" t="s">
        <v>10</v>
      </c>
      <c r="E77" s="122" t="s">
        <v>14</v>
      </c>
      <c r="F77" s="449" t="str">
        <f>IF(OR(COUNTBLANK(AttributeFilter) = 1,AttributeFilter="(Select)"), A77, IF(COUNTIF(B77:E77, AttributeFilter)&gt;0, A77, ""))</f>
        <v>Snowflake</v>
      </c>
      <c r="G77" s="114"/>
      <c r="H77" s="130" t="str">
        <f>_xlfn.CONCAT(I$75,J77)</f>
        <v>CaptainHead</v>
      </c>
      <c r="I77" s="520"/>
      <c r="J77" s="144" t="s">
        <v>40</v>
      </c>
      <c r="K77" s="136" cm="1">
        <f t="array" ref="K77">IF(COUNTIF($B$10:$E$10, K$2)&gt;0, _xlfn.IFS(COUNTIF($B$10:$C$10, K$2)&gt;0, VLOOKUP($J77,'Gear Values'!$A$2:$E$13, IF(COUNTBLANK('Attributes &amp; Prefixes'!$B$10:$C$10)&gt;0, "2", "3"), 0), COUNTIF($D$10:$E$10, K$2)&gt;0, VLOOKUP($J77,'Gear Values'!$A$2:$E$13, IF(COUNTBLANK('Attributes &amp; Prefixes'!$B$10:$C$10)&gt;0, "4", "5"), 0)), "")</f>
        <v>43</v>
      </c>
      <c r="L77" s="137" cm="1">
        <f t="array" ref="L77">IF(COUNTIF($B$10:$E$10, L$2)&gt;0, _xlfn.IFS(COUNTIF($B$10:$C$10, L$2)&gt;0, VLOOKUP($J77,'Gear Values'!$A$2:$E$13, IF(COUNTBLANK('Attributes &amp; Prefixes'!$B$10:$C$10)&gt;0, "2", "3"), 0), COUNTIF($D$10:$E$10, L$2)&gt;0, VLOOKUP($J77,'Gear Values'!$A$2:$E$13, IF(COUNTBLANK('Attributes &amp; Prefixes'!$B$10:$C$10)&gt;0, "4", "5"), 0)), "")</f>
        <v>60</v>
      </c>
      <c r="M77" s="137" cm="1">
        <f t="array" ref="M77">IF(COUNTIF($B$10:$E$10, M$2)&gt;0, _xlfn.IFS(COUNTIF($B$10:$C$10, M$2)&gt;0, VLOOKUP($J77,'Gear Values'!$A$2:$E$13, IF(COUNTBLANK('Attributes &amp; Prefixes'!$B$10:$C$10)&gt;0, "2", "3"), 0), COUNTIF($D$10:$E$10, M$2)&gt;0, VLOOKUP($J77,'Gear Values'!$A$2:$E$13, IF(COUNTBLANK('Attributes &amp; Prefixes'!$B$10:$C$10)&gt;0, "4", "5"), 0)), "")</f>
        <v>43</v>
      </c>
      <c r="N77" s="137" t="str" cm="1">
        <f t="array" ref="N77">IF(COUNTIF($B$10:$E$10, N$2)&gt;0, _xlfn.IFS(COUNTIF($B$10:$C$10, N$2)&gt;0, VLOOKUP($J77,'Gear Values'!$A$2:$E$13, IF(COUNTBLANK('Attributes &amp; Prefixes'!$B$10:$C$10)&gt;0, "2", "3"), 0), COUNTIF($D$10:$E$10, N$2)&gt;0, VLOOKUP($J77,'Gear Values'!$A$2:$E$13, IF(COUNTBLANK('Attributes &amp; Prefixes'!$B$10:$C$10)&gt;0, "4", "5"), 0)), "")</f>
        <v/>
      </c>
      <c r="O77" s="137" t="str" cm="1">
        <f t="array" ref="O77">IF(COUNTIF($B$10:$E$10, O$2)&gt;0, _xlfn.IFS(COUNTIF($B$10:$C$10, O$2)&gt;0, VLOOKUP($J77,'Gear Values'!$A$2:$E$13, IF(COUNTBLANK('Attributes &amp; Prefixes'!$B$10:$C$10)&gt;0, "2", "3"), 0), COUNTIF($D$10:$E$10, O$2)&gt;0, VLOOKUP($J77,'Gear Values'!$A$2:$E$13, IF(COUNTBLANK('Attributes &amp; Prefixes'!$B$10:$C$10)&gt;0, "4", "5"), 0)), "")</f>
        <v/>
      </c>
      <c r="P77" s="137" t="str" cm="1">
        <f t="array" ref="P77">IF(COUNTIF($B$10:$E$10, P$2)&gt;0, _xlfn.IFS(COUNTIF($B$10:$C$10, P$2)&gt;0, VLOOKUP($J77,'Gear Values'!$A$2:$E$13, IF(COUNTBLANK('Attributes &amp; Prefixes'!$B$10:$C$10)&gt;0, "2", "3"), 0), COUNTIF($D$10:$E$10, P$2)&gt;0, VLOOKUP($J77,'Gear Values'!$A$2:$E$13, IF(COUNTBLANK('Attributes &amp; Prefixes'!$B$10:$C$10)&gt;0, "4", "5"), 0)), "")</f>
        <v/>
      </c>
      <c r="Q77" s="137" t="str" cm="1">
        <f t="array" ref="Q77">IF(COUNTIF($B$10:$E$10, Q$2)&gt;0, _xlfn.IFS(COUNTIF($B$10:$C$10, Q$2)&gt;0, VLOOKUP($J77,'Gear Values'!$A$2:$E$13, IF(COUNTBLANK('Attributes &amp; Prefixes'!$B$10:$C$10)&gt;0, "2", "3"), 0), COUNTIF($D$10:$E$10, Q$2)&gt;0, VLOOKUP($J77,'Gear Values'!$A$2:$E$13, IF(COUNTBLANK('Attributes &amp; Prefixes'!$B$10:$C$10)&gt;0, "4", "5"), 0)), "")</f>
        <v/>
      </c>
      <c r="R77" s="137" t="str" cm="1">
        <f t="array" ref="R77">IF(COUNTIF($B$10:$E$10, R$2)&gt;0, _xlfn.IFS(COUNTIF($B$10:$C$10, R$2)&gt;0, VLOOKUP($J77,'Gear Values'!$A$2:$E$13, IF(COUNTBLANK('Attributes &amp; Prefixes'!$B$10:$C$10)&gt;0, "2", "3"), 0), COUNTIF($D$10:$E$10, R$2)&gt;0, VLOOKUP($J77,'Gear Values'!$A$2:$E$13, IF(COUNTBLANK('Attributes &amp; Prefixes'!$B$10:$C$10)&gt;0, "4", "5"), 0)), "")</f>
        <v/>
      </c>
      <c r="S77" s="140" t="str" cm="1">
        <f t="array" ref="S77">IF(COUNTIF($B$10:$E$10, S$2)&gt;0, _xlfn.IFS(COUNTIF($B$10:$C$10, S$2)&gt;0, VLOOKUP($J77,'Gear Values'!$A$2:$E$13, IF(COUNTBLANK('Attributes &amp; Prefixes'!$B$10:$C$10)&gt;0, "2", "3"), 0), COUNTIF($D$10:$E$10, S$2)&gt;0, VLOOKUP($J77,'Gear Values'!$A$2:$E$13, IF(COUNTBLANK('Attributes &amp; Prefixes'!$B$10:$C$10)&gt;0, "4", "5"), 0)), "")</f>
        <v/>
      </c>
      <c r="T77" s="115"/>
      <c r="U77" s="116"/>
      <c r="V77" s="112"/>
      <c r="W77" s="113"/>
    </row>
    <row r="78" spans="1:23">
      <c r="A78" s="128" t="s">
        <v>2500</v>
      </c>
      <c r="B78" s="121" t="s">
        <v>6</v>
      </c>
      <c r="C78" s="122"/>
      <c r="D78" s="122" t="s">
        <v>7</v>
      </c>
      <c r="E78" s="122" t="s">
        <v>14</v>
      </c>
      <c r="F78" s="449" t="str">
        <f>IF(OR(COUNTBLANK(AttributeFilter) = 1,AttributeFilter="(Select)"), A78, IF(COUNTIF(B78:E78, AttributeFilter)&gt;0, A78, ""))</f>
        <v>Sprocket</v>
      </c>
      <c r="G78" s="114"/>
      <c r="H78" s="130" t="str">
        <f>_xlfn.CONCAT(I$75,J78)</f>
        <v>CaptainShoulders</v>
      </c>
      <c r="I78" s="520"/>
      <c r="J78" s="144" t="s">
        <v>42</v>
      </c>
      <c r="K78" s="136" cm="1">
        <f t="array" ref="K78">IF(COUNTIF($B$10:$E$10, K$2)&gt;0, _xlfn.IFS(COUNTIF($B$10:$C$10, K$2)&gt;0, VLOOKUP($J78,'Gear Values'!$A$2:$E$13, IF(COUNTBLANK('Attributes &amp; Prefixes'!$B$10:$C$10)&gt;0, "2", "3"), 0), COUNTIF($D$10:$E$10, K$2)&gt;0, VLOOKUP($J78,'Gear Values'!$A$2:$E$13, IF(COUNTBLANK('Attributes &amp; Prefixes'!$B$10:$C$10)&gt;0, "4", "5"), 0)), "")</f>
        <v>32</v>
      </c>
      <c r="L78" s="137" cm="1">
        <f t="array" ref="L78">IF(COUNTIF($B$10:$E$10, L$2)&gt;0, _xlfn.IFS(COUNTIF($B$10:$C$10, L$2)&gt;0, VLOOKUP($J78,'Gear Values'!$A$2:$E$13, IF(COUNTBLANK('Attributes &amp; Prefixes'!$B$10:$C$10)&gt;0, "2", "3"), 0), COUNTIF($D$10:$E$10, L$2)&gt;0, VLOOKUP($J78,'Gear Values'!$A$2:$E$13, IF(COUNTBLANK('Attributes &amp; Prefixes'!$B$10:$C$10)&gt;0, "4", "5"), 0)), "")</f>
        <v>45</v>
      </c>
      <c r="M78" s="137" cm="1">
        <f t="array" ref="M78">IF(COUNTIF($B$10:$E$10, M$2)&gt;0, _xlfn.IFS(COUNTIF($B$10:$C$10, M$2)&gt;0, VLOOKUP($J78,'Gear Values'!$A$2:$E$13, IF(COUNTBLANK('Attributes &amp; Prefixes'!$B$10:$C$10)&gt;0, "2", "3"), 0), COUNTIF($D$10:$E$10, M$2)&gt;0, VLOOKUP($J78,'Gear Values'!$A$2:$E$13, IF(COUNTBLANK('Attributes &amp; Prefixes'!$B$10:$C$10)&gt;0, "4", "5"), 0)), "")</f>
        <v>32</v>
      </c>
      <c r="N78" s="137" t="str" cm="1">
        <f t="array" ref="N78">IF(COUNTIF($B$10:$E$10, N$2)&gt;0, _xlfn.IFS(COUNTIF($B$10:$C$10, N$2)&gt;0, VLOOKUP($J78,'Gear Values'!$A$2:$E$13, IF(COUNTBLANK('Attributes &amp; Prefixes'!$B$10:$C$10)&gt;0, "2", "3"), 0), COUNTIF($D$10:$E$10, N$2)&gt;0, VLOOKUP($J78,'Gear Values'!$A$2:$E$13, IF(COUNTBLANK('Attributes &amp; Prefixes'!$B$10:$C$10)&gt;0, "4", "5"), 0)), "")</f>
        <v/>
      </c>
      <c r="O78" s="137" t="str" cm="1">
        <f t="array" ref="O78">IF(COUNTIF($B$10:$E$10, O$2)&gt;0, _xlfn.IFS(COUNTIF($B$10:$C$10, O$2)&gt;0, VLOOKUP($J78,'Gear Values'!$A$2:$E$13, IF(COUNTBLANK('Attributes &amp; Prefixes'!$B$10:$C$10)&gt;0, "2", "3"), 0), COUNTIF($D$10:$E$10, O$2)&gt;0, VLOOKUP($J78,'Gear Values'!$A$2:$E$13, IF(COUNTBLANK('Attributes &amp; Prefixes'!$B$10:$C$10)&gt;0, "4", "5"), 0)), "")</f>
        <v/>
      </c>
      <c r="P78" s="137" t="str" cm="1">
        <f t="array" ref="P78">IF(COUNTIF($B$10:$E$10, P$2)&gt;0, _xlfn.IFS(COUNTIF($B$10:$C$10, P$2)&gt;0, VLOOKUP($J78,'Gear Values'!$A$2:$E$13, IF(COUNTBLANK('Attributes &amp; Prefixes'!$B$10:$C$10)&gt;0, "2", "3"), 0), COUNTIF($D$10:$E$10, P$2)&gt;0, VLOOKUP($J78,'Gear Values'!$A$2:$E$13, IF(COUNTBLANK('Attributes &amp; Prefixes'!$B$10:$C$10)&gt;0, "4", "5"), 0)), "")</f>
        <v/>
      </c>
      <c r="Q78" s="137" t="str" cm="1">
        <f t="array" ref="Q78">IF(COUNTIF($B$10:$E$10, Q$2)&gt;0, _xlfn.IFS(COUNTIF($B$10:$C$10, Q$2)&gt;0, VLOOKUP($J78,'Gear Values'!$A$2:$E$13, IF(COUNTBLANK('Attributes &amp; Prefixes'!$B$10:$C$10)&gt;0, "2", "3"), 0), COUNTIF($D$10:$E$10, Q$2)&gt;0, VLOOKUP($J78,'Gear Values'!$A$2:$E$13, IF(COUNTBLANK('Attributes &amp; Prefixes'!$B$10:$C$10)&gt;0, "4", "5"), 0)), "")</f>
        <v/>
      </c>
      <c r="R78" s="137" t="str" cm="1">
        <f t="array" ref="R78">IF(COUNTIF($B$10:$E$10, R$2)&gt;0, _xlfn.IFS(COUNTIF($B$10:$C$10, R$2)&gt;0, VLOOKUP($J78,'Gear Values'!$A$2:$E$13, IF(COUNTBLANK('Attributes &amp; Prefixes'!$B$10:$C$10)&gt;0, "2", "3"), 0), COUNTIF($D$10:$E$10, R$2)&gt;0, VLOOKUP($J78,'Gear Values'!$A$2:$E$13, IF(COUNTBLANK('Attributes &amp; Prefixes'!$B$10:$C$10)&gt;0, "4", "5"), 0)), "")</f>
        <v/>
      </c>
      <c r="S78" s="140" t="str" cm="1">
        <f t="array" ref="S78">IF(COUNTIF($B$10:$E$10, S$2)&gt;0, _xlfn.IFS(COUNTIF($B$10:$C$10, S$2)&gt;0, VLOOKUP($J78,'Gear Values'!$A$2:$E$13, IF(COUNTBLANK('Attributes &amp; Prefixes'!$B$10:$C$10)&gt;0, "2", "3"), 0), COUNTIF($D$10:$E$10, S$2)&gt;0, VLOOKUP($J78,'Gear Values'!$A$2:$E$13, IF(COUNTBLANK('Attributes &amp; Prefixes'!$B$10:$C$10)&gt;0, "4", "5"), 0)), "")</f>
        <v/>
      </c>
      <c r="T78" s="117"/>
      <c r="U78" s="118"/>
      <c r="V78" s="112"/>
      <c r="W78" s="113"/>
    </row>
    <row r="79" spans="1:23">
      <c r="A79" s="129" t="s">
        <v>2501</v>
      </c>
      <c r="B79" s="123" t="s">
        <v>6</v>
      </c>
      <c r="C79" s="124" t="s">
        <v>10</v>
      </c>
      <c r="D79" s="124" t="s">
        <v>7</v>
      </c>
      <c r="E79" s="124" t="s">
        <v>13</v>
      </c>
      <c r="F79" s="449" t="str">
        <f>IF(OR(COUNTBLANK(AttributeFilter) = 1,AttributeFilter="(Select)"), A79, IF(COUNTIF(B79:E79, AttributeFilter)&gt;0, A79, ""))</f>
        <v>Serpentite</v>
      </c>
      <c r="G79" s="114"/>
      <c r="H79" s="130" t="str">
        <f>_xlfn.CONCAT(I$75,J79)</f>
        <v>CaptainChest</v>
      </c>
      <c r="I79" s="520"/>
      <c r="J79" s="144" t="s">
        <v>44</v>
      </c>
      <c r="K79" s="136" cm="1">
        <f t="array" ref="K79">IF(COUNTIF($B$10:$E$10, K$2)&gt;0, _xlfn.IFS(COUNTIF($B$10:$C$10, K$2)&gt;0, VLOOKUP($J79,'Gear Values'!$A$2:$E$13, IF(COUNTBLANK('Attributes &amp; Prefixes'!$B$10:$C$10)&gt;0, "2", "3"), 0), COUNTIF($D$10:$E$10, K$2)&gt;0, VLOOKUP($J79,'Gear Values'!$A$2:$E$13, IF(COUNTBLANK('Attributes &amp; Prefixes'!$B$10:$C$10)&gt;0, "4", "5"), 0)), "")</f>
        <v>96</v>
      </c>
      <c r="L79" s="137" cm="1">
        <f t="array" ref="L79">IF(COUNTIF($B$10:$E$10, L$2)&gt;0, _xlfn.IFS(COUNTIF($B$10:$C$10, L$2)&gt;0, VLOOKUP($J79,'Gear Values'!$A$2:$E$13, IF(COUNTBLANK('Attributes &amp; Prefixes'!$B$10:$C$10)&gt;0, "2", "3"), 0), COUNTIF($D$10:$E$10, L$2)&gt;0, VLOOKUP($J79,'Gear Values'!$A$2:$E$13, IF(COUNTBLANK('Attributes &amp; Prefixes'!$B$10:$C$10)&gt;0, "4", "5"), 0)), "")</f>
        <v>134</v>
      </c>
      <c r="M79" s="137" cm="1">
        <f t="array" ref="M79">IF(COUNTIF($B$10:$E$10, M$2)&gt;0, _xlfn.IFS(COUNTIF($B$10:$C$10, M$2)&gt;0, VLOOKUP($J79,'Gear Values'!$A$2:$E$13, IF(COUNTBLANK('Attributes &amp; Prefixes'!$B$10:$C$10)&gt;0, "2", "3"), 0), COUNTIF($D$10:$E$10, M$2)&gt;0, VLOOKUP($J79,'Gear Values'!$A$2:$E$13, IF(COUNTBLANK('Attributes &amp; Prefixes'!$B$10:$C$10)&gt;0, "4", "5"), 0)), "")</f>
        <v>96</v>
      </c>
      <c r="N79" s="137" t="str" cm="1">
        <f t="array" ref="N79">IF(COUNTIF($B$10:$E$10, N$2)&gt;0, _xlfn.IFS(COUNTIF($B$10:$C$10, N$2)&gt;0, VLOOKUP($J79,'Gear Values'!$A$2:$E$13, IF(COUNTBLANK('Attributes &amp; Prefixes'!$B$10:$C$10)&gt;0, "2", "3"), 0), COUNTIF($D$10:$E$10, N$2)&gt;0, VLOOKUP($J79,'Gear Values'!$A$2:$E$13, IF(COUNTBLANK('Attributes &amp; Prefixes'!$B$10:$C$10)&gt;0, "4", "5"), 0)), "")</f>
        <v/>
      </c>
      <c r="O79" s="137" t="str" cm="1">
        <f t="array" ref="O79">IF(COUNTIF($B$10:$E$10, O$2)&gt;0, _xlfn.IFS(COUNTIF($B$10:$C$10, O$2)&gt;0, VLOOKUP($J79,'Gear Values'!$A$2:$E$13, IF(COUNTBLANK('Attributes &amp; Prefixes'!$B$10:$C$10)&gt;0, "2", "3"), 0), COUNTIF($D$10:$E$10, O$2)&gt;0, VLOOKUP($J79,'Gear Values'!$A$2:$E$13, IF(COUNTBLANK('Attributes &amp; Prefixes'!$B$10:$C$10)&gt;0, "4", "5"), 0)), "")</f>
        <v/>
      </c>
      <c r="P79" s="137" t="str" cm="1">
        <f t="array" ref="P79">IF(COUNTIF($B$10:$E$10, P$2)&gt;0, _xlfn.IFS(COUNTIF($B$10:$C$10, P$2)&gt;0, VLOOKUP($J79,'Gear Values'!$A$2:$E$13, IF(COUNTBLANK('Attributes &amp; Prefixes'!$B$10:$C$10)&gt;0, "2", "3"), 0), COUNTIF($D$10:$E$10, P$2)&gt;0, VLOOKUP($J79,'Gear Values'!$A$2:$E$13, IF(COUNTBLANK('Attributes &amp; Prefixes'!$B$10:$C$10)&gt;0, "4", "5"), 0)), "")</f>
        <v/>
      </c>
      <c r="Q79" s="137" t="str" cm="1">
        <f t="array" ref="Q79">IF(COUNTIF($B$10:$E$10, Q$2)&gt;0, _xlfn.IFS(COUNTIF($B$10:$C$10, Q$2)&gt;0, VLOOKUP($J79,'Gear Values'!$A$2:$E$13, IF(COUNTBLANK('Attributes &amp; Prefixes'!$B$10:$C$10)&gt;0, "2", "3"), 0), COUNTIF($D$10:$E$10, Q$2)&gt;0, VLOOKUP($J79,'Gear Values'!$A$2:$E$13, IF(COUNTBLANK('Attributes &amp; Prefixes'!$B$10:$C$10)&gt;0, "4", "5"), 0)), "")</f>
        <v/>
      </c>
      <c r="R79" s="137" t="str" cm="1">
        <f t="array" ref="R79">IF(COUNTIF($B$10:$E$10, R$2)&gt;0, _xlfn.IFS(COUNTIF($B$10:$C$10, R$2)&gt;0, VLOOKUP($J79,'Gear Values'!$A$2:$E$13, IF(COUNTBLANK('Attributes &amp; Prefixes'!$B$10:$C$10)&gt;0, "2", "3"), 0), COUNTIF($D$10:$E$10, R$2)&gt;0, VLOOKUP($J79,'Gear Values'!$A$2:$E$13, IF(COUNTBLANK('Attributes &amp; Prefixes'!$B$10:$C$10)&gt;0, "4", "5"), 0)), "")</f>
        <v/>
      </c>
      <c r="S79" s="140" t="str" cm="1">
        <f t="array" ref="S79">IF(COUNTIF($B$10:$E$10, S$2)&gt;0, _xlfn.IFS(COUNTIF($B$10:$C$10, S$2)&gt;0, VLOOKUP($J79,'Gear Values'!$A$2:$E$13, IF(COUNTBLANK('Attributes &amp; Prefixes'!$B$10:$C$10)&gt;0, "2", "3"), 0), COUNTIF($D$10:$E$10, S$2)&gt;0, VLOOKUP($J79,'Gear Values'!$A$2:$E$13, IF(COUNTBLANK('Attributes &amp; Prefixes'!$B$10:$C$10)&gt;0, "4", "5"), 0)), "")</f>
        <v/>
      </c>
      <c r="V79" s="112"/>
      <c r="W79" s="113"/>
    </row>
    <row r="80" spans="1:23">
      <c r="F80" s="111"/>
      <c r="H80" s="130" t="str">
        <f>_xlfn.CONCAT(I$75,J80)</f>
        <v>CaptainHands</v>
      </c>
      <c r="I80" s="520"/>
      <c r="J80" s="144" t="s">
        <v>45</v>
      </c>
      <c r="K80" s="136" cm="1">
        <f t="array" ref="K80">IF(COUNTIF($B$10:$E$10, K$2)&gt;0, _xlfn.IFS(COUNTIF($B$10:$C$10, K$2)&gt;0, VLOOKUP($J80,'Gear Values'!$A$2:$E$13, IF(COUNTBLANK('Attributes &amp; Prefixes'!$B$10:$C$10)&gt;0, "2", "3"), 0), COUNTIF($D$10:$E$10, K$2)&gt;0, VLOOKUP($J80,'Gear Values'!$A$2:$E$13, IF(COUNTBLANK('Attributes &amp; Prefixes'!$B$10:$C$10)&gt;0, "4", "5"), 0)), "")</f>
        <v>32</v>
      </c>
      <c r="L80" s="137" cm="1">
        <f t="array" ref="L80">IF(COUNTIF($B$10:$E$10, L$2)&gt;0, _xlfn.IFS(COUNTIF($B$10:$C$10, L$2)&gt;0, VLOOKUP($J80,'Gear Values'!$A$2:$E$13, IF(COUNTBLANK('Attributes &amp; Prefixes'!$B$10:$C$10)&gt;0, "2", "3"), 0), COUNTIF($D$10:$E$10, L$2)&gt;0, VLOOKUP($J80,'Gear Values'!$A$2:$E$13, IF(COUNTBLANK('Attributes &amp; Prefixes'!$B$10:$C$10)&gt;0, "4", "5"), 0)), "")</f>
        <v>45</v>
      </c>
      <c r="M80" s="137" cm="1">
        <f t="array" ref="M80">IF(COUNTIF($B$10:$E$10, M$2)&gt;0, _xlfn.IFS(COUNTIF($B$10:$C$10, M$2)&gt;0, VLOOKUP($J80,'Gear Values'!$A$2:$E$13, IF(COUNTBLANK('Attributes &amp; Prefixes'!$B$10:$C$10)&gt;0, "2", "3"), 0), COUNTIF($D$10:$E$10, M$2)&gt;0, VLOOKUP($J80,'Gear Values'!$A$2:$E$13, IF(COUNTBLANK('Attributes &amp; Prefixes'!$B$10:$C$10)&gt;0, "4", "5"), 0)), "")</f>
        <v>32</v>
      </c>
      <c r="N80" s="137" t="str" cm="1">
        <f t="array" ref="N80">IF(COUNTIF($B$10:$E$10, N$2)&gt;0, _xlfn.IFS(COUNTIF($B$10:$C$10, N$2)&gt;0, VLOOKUP($J80,'Gear Values'!$A$2:$E$13, IF(COUNTBLANK('Attributes &amp; Prefixes'!$B$10:$C$10)&gt;0, "2", "3"), 0), COUNTIF($D$10:$E$10, N$2)&gt;0, VLOOKUP($J80,'Gear Values'!$A$2:$E$13, IF(COUNTBLANK('Attributes &amp; Prefixes'!$B$10:$C$10)&gt;0, "4", "5"), 0)), "")</f>
        <v/>
      </c>
      <c r="O80" s="137" t="str" cm="1">
        <f t="array" ref="O80">IF(COUNTIF($B$10:$E$10, O$2)&gt;0, _xlfn.IFS(COUNTIF($B$10:$C$10, O$2)&gt;0, VLOOKUP($J80,'Gear Values'!$A$2:$E$13, IF(COUNTBLANK('Attributes &amp; Prefixes'!$B$10:$C$10)&gt;0, "2", "3"), 0), COUNTIF($D$10:$E$10, O$2)&gt;0, VLOOKUP($J80,'Gear Values'!$A$2:$E$13, IF(COUNTBLANK('Attributes &amp; Prefixes'!$B$10:$C$10)&gt;0, "4", "5"), 0)), "")</f>
        <v/>
      </c>
      <c r="P80" s="137" t="str" cm="1">
        <f t="array" ref="P80">IF(COUNTIF($B$10:$E$10, P$2)&gt;0, _xlfn.IFS(COUNTIF($B$10:$C$10, P$2)&gt;0, VLOOKUP($J80,'Gear Values'!$A$2:$E$13, IF(COUNTBLANK('Attributes &amp; Prefixes'!$B$10:$C$10)&gt;0, "2", "3"), 0), COUNTIF($D$10:$E$10, P$2)&gt;0, VLOOKUP($J80,'Gear Values'!$A$2:$E$13, IF(COUNTBLANK('Attributes &amp; Prefixes'!$B$10:$C$10)&gt;0, "4", "5"), 0)), "")</f>
        <v/>
      </c>
      <c r="Q80" s="137" t="str" cm="1">
        <f t="array" ref="Q80">IF(COUNTIF($B$10:$E$10, Q$2)&gt;0, _xlfn.IFS(COUNTIF($B$10:$C$10, Q$2)&gt;0, VLOOKUP($J80,'Gear Values'!$A$2:$E$13, IF(COUNTBLANK('Attributes &amp; Prefixes'!$B$10:$C$10)&gt;0, "2", "3"), 0), COUNTIF($D$10:$E$10, Q$2)&gt;0, VLOOKUP($J80,'Gear Values'!$A$2:$E$13, IF(COUNTBLANK('Attributes &amp; Prefixes'!$B$10:$C$10)&gt;0, "4", "5"), 0)), "")</f>
        <v/>
      </c>
      <c r="R80" s="137" t="str" cm="1">
        <f t="array" ref="R80">IF(COUNTIF($B$10:$E$10, R$2)&gt;0, _xlfn.IFS(COUNTIF($B$10:$C$10, R$2)&gt;0, VLOOKUP($J80,'Gear Values'!$A$2:$E$13, IF(COUNTBLANK('Attributes &amp; Prefixes'!$B$10:$C$10)&gt;0, "2", "3"), 0), COUNTIF($D$10:$E$10, R$2)&gt;0, VLOOKUP($J80,'Gear Values'!$A$2:$E$13, IF(COUNTBLANK('Attributes &amp; Prefixes'!$B$10:$C$10)&gt;0, "4", "5"), 0)), "")</f>
        <v/>
      </c>
      <c r="S80" s="140" t="str" cm="1">
        <f t="array" ref="S80">IF(COUNTIF($B$10:$E$10, S$2)&gt;0, _xlfn.IFS(COUNTIF($B$10:$C$10, S$2)&gt;0, VLOOKUP($J80,'Gear Values'!$A$2:$E$13, IF(COUNTBLANK('Attributes &amp; Prefixes'!$B$10:$C$10)&gt;0, "2", "3"), 0), COUNTIF($D$10:$E$10, S$2)&gt;0, VLOOKUP($J80,'Gear Values'!$A$2:$E$13, IF(COUNTBLANK('Attributes &amp; Prefixes'!$B$10:$C$10)&gt;0, "4", "5"), 0)), "")</f>
        <v/>
      </c>
      <c r="V80" s="112"/>
      <c r="W80" s="113"/>
    </row>
    <row r="81" spans="6:23">
      <c r="F81" s="111"/>
      <c r="H81" s="130" t="str">
        <f>_xlfn.CONCAT(I$75,J81)</f>
        <v>CaptainLegs</v>
      </c>
      <c r="I81" s="520"/>
      <c r="J81" s="144" t="s">
        <v>47</v>
      </c>
      <c r="K81" s="136" cm="1">
        <f t="array" ref="K81">IF(COUNTIF($B$10:$E$10, K$2)&gt;0, _xlfn.IFS(COUNTIF($B$10:$C$10, K$2)&gt;0, VLOOKUP($J81,'Gear Values'!$A$2:$E$13, IF(COUNTBLANK('Attributes &amp; Prefixes'!$B$10:$C$10)&gt;0, "2", "3"), 0), COUNTIF($D$10:$E$10, K$2)&gt;0, VLOOKUP($J81,'Gear Values'!$A$2:$E$13, IF(COUNTBLANK('Attributes &amp; Prefixes'!$B$10:$C$10)&gt;0, "4", "5"), 0)), "")</f>
        <v>64</v>
      </c>
      <c r="L81" s="137" cm="1">
        <f t="array" ref="L81">IF(COUNTIF($B$10:$E$10, L$2)&gt;0, _xlfn.IFS(COUNTIF($B$10:$C$10, L$2)&gt;0, VLOOKUP($J81,'Gear Values'!$A$2:$E$13, IF(COUNTBLANK('Attributes &amp; Prefixes'!$B$10:$C$10)&gt;0, "2", "3"), 0), COUNTIF($D$10:$E$10, L$2)&gt;0, VLOOKUP($J81,'Gear Values'!$A$2:$E$13, IF(COUNTBLANK('Attributes &amp; Prefixes'!$B$10:$C$10)&gt;0, "4", "5"), 0)), "")</f>
        <v>90</v>
      </c>
      <c r="M81" s="137" cm="1">
        <f t="array" ref="M81">IF(COUNTIF($B$10:$E$10, M$2)&gt;0, _xlfn.IFS(COUNTIF($B$10:$C$10, M$2)&gt;0, VLOOKUP($J81,'Gear Values'!$A$2:$E$13, IF(COUNTBLANK('Attributes &amp; Prefixes'!$B$10:$C$10)&gt;0, "2", "3"), 0), COUNTIF($D$10:$E$10, M$2)&gt;0, VLOOKUP($J81,'Gear Values'!$A$2:$E$13, IF(COUNTBLANK('Attributes &amp; Prefixes'!$B$10:$C$10)&gt;0, "4", "5"), 0)), "")</f>
        <v>64</v>
      </c>
      <c r="N81" s="137" t="str" cm="1">
        <f t="array" ref="N81">IF(COUNTIF($B$10:$E$10, N$2)&gt;0, _xlfn.IFS(COUNTIF($B$10:$C$10, N$2)&gt;0, VLOOKUP($J81,'Gear Values'!$A$2:$E$13, IF(COUNTBLANK('Attributes &amp; Prefixes'!$B$10:$C$10)&gt;0, "2", "3"), 0), COUNTIF($D$10:$E$10, N$2)&gt;0, VLOOKUP($J81,'Gear Values'!$A$2:$E$13, IF(COUNTBLANK('Attributes &amp; Prefixes'!$B$10:$C$10)&gt;0, "4", "5"), 0)), "")</f>
        <v/>
      </c>
      <c r="O81" s="137" t="str" cm="1">
        <f t="array" ref="O81">IF(COUNTIF($B$10:$E$10, O$2)&gt;0, _xlfn.IFS(COUNTIF($B$10:$C$10, O$2)&gt;0, VLOOKUP($J81,'Gear Values'!$A$2:$E$13, IF(COUNTBLANK('Attributes &amp; Prefixes'!$B$10:$C$10)&gt;0, "2", "3"), 0), COUNTIF($D$10:$E$10, O$2)&gt;0, VLOOKUP($J81,'Gear Values'!$A$2:$E$13, IF(COUNTBLANK('Attributes &amp; Prefixes'!$B$10:$C$10)&gt;0, "4", "5"), 0)), "")</f>
        <v/>
      </c>
      <c r="P81" s="137" t="str" cm="1">
        <f t="array" ref="P81">IF(COUNTIF($B$10:$E$10, P$2)&gt;0, _xlfn.IFS(COUNTIF($B$10:$C$10, P$2)&gt;0, VLOOKUP($J81,'Gear Values'!$A$2:$E$13, IF(COUNTBLANK('Attributes &amp; Prefixes'!$B$10:$C$10)&gt;0, "2", "3"), 0), COUNTIF($D$10:$E$10, P$2)&gt;0, VLOOKUP($J81,'Gear Values'!$A$2:$E$13, IF(COUNTBLANK('Attributes &amp; Prefixes'!$B$10:$C$10)&gt;0, "4", "5"), 0)), "")</f>
        <v/>
      </c>
      <c r="Q81" s="137" t="str" cm="1">
        <f t="array" ref="Q81">IF(COUNTIF($B$10:$E$10, Q$2)&gt;0, _xlfn.IFS(COUNTIF($B$10:$C$10, Q$2)&gt;0, VLOOKUP($J81,'Gear Values'!$A$2:$E$13, IF(COUNTBLANK('Attributes &amp; Prefixes'!$B$10:$C$10)&gt;0, "2", "3"), 0), COUNTIF($D$10:$E$10, Q$2)&gt;0, VLOOKUP($J81,'Gear Values'!$A$2:$E$13, IF(COUNTBLANK('Attributes &amp; Prefixes'!$B$10:$C$10)&gt;0, "4", "5"), 0)), "")</f>
        <v/>
      </c>
      <c r="R81" s="137" t="str" cm="1">
        <f t="array" ref="R81">IF(COUNTIF($B$10:$E$10, R$2)&gt;0, _xlfn.IFS(COUNTIF($B$10:$C$10, R$2)&gt;0, VLOOKUP($J81,'Gear Values'!$A$2:$E$13, IF(COUNTBLANK('Attributes &amp; Prefixes'!$B$10:$C$10)&gt;0, "2", "3"), 0), COUNTIF($D$10:$E$10, R$2)&gt;0, VLOOKUP($J81,'Gear Values'!$A$2:$E$13, IF(COUNTBLANK('Attributes &amp; Prefixes'!$B$10:$C$10)&gt;0, "4", "5"), 0)), "")</f>
        <v/>
      </c>
      <c r="S81" s="140" t="str" cm="1">
        <f t="array" ref="S81">IF(COUNTIF($B$10:$E$10, S$2)&gt;0, _xlfn.IFS(COUNTIF($B$10:$C$10, S$2)&gt;0, VLOOKUP($J81,'Gear Values'!$A$2:$E$13, IF(COUNTBLANK('Attributes &amp; Prefixes'!$B$10:$C$10)&gt;0, "2", "3"), 0), COUNTIF($D$10:$E$10, S$2)&gt;0, VLOOKUP($J81,'Gear Values'!$A$2:$E$13, IF(COUNTBLANK('Attributes &amp; Prefixes'!$B$10:$C$10)&gt;0, "4", "5"), 0)), "")</f>
        <v/>
      </c>
      <c r="V81" s="112"/>
      <c r="W81" s="113"/>
    </row>
    <row r="82" spans="6:23">
      <c r="H82" s="130" t="str">
        <f>_xlfn.CONCAT(I$75,J82)</f>
        <v>CaptainFeet</v>
      </c>
      <c r="I82" s="520"/>
      <c r="J82" s="144" t="s">
        <v>48</v>
      </c>
      <c r="K82" s="136" cm="1">
        <f t="array" ref="K82">IF(COUNTIF($B$10:$E$10, K$2)&gt;0, _xlfn.IFS(COUNTIF($B$10:$C$10, K$2)&gt;0, VLOOKUP($J82,'Gear Values'!$A$2:$E$13, IF(COUNTBLANK('Attributes &amp; Prefixes'!$B$10:$C$10)&gt;0, "2", "3"), 0), COUNTIF($D$10:$E$10, K$2)&gt;0, VLOOKUP($J82,'Gear Values'!$A$2:$E$13, IF(COUNTBLANK('Attributes &amp; Prefixes'!$B$10:$C$10)&gt;0, "4", "5"), 0)), "")</f>
        <v>32</v>
      </c>
      <c r="L82" s="137" cm="1">
        <f t="array" ref="L82">IF(COUNTIF($B$10:$E$10, L$2)&gt;0, _xlfn.IFS(COUNTIF($B$10:$C$10, L$2)&gt;0, VLOOKUP($J82,'Gear Values'!$A$2:$E$13, IF(COUNTBLANK('Attributes &amp; Prefixes'!$B$10:$C$10)&gt;0, "2", "3"), 0), COUNTIF($D$10:$E$10, L$2)&gt;0, VLOOKUP($J82,'Gear Values'!$A$2:$E$13, IF(COUNTBLANK('Attributes &amp; Prefixes'!$B$10:$C$10)&gt;0, "4", "5"), 0)), "")</f>
        <v>45</v>
      </c>
      <c r="M82" s="137" cm="1">
        <f t="array" ref="M82">IF(COUNTIF($B$10:$E$10, M$2)&gt;0, _xlfn.IFS(COUNTIF($B$10:$C$10, M$2)&gt;0, VLOOKUP($J82,'Gear Values'!$A$2:$E$13, IF(COUNTBLANK('Attributes &amp; Prefixes'!$B$10:$C$10)&gt;0, "2", "3"), 0), COUNTIF($D$10:$E$10, M$2)&gt;0, VLOOKUP($J82,'Gear Values'!$A$2:$E$13, IF(COUNTBLANK('Attributes &amp; Prefixes'!$B$10:$C$10)&gt;0, "4", "5"), 0)), "")</f>
        <v>32</v>
      </c>
      <c r="N82" s="137" t="str" cm="1">
        <f t="array" ref="N82">IF(COUNTIF($B$10:$E$10, N$2)&gt;0, _xlfn.IFS(COUNTIF($B$10:$C$10, N$2)&gt;0, VLOOKUP($J82,'Gear Values'!$A$2:$E$13, IF(COUNTBLANK('Attributes &amp; Prefixes'!$B$10:$C$10)&gt;0, "2", "3"), 0), COUNTIF($D$10:$E$10, N$2)&gt;0, VLOOKUP($J82,'Gear Values'!$A$2:$E$13, IF(COUNTBLANK('Attributes &amp; Prefixes'!$B$10:$C$10)&gt;0, "4", "5"), 0)), "")</f>
        <v/>
      </c>
      <c r="O82" s="137" t="str" cm="1">
        <f t="array" ref="O82">IF(COUNTIF($B$10:$E$10, O$2)&gt;0, _xlfn.IFS(COUNTIF($B$10:$C$10, O$2)&gt;0, VLOOKUP($J82,'Gear Values'!$A$2:$E$13, IF(COUNTBLANK('Attributes &amp; Prefixes'!$B$10:$C$10)&gt;0, "2", "3"), 0), COUNTIF($D$10:$E$10, O$2)&gt;0, VLOOKUP($J82,'Gear Values'!$A$2:$E$13, IF(COUNTBLANK('Attributes &amp; Prefixes'!$B$10:$C$10)&gt;0, "4", "5"), 0)), "")</f>
        <v/>
      </c>
      <c r="P82" s="137" t="str" cm="1">
        <f t="array" ref="P82">IF(COUNTIF($B$10:$E$10, P$2)&gt;0, _xlfn.IFS(COUNTIF($B$10:$C$10, P$2)&gt;0, VLOOKUP($J82,'Gear Values'!$A$2:$E$13, IF(COUNTBLANK('Attributes &amp; Prefixes'!$B$10:$C$10)&gt;0, "2", "3"), 0), COUNTIF($D$10:$E$10, P$2)&gt;0, VLOOKUP($J82,'Gear Values'!$A$2:$E$13, IF(COUNTBLANK('Attributes &amp; Prefixes'!$B$10:$C$10)&gt;0, "4", "5"), 0)), "")</f>
        <v/>
      </c>
      <c r="Q82" s="137" t="str" cm="1">
        <f t="array" ref="Q82">IF(COUNTIF($B$10:$E$10, Q$2)&gt;0, _xlfn.IFS(COUNTIF($B$10:$C$10, Q$2)&gt;0, VLOOKUP($J82,'Gear Values'!$A$2:$E$13, IF(COUNTBLANK('Attributes &amp; Prefixes'!$B$10:$C$10)&gt;0, "2", "3"), 0), COUNTIF($D$10:$E$10, Q$2)&gt;0, VLOOKUP($J82,'Gear Values'!$A$2:$E$13, IF(COUNTBLANK('Attributes &amp; Prefixes'!$B$10:$C$10)&gt;0, "4", "5"), 0)), "")</f>
        <v/>
      </c>
      <c r="R82" s="137" t="str" cm="1">
        <f t="array" ref="R82">IF(COUNTIF($B$10:$E$10, R$2)&gt;0, _xlfn.IFS(COUNTIF($B$10:$C$10, R$2)&gt;0, VLOOKUP($J82,'Gear Values'!$A$2:$E$13, IF(COUNTBLANK('Attributes &amp; Prefixes'!$B$10:$C$10)&gt;0, "2", "3"), 0), COUNTIF($D$10:$E$10, R$2)&gt;0, VLOOKUP($J82,'Gear Values'!$A$2:$E$13, IF(COUNTBLANK('Attributes &amp; Prefixes'!$B$10:$C$10)&gt;0, "4", "5"), 0)), "")</f>
        <v/>
      </c>
      <c r="S82" s="140" t="str" cm="1">
        <f t="array" ref="S82">IF(COUNTIF($B$10:$E$10, S$2)&gt;0, _xlfn.IFS(COUNTIF($B$10:$C$10, S$2)&gt;0, VLOOKUP($J82,'Gear Values'!$A$2:$E$13, IF(COUNTBLANK('Attributes &amp; Prefixes'!$B$10:$C$10)&gt;0, "2", "3"), 0), COUNTIF($D$10:$E$10, S$2)&gt;0, VLOOKUP($J82,'Gear Values'!$A$2:$E$13, IF(COUNTBLANK('Attributes &amp; Prefixes'!$B$10:$C$10)&gt;0, "4", "5"), 0)), "")</f>
        <v/>
      </c>
      <c r="V82" s="112"/>
      <c r="W82" s="113"/>
    </row>
    <row r="83" spans="6:23">
      <c r="H83" s="130" t="str">
        <f>_xlfn.CONCAT(I$75,J83)</f>
        <v>CaptainEar</v>
      </c>
      <c r="I83" s="520"/>
      <c r="J83" s="144" t="s">
        <v>49</v>
      </c>
      <c r="K83" s="136" cm="1">
        <f t="array" ref="K83">IF(COUNTIF($B$10:$E$10, K$2)&gt;0, _xlfn.IFS(COUNTIF($B$10:$C$10, K$2)&gt;0, VLOOKUP($J83,'Gear Values'!$A$2:$E$13, IF(COUNTBLANK('Attributes &amp; Prefixes'!$B$10:$C$10)&gt;0, "2", "3"), 0), COUNTIF($D$10:$E$10, K$2)&gt;0, VLOOKUP($J83,'Gear Values'!$A$2:$E$13, IF(COUNTBLANK('Attributes &amp; Prefixes'!$B$10:$C$10)&gt;0, "4", "5"), 0)), "")</f>
        <v>53</v>
      </c>
      <c r="L83" s="137" cm="1">
        <f t="array" ref="L83">IF(COUNTIF($B$10:$E$10, L$2)&gt;0, _xlfn.IFS(COUNTIF($B$10:$C$10, L$2)&gt;0, VLOOKUP($J83,'Gear Values'!$A$2:$E$13, IF(COUNTBLANK('Attributes &amp; Prefixes'!$B$10:$C$10)&gt;0, "2", "3"), 0), COUNTIF($D$10:$E$10, L$2)&gt;0, VLOOKUP($J83,'Gear Values'!$A$2:$E$13, IF(COUNTBLANK('Attributes &amp; Prefixes'!$B$10:$C$10)&gt;0, "4", "5"), 0)), "")</f>
        <v>75</v>
      </c>
      <c r="M83" s="137" cm="1">
        <f t="array" ref="M83">IF(COUNTIF($B$10:$E$10, M$2)&gt;0, _xlfn.IFS(COUNTIF($B$10:$C$10, M$2)&gt;0, VLOOKUP($J83,'Gear Values'!$A$2:$E$13, IF(COUNTBLANK('Attributes &amp; Prefixes'!$B$10:$C$10)&gt;0, "2", "3"), 0), COUNTIF($D$10:$E$10, M$2)&gt;0, VLOOKUP($J83,'Gear Values'!$A$2:$E$13, IF(COUNTBLANK('Attributes &amp; Prefixes'!$B$10:$C$10)&gt;0, "4", "5"), 0)), "")</f>
        <v>53</v>
      </c>
      <c r="N83" s="137" t="str" cm="1">
        <f t="array" ref="N83">IF(COUNTIF($B$10:$E$10, N$2)&gt;0, _xlfn.IFS(COUNTIF($B$10:$C$10, N$2)&gt;0, VLOOKUP($J83,'Gear Values'!$A$2:$E$13, IF(COUNTBLANK('Attributes &amp; Prefixes'!$B$10:$C$10)&gt;0, "2", "3"), 0), COUNTIF($D$10:$E$10, N$2)&gt;0, VLOOKUP($J83,'Gear Values'!$A$2:$E$13, IF(COUNTBLANK('Attributes &amp; Prefixes'!$B$10:$C$10)&gt;0, "4", "5"), 0)), "")</f>
        <v/>
      </c>
      <c r="O83" s="137" t="str" cm="1">
        <f t="array" ref="O83">IF(COUNTIF($B$10:$E$10, O$2)&gt;0, _xlfn.IFS(COUNTIF($B$10:$C$10, O$2)&gt;0, VLOOKUP($J83,'Gear Values'!$A$2:$E$13, IF(COUNTBLANK('Attributes &amp; Prefixes'!$B$10:$C$10)&gt;0, "2", "3"), 0), COUNTIF($D$10:$E$10, O$2)&gt;0, VLOOKUP($J83,'Gear Values'!$A$2:$E$13, IF(COUNTBLANK('Attributes &amp; Prefixes'!$B$10:$C$10)&gt;0, "4", "5"), 0)), "")</f>
        <v/>
      </c>
      <c r="P83" s="137" t="str" cm="1">
        <f t="array" ref="P83">IF(COUNTIF($B$10:$E$10, P$2)&gt;0, _xlfn.IFS(COUNTIF($B$10:$C$10, P$2)&gt;0, VLOOKUP($J83,'Gear Values'!$A$2:$E$13, IF(COUNTBLANK('Attributes &amp; Prefixes'!$B$10:$C$10)&gt;0, "2", "3"), 0), COUNTIF($D$10:$E$10, P$2)&gt;0, VLOOKUP($J83,'Gear Values'!$A$2:$E$13, IF(COUNTBLANK('Attributes &amp; Prefixes'!$B$10:$C$10)&gt;0, "4", "5"), 0)), "")</f>
        <v/>
      </c>
      <c r="Q83" s="137" t="str" cm="1">
        <f t="array" ref="Q83">IF(COUNTIF($B$10:$E$10, Q$2)&gt;0, _xlfn.IFS(COUNTIF($B$10:$C$10, Q$2)&gt;0, VLOOKUP($J83,'Gear Values'!$A$2:$E$13, IF(COUNTBLANK('Attributes &amp; Prefixes'!$B$10:$C$10)&gt;0, "2", "3"), 0), COUNTIF($D$10:$E$10, Q$2)&gt;0, VLOOKUP($J83,'Gear Values'!$A$2:$E$13, IF(COUNTBLANK('Attributes &amp; Prefixes'!$B$10:$C$10)&gt;0, "4", "5"), 0)), "")</f>
        <v/>
      </c>
      <c r="R83" s="137" t="str" cm="1">
        <f t="array" ref="R83">IF(COUNTIF($B$10:$E$10, R$2)&gt;0, _xlfn.IFS(COUNTIF($B$10:$C$10, R$2)&gt;0, VLOOKUP($J83,'Gear Values'!$A$2:$E$13, IF(COUNTBLANK('Attributes &amp; Prefixes'!$B$10:$C$10)&gt;0, "2", "3"), 0), COUNTIF($D$10:$E$10, R$2)&gt;0, VLOOKUP($J83,'Gear Values'!$A$2:$E$13, IF(COUNTBLANK('Attributes &amp; Prefixes'!$B$10:$C$10)&gt;0, "4", "5"), 0)), "")</f>
        <v/>
      </c>
      <c r="S83" s="140" t="str" cm="1">
        <f t="array" ref="S83">IF(COUNTIF($B$10:$E$10, S$2)&gt;0, _xlfn.IFS(COUNTIF($B$10:$C$10, S$2)&gt;0, VLOOKUP($J83,'Gear Values'!$A$2:$E$13, IF(COUNTBLANK('Attributes &amp; Prefixes'!$B$10:$C$10)&gt;0, "2", "3"), 0), COUNTIF($D$10:$E$10, S$2)&gt;0, VLOOKUP($J83,'Gear Values'!$A$2:$E$13, IF(COUNTBLANK('Attributes &amp; Prefixes'!$B$10:$C$10)&gt;0, "4", "5"), 0)), "")</f>
        <v/>
      </c>
      <c r="V83" s="112"/>
      <c r="W83" s="113"/>
    </row>
    <row r="84" spans="6:23">
      <c r="H84" s="130" t="str">
        <f>_xlfn.CONCAT(I$75,J84)</f>
        <v>CaptainFinger</v>
      </c>
      <c r="I84" s="520"/>
      <c r="J84" s="144" t="s">
        <v>51</v>
      </c>
      <c r="K84" s="136" cm="1">
        <f t="array" ref="K84">IF(COUNTIF($B$10:$E$10, K$2)&gt;0, _xlfn.IFS(COUNTIF($B$10:$C$10, K$2)&gt;0, VLOOKUP($J84,'Gear Values'!$A$2:$E$13, IF(COUNTBLANK('Attributes &amp; Prefixes'!$B$10:$C$10)&gt;0, "2", "3"), 0), COUNTIF($D$10:$E$10, K$2)&gt;0, VLOOKUP($J84,'Gear Values'!$A$2:$E$13, IF(COUNTBLANK('Attributes &amp; Prefixes'!$B$10:$C$10)&gt;0, "4", "5"), 0)), "")</f>
        <v>64</v>
      </c>
      <c r="L84" s="137" cm="1">
        <f t="array" ref="L84">IF(COUNTIF($B$10:$E$10, L$2)&gt;0, _xlfn.IFS(COUNTIF($B$10:$C$10, L$2)&gt;0, VLOOKUP($J84,'Gear Values'!$A$2:$E$13, IF(COUNTBLANK('Attributes &amp; Prefixes'!$B$10:$C$10)&gt;0, "2", "3"), 0), COUNTIF($D$10:$E$10, L$2)&gt;0, VLOOKUP($J84,'Gear Values'!$A$2:$E$13, IF(COUNTBLANK('Attributes &amp; Prefixes'!$B$10:$C$10)&gt;0, "4", "5"), 0)), "")</f>
        <v>90</v>
      </c>
      <c r="M84" s="137" cm="1">
        <f t="array" ref="M84">IF(COUNTIF($B$10:$E$10, M$2)&gt;0, _xlfn.IFS(COUNTIF($B$10:$C$10, M$2)&gt;0, VLOOKUP($J84,'Gear Values'!$A$2:$E$13, IF(COUNTBLANK('Attributes &amp; Prefixes'!$B$10:$C$10)&gt;0, "2", "3"), 0), COUNTIF($D$10:$E$10, M$2)&gt;0, VLOOKUP($J84,'Gear Values'!$A$2:$E$13, IF(COUNTBLANK('Attributes &amp; Prefixes'!$B$10:$C$10)&gt;0, "4", "5"), 0)), "")</f>
        <v>64</v>
      </c>
      <c r="N84" s="137" t="str" cm="1">
        <f t="array" ref="N84">IF(COUNTIF($B$10:$E$10, N$2)&gt;0, _xlfn.IFS(COUNTIF($B$10:$C$10, N$2)&gt;0, VLOOKUP($J84,'Gear Values'!$A$2:$E$13, IF(COUNTBLANK('Attributes &amp; Prefixes'!$B$10:$C$10)&gt;0, "2", "3"), 0), COUNTIF($D$10:$E$10, N$2)&gt;0, VLOOKUP($J84,'Gear Values'!$A$2:$E$13, IF(COUNTBLANK('Attributes &amp; Prefixes'!$B$10:$C$10)&gt;0, "4", "5"), 0)), "")</f>
        <v/>
      </c>
      <c r="O84" s="137" t="str" cm="1">
        <f t="array" ref="O84">IF(COUNTIF($B$10:$E$10, O$2)&gt;0, _xlfn.IFS(COUNTIF($B$10:$C$10, O$2)&gt;0, VLOOKUP($J84,'Gear Values'!$A$2:$E$13, IF(COUNTBLANK('Attributes &amp; Prefixes'!$B$10:$C$10)&gt;0, "2", "3"), 0), COUNTIF($D$10:$E$10, O$2)&gt;0, VLOOKUP($J84,'Gear Values'!$A$2:$E$13, IF(COUNTBLANK('Attributes &amp; Prefixes'!$B$10:$C$10)&gt;0, "4", "5"), 0)), "")</f>
        <v/>
      </c>
      <c r="P84" s="137" t="str" cm="1">
        <f t="array" ref="P84">IF(COUNTIF($B$10:$E$10, P$2)&gt;0, _xlfn.IFS(COUNTIF($B$10:$C$10, P$2)&gt;0, VLOOKUP($J84,'Gear Values'!$A$2:$E$13, IF(COUNTBLANK('Attributes &amp; Prefixes'!$B$10:$C$10)&gt;0, "2", "3"), 0), COUNTIF($D$10:$E$10, P$2)&gt;0, VLOOKUP($J84,'Gear Values'!$A$2:$E$13, IF(COUNTBLANK('Attributes &amp; Prefixes'!$B$10:$C$10)&gt;0, "4", "5"), 0)), "")</f>
        <v/>
      </c>
      <c r="Q84" s="137" t="str" cm="1">
        <f t="array" ref="Q84">IF(COUNTIF($B$10:$E$10, Q$2)&gt;0, _xlfn.IFS(COUNTIF($B$10:$C$10, Q$2)&gt;0, VLOOKUP($J84,'Gear Values'!$A$2:$E$13, IF(COUNTBLANK('Attributes &amp; Prefixes'!$B$10:$C$10)&gt;0, "2", "3"), 0), COUNTIF($D$10:$E$10, Q$2)&gt;0, VLOOKUP($J84,'Gear Values'!$A$2:$E$13, IF(COUNTBLANK('Attributes &amp; Prefixes'!$B$10:$C$10)&gt;0, "4", "5"), 0)), "")</f>
        <v/>
      </c>
      <c r="R84" s="137" t="str" cm="1">
        <f t="array" ref="R84">IF(COUNTIF($B$10:$E$10, R$2)&gt;0, _xlfn.IFS(COUNTIF($B$10:$C$10, R$2)&gt;0, VLOOKUP($J84,'Gear Values'!$A$2:$E$13, IF(COUNTBLANK('Attributes &amp; Prefixes'!$B$10:$C$10)&gt;0, "2", "3"), 0), COUNTIF($D$10:$E$10, R$2)&gt;0, VLOOKUP($J84,'Gear Values'!$A$2:$E$13, IF(COUNTBLANK('Attributes &amp; Prefixes'!$B$10:$C$10)&gt;0, "4", "5"), 0)), "")</f>
        <v/>
      </c>
      <c r="S84" s="140" t="str" cm="1">
        <f t="array" ref="S84">IF(COUNTIF($B$10:$E$10, S$2)&gt;0, _xlfn.IFS(COUNTIF($B$10:$C$10, S$2)&gt;0, VLOOKUP($J84,'Gear Values'!$A$2:$E$13, IF(COUNTBLANK('Attributes &amp; Prefixes'!$B$10:$C$10)&gt;0, "2", "3"), 0), COUNTIF($D$10:$E$10, S$2)&gt;0, VLOOKUP($J84,'Gear Values'!$A$2:$E$13, IF(COUNTBLANK('Attributes &amp; Prefixes'!$B$10:$C$10)&gt;0, "4", "5"), 0)), "")</f>
        <v/>
      </c>
      <c r="V84" s="112"/>
      <c r="W84" s="113"/>
    </row>
    <row r="85" spans="6:23">
      <c r="H85" s="130" t="str">
        <f>_xlfn.CONCAT(I$75,J85)</f>
        <v>CaptainNeck</v>
      </c>
      <c r="I85" s="520"/>
      <c r="J85" s="144" t="s">
        <v>52</v>
      </c>
      <c r="K85" s="136" cm="1">
        <f t="array" ref="K85">IF(COUNTIF($B$10:$E$10, K$2)&gt;0, _xlfn.IFS(COUNTIF($B$10:$C$10, K$2)&gt;0, VLOOKUP($J85,'Gear Values'!$A$2:$E$13, IF(COUNTBLANK('Attributes &amp; Prefixes'!$B$10:$C$10)&gt;0, "2", "3"), 0), COUNTIF($D$10:$E$10, K$2)&gt;0, VLOOKUP($J85,'Gear Values'!$A$2:$E$13, IF(COUNTBLANK('Attributes &amp; Prefixes'!$B$10:$C$10)&gt;0, "4", "5"), 0)), "")</f>
        <v>85</v>
      </c>
      <c r="L85" s="137" cm="1">
        <f t="array" ref="L85">IF(COUNTIF($B$10:$E$10, L$2)&gt;0, _xlfn.IFS(COUNTIF($B$10:$C$10, L$2)&gt;0, VLOOKUP($J85,'Gear Values'!$A$2:$E$13, IF(COUNTBLANK('Attributes &amp; Prefixes'!$B$10:$C$10)&gt;0, "2", "3"), 0), COUNTIF($D$10:$E$10, L$2)&gt;0, VLOOKUP($J85,'Gear Values'!$A$2:$E$13, IF(COUNTBLANK('Attributes &amp; Prefixes'!$B$10:$C$10)&gt;0, "4", "5"), 0)), "")</f>
        <v>120</v>
      </c>
      <c r="M85" s="137" cm="1">
        <f t="array" ref="M85">IF(COUNTIF($B$10:$E$10, M$2)&gt;0, _xlfn.IFS(COUNTIF($B$10:$C$10, M$2)&gt;0, VLOOKUP($J85,'Gear Values'!$A$2:$E$13, IF(COUNTBLANK('Attributes &amp; Prefixes'!$B$10:$C$10)&gt;0, "2", "3"), 0), COUNTIF($D$10:$E$10, M$2)&gt;0, VLOOKUP($J85,'Gear Values'!$A$2:$E$13, IF(COUNTBLANK('Attributes &amp; Prefixes'!$B$10:$C$10)&gt;0, "4", "5"), 0)), "")</f>
        <v>85</v>
      </c>
      <c r="N85" s="137" t="str" cm="1">
        <f t="array" ref="N85">IF(COUNTIF($B$10:$E$10, N$2)&gt;0, _xlfn.IFS(COUNTIF($B$10:$C$10, N$2)&gt;0, VLOOKUP($J85,'Gear Values'!$A$2:$E$13, IF(COUNTBLANK('Attributes &amp; Prefixes'!$B$10:$C$10)&gt;0, "2", "3"), 0), COUNTIF($D$10:$E$10, N$2)&gt;0, VLOOKUP($J85,'Gear Values'!$A$2:$E$13, IF(COUNTBLANK('Attributes &amp; Prefixes'!$B$10:$C$10)&gt;0, "4", "5"), 0)), "")</f>
        <v/>
      </c>
      <c r="O85" s="137" t="str" cm="1">
        <f t="array" ref="O85">IF(COUNTIF($B$10:$E$10, O$2)&gt;0, _xlfn.IFS(COUNTIF($B$10:$C$10, O$2)&gt;0, VLOOKUP($J85,'Gear Values'!$A$2:$E$13, IF(COUNTBLANK('Attributes &amp; Prefixes'!$B$10:$C$10)&gt;0, "2", "3"), 0), COUNTIF($D$10:$E$10, O$2)&gt;0, VLOOKUP($J85,'Gear Values'!$A$2:$E$13, IF(COUNTBLANK('Attributes &amp; Prefixes'!$B$10:$C$10)&gt;0, "4", "5"), 0)), "")</f>
        <v/>
      </c>
      <c r="P85" s="137" t="str" cm="1">
        <f t="array" ref="P85">IF(COUNTIF($B$10:$E$10, P$2)&gt;0, _xlfn.IFS(COUNTIF($B$10:$C$10, P$2)&gt;0, VLOOKUP($J85,'Gear Values'!$A$2:$E$13, IF(COUNTBLANK('Attributes &amp; Prefixes'!$B$10:$C$10)&gt;0, "2", "3"), 0), COUNTIF($D$10:$E$10, P$2)&gt;0, VLOOKUP($J85,'Gear Values'!$A$2:$E$13, IF(COUNTBLANK('Attributes &amp; Prefixes'!$B$10:$C$10)&gt;0, "4", "5"), 0)), "")</f>
        <v/>
      </c>
      <c r="Q85" s="137" t="str" cm="1">
        <f t="array" ref="Q85">IF(COUNTIF($B$10:$E$10, Q$2)&gt;0, _xlfn.IFS(COUNTIF($B$10:$C$10, Q$2)&gt;0, VLOOKUP($J85,'Gear Values'!$A$2:$E$13, IF(COUNTBLANK('Attributes &amp; Prefixes'!$B$10:$C$10)&gt;0, "2", "3"), 0), COUNTIF($D$10:$E$10, Q$2)&gt;0, VLOOKUP($J85,'Gear Values'!$A$2:$E$13, IF(COUNTBLANK('Attributes &amp; Prefixes'!$B$10:$C$10)&gt;0, "4", "5"), 0)), "")</f>
        <v/>
      </c>
      <c r="R85" s="137" t="str" cm="1">
        <f t="array" ref="R85">IF(COUNTIF($B$10:$E$10, R$2)&gt;0, _xlfn.IFS(COUNTIF($B$10:$C$10, R$2)&gt;0, VLOOKUP($J85,'Gear Values'!$A$2:$E$13, IF(COUNTBLANK('Attributes &amp; Prefixes'!$B$10:$C$10)&gt;0, "2", "3"), 0), COUNTIF($D$10:$E$10, R$2)&gt;0, VLOOKUP($J85,'Gear Values'!$A$2:$E$13, IF(COUNTBLANK('Attributes &amp; Prefixes'!$B$10:$C$10)&gt;0, "4", "5"), 0)), "")</f>
        <v/>
      </c>
      <c r="S85" s="140" t="str" cm="1">
        <f t="array" ref="S85">IF(COUNTIF($B$10:$E$10, S$2)&gt;0, _xlfn.IFS(COUNTIF($B$10:$C$10, S$2)&gt;0, VLOOKUP($J85,'Gear Values'!$A$2:$E$13, IF(COUNTBLANK('Attributes &amp; Prefixes'!$B$10:$C$10)&gt;0, "2", "3"), 0), COUNTIF($D$10:$E$10, S$2)&gt;0, VLOOKUP($J85,'Gear Values'!$A$2:$E$13, IF(COUNTBLANK('Attributes &amp; Prefixes'!$B$10:$C$10)&gt;0, "4", "5"), 0)), "")</f>
        <v/>
      </c>
      <c r="V85" s="112"/>
      <c r="W85" s="113"/>
    </row>
    <row r="86" spans="6:23">
      <c r="H86" s="130" t="str">
        <f>_xlfn.CONCAT(I$75,J86)</f>
        <v>CaptainBack</v>
      </c>
      <c r="I86" s="521"/>
      <c r="J86" s="146" t="s">
        <v>53</v>
      </c>
      <c r="K86" s="147" cm="1">
        <f t="array" ref="K86">IF(COUNTIF($B$10:$E$10, K$2)&gt;0, _xlfn.IFS(COUNTIF($B$10:$C$10, K$2)&gt;0, VLOOKUP($J86,'Gear Values'!$A$2:$E$13, IF(COUNTBLANK('Attributes &amp; Prefixes'!$B$10:$C$10)&gt;0, "2", "3"), 0), COUNTIF($D$10:$E$10, K$2)&gt;0, VLOOKUP($J86,'Gear Values'!$A$2:$E$13, IF(COUNTBLANK('Attributes &amp; Prefixes'!$B$10:$C$10)&gt;0, "4", "5"), 0)), "")</f>
        <v>18</v>
      </c>
      <c r="L86" s="148" cm="1">
        <f t="array" ref="L86">IF(COUNTIF($B$10:$E$10, L$2)&gt;0, _xlfn.IFS(COUNTIF($B$10:$C$10, L$2)&gt;0, VLOOKUP($J86,'Gear Values'!$A$2:$E$13, IF(COUNTBLANK('Attributes &amp; Prefixes'!$B$10:$C$10)&gt;0, "2", "3"), 0), COUNTIF($D$10:$E$10, L$2)&gt;0, VLOOKUP($J86,'Gear Values'!$A$2:$E$13, IF(COUNTBLANK('Attributes &amp; Prefixes'!$B$10:$C$10)&gt;0, "4", "5"), 0)), "")</f>
        <v>32</v>
      </c>
      <c r="M86" s="148" cm="1">
        <f t="array" ref="M86">IF(COUNTIF($B$10:$E$10, M$2)&gt;0, _xlfn.IFS(COUNTIF($B$10:$C$10, M$2)&gt;0, VLOOKUP($J86,'Gear Values'!$A$2:$E$13, IF(COUNTBLANK('Attributes &amp; Prefixes'!$B$10:$C$10)&gt;0, "2", "3"), 0), COUNTIF($D$10:$E$10, M$2)&gt;0, VLOOKUP($J86,'Gear Values'!$A$2:$E$13, IF(COUNTBLANK('Attributes &amp; Prefixes'!$B$10:$C$10)&gt;0, "4", "5"), 0)), "")</f>
        <v>18</v>
      </c>
      <c r="N86" s="148" t="str" cm="1">
        <f t="array" ref="N86">IF(COUNTIF($B$10:$E$10, N$2)&gt;0, _xlfn.IFS(COUNTIF($B$10:$C$10, N$2)&gt;0, VLOOKUP($J86,'Gear Values'!$A$2:$E$13, IF(COUNTBLANK('Attributes &amp; Prefixes'!$B$10:$C$10)&gt;0, "2", "3"), 0), COUNTIF($D$10:$E$10, N$2)&gt;0, VLOOKUP($J86,'Gear Values'!$A$2:$E$13, IF(COUNTBLANK('Attributes &amp; Prefixes'!$B$10:$C$10)&gt;0, "4", "5"), 0)), "")</f>
        <v/>
      </c>
      <c r="O86" s="148" t="str" cm="1">
        <f t="array" ref="O86">IF(COUNTIF($B$10:$E$10, O$2)&gt;0, _xlfn.IFS(COUNTIF($B$10:$C$10, O$2)&gt;0, VLOOKUP($J86,'Gear Values'!$A$2:$E$13, IF(COUNTBLANK('Attributes &amp; Prefixes'!$B$10:$C$10)&gt;0, "2", "3"), 0), COUNTIF($D$10:$E$10, O$2)&gt;0, VLOOKUP($J86,'Gear Values'!$A$2:$E$13, IF(COUNTBLANK('Attributes &amp; Prefixes'!$B$10:$C$10)&gt;0, "4", "5"), 0)), "")</f>
        <v/>
      </c>
      <c r="P86" s="148" t="str" cm="1">
        <f t="array" ref="P86">IF(COUNTIF($B$10:$E$10, P$2)&gt;0, _xlfn.IFS(COUNTIF($B$10:$C$10, P$2)&gt;0, VLOOKUP($J86,'Gear Values'!$A$2:$E$13, IF(COUNTBLANK('Attributes &amp; Prefixes'!$B$10:$C$10)&gt;0, "2", "3"), 0), COUNTIF($D$10:$E$10, P$2)&gt;0, VLOOKUP($J86,'Gear Values'!$A$2:$E$13, IF(COUNTBLANK('Attributes &amp; Prefixes'!$B$10:$C$10)&gt;0, "4", "5"), 0)), "")</f>
        <v/>
      </c>
      <c r="Q86" s="148" t="str" cm="1">
        <f t="array" ref="Q86">IF(COUNTIF($B$10:$E$10, Q$2)&gt;0, _xlfn.IFS(COUNTIF($B$10:$C$10, Q$2)&gt;0, VLOOKUP($J86,'Gear Values'!$A$2:$E$13, IF(COUNTBLANK('Attributes &amp; Prefixes'!$B$10:$C$10)&gt;0, "2", "3"), 0), COUNTIF($D$10:$E$10, Q$2)&gt;0, VLOOKUP($J86,'Gear Values'!$A$2:$E$13, IF(COUNTBLANK('Attributes &amp; Prefixes'!$B$10:$C$10)&gt;0, "4", "5"), 0)), "")</f>
        <v/>
      </c>
      <c r="R86" s="148" t="str" cm="1">
        <f t="array" ref="R86">IF(COUNTIF($B$10:$E$10, R$2)&gt;0, _xlfn.IFS(COUNTIF($B$10:$C$10, R$2)&gt;0, VLOOKUP($J86,'Gear Values'!$A$2:$E$13, IF(COUNTBLANK('Attributes &amp; Prefixes'!$B$10:$C$10)&gt;0, "2", "3"), 0), COUNTIF($D$10:$E$10, R$2)&gt;0, VLOOKUP($J86,'Gear Values'!$A$2:$E$13, IF(COUNTBLANK('Attributes &amp; Prefixes'!$B$10:$C$10)&gt;0, "4", "5"), 0)), "")</f>
        <v/>
      </c>
      <c r="S86" s="151" t="str" cm="1">
        <f t="array" ref="S86">IF(COUNTIF($B$10:$E$10, S$2)&gt;0, _xlfn.IFS(COUNTIF($B$10:$C$10, S$2)&gt;0, VLOOKUP($J86,'Gear Values'!$A$2:$E$13, IF(COUNTBLANK('Attributes &amp; Prefixes'!$B$10:$C$10)&gt;0, "2", "3"), 0), COUNTIF($D$10:$E$10, S$2)&gt;0, VLOOKUP($J86,'Gear Values'!$A$2:$E$13, IF(COUNTBLANK('Attributes &amp; Prefixes'!$B$10:$C$10)&gt;0, "4", "5"), 0)), "")</f>
        <v/>
      </c>
      <c r="V86" s="112"/>
      <c r="W86" s="113"/>
    </row>
    <row r="87" spans="6:23">
      <c r="H87" s="130" t="str">
        <f>_xlfn.CONCAT(I$87,J87)</f>
        <v>CarrionWeapon (1H)</v>
      </c>
      <c r="I87" s="519" t="str">
        <f>A11</f>
        <v>Carrion</v>
      </c>
      <c r="J87" s="145" t="s">
        <v>37</v>
      </c>
      <c r="K87" s="133" cm="1">
        <f t="array" ref="K87">IF(COUNTIF($B$11:$E$11, K$2)&gt;0, _xlfn.IFS(COUNTIF($B$11:$C$11, K$2)&gt;0, VLOOKUP($J87,'Gear Values'!$A$2:$E$13, IF(COUNTBLANK('Attributes &amp; Prefixes'!$B$11:$C$11)&gt;0, "2", "3"), 0), COUNTIF($D$11:$E$11, K$2)&gt;0, VLOOKUP($J87,'Gear Values'!$A$2:$E$13, IF(COUNTBLANK('Attributes &amp; Prefixes'!$B$11:$C$11)&gt;0, "4", "5"), 0)), "")</f>
        <v>85</v>
      </c>
      <c r="L87" s="134" t="str" cm="1">
        <f t="array" ref="L87">IF(COUNTIF($B$11:$E$11, L$2)&gt;0, _xlfn.IFS(COUNTIF($B$11:$C$11, L$2)&gt;0, VLOOKUP($J87,'Gear Values'!$A$2:$E$13, IF(COUNTBLANK('Attributes &amp; Prefixes'!$B$11:$C$11)&gt;0, "2", "3"), 0), COUNTIF($D$11:$E$11, L$2)&gt;0, VLOOKUP($J87,'Gear Values'!$A$2:$E$13, IF(COUNTBLANK('Attributes &amp; Prefixes'!$B$11:$C$11)&gt;0, "4", "5"), 0)), "")</f>
        <v/>
      </c>
      <c r="M87" s="134" t="str" cm="1">
        <f t="array" ref="M87">IF(COUNTIF($B$11:$E$11, M$2)&gt;0, _xlfn.IFS(COUNTIF($B$11:$C$11, M$2)&gt;0, VLOOKUP($J87,'Gear Values'!$A$2:$E$13, IF(COUNTBLANK('Attributes &amp; Prefixes'!$B$11:$C$11)&gt;0, "2", "3"), 0), COUNTIF($D$11:$E$11, M$2)&gt;0, VLOOKUP($J87,'Gear Values'!$A$2:$E$13, IF(COUNTBLANK('Attributes &amp; Prefixes'!$B$11:$C$11)&gt;0, "4", "5"), 0)), "")</f>
        <v/>
      </c>
      <c r="N87" s="134" cm="1">
        <f t="array" ref="N87">IF(COUNTIF($B$11:$E$11, N$2)&gt;0, _xlfn.IFS(COUNTIF($B$11:$C$11, N$2)&gt;0, VLOOKUP($J87,'Gear Values'!$A$2:$E$13, IF(COUNTBLANK('Attributes &amp; Prefixes'!$B$11:$C$11)&gt;0, "2", "3"), 0), COUNTIF($D$11:$E$11, N$2)&gt;0, VLOOKUP($J87,'Gear Values'!$A$2:$E$13, IF(COUNTBLANK('Attributes &amp; Prefixes'!$B$11:$C$11)&gt;0, "4", "5"), 0)), "")</f>
        <v>85</v>
      </c>
      <c r="O87" s="134" t="str" cm="1">
        <f t="array" ref="O87">IF(COUNTIF($B$11:$E$11, O$2)&gt;0, _xlfn.IFS(COUNTIF($B$11:$C$11, O$2)&gt;0, VLOOKUP($J87,'Gear Values'!$A$2:$E$13, IF(COUNTBLANK('Attributes &amp; Prefixes'!$B$11:$C$11)&gt;0, "2", "3"), 0), COUNTIF($D$11:$E$11, O$2)&gt;0, VLOOKUP($J87,'Gear Values'!$A$2:$E$13, IF(COUNTBLANK('Attributes &amp; Prefixes'!$B$11:$C$11)&gt;0, "4", "5"), 0)), "")</f>
        <v/>
      </c>
      <c r="P87" s="134" cm="1">
        <f t="array" ref="P87">IF(COUNTIF($B$11:$E$11, P$2)&gt;0, _xlfn.IFS(COUNTIF($B$11:$C$11, P$2)&gt;0, VLOOKUP($J87,'Gear Values'!$A$2:$E$13, IF(COUNTBLANK('Attributes &amp; Prefixes'!$B$11:$C$11)&gt;0, "2", "3"), 0), COUNTIF($D$11:$E$11, P$2)&gt;0, VLOOKUP($J87,'Gear Values'!$A$2:$E$13, IF(COUNTBLANK('Attributes &amp; Prefixes'!$B$11:$C$11)&gt;0, "4", "5"), 0)), "")</f>
        <v>120</v>
      </c>
      <c r="Q87" s="134" t="str" cm="1">
        <f t="array" ref="Q87">IF(COUNTIF($B$11:$E$11, Q$2)&gt;0, _xlfn.IFS(COUNTIF($B$11:$C$11, Q$2)&gt;0, VLOOKUP($J87,'Gear Values'!$A$2:$E$13, IF(COUNTBLANK('Attributes &amp; Prefixes'!$B$11:$C$11)&gt;0, "2", "3"), 0), COUNTIF($D$11:$E$11, Q$2)&gt;0, VLOOKUP($J87,'Gear Values'!$A$2:$E$13, IF(COUNTBLANK('Attributes &amp; Prefixes'!$B$11:$C$11)&gt;0, "4", "5"), 0)), "")</f>
        <v/>
      </c>
      <c r="R87" s="134" t="str" cm="1">
        <f t="array" ref="R87">IF(COUNTIF($B$11:$E$11, R$2)&gt;0, _xlfn.IFS(COUNTIF($B$11:$C$11, R$2)&gt;0, VLOOKUP($J87,'Gear Values'!$A$2:$E$13, IF(COUNTBLANK('Attributes &amp; Prefixes'!$B$11:$C$11)&gt;0, "2", "3"), 0), COUNTIF($D$11:$E$11, R$2)&gt;0, VLOOKUP($J87,'Gear Values'!$A$2:$E$13, IF(COUNTBLANK('Attributes &amp; Prefixes'!$B$11:$C$11)&gt;0, "4", "5"), 0)), "")</f>
        <v/>
      </c>
      <c r="S87" s="139" t="str" cm="1">
        <f t="array" ref="S87">IF(COUNTIF($B$11:$E$11, S$2)&gt;0, _xlfn.IFS(COUNTIF($B$11:$C$11, S$2)&gt;0, VLOOKUP($J87,'Gear Values'!$A$2:$E$13, IF(COUNTBLANK('Attributes &amp; Prefixes'!$B$11:$C$11)&gt;0, "2", "3"), 0), COUNTIF($D$11:$E$11, S$2)&gt;0, VLOOKUP($J87,'Gear Values'!$A$2:$E$13, IF(COUNTBLANK('Attributes &amp; Prefixes'!$B$11:$C$11)&gt;0, "4", "5"), 0)), "")</f>
        <v/>
      </c>
      <c r="V87" s="112"/>
      <c r="W87" s="113"/>
    </row>
    <row r="88" spans="6:23">
      <c r="H88" s="130" t="str">
        <f>_xlfn.CONCAT(I$87,J88)</f>
        <v>CarrionWeapon (2H)</v>
      </c>
      <c r="I88" s="520"/>
      <c r="J88" s="144" t="s">
        <v>39</v>
      </c>
      <c r="K88" s="136" cm="1">
        <f t="array" ref="K88">IF(COUNTIF($B$11:$E$11, K$2)&gt;0, _xlfn.IFS(COUNTIF($B$11:$C$11, K$2)&gt;0, VLOOKUP($J88,'Gear Values'!$A$2:$E$13, IF(COUNTBLANK('Attributes &amp; Prefixes'!$B$11:$C$11)&gt;0, "2", "3"), 0), COUNTIF($D$11:$E$11, K$2)&gt;0, VLOOKUP($J88,'Gear Values'!$A$2:$E$13, IF(COUNTBLANK('Attributes &amp; Prefixes'!$B$11:$C$11)&gt;0, "4", "5"), 0)), "")</f>
        <v>171</v>
      </c>
      <c r="L88" s="137" t="str" cm="1">
        <f t="array" ref="L88">IF(COUNTIF($B$11:$E$11, L$2)&gt;0, _xlfn.IFS(COUNTIF($B$11:$C$11, L$2)&gt;0, VLOOKUP($J88,'Gear Values'!$A$2:$E$13, IF(COUNTBLANK('Attributes &amp; Prefixes'!$B$11:$C$11)&gt;0, "2", "3"), 0), COUNTIF($D$11:$E$11, L$2)&gt;0, VLOOKUP($J88,'Gear Values'!$A$2:$E$13, IF(COUNTBLANK('Attributes &amp; Prefixes'!$B$11:$C$11)&gt;0, "4", "5"), 0)), "")</f>
        <v/>
      </c>
      <c r="M88" s="137" t="str" cm="1">
        <f t="array" ref="M88">IF(COUNTIF($B$11:$E$11, M$2)&gt;0, _xlfn.IFS(COUNTIF($B$11:$C$11, M$2)&gt;0, VLOOKUP($J88,'Gear Values'!$A$2:$E$13, IF(COUNTBLANK('Attributes &amp; Prefixes'!$B$11:$C$11)&gt;0, "2", "3"), 0), COUNTIF($D$11:$E$11, M$2)&gt;0, VLOOKUP($J88,'Gear Values'!$A$2:$E$13, IF(COUNTBLANK('Attributes &amp; Prefixes'!$B$11:$C$11)&gt;0, "4", "5"), 0)), "")</f>
        <v/>
      </c>
      <c r="N88" s="137" cm="1">
        <f t="array" ref="N88">IF(COUNTIF($B$11:$E$11, N$2)&gt;0, _xlfn.IFS(COUNTIF($B$11:$C$11, N$2)&gt;0, VLOOKUP($J88,'Gear Values'!$A$2:$E$13, IF(COUNTBLANK('Attributes &amp; Prefixes'!$B$11:$C$11)&gt;0, "2", "3"), 0), COUNTIF($D$11:$E$11, N$2)&gt;0, VLOOKUP($J88,'Gear Values'!$A$2:$E$13, IF(COUNTBLANK('Attributes &amp; Prefixes'!$B$11:$C$11)&gt;0, "4", "5"), 0)), "")</f>
        <v>171</v>
      </c>
      <c r="O88" s="137" t="str" cm="1">
        <f t="array" ref="O88">IF(COUNTIF($B$11:$E$11, O$2)&gt;0, _xlfn.IFS(COUNTIF($B$11:$C$11, O$2)&gt;0, VLOOKUP($J88,'Gear Values'!$A$2:$E$13, IF(COUNTBLANK('Attributes &amp; Prefixes'!$B$11:$C$11)&gt;0, "2", "3"), 0), COUNTIF($D$11:$E$11, O$2)&gt;0, VLOOKUP($J88,'Gear Values'!$A$2:$E$13, IF(COUNTBLANK('Attributes &amp; Prefixes'!$B$11:$C$11)&gt;0, "4", "5"), 0)), "")</f>
        <v/>
      </c>
      <c r="P88" s="137" cm="1">
        <f t="array" ref="P88">IF(COUNTIF($B$11:$E$11, P$2)&gt;0, _xlfn.IFS(COUNTIF($B$11:$C$11, P$2)&gt;0, VLOOKUP($J88,'Gear Values'!$A$2:$E$13, IF(COUNTBLANK('Attributes &amp; Prefixes'!$B$11:$C$11)&gt;0, "2", "3"), 0), COUNTIF($D$11:$E$11, P$2)&gt;0, VLOOKUP($J88,'Gear Values'!$A$2:$E$13, IF(COUNTBLANK('Attributes &amp; Prefixes'!$B$11:$C$11)&gt;0, "4", "5"), 0)), "")</f>
        <v>239</v>
      </c>
      <c r="Q88" s="137" t="str" cm="1">
        <f t="array" ref="Q88">IF(COUNTIF($B$11:$E$11, Q$2)&gt;0, _xlfn.IFS(COUNTIF($B$11:$C$11, Q$2)&gt;0, VLOOKUP($J88,'Gear Values'!$A$2:$E$13, IF(COUNTBLANK('Attributes &amp; Prefixes'!$B$11:$C$11)&gt;0, "2", "3"), 0), COUNTIF($D$11:$E$11, Q$2)&gt;0, VLOOKUP($J88,'Gear Values'!$A$2:$E$13, IF(COUNTBLANK('Attributes &amp; Prefixes'!$B$11:$C$11)&gt;0, "4", "5"), 0)), "")</f>
        <v/>
      </c>
      <c r="R88" s="137" t="str" cm="1">
        <f t="array" ref="R88">IF(COUNTIF($B$11:$E$11, R$2)&gt;0, _xlfn.IFS(COUNTIF($B$11:$C$11, R$2)&gt;0, VLOOKUP($J88,'Gear Values'!$A$2:$E$13, IF(COUNTBLANK('Attributes &amp; Prefixes'!$B$11:$C$11)&gt;0, "2", "3"), 0), COUNTIF($D$11:$E$11, R$2)&gt;0, VLOOKUP($J88,'Gear Values'!$A$2:$E$13, IF(COUNTBLANK('Attributes &amp; Prefixes'!$B$11:$C$11)&gt;0, "4", "5"), 0)), "")</f>
        <v/>
      </c>
      <c r="S88" s="140" t="str" cm="1">
        <f t="array" ref="S88">IF(COUNTIF($B$11:$E$11, S$2)&gt;0, _xlfn.IFS(COUNTIF($B$11:$C$11, S$2)&gt;0, VLOOKUP($J88,'Gear Values'!$A$2:$E$13, IF(COUNTBLANK('Attributes &amp; Prefixes'!$B$11:$C$11)&gt;0, "2", "3"), 0), COUNTIF($D$11:$E$11, S$2)&gt;0, VLOOKUP($J88,'Gear Values'!$A$2:$E$13, IF(COUNTBLANK('Attributes &amp; Prefixes'!$B$11:$C$11)&gt;0, "4", "5"), 0)), "")</f>
        <v/>
      </c>
      <c r="V88" s="112"/>
      <c r="W88" s="113"/>
    </row>
    <row r="89" spans="6:23">
      <c r="H89" s="130" t="str">
        <f>_xlfn.CONCAT(I$87,J89)</f>
        <v>CarrionHead</v>
      </c>
      <c r="I89" s="520"/>
      <c r="J89" s="144" t="s">
        <v>40</v>
      </c>
      <c r="K89" s="136" cm="1">
        <f t="array" ref="K89">IF(COUNTIF($B$11:$E$11, K$2)&gt;0, _xlfn.IFS(COUNTIF($B$11:$C$11, K$2)&gt;0, VLOOKUP($J89,'Gear Values'!$A$2:$E$13, IF(COUNTBLANK('Attributes &amp; Prefixes'!$B$11:$C$11)&gt;0, "2", "3"), 0), COUNTIF($D$11:$E$11, K$2)&gt;0, VLOOKUP($J89,'Gear Values'!$A$2:$E$13, IF(COUNTBLANK('Attributes &amp; Prefixes'!$B$11:$C$11)&gt;0, "4", "5"), 0)), "")</f>
        <v>43</v>
      </c>
      <c r="L89" s="137" t="str" cm="1">
        <f t="array" ref="L89">IF(COUNTIF($B$11:$E$11, L$2)&gt;0, _xlfn.IFS(COUNTIF($B$11:$C$11, L$2)&gt;0, VLOOKUP($J89,'Gear Values'!$A$2:$E$13, IF(COUNTBLANK('Attributes &amp; Prefixes'!$B$11:$C$11)&gt;0, "2", "3"), 0), COUNTIF($D$11:$E$11, L$2)&gt;0, VLOOKUP($J89,'Gear Values'!$A$2:$E$13, IF(COUNTBLANK('Attributes &amp; Prefixes'!$B$11:$C$11)&gt;0, "4", "5"), 0)), "")</f>
        <v/>
      </c>
      <c r="M89" s="137" t="str" cm="1">
        <f t="array" ref="M89">IF(COUNTIF($B$11:$E$11, M$2)&gt;0, _xlfn.IFS(COUNTIF($B$11:$C$11, M$2)&gt;0, VLOOKUP($J89,'Gear Values'!$A$2:$E$13, IF(COUNTBLANK('Attributes &amp; Prefixes'!$B$11:$C$11)&gt;0, "2", "3"), 0), COUNTIF($D$11:$E$11, M$2)&gt;0, VLOOKUP($J89,'Gear Values'!$A$2:$E$13, IF(COUNTBLANK('Attributes &amp; Prefixes'!$B$11:$C$11)&gt;0, "4", "5"), 0)), "")</f>
        <v/>
      </c>
      <c r="N89" s="137" cm="1">
        <f t="array" ref="N89">IF(COUNTIF($B$11:$E$11, N$2)&gt;0, _xlfn.IFS(COUNTIF($B$11:$C$11, N$2)&gt;0, VLOOKUP($J89,'Gear Values'!$A$2:$E$13, IF(COUNTBLANK('Attributes &amp; Prefixes'!$B$11:$C$11)&gt;0, "2", "3"), 0), COUNTIF($D$11:$E$11, N$2)&gt;0, VLOOKUP($J89,'Gear Values'!$A$2:$E$13, IF(COUNTBLANK('Attributes &amp; Prefixes'!$B$11:$C$11)&gt;0, "4", "5"), 0)), "")</f>
        <v>43</v>
      </c>
      <c r="O89" s="137" t="str" cm="1">
        <f t="array" ref="O89">IF(COUNTIF($B$11:$E$11, O$2)&gt;0, _xlfn.IFS(COUNTIF($B$11:$C$11, O$2)&gt;0, VLOOKUP($J89,'Gear Values'!$A$2:$E$13, IF(COUNTBLANK('Attributes &amp; Prefixes'!$B$11:$C$11)&gt;0, "2", "3"), 0), COUNTIF($D$11:$E$11, O$2)&gt;0, VLOOKUP($J89,'Gear Values'!$A$2:$E$13, IF(COUNTBLANK('Attributes &amp; Prefixes'!$B$11:$C$11)&gt;0, "4", "5"), 0)), "")</f>
        <v/>
      </c>
      <c r="P89" s="137" cm="1">
        <f t="array" ref="P89">IF(COUNTIF($B$11:$E$11, P$2)&gt;0, _xlfn.IFS(COUNTIF($B$11:$C$11, P$2)&gt;0, VLOOKUP($J89,'Gear Values'!$A$2:$E$13, IF(COUNTBLANK('Attributes &amp; Prefixes'!$B$11:$C$11)&gt;0, "2", "3"), 0), COUNTIF($D$11:$E$11, P$2)&gt;0, VLOOKUP($J89,'Gear Values'!$A$2:$E$13, IF(COUNTBLANK('Attributes &amp; Prefixes'!$B$11:$C$11)&gt;0, "4", "5"), 0)), "")</f>
        <v>60</v>
      </c>
      <c r="Q89" s="137" t="str" cm="1">
        <f t="array" ref="Q89">IF(COUNTIF($B$11:$E$11, Q$2)&gt;0, _xlfn.IFS(COUNTIF($B$11:$C$11, Q$2)&gt;0, VLOOKUP($J89,'Gear Values'!$A$2:$E$13, IF(COUNTBLANK('Attributes &amp; Prefixes'!$B$11:$C$11)&gt;0, "2", "3"), 0), COUNTIF($D$11:$E$11, Q$2)&gt;0, VLOOKUP($J89,'Gear Values'!$A$2:$E$13, IF(COUNTBLANK('Attributes &amp; Prefixes'!$B$11:$C$11)&gt;0, "4", "5"), 0)), "")</f>
        <v/>
      </c>
      <c r="R89" s="137" t="str" cm="1">
        <f t="array" ref="R89">IF(COUNTIF($B$11:$E$11, R$2)&gt;0, _xlfn.IFS(COUNTIF($B$11:$C$11, R$2)&gt;0, VLOOKUP($J89,'Gear Values'!$A$2:$E$13, IF(COUNTBLANK('Attributes &amp; Prefixes'!$B$11:$C$11)&gt;0, "2", "3"), 0), COUNTIF($D$11:$E$11, R$2)&gt;0, VLOOKUP($J89,'Gear Values'!$A$2:$E$13, IF(COUNTBLANK('Attributes &amp; Prefixes'!$B$11:$C$11)&gt;0, "4", "5"), 0)), "")</f>
        <v/>
      </c>
      <c r="S89" s="140" t="str" cm="1">
        <f t="array" ref="S89">IF(COUNTIF($B$11:$E$11, S$2)&gt;0, _xlfn.IFS(COUNTIF($B$11:$C$11, S$2)&gt;0, VLOOKUP($J89,'Gear Values'!$A$2:$E$13, IF(COUNTBLANK('Attributes &amp; Prefixes'!$B$11:$C$11)&gt;0, "2", "3"), 0), COUNTIF($D$11:$E$11, S$2)&gt;0, VLOOKUP($J89,'Gear Values'!$A$2:$E$13, IF(COUNTBLANK('Attributes &amp; Prefixes'!$B$11:$C$11)&gt;0, "4", "5"), 0)), "")</f>
        <v/>
      </c>
      <c r="V89" s="112"/>
      <c r="W89" s="113"/>
    </row>
    <row r="90" spans="6:23">
      <c r="H90" s="130" t="str">
        <f>_xlfn.CONCAT(I$87,J90)</f>
        <v>CarrionShoulders</v>
      </c>
      <c r="I90" s="520"/>
      <c r="J90" s="144" t="s">
        <v>42</v>
      </c>
      <c r="K90" s="136" cm="1">
        <f t="array" ref="K90">IF(COUNTIF($B$11:$E$11, K$2)&gt;0, _xlfn.IFS(COUNTIF($B$11:$C$11, K$2)&gt;0, VLOOKUP($J90,'Gear Values'!$A$2:$E$13, IF(COUNTBLANK('Attributes &amp; Prefixes'!$B$11:$C$11)&gt;0, "2", "3"), 0), COUNTIF($D$11:$E$11, K$2)&gt;0, VLOOKUP($J90,'Gear Values'!$A$2:$E$13, IF(COUNTBLANK('Attributes &amp; Prefixes'!$B$11:$C$11)&gt;0, "4", "5"), 0)), "")</f>
        <v>32</v>
      </c>
      <c r="L90" s="137" t="str" cm="1">
        <f t="array" ref="L90">IF(COUNTIF($B$11:$E$11, L$2)&gt;0, _xlfn.IFS(COUNTIF($B$11:$C$11, L$2)&gt;0, VLOOKUP($J90,'Gear Values'!$A$2:$E$13, IF(COUNTBLANK('Attributes &amp; Prefixes'!$B$11:$C$11)&gt;0, "2", "3"), 0), COUNTIF($D$11:$E$11, L$2)&gt;0, VLOOKUP($J90,'Gear Values'!$A$2:$E$13, IF(COUNTBLANK('Attributes &amp; Prefixes'!$B$11:$C$11)&gt;0, "4", "5"), 0)), "")</f>
        <v/>
      </c>
      <c r="M90" s="137" t="str" cm="1">
        <f t="array" ref="M90">IF(COUNTIF($B$11:$E$11, M$2)&gt;0, _xlfn.IFS(COUNTIF($B$11:$C$11, M$2)&gt;0, VLOOKUP($J90,'Gear Values'!$A$2:$E$13, IF(COUNTBLANK('Attributes &amp; Prefixes'!$B$11:$C$11)&gt;0, "2", "3"), 0), COUNTIF($D$11:$E$11, M$2)&gt;0, VLOOKUP($J90,'Gear Values'!$A$2:$E$13, IF(COUNTBLANK('Attributes &amp; Prefixes'!$B$11:$C$11)&gt;0, "4", "5"), 0)), "")</f>
        <v/>
      </c>
      <c r="N90" s="137" cm="1">
        <f t="array" ref="N90">IF(COUNTIF($B$11:$E$11, N$2)&gt;0, _xlfn.IFS(COUNTIF($B$11:$C$11, N$2)&gt;0, VLOOKUP($J90,'Gear Values'!$A$2:$E$13, IF(COUNTBLANK('Attributes &amp; Prefixes'!$B$11:$C$11)&gt;0, "2", "3"), 0), COUNTIF($D$11:$E$11, N$2)&gt;0, VLOOKUP($J90,'Gear Values'!$A$2:$E$13, IF(COUNTBLANK('Attributes &amp; Prefixes'!$B$11:$C$11)&gt;0, "4", "5"), 0)), "")</f>
        <v>32</v>
      </c>
      <c r="O90" s="137" t="str" cm="1">
        <f t="array" ref="O90">IF(COUNTIF($B$11:$E$11, O$2)&gt;0, _xlfn.IFS(COUNTIF($B$11:$C$11, O$2)&gt;0, VLOOKUP($J90,'Gear Values'!$A$2:$E$13, IF(COUNTBLANK('Attributes &amp; Prefixes'!$B$11:$C$11)&gt;0, "2", "3"), 0), COUNTIF($D$11:$E$11, O$2)&gt;0, VLOOKUP($J90,'Gear Values'!$A$2:$E$13, IF(COUNTBLANK('Attributes &amp; Prefixes'!$B$11:$C$11)&gt;0, "4", "5"), 0)), "")</f>
        <v/>
      </c>
      <c r="P90" s="137" cm="1">
        <f t="array" ref="P90">IF(COUNTIF($B$11:$E$11, P$2)&gt;0, _xlfn.IFS(COUNTIF($B$11:$C$11, P$2)&gt;0, VLOOKUP($J90,'Gear Values'!$A$2:$E$13, IF(COUNTBLANK('Attributes &amp; Prefixes'!$B$11:$C$11)&gt;0, "2", "3"), 0), COUNTIF($D$11:$E$11, P$2)&gt;0, VLOOKUP($J90,'Gear Values'!$A$2:$E$13, IF(COUNTBLANK('Attributes &amp; Prefixes'!$B$11:$C$11)&gt;0, "4", "5"), 0)), "")</f>
        <v>45</v>
      </c>
      <c r="Q90" s="137" t="str" cm="1">
        <f t="array" ref="Q90">IF(COUNTIF($B$11:$E$11, Q$2)&gt;0, _xlfn.IFS(COUNTIF($B$11:$C$11, Q$2)&gt;0, VLOOKUP($J90,'Gear Values'!$A$2:$E$13, IF(COUNTBLANK('Attributes &amp; Prefixes'!$B$11:$C$11)&gt;0, "2", "3"), 0), COUNTIF($D$11:$E$11, Q$2)&gt;0, VLOOKUP($J90,'Gear Values'!$A$2:$E$13, IF(COUNTBLANK('Attributes &amp; Prefixes'!$B$11:$C$11)&gt;0, "4", "5"), 0)), "")</f>
        <v/>
      </c>
      <c r="R90" s="137" t="str" cm="1">
        <f t="array" ref="R90">IF(COUNTIF($B$11:$E$11, R$2)&gt;0, _xlfn.IFS(COUNTIF($B$11:$C$11, R$2)&gt;0, VLOOKUP($J90,'Gear Values'!$A$2:$E$13, IF(COUNTBLANK('Attributes &amp; Prefixes'!$B$11:$C$11)&gt;0, "2", "3"), 0), COUNTIF($D$11:$E$11, R$2)&gt;0, VLOOKUP($J90,'Gear Values'!$A$2:$E$13, IF(COUNTBLANK('Attributes &amp; Prefixes'!$B$11:$C$11)&gt;0, "4", "5"), 0)), "")</f>
        <v/>
      </c>
      <c r="S90" s="140" t="str" cm="1">
        <f t="array" ref="S90">IF(COUNTIF($B$11:$E$11, S$2)&gt;0, _xlfn.IFS(COUNTIF($B$11:$C$11, S$2)&gt;0, VLOOKUP($J90,'Gear Values'!$A$2:$E$13, IF(COUNTBLANK('Attributes &amp; Prefixes'!$B$11:$C$11)&gt;0, "2", "3"), 0), COUNTIF($D$11:$E$11, S$2)&gt;0, VLOOKUP($J90,'Gear Values'!$A$2:$E$13, IF(COUNTBLANK('Attributes &amp; Prefixes'!$B$11:$C$11)&gt;0, "4", "5"), 0)), "")</f>
        <v/>
      </c>
      <c r="V90" s="112"/>
      <c r="W90" s="113"/>
    </row>
    <row r="91" spans="6:23">
      <c r="H91" s="130" t="str">
        <f>_xlfn.CONCAT(I$87,J91)</f>
        <v>CarrionChest</v>
      </c>
      <c r="I91" s="520"/>
      <c r="J91" s="144" t="s">
        <v>44</v>
      </c>
      <c r="K91" s="136" cm="1">
        <f t="array" ref="K91">IF(COUNTIF($B$11:$E$11, K$2)&gt;0, _xlfn.IFS(COUNTIF($B$11:$C$11, K$2)&gt;0, VLOOKUP($J91,'Gear Values'!$A$2:$E$13, IF(COUNTBLANK('Attributes &amp; Prefixes'!$B$11:$C$11)&gt;0, "2", "3"), 0), COUNTIF($D$11:$E$11, K$2)&gt;0, VLOOKUP($J91,'Gear Values'!$A$2:$E$13, IF(COUNTBLANK('Attributes &amp; Prefixes'!$B$11:$C$11)&gt;0, "4", "5"), 0)), "")</f>
        <v>96</v>
      </c>
      <c r="L91" s="137" t="str" cm="1">
        <f t="array" ref="L91">IF(COUNTIF($B$11:$E$11, L$2)&gt;0, _xlfn.IFS(COUNTIF($B$11:$C$11, L$2)&gt;0, VLOOKUP($J91,'Gear Values'!$A$2:$E$13, IF(COUNTBLANK('Attributes &amp; Prefixes'!$B$11:$C$11)&gt;0, "2", "3"), 0), COUNTIF($D$11:$E$11, L$2)&gt;0, VLOOKUP($J91,'Gear Values'!$A$2:$E$13, IF(COUNTBLANK('Attributes &amp; Prefixes'!$B$11:$C$11)&gt;0, "4", "5"), 0)), "")</f>
        <v/>
      </c>
      <c r="M91" s="137" t="str" cm="1">
        <f t="array" ref="M91">IF(COUNTIF($B$11:$E$11, M$2)&gt;0, _xlfn.IFS(COUNTIF($B$11:$C$11, M$2)&gt;0, VLOOKUP($J91,'Gear Values'!$A$2:$E$13, IF(COUNTBLANK('Attributes &amp; Prefixes'!$B$11:$C$11)&gt;0, "2", "3"), 0), COUNTIF($D$11:$E$11, M$2)&gt;0, VLOOKUP($J91,'Gear Values'!$A$2:$E$13, IF(COUNTBLANK('Attributes &amp; Prefixes'!$B$11:$C$11)&gt;0, "4", "5"), 0)), "")</f>
        <v/>
      </c>
      <c r="N91" s="137" cm="1">
        <f t="array" ref="N91">IF(COUNTIF($B$11:$E$11, N$2)&gt;0, _xlfn.IFS(COUNTIF($B$11:$C$11, N$2)&gt;0, VLOOKUP($J91,'Gear Values'!$A$2:$E$13, IF(COUNTBLANK('Attributes &amp; Prefixes'!$B$11:$C$11)&gt;0, "2", "3"), 0), COUNTIF($D$11:$E$11, N$2)&gt;0, VLOOKUP($J91,'Gear Values'!$A$2:$E$13, IF(COUNTBLANK('Attributes &amp; Prefixes'!$B$11:$C$11)&gt;0, "4", "5"), 0)), "")</f>
        <v>96</v>
      </c>
      <c r="O91" s="137" t="str" cm="1">
        <f t="array" ref="O91">IF(COUNTIF($B$11:$E$11, O$2)&gt;0, _xlfn.IFS(COUNTIF($B$11:$C$11, O$2)&gt;0, VLOOKUP($J91,'Gear Values'!$A$2:$E$13, IF(COUNTBLANK('Attributes &amp; Prefixes'!$B$11:$C$11)&gt;0, "2", "3"), 0), COUNTIF($D$11:$E$11, O$2)&gt;0, VLOOKUP($J91,'Gear Values'!$A$2:$E$13, IF(COUNTBLANK('Attributes &amp; Prefixes'!$B$11:$C$11)&gt;0, "4", "5"), 0)), "")</f>
        <v/>
      </c>
      <c r="P91" s="137" cm="1">
        <f t="array" ref="P91">IF(COUNTIF($B$11:$E$11, P$2)&gt;0, _xlfn.IFS(COUNTIF($B$11:$C$11, P$2)&gt;0, VLOOKUP($J91,'Gear Values'!$A$2:$E$13, IF(COUNTBLANK('Attributes &amp; Prefixes'!$B$11:$C$11)&gt;0, "2", "3"), 0), COUNTIF($D$11:$E$11, P$2)&gt;0, VLOOKUP($J91,'Gear Values'!$A$2:$E$13, IF(COUNTBLANK('Attributes &amp; Prefixes'!$B$11:$C$11)&gt;0, "4", "5"), 0)), "")</f>
        <v>134</v>
      </c>
      <c r="Q91" s="137" t="str" cm="1">
        <f t="array" ref="Q91">IF(COUNTIF($B$11:$E$11, Q$2)&gt;0, _xlfn.IFS(COUNTIF($B$11:$C$11, Q$2)&gt;0, VLOOKUP($J91,'Gear Values'!$A$2:$E$13, IF(COUNTBLANK('Attributes &amp; Prefixes'!$B$11:$C$11)&gt;0, "2", "3"), 0), COUNTIF($D$11:$E$11, Q$2)&gt;0, VLOOKUP($J91,'Gear Values'!$A$2:$E$13, IF(COUNTBLANK('Attributes &amp; Prefixes'!$B$11:$C$11)&gt;0, "4", "5"), 0)), "")</f>
        <v/>
      </c>
      <c r="R91" s="137" t="str" cm="1">
        <f t="array" ref="R91">IF(COUNTIF($B$11:$E$11, R$2)&gt;0, _xlfn.IFS(COUNTIF($B$11:$C$11, R$2)&gt;0, VLOOKUP($J91,'Gear Values'!$A$2:$E$13, IF(COUNTBLANK('Attributes &amp; Prefixes'!$B$11:$C$11)&gt;0, "2", "3"), 0), COUNTIF($D$11:$E$11, R$2)&gt;0, VLOOKUP($J91,'Gear Values'!$A$2:$E$13, IF(COUNTBLANK('Attributes &amp; Prefixes'!$B$11:$C$11)&gt;0, "4", "5"), 0)), "")</f>
        <v/>
      </c>
      <c r="S91" s="140" t="str" cm="1">
        <f t="array" ref="S91">IF(COUNTIF($B$11:$E$11, S$2)&gt;0, _xlfn.IFS(COUNTIF($B$11:$C$11, S$2)&gt;0, VLOOKUP($J91,'Gear Values'!$A$2:$E$13, IF(COUNTBLANK('Attributes &amp; Prefixes'!$B$11:$C$11)&gt;0, "2", "3"), 0), COUNTIF($D$11:$E$11, S$2)&gt;0, VLOOKUP($J91,'Gear Values'!$A$2:$E$13, IF(COUNTBLANK('Attributes &amp; Prefixes'!$B$11:$C$11)&gt;0, "4", "5"), 0)), "")</f>
        <v/>
      </c>
      <c r="V91" s="112"/>
      <c r="W91" s="113"/>
    </row>
    <row r="92" spans="6:23">
      <c r="H92" s="130" t="str">
        <f>_xlfn.CONCAT(I$87,J92)</f>
        <v>CarrionHands</v>
      </c>
      <c r="I92" s="520"/>
      <c r="J92" s="144" t="s">
        <v>45</v>
      </c>
      <c r="K92" s="136" cm="1">
        <f t="array" ref="K92">IF(COUNTIF($B$11:$E$11, K$2)&gt;0, _xlfn.IFS(COUNTIF($B$11:$C$11, K$2)&gt;0, VLOOKUP($J92,'Gear Values'!$A$2:$E$13, IF(COUNTBLANK('Attributes &amp; Prefixes'!$B$11:$C$11)&gt;0, "2", "3"), 0), COUNTIF($D$11:$E$11, K$2)&gt;0, VLOOKUP($J92,'Gear Values'!$A$2:$E$13, IF(COUNTBLANK('Attributes &amp; Prefixes'!$B$11:$C$11)&gt;0, "4", "5"), 0)), "")</f>
        <v>32</v>
      </c>
      <c r="L92" s="137" t="str" cm="1">
        <f t="array" ref="L92">IF(COUNTIF($B$11:$E$11, L$2)&gt;0, _xlfn.IFS(COUNTIF($B$11:$C$11, L$2)&gt;0, VLOOKUP($J92,'Gear Values'!$A$2:$E$13, IF(COUNTBLANK('Attributes &amp; Prefixes'!$B$11:$C$11)&gt;0, "2", "3"), 0), COUNTIF($D$11:$E$11, L$2)&gt;0, VLOOKUP($J92,'Gear Values'!$A$2:$E$13, IF(COUNTBLANK('Attributes &amp; Prefixes'!$B$11:$C$11)&gt;0, "4", "5"), 0)), "")</f>
        <v/>
      </c>
      <c r="M92" s="137" t="str" cm="1">
        <f t="array" ref="M92">IF(COUNTIF($B$11:$E$11, M$2)&gt;0, _xlfn.IFS(COUNTIF($B$11:$C$11, M$2)&gt;0, VLOOKUP($J92,'Gear Values'!$A$2:$E$13, IF(COUNTBLANK('Attributes &amp; Prefixes'!$B$11:$C$11)&gt;0, "2", "3"), 0), COUNTIF($D$11:$E$11, M$2)&gt;0, VLOOKUP($J92,'Gear Values'!$A$2:$E$13, IF(COUNTBLANK('Attributes &amp; Prefixes'!$B$11:$C$11)&gt;0, "4", "5"), 0)), "")</f>
        <v/>
      </c>
      <c r="N92" s="137" cm="1">
        <f t="array" ref="N92">IF(COUNTIF($B$11:$E$11, N$2)&gt;0, _xlfn.IFS(COUNTIF($B$11:$C$11, N$2)&gt;0, VLOOKUP($J92,'Gear Values'!$A$2:$E$13, IF(COUNTBLANK('Attributes &amp; Prefixes'!$B$11:$C$11)&gt;0, "2", "3"), 0), COUNTIF($D$11:$E$11, N$2)&gt;0, VLOOKUP($J92,'Gear Values'!$A$2:$E$13, IF(COUNTBLANK('Attributes &amp; Prefixes'!$B$11:$C$11)&gt;0, "4", "5"), 0)), "")</f>
        <v>32</v>
      </c>
      <c r="O92" s="137" t="str" cm="1">
        <f t="array" ref="O92">IF(COUNTIF($B$11:$E$11, O$2)&gt;0, _xlfn.IFS(COUNTIF($B$11:$C$11, O$2)&gt;0, VLOOKUP($J92,'Gear Values'!$A$2:$E$13, IF(COUNTBLANK('Attributes &amp; Prefixes'!$B$11:$C$11)&gt;0, "2", "3"), 0), COUNTIF($D$11:$E$11, O$2)&gt;0, VLOOKUP($J92,'Gear Values'!$A$2:$E$13, IF(COUNTBLANK('Attributes &amp; Prefixes'!$B$11:$C$11)&gt;0, "4", "5"), 0)), "")</f>
        <v/>
      </c>
      <c r="P92" s="137" cm="1">
        <f t="array" ref="P92">IF(COUNTIF($B$11:$E$11, P$2)&gt;0, _xlfn.IFS(COUNTIF($B$11:$C$11, P$2)&gt;0, VLOOKUP($J92,'Gear Values'!$A$2:$E$13, IF(COUNTBLANK('Attributes &amp; Prefixes'!$B$11:$C$11)&gt;0, "2", "3"), 0), COUNTIF($D$11:$E$11, P$2)&gt;0, VLOOKUP($J92,'Gear Values'!$A$2:$E$13, IF(COUNTBLANK('Attributes &amp; Prefixes'!$B$11:$C$11)&gt;0, "4", "5"), 0)), "")</f>
        <v>45</v>
      </c>
      <c r="Q92" s="137" t="str" cm="1">
        <f t="array" ref="Q92">IF(COUNTIF($B$11:$E$11, Q$2)&gt;0, _xlfn.IFS(COUNTIF($B$11:$C$11, Q$2)&gt;0, VLOOKUP($J92,'Gear Values'!$A$2:$E$13, IF(COUNTBLANK('Attributes &amp; Prefixes'!$B$11:$C$11)&gt;0, "2", "3"), 0), COUNTIF($D$11:$E$11, Q$2)&gt;0, VLOOKUP($J92,'Gear Values'!$A$2:$E$13, IF(COUNTBLANK('Attributes &amp; Prefixes'!$B$11:$C$11)&gt;0, "4", "5"), 0)), "")</f>
        <v/>
      </c>
      <c r="R92" s="137" t="str" cm="1">
        <f t="array" ref="R92">IF(COUNTIF($B$11:$E$11, R$2)&gt;0, _xlfn.IFS(COUNTIF($B$11:$C$11, R$2)&gt;0, VLOOKUP($J92,'Gear Values'!$A$2:$E$13, IF(COUNTBLANK('Attributes &amp; Prefixes'!$B$11:$C$11)&gt;0, "2", "3"), 0), COUNTIF($D$11:$E$11, R$2)&gt;0, VLOOKUP($J92,'Gear Values'!$A$2:$E$13, IF(COUNTBLANK('Attributes &amp; Prefixes'!$B$11:$C$11)&gt;0, "4", "5"), 0)), "")</f>
        <v/>
      </c>
      <c r="S92" s="140" t="str" cm="1">
        <f t="array" ref="S92">IF(COUNTIF($B$11:$E$11, S$2)&gt;0, _xlfn.IFS(COUNTIF($B$11:$C$11, S$2)&gt;0, VLOOKUP($J92,'Gear Values'!$A$2:$E$13, IF(COUNTBLANK('Attributes &amp; Prefixes'!$B$11:$C$11)&gt;0, "2", "3"), 0), COUNTIF($D$11:$E$11, S$2)&gt;0, VLOOKUP($J92,'Gear Values'!$A$2:$E$13, IF(COUNTBLANK('Attributes &amp; Prefixes'!$B$11:$C$11)&gt;0, "4", "5"), 0)), "")</f>
        <v/>
      </c>
      <c r="V92" s="112"/>
      <c r="W92" s="113"/>
    </row>
    <row r="93" spans="6:23">
      <c r="H93" s="130" t="str">
        <f>_xlfn.CONCAT(I$87,J93)</f>
        <v>CarrionLegs</v>
      </c>
      <c r="I93" s="520"/>
      <c r="J93" s="144" t="s">
        <v>47</v>
      </c>
      <c r="K93" s="136" cm="1">
        <f t="array" ref="K93">IF(COUNTIF($B$11:$E$11, K$2)&gt;0, _xlfn.IFS(COUNTIF($B$11:$C$11, K$2)&gt;0, VLOOKUP($J93,'Gear Values'!$A$2:$E$13, IF(COUNTBLANK('Attributes &amp; Prefixes'!$B$11:$C$11)&gt;0, "2", "3"), 0), COUNTIF($D$11:$E$11, K$2)&gt;0, VLOOKUP($J93,'Gear Values'!$A$2:$E$13, IF(COUNTBLANK('Attributes &amp; Prefixes'!$B$11:$C$11)&gt;0, "4", "5"), 0)), "")</f>
        <v>64</v>
      </c>
      <c r="L93" s="137" t="str" cm="1">
        <f t="array" ref="L93">IF(COUNTIF($B$11:$E$11, L$2)&gt;0, _xlfn.IFS(COUNTIF($B$11:$C$11, L$2)&gt;0, VLOOKUP($J93,'Gear Values'!$A$2:$E$13, IF(COUNTBLANK('Attributes &amp; Prefixes'!$B$11:$C$11)&gt;0, "2", "3"), 0), COUNTIF($D$11:$E$11, L$2)&gt;0, VLOOKUP($J93,'Gear Values'!$A$2:$E$13, IF(COUNTBLANK('Attributes &amp; Prefixes'!$B$11:$C$11)&gt;0, "4", "5"), 0)), "")</f>
        <v/>
      </c>
      <c r="M93" s="137" t="str" cm="1">
        <f t="array" ref="M93">IF(COUNTIF($B$11:$E$11, M$2)&gt;0, _xlfn.IFS(COUNTIF($B$11:$C$11, M$2)&gt;0, VLOOKUP($J93,'Gear Values'!$A$2:$E$13, IF(COUNTBLANK('Attributes &amp; Prefixes'!$B$11:$C$11)&gt;0, "2", "3"), 0), COUNTIF($D$11:$E$11, M$2)&gt;0, VLOOKUP($J93,'Gear Values'!$A$2:$E$13, IF(COUNTBLANK('Attributes &amp; Prefixes'!$B$11:$C$11)&gt;0, "4", "5"), 0)), "")</f>
        <v/>
      </c>
      <c r="N93" s="137" cm="1">
        <f t="array" ref="N93">IF(COUNTIF($B$11:$E$11, N$2)&gt;0, _xlfn.IFS(COUNTIF($B$11:$C$11, N$2)&gt;0, VLOOKUP($J93,'Gear Values'!$A$2:$E$13, IF(COUNTBLANK('Attributes &amp; Prefixes'!$B$11:$C$11)&gt;0, "2", "3"), 0), COUNTIF($D$11:$E$11, N$2)&gt;0, VLOOKUP($J93,'Gear Values'!$A$2:$E$13, IF(COUNTBLANK('Attributes &amp; Prefixes'!$B$11:$C$11)&gt;0, "4", "5"), 0)), "")</f>
        <v>64</v>
      </c>
      <c r="O93" s="137" t="str" cm="1">
        <f t="array" ref="O93">IF(COUNTIF($B$11:$E$11, O$2)&gt;0, _xlfn.IFS(COUNTIF($B$11:$C$11, O$2)&gt;0, VLOOKUP($J93,'Gear Values'!$A$2:$E$13, IF(COUNTBLANK('Attributes &amp; Prefixes'!$B$11:$C$11)&gt;0, "2", "3"), 0), COUNTIF($D$11:$E$11, O$2)&gt;0, VLOOKUP($J93,'Gear Values'!$A$2:$E$13, IF(COUNTBLANK('Attributes &amp; Prefixes'!$B$11:$C$11)&gt;0, "4", "5"), 0)), "")</f>
        <v/>
      </c>
      <c r="P93" s="137" cm="1">
        <f t="array" ref="P93">IF(COUNTIF($B$11:$E$11, P$2)&gt;0, _xlfn.IFS(COUNTIF($B$11:$C$11, P$2)&gt;0, VLOOKUP($J93,'Gear Values'!$A$2:$E$13, IF(COUNTBLANK('Attributes &amp; Prefixes'!$B$11:$C$11)&gt;0, "2", "3"), 0), COUNTIF($D$11:$E$11, P$2)&gt;0, VLOOKUP($J93,'Gear Values'!$A$2:$E$13, IF(COUNTBLANK('Attributes &amp; Prefixes'!$B$11:$C$11)&gt;0, "4", "5"), 0)), "")</f>
        <v>90</v>
      </c>
      <c r="Q93" s="137" t="str" cm="1">
        <f t="array" ref="Q93">IF(COUNTIF($B$11:$E$11, Q$2)&gt;0, _xlfn.IFS(COUNTIF($B$11:$C$11, Q$2)&gt;0, VLOOKUP($J93,'Gear Values'!$A$2:$E$13, IF(COUNTBLANK('Attributes &amp; Prefixes'!$B$11:$C$11)&gt;0, "2", "3"), 0), COUNTIF($D$11:$E$11, Q$2)&gt;0, VLOOKUP($J93,'Gear Values'!$A$2:$E$13, IF(COUNTBLANK('Attributes &amp; Prefixes'!$B$11:$C$11)&gt;0, "4", "5"), 0)), "")</f>
        <v/>
      </c>
      <c r="R93" s="137" t="str" cm="1">
        <f t="array" ref="R93">IF(COUNTIF($B$11:$E$11, R$2)&gt;0, _xlfn.IFS(COUNTIF($B$11:$C$11, R$2)&gt;0, VLOOKUP($J93,'Gear Values'!$A$2:$E$13, IF(COUNTBLANK('Attributes &amp; Prefixes'!$B$11:$C$11)&gt;0, "2", "3"), 0), COUNTIF($D$11:$E$11, R$2)&gt;0, VLOOKUP($J93,'Gear Values'!$A$2:$E$13, IF(COUNTBLANK('Attributes &amp; Prefixes'!$B$11:$C$11)&gt;0, "4", "5"), 0)), "")</f>
        <v/>
      </c>
      <c r="S93" s="140" t="str" cm="1">
        <f t="array" ref="S93">IF(COUNTIF($B$11:$E$11, S$2)&gt;0, _xlfn.IFS(COUNTIF($B$11:$C$11, S$2)&gt;0, VLOOKUP($J93,'Gear Values'!$A$2:$E$13, IF(COUNTBLANK('Attributes &amp; Prefixes'!$B$11:$C$11)&gt;0, "2", "3"), 0), COUNTIF($D$11:$E$11, S$2)&gt;0, VLOOKUP($J93,'Gear Values'!$A$2:$E$13, IF(COUNTBLANK('Attributes &amp; Prefixes'!$B$11:$C$11)&gt;0, "4", "5"), 0)), "")</f>
        <v/>
      </c>
      <c r="V93" s="112"/>
      <c r="W93" s="113"/>
    </row>
    <row r="94" spans="6:23">
      <c r="H94" s="130" t="str">
        <f>_xlfn.CONCAT(I$87,J94)</f>
        <v>CarrionFeet</v>
      </c>
      <c r="I94" s="520"/>
      <c r="J94" s="144" t="s">
        <v>48</v>
      </c>
      <c r="K94" s="136" cm="1">
        <f t="array" ref="K94">IF(COUNTIF($B$11:$E$11, K$2)&gt;0, _xlfn.IFS(COUNTIF($B$11:$C$11, K$2)&gt;0, VLOOKUP($J94,'Gear Values'!$A$2:$E$13, IF(COUNTBLANK('Attributes &amp; Prefixes'!$B$11:$C$11)&gt;0, "2", "3"), 0), COUNTIF($D$11:$E$11, K$2)&gt;0, VLOOKUP($J94,'Gear Values'!$A$2:$E$13, IF(COUNTBLANK('Attributes &amp; Prefixes'!$B$11:$C$11)&gt;0, "4", "5"), 0)), "")</f>
        <v>32</v>
      </c>
      <c r="L94" s="137" t="str" cm="1">
        <f t="array" ref="L94">IF(COUNTIF($B$11:$E$11, L$2)&gt;0, _xlfn.IFS(COUNTIF($B$11:$C$11, L$2)&gt;0, VLOOKUP($J94,'Gear Values'!$A$2:$E$13, IF(COUNTBLANK('Attributes &amp; Prefixes'!$B$11:$C$11)&gt;0, "2", "3"), 0), COUNTIF($D$11:$E$11, L$2)&gt;0, VLOOKUP($J94,'Gear Values'!$A$2:$E$13, IF(COUNTBLANK('Attributes &amp; Prefixes'!$B$11:$C$11)&gt;0, "4", "5"), 0)), "")</f>
        <v/>
      </c>
      <c r="M94" s="137" t="str" cm="1">
        <f t="array" ref="M94">IF(COUNTIF($B$11:$E$11, M$2)&gt;0, _xlfn.IFS(COUNTIF($B$11:$C$11, M$2)&gt;0, VLOOKUP($J94,'Gear Values'!$A$2:$E$13, IF(COUNTBLANK('Attributes &amp; Prefixes'!$B$11:$C$11)&gt;0, "2", "3"), 0), COUNTIF($D$11:$E$11, M$2)&gt;0, VLOOKUP($J94,'Gear Values'!$A$2:$E$13, IF(COUNTBLANK('Attributes &amp; Prefixes'!$B$11:$C$11)&gt;0, "4", "5"), 0)), "")</f>
        <v/>
      </c>
      <c r="N94" s="137" cm="1">
        <f t="array" ref="N94">IF(COUNTIF($B$11:$E$11, N$2)&gt;0, _xlfn.IFS(COUNTIF($B$11:$C$11, N$2)&gt;0, VLOOKUP($J94,'Gear Values'!$A$2:$E$13, IF(COUNTBLANK('Attributes &amp; Prefixes'!$B$11:$C$11)&gt;0, "2", "3"), 0), COUNTIF($D$11:$E$11, N$2)&gt;0, VLOOKUP($J94,'Gear Values'!$A$2:$E$13, IF(COUNTBLANK('Attributes &amp; Prefixes'!$B$11:$C$11)&gt;0, "4", "5"), 0)), "")</f>
        <v>32</v>
      </c>
      <c r="O94" s="137" t="str" cm="1">
        <f t="array" ref="O94">IF(COUNTIF($B$11:$E$11, O$2)&gt;0, _xlfn.IFS(COUNTIF($B$11:$C$11, O$2)&gt;0, VLOOKUP($J94,'Gear Values'!$A$2:$E$13, IF(COUNTBLANK('Attributes &amp; Prefixes'!$B$11:$C$11)&gt;0, "2", "3"), 0), COUNTIF($D$11:$E$11, O$2)&gt;0, VLOOKUP($J94,'Gear Values'!$A$2:$E$13, IF(COUNTBLANK('Attributes &amp; Prefixes'!$B$11:$C$11)&gt;0, "4", "5"), 0)), "")</f>
        <v/>
      </c>
      <c r="P94" s="137" cm="1">
        <f t="array" ref="P94">IF(COUNTIF($B$11:$E$11, P$2)&gt;0, _xlfn.IFS(COUNTIF($B$11:$C$11, P$2)&gt;0, VLOOKUP($J94,'Gear Values'!$A$2:$E$13, IF(COUNTBLANK('Attributes &amp; Prefixes'!$B$11:$C$11)&gt;0, "2", "3"), 0), COUNTIF($D$11:$E$11, P$2)&gt;0, VLOOKUP($J94,'Gear Values'!$A$2:$E$13, IF(COUNTBLANK('Attributes &amp; Prefixes'!$B$11:$C$11)&gt;0, "4", "5"), 0)), "")</f>
        <v>45</v>
      </c>
      <c r="Q94" s="137" t="str" cm="1">
        <f t="array" ref="Q94">IF(COUNTIF($B$11:$E$11, Q$2)&gt;0, _xlfn.IFS(COUNTIF($B$11:$C$11, Q$2)&gt;0, VLOOKUP($J94,'Gear Values'!$A$2:$E$13, IF(COUNTBLANK('Attributes &amp; Prefixes'!$B$11:$C$11)&gt;0, "2", "3"), 0), COUNTIF($D$11:$E$11, Q$2)&gt;0, VLOOKUP($J94,'Gear Values'!$A$2:$E$13, IF(COUNTBLANK('Attributes &amp; Prefixes'!$B$11:$C$11)&gt;0, "4", "5"), 0)), "")</f>
        <v/>
      </c>
      <c r="R94" s="137" t="str" cm="1">
        <f t="array" ref="R94">IF(COUNTIF($B$11:$E$11, R$2)&gt;0, _xlfn.IFS(COUNTIF($B$11:$C$11, R$2)&gt;0, VLOOKUP($J94,'Gear Values'!$A$2:$E$13, IF(COUNTBLANK('Attributes &amp; Prefixes'!$B$11:$C$11)&gt;0, "2", "3"), 0), COUNTIF($D$11:$E$11, R$2)&gt;0, VLOOKUP($J94,'Gear Values'!$A$2:$E$13, IF(COUNTBLANK('Attributes &amp; Prefixes'!$B$11:$C$11)&gt;0, "4", "5"), 0)), "")</f>
        <v/>
      </c>
      <c r="S94" s="140" t="str" cm="1">
        <f t="array" ref="S94">IF(COUNTIF($B$11:$E$11, S$2)&gt;0, _xlfn.IFS(COUNTIF($B$11:$C$11, S$2)&gt;0, VLOOKUP($J94,'Gear Values'!$A$2:$E$13, IF(COUNTBLANK('Attributes &amp; Prefixes'!$B$11:$C$11)&gt;0, "2", "3"), 0), COUNTIF($D$11:$E$11, S$2)&gt;0, VLOOKUP($J94,'Gear Values'!$A$2:$E$13, IF(COUNTBLANK('Attributes &amp; Prefixes'!$B$11:$C$11)&gt;0, "4", "5"), 0)), "")</f>
        <v/>
      </c>
      <c r="V94" s="112"/>
      <c r="W94" s="113"/>
    </row>
    <row r="95" spans="6:23">
      <c r="H95" s="130" t="str">
        <f>_xlfn.CONCAT(A$63,J95)</f>
        <v>ChrysocolaEar</v>
      </c>
      <c r="I95" s="520"/>
      <c r="J95" s="144" t="s">
        <v>49</v>
      </c>
      <c r="K95" s="136" cm="1">
        <f t="array" ref="K95">IF(COUNTIF($B$11:$E$11, K$2)&gt;0, _xlfn.IFS(COUNTIF($B$11:$C$11, K$2)&gt;0, VLOOKUP($J95,'Gear Values'!$A$2:$E$13, IF(COUNTBLANK('Attributes &amp; Prefixes'!$B$11:$C$11)&gt;0, "2", "3"), 0), COUNTIF($D$11:$E$11, K$2)&gt;0, VLOOKUP($J95,'Gear Values'!$A$2:$E$13, IF(COUNTBLANK('Attributes &amp; Prefixes'!$B$11:$C$11)&gt;0, "4", "5"), 0)), "")</f>
        <v>53</v>
      </c>
      <c r="L95" s="137" t="str" cm="1">
        <f t="array" ref="L95">IF(COUNTIF($B$11:$E$11, L$2)&gt;0, _xlfn.IFS(COUNTIF($B$11:$C$11, L$2)&gt;0, VLOOKUP($J95,'Gear Values'!$A$2:$E$13, IF(COUNTBLANK('Attributes &amp; Prefixes'!$B$11:$C$11)&gt;0, "2", "3"), 0), COUNTIF($D$11:$E$11, L$2)&gt;0, VLOOKUP($J95,'Gear Values'!$A$2:$E$13, IF(COUNTBLANK('Attributes &amp; Prefixes'!$B$11:$C$11)&gt;0, "4", "5"), 0)), "")</f>
        <v/>
      </c>
      <c r="M95" s="137" t="str" cm="1">
        <f t="array" ref="M95">IF(COUNTIF($B$11:$E$11, M$2)&gt;0, _xlfn.IFS(COUNTIF($B$11:$C$11, M$2)&gt;0, VLOOKUP($J95,'Gear Values'!$A$2:$E$13, IF(COUNTBLANK('Attributes &amp; Prefixes'!$B$11:$C$11)&gt;0, "2", "3"), 0), COUNTIF($D$11:$E$11, M$2)&gt;0, VLOOKUP($J95,'Gear Values'!$A$2:$E$13, IF(COUNTBLANK('Attributes &amp; Prefixes'!$B$11:$C$11)&gt;0, "4", "5"), 0)), "")</f>
        <v/>
      </c>
      <c r="N95" s="137" cm="1">
        <f t="array" ref="N95">IF(COUNTIF($B$11:$E$11, N$2)&gt;0, _xlfn.IFS(COUNTIF($B$11:$C$11, N$2)&gt;0, VLOOKUP($J95,'Gear Values'!$A$2:$E$13, IF(COUNTBLANK('Attributes &amp; Prefixes'!$B$11:$C$11)&gt;0, "2", "3"), 0), COUNTIF($D$11:$E$11, N$2)&gt;0, VLOOKUP($J95,'Gear Values'!$A$2:$E$13, IF(COUNTBLANK('Attributes &amp; Prefixes'!$B$11:$C$11)&gt;0, "4", "5"), 0)), "")</f>
        <v>53</v>
      </c>
      <c r="O95" s="137" t="str" cm="1">
        <f t="array" ref="O95">IF(COUNTIF($B$11:$E$11, O$2)&gt;0, _xlfn.IFS(COUNTIF($B$11:$C$11, O$2)&gt;0, VLOOKUP($J95,'Gear Values'!$A$2:$E$13, IF(COUNTBLANK('Attributes &amp; Prefixes'!$B$11:$C$11)&gt;0, "2", "3"), 0), COUNTIF($D$11:$E$11, O$2)&gt;0, VLOOKUP($J95,'Gear Values'!$A$2:$E$13, IF(COUNTBLANK('Attributes &amp; Prefixes'!$B$11:$C$11)&gt;0, "4", "5"), 0)), "")</f>
        <v/>
      </c>
      <c r="P95" s="137" cm="1">
        <f t="array" ref="P95">IF(COUNTIF($B$11:$E$11, P$2)&gt;0, _xlfn.IFS(COUNTIF($B$11:$C$11, P$2)&gt;0, VLOOKUP($J95,'Gear Values'!$A$2:$E$13, IF(COUNTBLANK('Attributes &amp; Prefixes'!$B$11:$C$11)&gt;0, "2", "3"), 0), COUNTIF($D$11:$E$11, P$2)&gt;0, VLOOKUP($J95,'Gear Values'!$A$2:$E$13, IF(COUNTBLANK('Attributes &amp; Prefixes'!$B$11:$C$11)&gt;0, "4", "5"), 0)), "")</f>
        <v>75</v>
      </c>
      <c r="Q95" s="137" t="str" cm="1">
        <f t="array" ref="Q95">IF(COUNTIF($B$11:$E$11, Q$2)&gt;0, _xlfn.IFS(COUNTIF($B$11:$C$11, Q$2)&gt;0, VLOOKUP($J95,'Gear Values'!$A$2:$E$13, IF(COUNTBLANK('Attributes &amp; Prefixes'!$B$11:$C$11)&gt;0, "2", "3"), 0), COUNTIF($D$11:$E$11, Q$2)&gt;0, VLOOKUP($J95,'Gear Values'!$A$2:$E$13, IF(COUNTBLANK('Attributes &amp; Prefixes'!$B$11:$C$11)&gt;0, "4", "5"), 0)), "")</f>
        <v/>
      </c>
      <c r="R95" s="137" t="str" cm="1">
        <f t="array" ref="R95">IF(COUNTIF($B$11:$E$11, R$2)&gt;0, _xlfn.IFS(COUNTIF($B$11:$C$11, R$2)&gt;0, VLOOKUP($J95,'Gear Values'!$A$2:$E$13, IF(COUNTBLANK('Attributes &amp; Prefixes'!$B$11:$C$11)&gt;0, "2", "3"), 0), COUNTIF($D$11:$E$11, R$2)&gt;0, VLOOKUP($J95,'Gear Values'!$A$2:$E$13, IF(COUNTBLANK('Attributes &amp; Prefixes'!$B$11:$C$11)&gt;0, "4", "5"), 0)), "")</f>
        <v/>
      </c>
      <c r="S95" s="140" t="str" cm="1">
        <f t="array" ref="S95">IF(COUNTIF($B$11:$E$11, S$2)&gt;0, _xlfn.IFS(COUNTIF($B$11:$C$11, S$2)&gt;0, VLOOKUP($J95,'Gear Values'!$A$2:$E$13, IF(COUNTBLANK('Attributes &amp; Prefixes'!$B$11:$C$11)&gt;0, "2", "3"), 0), COUNTIF($D$11:$E$11, S$2)&gt;0, VLOOKUP($J95,'Gear Values'!$A$2:$E$13, IF(COUNTBLANK('Attributes &amp; Prefixes'!$B$11:$C$11)&gt;0, "4", "5"), 0)), "")</f>
        <v/>
      </c>
      <c r="V95" s="112"/>
      <c r="W95" s="113"/>
    </row>
    <row r="96" spans="6:23">
      <c r="H96" s="130" t="str">
        <f>_xlfn.CONCAT(A$63,J96)</f>
        <v>ChrysocolaFinger</v>
      </c>
      <c r="I96" s="520"/>
      <c r="J96" s="144" t="s">
        <v>51</v>
      </c>
      <c r="K96" s="136" cm="1">
        <f t="array" ref="K96">IF(COUNTIF($B$11:$E$11, K$2)&gt;0, _xlfn.IFS(COUNTIF($B$11:$C$11, K$2)&gt;0, VLOOKUP($J96,'Gear Values'!$A$2:$E$13, IF(COUNTBLANK('Attributes &amp; Prefixes'!$B$11:$C$11)&gt;0, "2", "3"), 0), COUNTIF($D$11:$E$11, K$2)&gt;0, VLOOKUP($J96,'Gear Values'!$A$2:$E$13, IF(COUNTBLANK('Attributes &amp; Prefixes'!$B$11:$C$11)&gt;0, "4", "5"), 0)), "")</f>
        <v>64</v>
      </c>
      <c r="L96" s="137" t="str" cm="1">
        <f t="array" ref="L96">IF(COUNTIF($B$11:$E$11, L$2)&gt;0, _xlfn.IFS(COUNTIF($B$11:$C$11, L$2)&gt;0, VLOOKUP($J96,'Gear Values'!$A$2:$E$13, IF(COUNTBLANK('Attributes &amp; Prefixes'!$B$11:$C$11)&gt;0, "2", "3"), 0), COUNTIF($D$11:$E$11, L$2)&gt;0, VLOOKUP($J96,'Gear Values'!$A$2:$E$13, IF(COUNTBLANK('Attributes &amp; Prefixes'!$B$11:$C$11)&gt;0, "4", "5"), 0)), "")</f>
        <v/>
      </c>
      <c r="M96" s="137" t="str" cm="1">
        <f t="array" ref="M96">IF(COUNTIF($B$11:$E$11, M$2)&gt;0, _xlfn.IFS(COUNTIF($B$11:$C$11, M$2)&gt;0, VLOOKUP($J96,'Gear Values'!$A$2:$E$13, IF(COUNTBLANK('Attributes &amp; Prefixes'!$B$11:$C$11)&gt;0, "2", "3"), 0), COUNTIF($D$11:$E$11, M$2)&gt;0, VLOOKUP($J96,'Gear Values'!$A$2:$E$13, IF(COUNTBLANK('Attributes &amp; Prefixes'!$B$11:$C$11)&gt;0, "4", "5"), 0)), "")</f>
        <v/>
      </c>
      <c r="N96" s="137" cm="1">
        <f t="array" ref="N96">IF(COUNTIF($B$11:$E$11, N$2)&gt;0, _xlfn.IFS(COUNTIF($B$11:$C$11, N$2)&gt;0, VLOOKUP($J96,'Gear Values'!$A$2:$E$13, IF(COUNTBLANK('Attributes &amp; Prefixes'!$B$11:$C$11)&gt;0, "2", "3"), 0), COUNTIF($D$11:$E$11, N$2)&gt;0, VLOOKUP($J96,'Gear Values'!$A$2:$E$13, IF(COUNTBLANK('Attributes &amp; Prefixes'!$B$11:$C$11)&gt;0, "4", "5"), 0)), "")</f>
        <v>64</v>
      </c>
      <c r="O96" s="137" t="str" cm="1">
        <f t="array" ref="O96">IF(COUNTIF($B$11:$E$11, O$2)&gt;0, _xlfn.IFS(COUNTIF($B$11:$C$11, O$2)&gt;0, VLOOKUP($J96,'Gear Values'!$A$2:$E$13, IF(COUNTBLANK('Attributes &amp; Prefixes'!$B$11:$C$11)&gt;0, "2", "3"), 0), COUNTIF($D$11:$E$11, O$2)&gt;0, VLOOKUP($J96,'Gear Values'!$A$2:$E$13, IF(COUNTBLANK('Attributes &amp; Prefixes'!$B$11:$C$11)&gt;0, "4", "5"), 0)), "")</f>
        <v/>
      </c>
      <c r="P96" s="137" cm="1">
        <f t="array" ref="P96">IF(COUNTIF($B$11:$E$11, P$2)&gt;0, _xlfn.IFS(COUNTIF($B$11:$C$11, P$2)&gt;0, VLOOKUP($J96,'Gear Values'!$A$2:$E$13, IF(COUNTBLANK('Attributes &amp; Prefixes'!$B$11:$C$11)&gt;0, "2", "3"), 0), COUNTIF($D$11:$E$11, P$2)&gt;0, VLOOKUP($J96,'Gear Values'!$A$2:$E$13, IF(COUNTBLANK('Attributes &amp; Prefixes'!$B$11:$C$11)&gt;0, "4", "5"), 0)), "")</f>
        <v>90</v>
      </c>
      <c r="Q96" s="137" t="str" cm="1">
        <f t="array" ref="Q96">IF(COUNTIF($B$11:$E$11, Q$2)&gt;0, _xlfn.IFS(COUNTIF($B$11:$C$11, Q$2)&gt;0, VLOOKUP($J96,'Gear Values'!$A$2:$E$13, IF(COUNTBLANK('Attributes &amp; Prefixes'!$B$11:$C$11)&gt;0, "2", "3"), 0), COUNTIF($D$11:$E$11, Q$2)&gt;0, VLOOKUP($J96,'Gear Values'!$A$2:$E$13, IF(COUNTBLANK('Attributes &amp; Prefixes'!$B$11:$C$11)&gt;0, "4", "5"), 0)), "")</f>
        <v/>
      </c>
      <c r="R96" s="137" t="str" cm="1">
        <f t="array" ref="R96">IF(COUNTIF($B$11:$E$11, R$2)&gt;0, _xlfn.IFS(COUNTIF($B$11:$C$11, R$2)&gt;0, VLOOKUP($J96,'Gear Values'!$A$2:$E$13, IF(COUNTBLANK('Attributes &amp; Prefixes'!$B$11:$C$11)&gt;0, "2", "3"), 0), COUNTIF($D$11:$E$11, R$2)&gt;0, VLOOKUP($J96,'Gear Values'!$A$2:$E$13, IF(COUNTBLANK('Attributes &amp; Prefixes'!$B$11:$C$11)&gt;0, "4", "5"), 0)), "")</f>
        <v/>
      </c>
      <c r="S96" s="140" t="str" cm="1">
        <f t="array" ref="S96">IF(COUNTIF($B$11:$E$11, S$2)&gt;0, _xlfn.IFS(COUNTIF($B$11:$C$11, S$2)&gt;0, VLOOKUP($J96,'Gear Values'!$A$2:$E$13, IF(COUNTBLANK('Attributes &amp; Prefixes'!$B$11:$C$11)&gt;0, "2", "3"), 0), COUNTIF($D$11:$E$11, S$2)&gt;0, VLOOKUP($J96,'Gear Values'!$A$2:$E$13, IF(COUNTBLANK('Attributes &amp; Prefixes'!$B$11:$C$11)&gt;0, "4", "5"), 0)), "")</f>
        <v/>
      </c>
      <c r="V96" s="112"/>
      <c r="W96" s="113"/>
    </row>
    <row r="97" spans="6:23">
      <c r="H97" s="130" t="str">
        <f>_xlfn.CONCAT(A$63,J97)</f>
        <v>ChrysocolaNeck</v>
      </c>
      <c r="I97" s="520"/>
      <c r="J97" s="144" t="s">
        <v>52</v>
      </c>
      <c r="K97" s="136" cm="1">
        <f t="array" ref="K97">IF(COUNTIF($B$11:$E$11, K$2)&gt;0, _xlfn.IFS(COUNTIF($B$11:$C$11, K$2)&gt;0, VLOOKUP($J97,'Gear Values'!$A$2:$E$13, IF(COUNTBLANK('Attributes &amp; Prefixes'!$B$11:$C$11)&gt;0, "2", "3"), 0), COUNTIF($D$11:$E$11, K$2)&gt;0, VLOOKUP($J97,'Gear Values'!$A$2:$E$13, IF(COUNTBLANK('Attributes &amp; Prefixes'!$B$11:$C$11)&gt;0, "4", "5"), 0)), "")</f>
        <v>85</v>
      </c>
      <c r="L97" s="137" t="str" cm="1">
        <f t="array" ref="L97">IF(COUNTIF($B$11:$E$11, L$2)&gt;0, _xlfn.IFS(COUNTIF($B$11:$C$11, L$2)&gt;0, VLOOKUP($J97,'Gear Values'!$A$2:$E$13, IF(COUNTBLANK('Attributes &amp; Prefixes'!$B$11:$C$11)&gt;0, "2", "3"), 0), COUNTIF($D$11:$E$11, L$2)&gt;0, VLOOKUP($J97,'Gear Values'!$A$2:$E$13, IF(COUNTBLANK('Attributes &amp; Prefixes'!$B$11:$C$11)&gt;0, "4", "5"), 0)), "")</f>
        <v/>
      </c>
      <c r="M97" s="137" t="str" cm="1">
        <f t="array" ref="M97">IF(COUNTIF($B$11:$E$11, M$2)&gt;0, _xlfn.IFS(COUNTIF($B$11:$C$11, M$2)&gt;0, VLOOKUP($J97,'Gear Values'!$A$2:$E$13, IF(COUNTBLANK('Attributes &amp; Prefixes'!$B$11:$C$11)&gt;0, "2", "3"), 0), COUNTIF($D$11:$E$11, M$2)&gt;0, VLOOKUP($J97,'Gear Values'!$A$2:$E$13, IF(COUNTBLANK('Attributes &amp; Prefixes'!$B$11:$C$11)&gt;0, "4", "5"), 0)), "")</f>
        <v/>
      </c>
      <c r="N97" s="137" cm="1">
        <f t="array" ref="N97">IF(COUNTIF($B$11:$E$11, N$2)&gt;0, _xlfn.IFS(COUNTIF($B$11:$C$11, N$2)&gt;0, VLOOKUP($J97,'Gear Values'!$A$2:$E$13, IF(COUNTBLANK('Attributes &amp; Prefixes'!$B$11:$C$11)&gt;0, "2", "3"), 0), COUNTIF($D$11:$E$11, N$2)&gt;0, VLOOKUP($J97,'Gear Values'!$A$2:$E$13, IF(COUNTBLANK('Attributes &amp; Prefixes'!$B$11:$C$11)&gt;0, "4", "5"), 0)), "")</f>
        <v>85</v>
      </c>
      <c r="O97" s="137" t="str" cm="1">
        <f t="array" ref="O97">IF(COUNTIF($B$11:$E$11, O$2)&gt;0, _xlfn.IFS(COUNTIF($B$11:$C$11, O$2)&gt;0, VLOOKUP($J97,'Gear Values'!$A$2:$E$13, IF(COUNTBLANK('Attributes &amp; Prefixes'!$B$11:$C$11)&gt;0, "2", "3"), 0), COUNTIF($D$11:$E$11, O$2)&gt;0, VLOOKUP($J97,'Gear Values'!$A$2:$E$13, IF(COUNTBLANK('Attributes &amp; Prefixes'!$B$11:$C$11)&gt;0, "4", "5"), 0)), "")</f>
        <v/>
      </c>
      <c r="P97" s="137" cm="1">
        <f t="array" ref="P97">IF(COUNTIF($B$11:$E$11, P$2)&gt;0, _xlfn.IFS(COUNTIF($B$11:$C$11, P$2)&gt;0, VLOOKUP($J97,'Gear Values'!$A$2:$E$13, IF(COUNTBLANK('Attributes &amp; Prefixes'!$B$11:$C$11)&gt;0, "2", "3"), 0), COUNTIF($D$11:$E$11, P$2)&gt;0, VLOOKUP($J97,'Gear Values'!$A$2:$E$13, IF(COUNTBLANK('Attributes &amp; Prefixes'!$B$11:$C$11)&gt;0, "4", "5"), 0)), "")</f>
        <v>120</v>
      </c>
      <c r="Q97" s="137" t="str" cm="1">
        <f t="array" ref="Q97">IF(COUNTIF($B$11:$E$11, Q$2)&gt;0, _xlfn.IFS(COUNTIF($B$11:$C$11, Q$2)&gt;0, VLOOKUP($J97,'Gear Values'!$A$2:$E$13, IF(COUNTBLANK('Attributes &amp; Prefixes'!$B$11:$C$11)&gt;0, "2", "3"), 0), COUNTIF($D$11:$E$11, Q$2)&gt;0, VLOOKUP($J97,'Gear Values'!$A$2:$E$13, IF(COUNTBLANK('Attributes &amp; Prefixes'!$B$11:$C$11)&gt;0, "4", "5"), 0)), "")</f>
        <v/>
      </c>
      <c r="R97" s="137" t="str" cm="1">
        <f t="array" ref="R97">IF(COUNTIF($B$11:$E$11, R$2)&gt;0, _xlfn.IFS(COUNTIF($B$11:$C$11, R$2)&gt;0, VLOOKUP($J97,'Gear Values'!$A$2:$E$13, IF(COUNTBLANK('Attributes &amp; Prefixes'!$B$11:$C$11)&gt;0, "2", "3"), 0), COUNTIF($D$11:$E$11, R$2)&gt;0, VLOOKUP($J97,'Gear Values'!$A$2:$E$13, IF(COUNTBLANK('Attributes &amp; Prefixes'!$B$11:$C$11)&gt;0, "4", "5"), 0)), "")</f>
        <v/>
      </c>
      <c r="S97" s="140" t="str" cm="1">
        <f t="array" ref="S97">IF(COUNTIF($B$11:$E$11, S$2)&gt;0, _xlfn.IFS(COUNTIF($B$11:$C$11, S$2)&gt;0, VLOOKUP($J97,'Gear Values'!$A$2:$E$13, IF(COUNTBLANK('Attributes &amp; Prefixes'!$B$11:$C$11)&gt;0, "2", "3"), 0), COUNTIF($D$11:$E$11, S$2)&gt;0, VLOOKUP($J97,'Gear Values'!$A$2:$E$13, IF(COUNTBLANK('Attributes &amp; Prefixes'!$B$11:$C$11)&gt;0, "4", "5"), 0)), "")</f>
        <v/>
      </c>
      <c r="V97" s="112"/>
      <c r="W97" s="113"/>
    </row>
    <row r="98" spans="6:23">
      <c r="H98" s="130" t="str">
        <f>_xlfn.CONCAT(I$87,J98)</f>
        <v>CarrionBack</v>
      </c>
      <c r="I98" s="521"/>
      <c r="J98" s="146" t="s">
        <v>53</v>
      </c>
      <c r="K98" s="147" cm="1">
        <f t="array" ref="K98">IF(COUNTIF($B$11:$E$11, K$2)&gt;0, _xlfn.IFS(COUNTIF($B$11:$C$11, K$2)&gt;0, VLOOKUP($J98,'Gear Values'!$A$2:$E$13, IF(COUNTBLANK('Attributes &amp; Prefixes'!$B$11:$C$11)&gt;0, "2", "3"), 0), COUNTIF($D$11:$E$11, K$2)&gt;0, VLOOKUP($J98,'Gear Values'!$A$2:$E$13, IF(COUNTBLANK('Attributes &amp; Prefixes'!$B$11:$C$11)&gt;0, "4", "5"), 0)), "")</f>
        <v>18</v>
      </c>
      <c r="L98" s="148" t="str" cm="1">
        <f t="array" ref="L98">IF(COUNTIF($B$11:$E$11, L$2)&gt;0, _xlfn.IFS(COUNTIF($B$11:$C$11, L$2)&gt;0, VLOOKUP($J98,'Gear Values'!$A$2:$E$13, IF(COUNTBLANK('Attributes &amp; Prefixes'!$B$11:$C$11)&gt;0, "2", "3"), 0), COUNTIF($D$11:$E$11, L$2)&gt;0, VLOOKUP($J98,'Gear Values'!$A$2:$E$13, IF(COUNTBLANK('Attributes &amp; Prefixes'!$B$11:$C$11)&gt;0, "4", "5"), 0)), "")</f>
        <v/>
      </c>
      <c r="M98" s="148" t="str" cm="1">
        <f t="array" ref="M98">IF(COUNTIF($B$11:$E$11, M$2)&gt;0, _xlfn.IFS(COUNTIF($B$11:$C$11, M$2)&gt;0, VLOOKUP($J98,'Gear Values'!$A$2:$E$13, IF(COUNTBLANK('Attributes &amp; Prefixes'!$B$11:$C$11)&gt;0, "2", "3"), 0), COUNTIF($D$11:$E$11, M$2)&gt;0, VLOOKUP($J98,'Gear Values'!$A$2:$E$13, IF(COUNTBLANK('Attributes &amp; Prefixes'!$B$11:$C$11)&gt;0, "4", "5"), 0)), "")</f>
        <v/>
      </c>
      <c r="N98" s="148" cm="1">
        <f t="array" ref="N98">IF(COUNTIF($B$11:$E$11, N$2)&gt;0, _xlfn.IFS(COUNTIF($B$11:$C$11, N$2)&gt;0, VLOOKUP($J98,'Gear Values'!$A$2:$E$13, IF(COUNTBLANK('Attributes &amp; Prefixes'!$B$11:$C$11)&gt;0, "2", "3"), 0), COUNTIF($D$11:$E$11, N$2)&gt;0, VLOOKUP($J98,'Gear Values'!$A$2:$E$13, IF(COUNTBLANK('Attributes &amp; Prefixes'!$B$11:$C$11)&gt;0, "4", "5"), 0)), "")</f>
        <v>18</v>
      </c>
      <c r="O98" s="148" t="str" cm="1">
        <f t="array" ref="O98">IF(COUNTIF($B$11:$E$11, O$2)&gt;0, _xlfn.IFS(COUNTIF($B$11:$C$11, O$2)&gt;0, VLOOKUP($J98,'Gear Values'!$A$2:$E$13, IF(COUNTBLANK('Attributes &amp; Prefixes'!$B$11:$C$11)&gt;0, "2", "3"), 0), COUNTIF($D$11:$E$11, O$2)&gt;0, VLOOKUP($J98,'Gear Values'!$A$2:$E$13, IF(COUNTBLANK('Attributes &amp; Prefixes'!$B$11:$C$11)&gt;0, "4", "5"), 0)), "")</f>
        <v/>
      </c>
      <c r="P98" s="148" cm="1">
        <f t="array" ref="P98">IF(COUNTIF($B$11:$E$11, P$2)&gt;0, _xlfn.IFS(COUNTIF($B$11:$C$11, P$2)&gt;0, VLOOKUP($J98,'Gear Values'!$A$2:$E$13, IF(COUNTBLANK('Attributes &amp; Prefixes'!$B$11:$C$11)&gt;0, "2", "3"), 0), COUNTIF($D$11:$E$11, P$2)&gt;0, VLOOKUP($J98,'Gear Values'!$A$2:$E$13, IF(COUNTBLANK('Attributes &amp; Prefixes'!$B$11:$C$11)&gt;0, "4", "5"), 0)), "")</f>
        <v>32</v>
      </c>
      <c r="Q98" s="148" t="str" cm="1">
        <f t="array" ref="Q98">IF(COUNTIF($B$11:$E$11, Q$2)&gt;0, _xlfn.IFS(COUNTIF($B$11:$C$11, Q$2)&gt;0, VLOOKUP($J98,'Gear Values'!$A$2:$E$13, IF(COUNTBLANK('Attributes &amp; Prefixes'!$B$11:$C$11)&gt;0, "2", "3"), 0), COUNTIF($D$11:$E$11, Q$2)&gt;0, VLOOKUP($J98,'Gear Values'!$A$2:$E$13, IF(COUNTBLANK('Attributes &amp; Prefixes'!$B$11:$C$11)&gt;0, "4", "5"), 0)), "")</f>
        <v/>
      </c>
      <c r="R98" s="148" t="str" cm="1">
        <f t="array" ref="R98">IF(COUNTIF($B$11:$E$11, R$2)&gt;0, _xlfn.IFS(COUNTIF($B$11:$C$11, R$2)&gt;0, VLOOKUP($J98,'Gear Values'!$A$2:$E$13, IF(COUNTBLANK('Attributes &amp; Prefixes'!$B$11:$C$11)&gt;0, "2", "3"), 0), COUNTIF($D$11:$E$11, R$2)&gt;0, VLOOKUP($J98,'Gear Values'!$A$2:$E$13, IF(COUNTBLANK('Attributes &amp; Prefixes'!$B$11:$C$11)&gt;0, "4", "5"), 0)), "")</f>
        <v/>
      </c>
      <c r="S98" s="151" t="str" cm="1">
        <f t="array" ref="S98">IF(COUNTIF($B$11:$E$11, S$2)&gt;0, _xlfn.IFS(COUNTIF($B$11:$C$11, S$2)&gt;0, VLOOKUP($J98,'Gear Values'!$A$2:$E$13, IF(COUNTBLANK('Attributes &amp; Prefixes'!$B$11:$C$11)&gt;0, "2", "3"), 0), COUNTIF($D$11:$E$11, S$2)&gt;0, VLOOKUP($J98,'Gear Values'!$A$2:$E$13, IF(COUNTBLANK('Attributes &amp; Prefixes'!$B$11:$C$11)&gt;0, "4", "5"), 0)), "")</f>
        <v/>
      </c>
      <c r="V98" s="112"/>
      <c r="W98" s="113"/>
    </row>
    <row r="99" spans="6:23">
      <c r="H99" s="130" t="str">
        <f>_xlfn.CONCAT(I$99,J99)</f>
        <v>CavalierWeapon (1H)</v>
      </c>
      <c r="I99" s="519" t="str">
        <f>A12</f>
        <v>Cavalier</v>
      </c>
      <c r="J99" s="145" t="s">
        <v>37</v>
      </c>
      <c r="K99" s="133" cm="1">
        <f t="array" ref="K99">IF(COUNTIF($B$12:$E$12, K$2)&gt;0, _xlfn.IFS(COUNTIF($B$12:$C$12, K$2)&gt;0, VLOOKUP($J99,'Gear Values'!$A$2:$E$13, IF(COUNTBLANK('Attributes &amp; Prefixes'!$B$12:$C$12)&gt;0, "2", "3"), 0), COUNTIF($D$12:$E$12, K$2)&gt;0, VLOOKUP($J99,'Gear Values'!$A$2:$E$13, IF(COUNTBLANK('Attributes &amp; Prefixes'!$B$12:$C$12)&gt;0, "4", "5"), 0)), "")</f>
        <v>85</v>
      </c>
      <c r="L99" s="134" t="str" cm="1">
        <f t="array" ref="L99">IF(COUNTIF($B$12:$E$12, L$2)&gt;0, _xlfn.IFS(COUNTIF($B$12:$C$12, L$2)&gt;0, VLOOKUP($J99,'Gear Values'!$A$2:$E$13, IF(COUNTBLANK('Attributes &amp; Prefixes'!$B$12:$C$12)&gt;0, "2", "3"), 0), COUNTIF($D$12:$E$12, L$2)&gt;0, VLOOKUP($J99,'Gear Values'!$A$2:$E$13, IF(COUNTBLANK('Attributes &amp; Prefixes'!$B$12:$C$12)&gt;0, "4", "5"), 0)), "")</f>
        <v/>
      </c>
      <c r="M99" s="134" cm="1">
        <f t="array" ref="M99">IF(COUNTIF($B$12:$E$12, M$2)&gt;0, _xlfn.IFS(COUNTIF($B$12:$C$12, M$2)&gt;0, VLOOKUP($J99,'Gear Values'!$A$2:$E$13, IF(COUNTBLANK('Attributes &amp; Prefixes'!$B$12:$C$12)&gt;0, "2", "3"), 0), COUNTIF($D$12:$E$12, M$2)&gt;0, VLOOKUP($J99,'Gear Values'!$A$2:$E$13, IF(COUNTBLANK('Attributes &amp; Prefixes'!$B$12:$C$12)&gt;0, "4", "5"), 0)), "")</f>
        <v>120</v>
      </c>
      <c r="N99" s="134" t="str" cm="1">
        <f t="array" ref="N99">IF(COUNTIF($B$12:$E$12, N$2)&gt;0, _xlfn.IFS(COUNTIF($B$12:$C$12, N$2)&gt;0, VLOOKUP($J99,'Gear Values'!$A$2:$E$13, IF(COUNTBLANK('Attributes &amp; Prefixes'!$B$12:$C$12)&gt;0, "2", "3"), 0), COUNTIF($D$12:$E$12, N$2)&gt;0, VLOOKUP($J99,'Gear Values'!$A$2:$E$13, IF(COUNTBLANK('Attributes &amp; Prefixes'!$B$12:$C$12)&gt;0, "4", "5"), 0)), "")</f>
        <v/>
      </c>
      <c r="O99" s="134" t="str" cm="1">
        <f t="array" ref="O99">IF(COUNTIF($B$12:$E$12, O$2)&gt;0, _xlfn.IFS(COUNTIF($B$12:$C$12, O$2)&gt;0, VLOOKUP($J99,'Gear Values'!$A$2:$E$13, IF(COUNTBLANK('Attributes &amp; Prefixes'!$B$12:$C$12)&gt;0, "2", "3"), 0), COUNTIF($D$12:$E$12, O$2)&gt;0, VLOOKUP($J99,'Gear Values'!$A$2:$E$13, IF(COUNTBLANK('Attributes &amp; Prefixes'!$B$12:$C$12)&gt;0, "4", "5"), 0)), "")</f>
        <v/>
      </c>
      <c r="P99" s="134" t="str" cm="1">
        <f t="array" ref="P99">IF(COUNTIF($B$12:$E$12, P$2)&gt;0, _xlfn.IFS(COUNTIF($B$12:$C$12, P$2)&gt;0, VLOOKUP($J99,'Gear Values'!$A$2:$E$13, IF(COUNTBLANK('Attributes &amp; Prefixes'!$B$12:$C$12)&gt;0, "2", "3"), 0), COUNTIF($D$12:$E$12, P$2)&gt;0, VLOOKUP($J99,'Gear Values'!$A$2:$E$13, IF(COUNTBLANK('Attributes &amp; Prefixes'!$B$12:$C$12)&gt;0, "4", "5"), 0)), "")</f>
        <v/>
      </c>
      <c r="Q99" s="134" t="str" cm="1">
        <f t="array" ref="Q99">IF(COUNTIF($B$12:$E$12, Q$2)&gt;0, _xlfn.IFS(COUNTIF($B$12:$C$12, Q$2)&gt;0, VLOOKUP($J99,'Gear Values'!$A$2:$E$13, IF(COUNTBLANK('Attributes &amp; Prefixes'!$B$12:$C$12)&gt;0, "2", "3"), 0), COUNTIF($D$12:$E$12, Q$2)&gt;0, VLOOKUP($J99,'Gear Values'!$A$2:$E$13, IF(COUNTBLANK('Attributes &amp; Prefixes'!$B$12:$C$12)&gt;0, "4", "5"), 0)), "")</f>
        <v/>
      </c>
      <c r="R99" s="134" cm="1">
        <f t="array" ref="R99">IF(COUNTIF($B$12:$E$12, R$2)&gt;0, _xlfn.IFS(COUNTIF($B$12:$C$12, R$2)&gt;0, VLOOKUP($J99,'Gear Values'!$A$2:$E$13, IF(COUNTBLANK('Attributes &amp; Prefixes'!$B$12:$C$12)&gt;0, "2", "3"), 0), COUNTIF($D$12:$E$12, R$2)&gt;0, VLOOKUP($J99,'Gear Values'!$A$2:$E$13, IF(COUNTBLANK('Attributes &amp; Prefixes'!$B$12:$C$12)&gt;0, "4", "5"), 0)), "")</f>
        <v>85</v>
      </c>
      <c r="S99" s="139" t="str" cm="1">
        <f t="array" ref="S99">IF(COUNTIF($B$12:$E$12, S$2)&gt;0, _xlfn.IFS(COUNTIF($B$12:$C$12, S$2)&gt;0, VLOOKUP($J99,'Gear Values'!$A$2:$E$13, IF(COUNTBLANK('Attributes &amp; Prefixes'!$B$12:$C$12)&gt;0, "2", "3"), 0), COUNTIF($D$12:$E$12, S$2)&gt;0, VLOOKUP($J99,'Gear Values'!$A$2:$E$13, IF(COUNTBLANK('Attributes &amp; Prefixes'!$B$12:$C$12)&gt;0, "4", "5"), 0)), "")</f>
        <v/>
      </c>
      <c r="V99" s="112"/>
      <c r="W99" s="113"/>
    </row>
    <row r="100" spans="6:23">
      <c r="H100" s="130" t="str">
        <f>_xlfn.CONCAT(I$99,J100)</f>
        <v>CavalierWeapon (2H)</v>
      </c>
      <c r="I100" s="520"/>
      <c r="J100" s="144" t="s">
        <v>39</v>
      </c>
      <c r="K100" s="136" cm="1">
        <f t="array" ref="K100">IF(COUNTIF($B$12:$E$12, K$2)&gt;0, _xlfn.IFS(COUNTIF($B$12:$C$12, K$2)&gt;0, VLOOKUP($J100,'Gear Values'!$A$2:$E$13, IF(COUNTBLANK('Attributes &amp; Prefixes'!$B$12:$C$12)&gt;0, "2", "3"), 0), COUNTIF($D$12:$E$12, K$2)&gt;0, VLOOKUP($J100,'Gear Values'!$A$2:$E$13, IF(COUNTBLANK('Attributes &amp; Prefixes'!$B$12:$C$12)&gt;0, "4", "5"), 0)), "")</f>
        <v>171</v>
      </c>
      <c r="L100" s="137" t="str" cm="1">
        <f t="array" ref="L100">IF(COUNTIF($B$12:$E$12, L$2)&gt;0, _xlfn.IFS(COUNTIF($B$12:$C$12, L$2)&gt;0, VLOOKUP($J100,'Gear Values'!$A$2:$E$13, IF(COUNTBLANK('Attributes &amp; Prefixes'!$B$12:$C$12)&gt;0, "2", "3"), 0), COUNTIF($D$12:$E$12, L$2)&gt;0, VLOOKUP($J100,'Gear Values'!$A$2:$E$13, IF(COUNTBLANK('Attributes &amp; Prefixes'!$B$12:$C$12)&gt;0, "4", "5"), 0)), "")</f>
        <v/>
      </c>
      <c r="M100" s="137" cm="1">
        <f t="array" ref="M100">IF(COUNTIF($B$12:$E$12, M$2)&gt;0, _xlfn.IFS(COUNTIF($B$12:$C$12, M$2)&gt;0, VLOOKUP($J100,'Gear Values'!$A$2:$E$13, IF(COUNTBLANK('Attributes &amp; Prefixes'!$B$12:$C$12)&gt;0, "2", "3"), 0), COUNTIF($D$12:$E$12, M$2)&gt;0, VLOOKUP($J100,'Gear Values'!$A$2:$E$13, IF(COUNTBLANK('Attributes &amp; Prefixes'!$B$12:$C$12)&gt;0, "4", "5"), 0)), "")</f>
        <v>239</v>
      </c>
      <c r="N100" s="137" t="str" cm="1">
        <f t="array" ref="N100">IF(COUNTIF($B$12:$E$12, N$2)&gt;0, _xlfn.IFS(COUNTIF($B$12:$C$12, N$2)&gt;0, VLOOKUP($J100,'Gear Values'!$A$2:$E$13, IF(COUNTBLANK('Attributes &amp; Prefixes'!$B$12:$C$12)&gt;0, "2", "3"), 0), COUNTIF($D$12:$E$12, N$2)&gt;0, VLOOKUP($J100,'Gear Values'!$A$2:$E$13, IF(COUNTBLANK('Attributes &amp; Prefixes'!$B$12:$C$12)&gt;0, "4", "5"), 0)), "")</f>
        <v/>
      </c>
      <c r="O100" s="137" t="str" cm="1">
        <f t="array" ref="O100">IF(COUNTIF($B$12:$E$12, O$2)&gt;0, _xlfn.IFS(COUNTIF($B$12:$C$12, O$2)&gt;0, VLOOKUP($J100,'Gear Values'!$A$2:$E$13, IF(COUNTBLANK('Attributes &amp; Prefixes'!$B$12:$C$12)&gt;0, "2", "3"), 0), COUNTIF($D$12:$E$12, O$2)&gt;0, VLOOKUP($J100,'Gear Values'!$A$2:$E$13, IF(COUNTBLANK('Attributes &amp; Prefixes'!$B$12:$C$12)&gt;0, "4", "5"), 0)), "")</f>
        <v/>
      </c>
      <c r="P100" s="137" t="str" cm="1">
        <f t="array" ref="P100">IF(COUNTIF($B$12:$E$12, P$2)&gt;0, _xlfn.IFS(COUNTIF($B$12:$C$12, P$2)&gt;0, VLOOKUP($J100,'Gear Values'!$A$2:$E$13, IF(COUNTBLANK('Attributes &amp; Prefixes'!$B$12:$C$12)&gt;0, "2", "3"), 0), COUNTIF($D$12:$E$12, P$2)&gt;0, VLOOKUP($J100,'Gear Values'!$A$2:$E$13, IF(COUNTBLANK('Attributes &amp; Prefixes'!$B$12:$C$12)&gt;0, "4", "5"), 0)), "")</f>
        <v/>
      </c>
      <c r="Q100" s="137" t="str" cm="1">
        <f t="array" ref="Q100">IF(COUNTIF($B$12:$E$12, Q$2)&gt;0, _xlfn.IFS(COUNTIF($B$12:$C$12, Q$2)&gt;0, VLOOKUP($J100,'Gear Values'!$A$2:$E$13, IF(COUNTBLANK('Attributes &amp; Prefixes'!$B$12:$C$12)&gt;0, "2", "3"), 0), COUNTIF($D$12:$E$12, Q$2)&gt;0, VLOOKUP($J100,'Gear Values'!$A$2:$E$13, IF(COUNTBLANK('Attributes &amp; Prefixes'!$B$12:$C$12)&gt;0, "4", "5"), 0)), "")</f>
        <v/>
      </c>
      <c r="R100" s="137" cm="1">
        <f t="array" ref="R100">IF(COUNTIF($B$12:$E$12, R$2)&gt;0, _xlfn.IFS(COUNTIF($B$12:$C$12, R$2)&gt;0, VLOOKUP($J100,'Gear Values'!$A$2:$E$13, IF(COUNTBLANK('Attributes &amp; Prefixes'!$B$12:$C$12)&gt;0, "2", "3"), 0), COUNTIF($D$12:$E$12, R$2)&gt;0, VLOOKUP($J100,'Gear Values'!$A$2:$E$13, IF(COUNTBLANK('Attributes &amp; Prefixes'!$B$12:$C$12)&gt;0, "4", "5"), 0)), "")</f>
        <v>171</v>
      </c>
      <c r="S100" s="140" t="str" cm="1">
        <f t="array" ref="S100">IF(COUNTIF($B$12:$E$12, S$2)&gt;0, _xlfn.IFS(COUNTIF($B$12:$C$12, S$2)&gt;0, VLOOKUP($J100,'Gear Values'!$A$2:$E$13, IF(COUNTBLANK('Attributes &amp; Prefixes'!$B$12:$C$12)&gt;0, "2", "3"), 0), COUNTIF($D$12:$E$12, S$2)&gt;0, VLOOKUP($J100,'Gear Values'!$A$2:$E$13, IF(COUNTBLANK('Attributes &amp; Prefixes'!$B$12:$C$12)&gt;0, "4", "5"), 0)), "")</f>
        <v/>
      </c>
      <c r="V100" s="112"/>
      <c r="W100" s="113"/>
    </row>
    <row r="101" spans="6:23">
      <c r="H101" s="130" t="str">
        <f>_xlfn.CONCAT(I$99,J101)</f>
        <v>CavalierHead</v>
      </c>
      <c r="I101" s="520"/>
      <c r="J101" s="144" t="s">
        <v>40</v>
      </c>
      <c r="K101" s="136" cm="1">
        <f t="array" ref="K101">IF(COUNTIF($B$12:$E$12, K$2)&gt;0, _xlfn.IFS(COUNTIF($B$12:$C$12, K$2)&gt;0, VLOOKUP($J101,'Gear Values'!$A$2:$E$13, IF(COUNTBLANK('Attributes &amp; Prefixes'!$B$12:$C$12)&gt;0, "2", "3"), 0), COUNTIF($D$12:$E$12, K$2)&gt;0, VLOOKUP($J101,'Gear Values'!$A$2:$E$13, IF(COUNTBLANK('Attributes &amp; Prefixes'!$B$12:$C$12)&gt;0, "4", "5"), 0)), "")</f>
        <v>43</v>
      </c>
      <c r="L101" s="137" t="str" cm="1">
        <f t="array" ref="L101">IF(COUNTIF($B$12:$E$12, L$2)&gt;0, _xlfn.IFS(COUNTIF($B$12:$C$12, L$2)&gt;0, VLOOKUP($J101,'Gear Values'!$A$2:$E$13, IF(COUNTBLANK('Attributes &amp; Prefixes'!$B$12:$C$12)&gt;0, "2", "3"), 0), COUNTIF($D$12:$E$12, L$2)&gt;0, VLOOKUP($J101,'Gear Values'!$A$2:$E$13, IF(COUNTBLANK('Attributes &amp; Prefixes'!$B$12:$C$12)&gt;0, "4", "5"), 0)), "")</f>
        <v/>
      </c>
      <c r="M101" s="137" cm="1">
        <f t="array" ref="M101">IF(COUNTIF($B$12:$E$12, M$2)&gt;0, _xlfn.IFS(COUNTIF($B$12:$C$12, M$2)&gt;0, VLOOKUP($J101,'Gear Values'!$A$2:$E$13, IF(COUNTBLANK('Attributes &amp; Prefixes'!$B$12:$C$12)&gt;0, "2", "3"), 0), COUNTIF($D$12:$E$12, M$2)&gt;0, VLOOKUP($J101,'Gear Values'!$A$2:$E$13, IF(COUNTBLANK('Attributes &amp; Prefixes'!$B$12:$C$12)&gt;0, "4", "5"), 0)), "")</f>
        <v>60</v>
      </c>
      <c r="N101" s="137" t="str" cm="1">
        <f t="array" ref="N101">IF(COUNTIF($B$12:$E$12, N$2)&gt;0, _xlfn.IFS(COUNTIF($B$12:$C$12, N$2)&gt;0, VLOOKUP($J101,'Gear Values'!$A$2:$E$13, IF(COUNTBLANK('Attributes &amp; Prefixes'!$B$12:$C$12)&gt;0, "2", "3"), 0), COUNTIF($D$12:$E$12, N$2)&gt;0, VLOOKUP($J101,'Gear Values'!$A$2:$E$13, IF(COUNTBLANK('Attributes &amp; Prefixes'!$B$12:$C$12)&gt;0, "4", "5"), 0)), "")</f>
        <v/>
      </c>
      <c r="O101" s="137" t="str" cm="1">
        <f t="array" ref="O101">IF(COUNTIF($B$12:$E$12, O$2)&gt;0, _xlfn.IFS(COUNTIF($B$12:$C$12, O$2)&gt;0, VLOOKUP($J101,'Gear Values'!$A$2:$E$13, IF(COUNTBLANK('Attributes &amp; Prefixes'!$B$12:$C$12)&gt;0, "2", "3"), 0), COUNTIF($D$12:$E$12, O$2)&gt;0, VLOOKUP($J101,'Gear Values'!$A$2:$E$13, IF(COUNTBLANK('Attributes &amp; Prefixes'!$B$12:$C$12)&gt;0, "4", "5"), 0)), "")</f>
        <v/>
      </c>
      <c r="P101" s="137" t="str" cm="1">
        <f t="array" ref="P101">IF(COUNTIF($B$12:$E$12, P$2)&gt;0, _xlfn.IFS(COUNTIF($B$12:$C$12, P$2)&gt;0, VLOOKUP($J101,'Gear Values'!$A$2:$E$13, IF(COUNTBLANK('Attributes &amp; Prefixes'!$B$12:$C$12)&gt;0, "2", "3"), 0), COUNTIF($D$12:$E$12, P$2)&gt;0, VLOOKUP($J101,'Gear Values'!$A$2:$E$13, IF(COUNTBLANK('Attributes &amp; Prefixes'!$B$12:$C$12)&gt;0, "4", "5"), 0)), "")</f>
        <v/>
      </c>
      <c r="Q101" s="137" t="str" cm="1">
        <f t="array" ref="Q101">IF(COUNTIF($B$12:$E$12, Q$2)&gt;0, _xlfn.IFS(COUNTIF($B$12:$C$12, Q$2)&gt;0, VLOOKUP($J101,'Gear Values'!$A$2:$E$13, IF(COUNTBLANK('Attributes &amp; Prefixes'!$B$12:$C$12)&gt;0, "2", "3"), 0), COUNTIF($D$12:$E$12, Q$2)&gt;0, VLOOKUP($J101,'Gear Values'!$A$2:$E$13, IF(COUNTBLANK('Attributes &amp; Prefixes'!$B$12:$C$12)&gt;0, "4", "5"), 0)), "")</f>
        <v/>
      </c>
      <c r="R101" s="137" cm="1">
        <f t="array" ref="R101">IF(COUNTIF($B$12:$E$12, R$2)&gt;0, _xlfn.IFS(COUNTIF($B$12:$C$12, R$2)&gt;0, VLOOKUP($J101,'Gear Values'!$A$2:$E$13, IF(COUNTBLANK('Attributes &amp; Prefixes'!$B$12:$C$12)&gt;0, "2", "3"), 0), COUNTIF($D$12:$E$12, R$2)&gt;0, VLOOKUP($J101,'Gear Values'!$A$2:$E$13, IF(COUNTBLANK('Attributes &amp; Prefixes'!$B$12:$C$12)&gt;0, "4", "5"), 0)), "")</f>
        <v>43</v>
      </c>
      <c r="S101" s="140" t="str" cm="1">
        <f t="array" ref="S101">IF(COUNTIF($B$12:$E$12, S$2)&gt;0, _xlfn.IFS(COUNTIF($B$12:$C$12, S$2)&gt;0, VLOOKUP($J101,'Gear Values'!$A$2:$E$13, IF(COUNTBLANK('Attributes &amp; Prefixes'!$B$12:$C$12)&gt;0, "2", "3"), 0), COUNTIF($D$12:$E$12, S$2)&gt;0, VLOOKUP($J101,'Gear Values'!$A$2:$E$13, IF(COUNTBLANK('Attributes &amp; Prefixes'!$B$12:$C$12)&gt;0, "4", "5"), 0)), "")</f>
        <v/>
      </c>
      <c r="V101" s="112"/>
      <c r="W101" s="113"/>
    </row>
    <row r="102" spans="6:23">
      <c r="F102" s="114"/>
      <c r="G102" s="114"/>
      <c r="H102" s="130" t="str">
        <f>_xlfn.CONCAT(I$99,J102)</f>
        <v>CavalierShoulders</v>
      </c>
      <c r="I102" s="520"/>
      <c r="J102" s="144" t="s">
        <v>42</v>
      </c>
      <c r="K102" s="136" cm="1">
        <f t="array" ref="K102">IF(COUNTIF($B$12:$E$12, K$2)&gt;0, _xlfn.IFS(COUNTIF($B$12:$C$12, K$2)&gt;0, VLOOKUP($J102,'Gear Values'!$A$2:$E$13, IF(COUNTBLANK('Attributes &amp; Prefixes'!$B$12:$C$12)&gt;0, "2", "3"), 0), COUNTIF($D$12:$E$12, K$2)&gt;0, VLOOKUP($J102,'Gear Values'!$A$2:$E$13, IF(COUNTBLANK('Attributes &amp; Prefixes'!$B$12:$C$12)&gt;0, "4", "5"), 0)), "")</f>
        <v>32</v>
      </c>
      <c r="L102" s="137" t="str" cm="1">
        <f t="array" ref="L102">IF(COUNTIF($B$12:$E$12, L$2)&gt;0, _xlfn.IFS(COUNTIF($B$12:$C$12, L$2)&gt;0, VLOOKUP($J102,'Gear Values'!$A$2:$E$13, IF(COUNTBLANK('Attributes &amp; Prefixes'!$B$12:$C$12)&gt;0, "2", "3"), 0), COUNTIF($D$12:$E$12, L$2)&gt;0, VLOOKUP($J102,'Gear Values'!$A$2:$E$13, IF(COUNTBLANK('Attributes &amp; Prefixes'!$B$12:$C$12)&gt;0, "4", "5"), 0)), "")</f>
        <v/>
      </c>
      <c r="M102" s="137" cm="1">
        <f t="array" ref="M102">IF(COUNTIF($B$12:$E$12, M$2)&gt;0, _xlfn.IFS(COUNTIF($B$12:$C$12, M$2)&gt;0, VLOOKUP($J102,'Gear Values'!$A$2:$E$13, IF(COUNTBLANK('Attributes &amp; Prefixes'!$B$12:$C$12)&gt;0, "2", "3"), 0), COUNTIF($D$12:$E$12, M$2)&gt;0, VLOOKUP($J102,'Gear Values'!$A$2:$E$13, IF(COUNTBLANK('Attributes &amp; Prefixes'!$B$12:$C$12)&gt;0, "4", "5"), 0)), "")</f>
        <v>45</v>
      </c>
      <c r="N102" s="137" t="str" cm="1">
        <f t="array" ref="N102">IF(COUNTIF($B$12:$E$12, N$2)&gt;0, _xlfn.IFS(COUNTIF($B$12:$C$12, N$2)&gt;0, VLOOKUP($J102,'Gear Values'!$A$2:$E$13, IF(COUNTBLANK('Attributes &amp; Prefixes'!$B$12:$C$12)&gt;0, "2", "3"), 0), COUNTIF($D$12:$E$12, N$2)&gt;0, VLOOKUP($J102,'Gear Values'!$A$2:$E$13, IF(COUNTBLANK('Attributes &amp; Prefixes'!$B$12:$C$12)&gt;0, "4", "5"), 0)), "")</f>
        <v/>
      </c>
      <c r="O102" s="137" t="str" cm="1">
        <f t="array" ref="O102">IF(COUNTIF($B$12:$E$12, O$2)&gt;0, _xlfn.IFS(COUNTIF($B$12:$C$12, O$2)&gt;0, VLOOKUP($J102,'Gear Values'!$A$2:$E$13, IF(COUNTBLANK('Attributes &amp; Prefixes'!$B$12:$C$12)&gt;0, "2", "3"), 0), COUNTIF($D$12:$E$12, O$2)&gt;0, VLOOKUP($J102,'Gear Values'!$A$2:$E$13, IF(COUNTBLANK('Attributes &amp; Prefixes'!$B$12:$C$12)&gt;0, "4", "5"), 0)), "")</f>
        <v/>
      </c>
      <c r="P102" s="137" t="str" cm="1">
        <f t="array" ref="P102">IF(COUNTIF($B$12:$E$12, P$2)&gt;0, _xlfn.IFS(COUNTIF($B$12:$C$12, P$2)&gt;0, VLOOKUP($J102,'Gear Values'!$A$2:$E$13, IF(COUNTBLANK('Attributes &amp; Prefixes'!$B$12:$C$12)&gt;0, "2", "3"), 0), COUNTIF($D$12:$E$12, P$2)&gt;0, VLOOKUP($J102,'Gear Values'!$A$2:$E$13, IF(COUNTBLANK('Attributes &amp; Prefixes'!$B$12:$C$12)&gt;0, "4", "5"), 0)), "")</f>
        <v/>
      </c>
      <c r="Q102" s="137" t="str" cm="1">
        <f t="array" ref="Q102">IF(COUNTIF($B$12:$E$12, Q$2)&gt;0, _xlfn.IFS(COUNTIF($B$12:$C$12, Q$2)&gt;0, VLOOKUP($J102,'Gear Values'!$A$2:$E$13, IF(COUNTBLANK('Attributes &amp; Prefixes'!$B$12:$C$12)&gt;0, "2", "3"), 0), COUNTIF($D$12:$E$12, Q$2)&gt;0, VLOOKUP($J102,'Gear Values'!$A$2:$E$13, IF(COUNTBLANK('Attributes &amp; Prefixes'!$B$12:$C$12)&gt;0, "4", "5"), 0)), "")</f>
        <v/>
      </c>
      <c r="R102" s="137" cm="1">
        <f t="array" ref="R102">IF(COUNTIF($B$12:$E$12, R$2)&gt;0, _xlfn.IFS(COUNTIF($B$12:$C$12, R$2)&gt;0, VLOOKUP($J102,'Gear Values'!$A$2:$E$13, IF(COUNTBLANK('Attributes &amp; Prefixes'!$B$12:$C$12)&gt;0, "2", "3"), 0), COUNTIF($D$12:$E$12, R$2)&gt;0, VLOOKUP($J102,'Gear Values'!$A$2:$E$13, IF(COUNTBLANK('Attributes &amp; Prefixes'!$B$12:$C$12)&gt;0, "4", "5"), 0)), "")</f>
        <v>32</v>
      </c>
      <c r="S102" s="140" t="str" cm="1">
        <f t="array" ref="S102">IF(COUNTIF($B$12:$E$12, S$2)&gt;0, _xlfn.IFS(COUNTIF($B$12:$C$12, S$2)&gt;0, VLOOKUP($J102,'Gear Values'!$A$2:$E$13, IF(COUNTBLANK('Attributes &amp; Prefixes'!$B$12:$C$12)&gt;0, "2", "3"), 0), COUNTIF($D$12:$E$12, S$2)&gt;0, VLOOKUP($J102,'Gear Values'!$A$2:$E$13, IF(COUNTBLANK('Attributes &amp; Prefixes'!$B$12:$C$12)&gt;0, "4", "5"), 0)), "")</f>
        <v/>
      </c>
      <c r="V102" s="112"/>
      <c r="W102" s="113"/>
    </row>
    <row r="103" spans="6:23">
      <c r="F103" s="114"/>
      <c r="G103" s="114"/>
      <c r="H103" s="130" t="str">
        <f>_xlfn.CONCAT(I$99,J103)</f>
        <v>CavalierChest</v>
      </c>
      <c r="I103" s="520"/>
      <c r="J103" s="144" t="s">
        <v>44</v>
      </c>
      <c r="K103" s="136" cm="1">
        <f t="array" ref="K103">IF(COUNTIF($B$12:$E$12, K$2)&gt;0, _xlfn.IFS(COUNTIF($B$12:$C$12, K$2)&gt;0, VLOOKUP($J103,'Gear Values'!$A$2:$E$13, IF(COUNTBLANK('Attributes &amp; Prefixes'!$B$12:$C$12)&gt;0, "2", "3"), 0), COUNTIF($D$12:$E$12, K$2)&gt;0, VLOOKUP($J103,'Gear Values'!$A$2:$E$13, IF(COUNTBLANK('Attributes &amp; Prefixes'!$B$12:$C$12)&gt;0, "4", "5"), 0)), "")</f>
        <v>96</v>
      </c>
      <c r="L103" s="137" t="str" cm="1">
        <f t="array" ref="L103">IF(COUNTIF($B$12:$E$12, L$2)&gt;0, _xlfn.IFS(COUNTIF($B$12:$C$12, L$2)&gt;0, VLOOKUP($J103,'Gear Values'!$A$2:$E$13, IF(COUNTBLANK('Attributes &amp; Prefixes'!$B$12:$C$12)&gt;0, "2", "3"), 0), COUNTIF($D$12:$E$12, L$2)&gt;0, VLOOKUP($J103,'Gear Values'!$A$2:$E$13, IF(COUNTBLANK('Attributes &amp; Prefixes'!$B$12:$C$12)&gt;0, "4", "5"), 0)), "")</f>
        <v/>
      </c>
      <c r="M103" s="137" cm="1">
        <f t="array" ref="M103">IF(COUNTIF($B$12:$E$12, M$2)&gt;0, _xlfn.IFS(COUNTIF($B$12:$C$12, M$2)&gt;0, VLOOKUP($J103,'Gear Values'!$A$2:$E$13, IF(COUNTBLANK('Attributes &amp; Prefixes'!$B$12:$C$12)&gt;0, "2", "3"), 0), COUNTIF($D$12:$E$12, M$2)&gt;0, VLOOKUP($J103,'Gear Values'!$A$2:$E$13, IF(COUNTBLANK('Attributes &amp; Prefixes'!$B$12:$C$12)&gt;0, "4", "5"), 0)), "")</f>
        <v>134</v>
      </c>
      <c r="N103" s="137" t="str" cm="1">
        <f t="array" ref="N103">IF(COUNTIF($B$12:$E$12, N$2)&gt;0, _xlfn.IFS(COUNTIF($B$12:$C$12, N$2)&gt;0, VLOOKUP($J103,'Gear Values'!$A$2:$E$13, IF(COUNTBLANK('Attributes &amp; Prefixes'!$B$12:$C$12)&gt;0, "2", "3"), 0), COUNTIF($D$12:$E$12, N$2)&gt;0, VLOOKUP($J103,'Gear Values'!$A$2:$E$13, IF(COUNTBLANK('Attributes &amp; Prefixes'!$B$12:$C$12)&gt;0, "4", "5"), 0)), "")</f>
        <v/>
      </c>
      <c r="O103" s="137" t="str" cm="1">
        <f t="array" ref="O103">IF(COUNTIF($B$12:$E$12, O$2)&gt;0, _xlfn.IFS(COUNTIF($B$12:$C$12, O$2)&gt;0, VLOOKUP($J103,'Gear Values'!$A$2:$E$13, IF(COUNTBLANK('Attributes &amp; Prefixes'!$B$12:$C$12)&gt;0, "2", "3"), 0), COUNTIF($D$12:$E$12, O$2)&gt;0, VLOOKUP($J103,'Gear Values'!$A$2:$E$13, IF(COUNTBLANK('Attributes &amp; Prefixes'!$B$12:$C$12)&gt;0, "4", "5"), 0)), "")</f>
        <v/>
      </c>
      <c r="P103" s="137" t="str" cm="1">
        <f t="array" ref="P103">IF(COUNTIF($B$12:$E$12, P$2)&gt;0, _xlfn.IFS(COUNTIF($B$12:$C$12, P$2)&gt;0, VLOOKUP($J103,'Gear Values'!$A$2:$E$13, IF(COUNTBLANK('Attributes &amp; Prefixes'!$B$12:$C$12)&gt;0, "2", "3"), 0), COUNTIF($D$12:$E$12, P$2)&gt;0, VLOOKUP($J103,'Gear Values'!$A$2:$E$13, IF(COUNTBLANK('Attributes &amp; Prefixes'!$B$12:$C$12)&gt;0, "4", "5"), 0)), "")</f>
        <v/>
      </c>
      <c r="Q103" s="137" t="str" cm="1">
        <f t="array" ref="Q103">IF(COUNTIF($B$12:$E$12, Q$2)&gt;0, _xlfn.IFS(COUNTIF($B$12:$C$12, Q$2)&gt;0, VLOOKUP($J103,'Gear Values'!$A$2:$E$13, IF(COUNTBLANK('Attributes &amp; Prefixes'!$B$12:$C$12)&gt;0, "2", "3"), 0), COUNTIF($D$12:$E$12, Q$2)&gt;0, VLOOKUP($J103,'Gear Values'!$A$2:$E$13, IF(COUNTBLANK('Attributes &amp; Prefixes'!$B$12:$C$12)&gt;0, "4", "5"), 0)), "")</f>
        <v/>
      </c>
      <c r="R103" s="137" cm="1">
        <f t="array" ref="R103">IF(COUNTIF($B$12:$E$12, R$2)&gt;0, _xlfn.IFS(COUNTIF($B$12:$C$12, R$2)&gt;0, VLOOKUP($J103,'Gear Values'!$A$2:$E$13, IF(COUNTBLANK('Attributes &amp; Prefixes'!$B$12:$C$12)&gt;0, "2", "3"), 0), COUNTIF($D$12:$E$12, R$2)&gt;0, VLOOKUP($J103,'Gear Values'!$A$2:$E$13, IF(COUNTBLANK('Attributes &amp; Prefixes'!$B$12:$C$12)&gt;0, "4", "5"), 0)), "")</f>
        <v>96</v>
      </c>
      <c r="S103" s="140" t="str" cm="1">
        <f t="array" ref="S103">IF(COUNTIF($B$12:$E$12, S$2)&gt;0, _xlfn.IFS(COUNTIF($B$12:$C$12, S$2)&gt;0, VLOOKUP($J103,'Gear Values'!$A$2:$E$13, IF(COUNTBLANK('Attributes &amp; Prefixes'!$B$12:$C$12)&gt;0, "2", "3"), 0), COUNTIF($D$12:$E$12, S$2)&gt;0, VLOOKUP($J103,'Gear Values'!$A$2:$E$13, IF(COUNTBLANK('Attributes &amp; Prefixes'!$B$12:$C$12)&gt;0, "4", "5"), 0)), "")</f>
        <v/>
      </c>
      <c r="V103" s="112"/>
      <c r="W103" s="113"/>
    </row>
    <row r="104" spans="6:23">
      <c r="F104" s="114"/>
      <c r="G104" s="114"/>
      <c r="H104" s="130" t="str">
        <f>_xlfn.CONCAT(I$99,J104)</f>
        <v>CavalierHands</v>
      </c>
      <c r="I104" s="520"/>
      <c r="J104" s="144" t="s">
        <v>45</v>
      </c>
      <c r="K104" s="136" cm="1">
        <f t="array" ref="K104">IF(COUNTIF($B$12:$E$12, K$2)&gt;0, _xlfn.IFS(COUNTIF($B$12:$C$12, K$2)&gt;0, VLOOKUP($J104,'Gear Values'!$A$2:$E$13, IF(COUNTBLANK('Attributes &amp; Prefixes'!$B$12:$C$12)&gt;0, "2", "3"), 0), COUNTIF($D$12:$E$12, K$2)&gt;0, VLOOKUP($J104,'Gear Values'!$A$2:$E$13, IF(COUNTBLANK('Attributes &amp; Prefixes'!$B$12:$C$12)&gt;0, "4", "5"), 0)), "")</f>
        <v>32</v>
      </c>
      <c r="L104" s="137" t="str" cm="1">
        <f t="array" ref="L104">IF(COUNTIF($B$12:$E$12, L$2)&gt;0, _xlfn.IFS(COUNTIF($B$12:$C$12, L$2)&gt;0, VLOOKUP($J104,'Gear Values'!$A$2:$E$13, IF(COUNTBLANK('Attributes &amp; Prefixes'!$B$12:$C$12)&gt;0, "2", "3"), 0), COUNTIF($D$12:$E$12, L$2)&gt;0, VLOOKUP($J104,'Gear Values'!$A$2:$E$13, IF(COUNTBLANK('Attributes &amp; Prefixes'!$B$12:$C$12)&gt;0, "4", "5"), 0)), "")</f>
        <v/>
      </c>
      <c r="M104" s="137" cm="1">
        <f t="array" ref="M104">IF(COUNTIF($B$12:$E$12, M$2)&gt;0, _xlfn.IFS(COUNTIF($B$12:$C$12, M$2)&gt;0, VLOOKUP($J104,'Gear Values'!$A$2:$E$13, IF(COUNTBLANK('Attributes &amp; Prefixes'!$B$12:$C$12)&gt;0, "2", "3"), 0), COUNTIF($D$12:$E$12, M$2)&gt;0, VLOOKUP($J104,'Gear Values'!$A$2:$E$13, IF(COUNTBLANK('Attributes &amp; Prefixes'!$B$12:$C$12)&gt;0, "4", "5"), 0)), "")</f>
        <v>45</v>
      </c>
      <c r="N104" s="137" t="str" cm="1">
        <f t="array" ref="N104">IF(COUNTIF($B$12:$E$12, N$2)&gt;0, _xlfn.IFS(COUNTIF($B$12:$C$12, N$2)&gt;0, VLOOKUP($J104,'Gear Values'!$A$2:$E$13, IF(COUNTBLANK('Attributes &amp; Prefixes'!$B$12:$C$12)&gt;0, "2", "3"), 0), COUNTIF($D$12:$E$12, N$2)&gt;0, VLOOKUP($J104,'Gear Values'!$A$2:$E$13, IF(COUNTBLANK('Attributes &amp; Prefixes'!$B$12:$C$12)&gt;0, "4", "5"), 0)), "")</f>
        <v/>
      </c>
      <c r="O104" s="137" t="str" cm="1">
        <f t="array" ref="O104">IF(COUNTIF($B$12:$E$12, O$2)&gt;0, _xlfn.IFS(COUNTIF($B$12:$C$12, O$2)&gt;0, VLOOKUP($J104,'Gear Values'!$A$2:$E$13, IF(COUNTBLANK('Attributes &amp; Prefixes'!$B$12:$C$12)&gt;0, "2", "3"), 0), COUNTIF($D$12:$E$12, O$2)&gt;0, VLOOKUP($J104,'Gear Values'!$A$2:$E$13, IF(COUNTBLANK('Attributes &amp; Prefixes'!$B$12:$C$12)&gt;0, "4", "5"), 0)), "")</f>
        <v/>
      </c>
      <c r="P104" s="137" t="str" cm="1">
        <f t="array" ref="P104">IF(COUNTIF($B$12:$E$12, P$2)&gt;0, _xlfn.IFS(COUNTIF($B$12:$C$12, P$2)&gt;0, VLOOKUP($J104,'Gear Values'!$A$2:$E$13, IF(COUNTBLANK('Attributes &amp; Prefixes'!$B$12:$C$12)&gt;0, "2", "3"), 0), COUNTIF($D$12:$E$12, P$2)&gt;0, VLOOKUP($J104,'Gear Values'!$A$2:$E$13, IF(COUNTBLANK('Attributes &amp; Prefixes'!$B$12:$C$12)&gt;0, "4", "5"), 0)), "")</f>
        <v/>
      </c>
      <c r="Q104" s="137" t="str" cm="1">
        <f t="array" ref="Q104">IF(COUNTIF($B$12:$E$12, Q$2)&gt;0, _xlfn.IFS(COUNTIF($B$12:$C$12, Q$2)&gt;0, VLOOKUP($J104,'Gear Values'!$A$2:$E$13, IF(COUNTBLANK('Attributes &amp; Prefixes'!$B$12:$C$12)&gt;0, "2", "3"), 0), COUNTIF($D$12:$E$12, Q$2)&gt;0, VLOOKUP($J104,'Gear Values'!$A$2:$E$13, IF(COUNTBLANK('Attributes &amp; Prefixes'!$B$12:$C$12)&gt;0, "4", "5"), 0)), "")</f>
        <v/>
      </c>
      <c r="R104" s="137" cm="1">
        <f t="array" ref="R104">IF(COUNTIF($B$12:$E$12, R$2)&gt;0, _xlfn.IFS(COUNTIF($B$12:$C$12, R$2)&gt;0, VLOOKUP($J104,'Gear Values'!$A$2:$E$13, IF(COUNTBLANK('Attributes &amp; Prefixes'!$B$12:$C$12)&gt;0, "2", "3"), 0), COUNTIF($D$12:$E$12, R$2)&gt;0, VLOOKUP($J104,'Gear Values'!$A$2:$E$13, IF(COUNTBLANK('Attributes &amp; Prefixes'!$B$12:$C$12)&gt;0, "4", "5"), 0)), "")</f>
        <v>32</v>
      </c>
      <c r="S104" s="140" t="str" cm="1">
        <f t="array" ref="S104">IF(COUNTIF($B$12:$E$12, S$2)&gt;0, _xlfn.IFS(COUNTIF($B$12:$C$12, S$2)&gt;0, VLOOKUP($J104,'Gear Values'!$A$2:$E$13, IF(COUNTBLANK('Attributes &amp; Prefixes'!$B$12:$C$12)&gt;0, "2", "3"), 0), COUNTIF($D$12:$E$12, S$2)&gt;0, VLOOKUP($J104,'Gear Values'!$A$2:$E$13, IF(COUNTBLANK('Attributes &amp; Prefixes'!$B$12:$C$12)&gt;0, "4", "5"), 0)), "")</f>
        <v/>
      </c>
      <c r="V104" s="112"/>
      <c r="W104" s="113"/>
    </row>
    <row r="105" spans="6:23">
      <c r="F105" s="114"/>
      <c r="G105" s="114"/>
      <c r="H105" s="130" t="str">
        <f>_xlfn.CONCAT(I$99,J105)</f>
        <v>CavalierLegs</v>
      </c>
      <c r="I105" s="520"/>
      <c r="J105" s="144" t="s">
        <v>47</v>
      </c>
      <c r="K105" s="136" cm="1">
        <f t="array" ref="K105">IF(COUNTIF($B$12:$E$12, K$2)&gt;0, _xlfn.IFS(COUNTIF($B$12:$C$12, K$2)&gt;0, VLOOKUP($J105,'Gear Values'!$A$2:$E$13, IF(COUNTBLANK('Attributes &amp; Prefixes'!$B$12:$C$12)&gt;0, "2", "3"), 0), COUNTIF($D$12:$E$12, K$2)&gt;0, VLOOKUP($J105,'Gear Values'!$A$2:$E$13, IF(COUNTBLANK('Attributes &amp; Prefixes'!$B$12:$C$12)&gt;0, "4", "5"), 0)), "")</f>
        <v>64</v>
      </c>
      <c r="L105" s="137" t="str" cm="1">
        <f t="array" ref="L105">IF(COUNTIF($B$12:$E$12, L$2)&gt;0, _xlfn.IFS(COUNTIF($B$12:$C$12, L$2)&gt;0, VLOOKUP($J105,'Gear Values'!$A$2:$E$13, IF(COUNTBLANK('Attributes &amp; Prefixes'!$B$12:$C$12)&gt;0, "2", "3"), 0), COUNTIF($D$12:$E$12, L$2)&gt;0, VLOOKUP($J105,'Gear Values'!$A$2:$E$13, IF(COUNTBLANK('Attributes &amp; Prefixes'!$B$12:$C$12)&gt;0, "4", "5"), 0)), "")</f>
        <v/>
      </c>
      <c r="M105" s="137" cm="1">
        <f t="array" ref="M105">IF(COUNTIF($B$12:$E$12, M$2)&gt;0, _xlfn.IFS(COUNTIF($B$12:$C$12, M$2)&gt;0, VLOOKUP($J105,'Gear Values'!$A$2:$E$13, IF(COUNTBLANK('Attributes &amp; Prefixes'!$B$12:$C$12)&gt;0, "2", "3"), 0), COUNTIF($D$12:$E$12, M$2)&gt;0, VLOOKUP($J105,'Gear Values'!$A$2:$E$13, IF(COUNTBLANK('Attributes &amp; Prefixes'!$B$12:$C$12)&gt;0, "4", "5"), 0)), "")</f>
        <v>90</v>
      </c>
      <c r="N105" s="137" t="str" cm="1">
        <f t="array" ref="N105">IF(COUNTIF($B$12:$E$12, N$2)&gt;0, _xlfn.IFS(COUNTIF($B$12:$C$12, N$2)&gt;0, VLOOKUP($J105,'Gear Values'!$A$2:$E$13, IF(COUNTBLANK('Attributes &amp; Prefixes'!$B$12:$C$12)&gt;0, "2", "3"), 0), COUNTIF($D$12:$E$12, N$2)&gt;0, VLOOKUP($J105,'Gear Values'!$A$2:$E$13, IF(COUNTBLANK('Attributes &amp; Prefixes'!$B$12:$C$12)&gt;0, "4", "5"), 0)), "")</f>
        <v/>
      </c>
      <c r="O105" s="137" t="str" cm="1">
        <f t="array" ref="O105">IF(COUNTIF($B$12:$E$12, O$2)&gt;0, _xlfn.IFS(COUNTIF($B$12:$C$12, O$2)&gt;0, VLOOKUP($J105,'Gear Values'!$A$2:$E$13, IF(COUNTBLANK('Attributes &amp; Prefixes'!$B$12:$C$12)&gt;0, "2", "3"), 0), COUNTIF($D$12:$E$12, O$2)&gt;0, VLOOKUP($J105,'Gear Values'!$A$2:$E$13, IF(COUNTBLANK('Attributes &amp; Prefixes'!$B$12:$C$12)&gt;0, "4", "5"), 0)), "")</f>
        <v/>
      </c>
      <c r="P105" s="137" t="str" cm="1">
        <f t="array" ref="P105">IF(COUNTIF($B$12:$E$12, P$2)&gt;0, _xlfn.IFS(COUNTIF($B$12:$C$12, P$2)&gt;0, VLOOKUP($J105,'Gear Values'!$A$2:$E$13, IF(COUNTBLANK('Attributes &amp; Prefixes'!$B$12:$C$12)&gt;0, "2", "3"), 0), COUNTIF($D$12:$E$12, P$2)&gt;0, VLOOKUP($J105,'Gear Values'!$A$2:$E$13, IF(COUNTBLANK('Attributes &amp; Prefixes'!$B$12:$C$12)&gt;0, "4", "5"), 0)), "")</f>
        <v/>
      </c>
      <c r="Q105" s="137" t="str" cm="1">
        <f t="array" ref="Q105">IF(COUNTIF($B$12:$E$12, Q$2)&gt;0, _xlfn.IFS(COUNTIF($B$12:$C$12, Q$2)&gt;0, VLOOKUP($J105,'Gear Values'!$A$2:$E$13, IF(COUNTBLANK('Attributes &amp; Prefixes'!$B$12:$C$12)&gt;0, "2", "3"), 0), COUNTIF($D$12:$E$12, Q$2)&gt;0, VLOOKUP($J105,'Gear Values'!$A$2:$E$13, IF(COUNTBLANK('Attributes &amp; Prefixes'!$B$12:$C$12)&gt;0, "4", "5"), 0)), "")</f>
        <v/>
      </c>
      <c r="R105" s="137" cm="1">
        <f t="array" ref="R105">IF(COUNTIF($B$12:$E$12, R$2)&gt;0, _xlfn.IFS(COUNTIF($B$12:$C$12, R$2)&gt;0, VLOOKUP($J105,'Gear Values'!$A$2:$E$13, IF(COUNTBLANK('Attributes &amp; Prefixes'!$B$12:$C$12)&gt;0, "2", "3"), 0), COUNTIF($D$12:$E$12, R$2)&gt;0, VLOOKUP($J105,'Gear Values'!$A$2:$E$13, IF(COUNTBLANK('Attributes &amp; Prefixes'!$B$12:$C$12)&gt;0, "4", "5"), 0)), "")</f>
        <v>64</v>
      </c>
      <c r="S105" s="140" t="str" cm="1">
        <f t="array" ref="S105">IF(COUNTIF($B$12:$E$12, S$2)&gt;0, _xlfn.IFS(COUNTIF($B$12:$C$12, S$2)&gt;0, VLOOKUP($J105,'Gear Values'!$A$2:$E$13, IF(COUNTBLANK('Attributes &amp; Prefixes'!$B$12:$C$12)&gt;0, "2", "3"), 0), COUNTIF($D$12:$E$12, S$2)&gt;0, VLOOKUP($J105,'Gear Values'!$A$2:$E$13, IF(COUNTBLANK('Attributes &amp; Prefixes'!$B$12:$C$12)&gt;0, "4", "5"), 0)), "")</f>
        <v/>
      </c>
      <c r="V105" s="112"/>
      <c r="W105" s="113"/>
    </row>
    <row r="106" spans="6:23">
      <c r="F106" s="114"/>
      <c r="G106" s="114"/>
      <c r="H106" s="130" t="str">
        <f>_xlfn.CONCAT(I$99,J106)</f>
        <v>CavalierFeet</v>
      </c>
      <c r="I106" s="520"/>
      <c r="J106" s="144" t="s">
        <v>48</v>
      </c>
      <c r="K106" s="136" cm="1">
        <f t="array" ref="K106">IF(COUNTIF($B$12:$E$12, K$2)&gt;0, _xlfn.IFS(COUNTIF($B$12:$C$12, K$2)&gt;0, VLOOKUP($J106,'Gear Values'!$A$2:$E$13, IF(COUNTBLANK('Attributes &amp; Prefixes'!$B$12:$C$12)&gt;0, "2", "3"), 0), COUNTIF($D$12:$E$12, K$2)&gt;0, VLOOKUP($J106,'Gear Values'!$A$2:$E$13, IF(COUNTBLANK('Attributes &amp; Prefixes'!$B$12:$C$12)&gt;0, "4", "5"), 0)), "")</f>
        <v>32</v>
      </c>
      <c r="L106" s="137" t="str" cm="1">
        <f t="array" ref="L106">IF(COUNTIF($B$12:$E$12, L$2)&gt;0, _xlfn.IFS(COUNTIF($B$12:$C$12, L$2)&gt;0, VLOOKUP($J106,'Gear Values'!$A$2:$E$13, IF(COUNTBLANK('Attributes &amp; Prefixes'!$B$12:$C$12)&gt;0, "2", "3"), 0), COUNTIF($D$12:$E$12, L$2)&gt;0, VLOOKUP($J106,'Gear Values'!$A$2:$E$13, IF(COUNTBLANK('Attributes &amp; Prefixes'!$B$12:$C$12)&gt;0, "4", "5"), 0)), "")</f>
        <v/>
      </c>
      <c r="M106" s="137" cm="1">
        <f t="array" ref="M106">IF(COUNTIF($B$12:$E$12, M$2)&gt;0, _xlfn.IFS(COUNTIF($B$12:$C$12, M$2)&gt;0, VLOOKUP($J106,'Gear Values'!$A$2:$E$13, IF(COUNTBLANK('Attributes &amp; Prefixes'!$B$12:$C$12)&gt;0, "2", "3"), 0), COUNTIF($D$12:$E$12, M$2)&gt;0, VLOOKUP($J106,'Gear Values'!$A$2:$E$13, IF(COUNTBLANK('Attributes &amp; Prefixes'!$B$12:$C$12)&gt;0, "4", "5"), 0)), "")</f>
        <v>45</v>
      </c>
      <c r="N106" s="137" t="str" cm="1">
        <f t="array" ref="N106">IF(COUNTIF($B$12:$E$12, N$2)&gt;0, _xlfn.IFS(COUNTIF($B$12:$C$12, N$2)&gt;0, VLOOKUP($J106,'Gear Values'!$A$2:$E$13, IF(COUNTBLANK('Attributes &amp; Prefixes'!$B$12:$C$12)&gt;0, "2", "3"), 0), COUNTIF($D$12:$E$12, N$2)&gt;0, VLOOKUP($J106,'Gear Values'!$A$2:$E$13, IF(COUNTBLANK('Attributes &amp; Prefixes'!$B$12:$C$12)&gt;0, "4", "5"), 0)), "")</f>
        <v/>
      </c>
      <c r="O106" s="137" t="str" cm="1">
        <f t="array" ref="O106">IF(COUNTIF($B$12:$E$12, O$2)&gt;0, _xlfn.IFS(COUNTIF($B$12:$C$12, O$2)&gt;0, VLOOKUP($J106,'Gear Values'!$A$2:$E$13, IF(COUNTBLANK('Attributes &amp; Prefixes'!$B$12:$C$12)&gt;0, "2", "3"), 0), COUNTIF($D$12:$E$12, O$2)&gt;0, VLOOKUP($J106,'Gear Values'!$A$2:$E$13, IF(COUNTBLANK('Attributes &amp; Prefixes'!$B$12:$C$12)&gt;0, "4", "5"), 0)), "")</f>
        <v/>
      </c>
      <c r="P106" s="137" t="str" cm="1">
        <f t="array" ref="P106">IF(COUNTIF($B$12:$E$12, P$2)&gt;0, _xlfn.IFS(COUNTIF($B$12:$C$12, P$2)&gt;0, VLOOKUP($J106,'Gear Values'!$A$2:$E$13, IF(COUNTBLANK('Attributes &amp; Prefixes'!$B$12:$C$12)&gt;0, "2", "3"), 0), COUNTIF($D$12:$E$12, P$2)&gt;0, VLOOKUP($J106,'Gear Values'!$A$2:$E$13, IF(COUNTBLANK('Attributes &amp; Prefixes'!$B$12:$C$12)&gt;0, "4", "5"), 0)), "")</f>
        <v/>
      </c>
      <c r="Q106" s="137" t="str" cm="1">
        <f t="array" ref="Q106">IF(COUNTIF($B$12:$E$12, Q$2)&gt;0, _xlfn.IFS(COUNTIF($B$12:$C$12, Q$2)&gt;0, VLOOKUP($J106,'Gear Values'!$A$2:$E$13, IF(COUNTBLANK('Attributes &amp; Prefixes'!$B$12:$C$12)&gt;0, "2", "3"), 0), COUNTIF($D$12:$E$12, Q$2)&gt;0, VLOOKUP($J106,'Gear Values'!$A$2:$E$13, IF(COUNTBLANK('Attributes &amp; Prefixes'!$B$12:$C$12)&gt;0, "4", "5"), 0)), "")</f>
        <v/>
      </c>
      <c r="R106" s="137" cm="1">
        <f t="array" ref="R106">IF(COUNTIF($B$12:$E$12, R$2)&gt;0, _xlfn.IFS(COUNTIF($B$12:$C$12, R$2)&gt;0, VLOOKUP($J106,'Gear Values'!$A$2:$E$13, IF(COUNTBLANK('Attributes &amp; Prefixes'!$B$12:$C$12)&gt;0, "2", "3"), 0), COUNTIF($D$12:$E$12, R$2)&gt;0, VLOOKUP($J106,'Gear Values'!$A$2:$E$13, IF(COUNTBLANK('Attributes &amp; Prefixes'!$B$12:$C$12)&gt;0, "4", "5"), 0)), "")</f>
        <v>32</v>
      </c>
      <c r="S106" s="140" t="str" cm="1">
        <f t="array" ref="S106">IF(COUNTIF($B$12:$E$12, S$2)&gt;0, _xlfn.IFS(COUNTIF($B$12:$C$12, S$2)&gt;0, VLOOKUP($J106,'Gear Values'!$A$2:$E$13, IF(COUNTBLANK('Attributes &amp; Prefixes'!$B$12:$C$12)&gt;0, "2", "3"), 0), COUNTIF($D$12:$E$12, S$2)&gt;0, VLOOKUP($J106,'Gear Values'!$A$2:$E$13, IF(COUNTBLANK('Attributes &amp; Prefixes'!$B$12:$C$12)&gt;0, "4", "5"), 0)), "")</f>
        <v/>
      </c>
      <c r="V106" s="112"/>
      <c r="W106" s="113"/>
    </row>
    <row r="107" spans="6:23">
      <c r="F107" s="114"/>
      <c r="G107" s="114"/>
      <c r="H107" s="130" t="str">
        <f>_xlfn.CONCAT(I$99,J107)</f>
        <v>CavalierEar</v>
      </c>
      <c r="I107" s="520"/>
      <c r="J107" s="144" t="s">
        <v>49</v>
      </c>
      <c r="K107" s="136" cm="1">
        <f t="array" ref="K107">IF(COUNTIF($B$12:$E$12, K$2)&gt;0, _xlfn.IFS(COUNTIF($B$12:$C$12, K$2)&gt;0, VLOOKUP($J107,'Gear Values'!$A$2:$E$13, IF(COUNTBLANK('Attributes &amp; Prefixes'!$B$12:$C$12)&gt;0, "2", "3"), 0), COUNTIF($D$12:$E$12, K$2)&gt;0, VLOOKUP($J107,'Gear Values'!$A$2:$E$13, IF(COUNTBLANK('Attributes &amp; Prefixes'!$B$12:$C$12)&gt;0, "4", "5"), 0)), "")</f>
        <v>53</v>
      </c>
      <c r="L107" s="137" t="str" cm="1">
        <f t="array" ref="L107">IF(COUNTIF($B$12:$E$12, L$2)&gt;0, _xlfn.IFS(COUNTIF($B$12:$C$12, L$2)&gt;0, VLOOKUP($J107,'Gear Values'!$A$2:$E$13, IF(COUNTBLANK('Attributes &amp; Prefixes'!$B$12:$C$12)&gt;0, "2", "3"), 0), COUNTIF($D$12:$E$12, L$2)&gt;0, VLOOKUP($J107,'Gear Values'!$A$2:$E$13, IF(COUNTBLANK('Attributes &amp; Prefixes'!$B$12:$C$12)&gt;0, "4", "5"), 0)), "")</f>
        <v/>
      </c>
      <c r="M107" s="137" cm="1">
        <f t="array" ref="M107">IF(COUNTIF($B$12:$E$12, M$2)&gt;0, _xlfn.IFS(COUNTIF($B$12:$C$12, M$2)&gt;0, VLOOKUP($J107,'Gear Values'!$A$2:$E$13, IF(COUNTBLANK('Attributes &amp; Prefixes'!$B$12:$C$12)&gt;0, "2", "3"), 0), COUNTIF($D$12:$E$12, M$2)&gt;0, VLOOKUP($J107,'Gear Values'!$A$2:$E$13, IF(COUNTBLANK('Attributes &amp; Prefixes'!$B$12:$C$12)&gt;0, "4", "5"), 0)), "")</f>
        <v>75</v>
      </c>
      <c r="N107" s="137" t="str" cm="1">
        <f t="array" ref="N107">IF(COUNTIF($B$12:$E$12, N$2)&gt;0, _xlfn.IFS(COUNTIF($B$12:$C$12, N$2)&gt;0, VLOOKUP($J107,'Gear Values'!$A$2:$E$13, IF(COUNTBLANK('Attributes &amp; Prefixes'!$B$12:$C$12)&gt;0, "2", "3"), 0), COUNTIF($D$12:$E$12, N$2)&gt;0, VLOOKUP($J107,'Gear Values'!$A$2:$E$13, IF(COUNTBLANK('Attributes &amp; Prefixes'!$B$12:$C$12)&gt;0, "4", "5"), 0)), "")</f>
        <v/>
      </c>
      <c r="O107" s="137" t="str" cm="1">
        <f t="array" ref="O107">IF(COUNTIF($B$12:$E$12, O$2)&gt;0, _xlfn.IFS(COUNTIF($B$12:$C$12, O$2)&gt;0, VLOOKUP($J107,'Gear Values'!$A$2:$E$13, IF(COUNTBLANK('Attributes &amp; Prefixes'!$B$12:$C$12)&gt;0, "2", "3"), 0), COUNTIF($D$12:$E$12, O$2)&gt;0, VLOOKUP($J107,'Gear Values'!$A$2:$E$13, IF(COUNTBLANK('Attributes &amp; Prefixes'!$B$12:$C$12)&gt;0, "4", "5"), 0)), "")</f>
        <v/>
      </c>
      <c r="P107" s="137" t="str" cm="1">
        <f t="array" ref="P107">IF(COUNTIF($B$12:$E$12, P$2)&gt;0, _xlfn.IFS(COUNTIF($B$12:$C$12, P$2)&gt;0, VLOOKUP($J107,'Gear Values'!$A$2:$E$13, IF(COUNTBLANK('Attributes &amp; Prefixes'!$B$12:$C$12)&gt;0, "2", "3"), 0), COUNTIF($D$12:$E$12, P$2)&gt;0, VLOOKUP($J107,'Gear Values'!$A$2:$E$13, IF(COUNTBLANK('Attributes &amp; Prefixes'!$B$12:$C$12)&gt;0, "4", "5"), 0)), "")</f>
        <v/>
      </c>
      <c r="Q107" s="137" t="str" cm="1">
        <f t="array" ref="Q107">IF(COUNTIF($B$12:$E$12, Q$2)&gt;0, _xlfn.IFS(COUNTIF($B$12:$C$12, Q$2)&gt;0, VLOOKUP($J107,'Gear Values'!$A$2:$E$13, IF(COUNTBLANK('Attributes &amp; Prefixes'!$B$12:$C$12)&gt;0, "2", "3"), 0), COUNTIF($D$12:$E$12, Q$2)&gt;0, VLOOKUP($J107,'Gear Values'!$A$2:$E$13, IF(COUNTBLANK('Attributes &amp; Prefixes'!$B$12:$C$12)&gt;0, "4", "5"), 0)), "")</f>
        <v/>
      </c>
      <c r="R107" s="137" cm="1">
        <f t="array" ref="R107">IF(COUNTIF($B$12:$E$12, R$2)&gt;0, _xlfn.IFS(COUNTIF($B$12:$C$12, R$2)&gt;0, VLOOKUP($J107,'Gear Values'!$A$2:$E$13, IF(COUNTBLANK('Attributes &amp; Prefixes'!$B$12:$C$12)&gt;0, "2", "3"), 0), COUNTIF($D$12:$E$12, R$2)&gt;0, VLOOKUP($J107,'Gear Values'!$A$2:$E$13, IF(COUNTBLANK('Attributes &amp; Prefixes'!$B$12:$C$12)&gt;0, "4", "5"), 0)), "")</f>
        <v>53</v>
      </c>
      <c r="S107" s="140" t="str" cm="1">
        <f t="array" ref="S107">IF(COUNTIF($B$12:$E$12, S$2)&gt;0, _xlfn.IFS(COUNTIF($B$12:$C$12, S$2)&gt;0, VLOOKUP($J107,'Gear Values'!$A$2:$E$13, IF(COUNTBLANK('Attributes &amp; Prefixes'!$B$12:$C$12)&gt;0, "2", "3"), 0), COUNTIF($D$12:$E$12, S$2)&gt;0, VLOOKUP($J107,'Gear Values'!$A$2:$E$13, IF(COUNTBLANK('Attributes &amp; Prefixes'!$B$12:$C$12)&gt;0, "4", "5"), 0)), "")</f>
        <v/>
      </c>
      <c r="V107" s="112"/>
      <c r="W107" s="113"/>
    </row>
    <row r="108" spans="6:23">
      <c r="F108" s="114"/>
      <c r="G108" s="114"/>
      <c r="H108" s="130" t="str">
        <f>_xlfn.CONCAT(I$99,J108)</f>
        <v>CavalierFinger</v>
      </c>
      <c r="I108" s="520"/>
      <c r="J108" s="144" t="s">
        <v>51</v>
      </c>
      <c r="K108" s="136" cm="1">
        <f t="array" ref="K108">IF(COUNTIF($B$12:$E$12, K$2)&gt;0, _xlfn.IFS(COUNTIF($B$12:$C$12, K$2)&gt;0, VLOOKUP($J108,'Gear Values'!$A$2:$E$13, IF(COUNTBLANK('Attributes &amp; Prefixes'!$B$12:$C$12)&gt;0, "2", "3"), 0), COUNTIF($D$12:$E$12, K$2)&gt;0, VLOOKUP($J108,'Gear Values'!$A$2:$E$13, IF(COUNTBLANK('Attributes &amp; Prefixes'!$B$12:$C$12)&gt;0, "4", "5"), 0)), "")</f>
        <v>64</v>
      </c>
      <c r="L108" s="137" t="str" cm="1">
        <f t="array" ref="L108">IF(COUNTIF($B$12:$E$12, L$2)&gt;0, _xlfn.IFS(COUNTIF($B$12:$C$12, L$2)&gt;0, VLOOKUP($J108,'Gear Values'!$A$2:$E$13, IF(COUNTBLANK('Attributes &amp; Prefixes'!$B$12:$C$12)&gt;0, "2", "3"), 0), COUNTIF($D$12:$E$12, L$2)&gt;0, VLOOKUP($J108,'Gear Values'!$A$2:$E$13, IF(COUNTBLANK('Attributes &amp; Prefixes'!$B$12:$C$12)&gt;0, "4", "5"), 0)), "")</f>
        <v/>
      </c>
      <c r="M108" s="137" cm="1">
        <f t="array" ref="M108">IF(COUNTIF($B$12:$E$12, M$2)&gt;0, _xlfn.IFS(COUNTIF($B$12:$C$12, M$2)&gt;0, VLOOKUP($J108,'Gear Values'!$A$2:$E$13, IF(COUNTBLANK('Attributes &amp; Prefixes'!$B$12:$C$12)&gt;0, "2", "3"), 0), COUNTIF($D$12:$E$12, M$2)&gt;0, VLOOKUP($J108,'Gear Values'!$A$2:$E$13, IF(COUNTBLANK('Attributes &amp; Prefixes'!$B$12:$C$12)&gt;0, "4", "5"), 0)), "")</f>
        <v>90</v>
      </c>
      <c r="N108" s="137" t="str" cm="1">
        <f t="array" ref="N108">IF(COUNTIF($B$12:$E$12, N$2)&gt;0, _xlfn.IFS(COUNTIF($B$12:$C$12, N$2)&gt;0, VLOOKUP($J108,'Gear Values'!$A$2:$E$13, IF(COUNTBLANK('Attributes &amp; Prefixes'!$B$12:$C$12)&gt;0, "2", "3"), 0), COUNTIF($D$12:$E$12, N$2)&gt;0, VLOOKUP($J108,'Gear Values'!$A$2:$E$13, IF(COUNTBLANK('Attributes &amp; Prefixes'!$B$12:$C$12)&gt;0, "4", "5"), 0)), "")</f>
        <v/>
      </c>
      <c r="O108" s="137" t="str" cm="1">
        <f t="array" ref="O108">IF(COUNTIF($B$12:$E$12, O$2)&gt;0, _xlfn.IFS(COUNTIF($B$12:$C$12, O$2)&gt;0, VLOOKUP($J108,'Gear Values'!$A$2:$E$13, IF(COUNTBLANK('Attributes &amp; Prefixes'!$B$12:$C$12)&gt;0, "2", "3"), 0), COUNTIF($D$12:$E$12, O$2)&gt;0, VLOOKUP($J108,'Gear Values'!$A$2:$E$13, IF(COUNTBLANK('Attributes &amp; Prefixes'!$B$12:$C$12)&gt;0, "4", "5"), 0)), "")</f>
        <v/>
      </c>
      <c r="P108" s="137" t="str" cm="1">
        <f t="array" ref="P108">IF(COUNTIF($B$12:$E$12, P$2)&gt;0, _xlfn.IFS(COUNTIF($B$12:$C$12, P$2)&gt;0, VLOOKUP($J108,'Gear Values'!$A$2:$E$13, IF(COUNTBLANK('Attributes &amp; Prefixes'!$B$12:$C$12)&gt;0, "2", "3"), 0), COUNTIF($D$12:$E$12, P$2)&gt;0, VLOOKUP($J108,'Gear Values'!$A$2:$E$13, IF(COUNTBLANK('Attributes &amp; Prefixes'!$B$12:$C$12)&gt;0, "4", "5"), 0)), "")</f>
        <v/>
      </c>
      <c r="Q108" s="137" t="str" cm="1">
        <f t="array" ref="Q108">IF(COUNTIF($B$12:$E$12, Q$2)&gt;0, _xlfn.IFS(COUNTIF($B$12:$C$12, Q$2)&gt;0, VLOOKUP($J108,'Gear Values'!$A$2:$E$13, IF(COUNTBLANK('Attributes &amp; Prefixes'!$B$12:$C$12)&gt;0, "2", "3"), 0), COUNTIF($D$12:$E$12, Q$2)&gt;0, VLOOKUP($J108,'Gear Values'!$A$2:$E$13, IF(COUNTBLANK('Attributes &amp; Prefixes'!$B$12:$C$12)&gt;0, "4", "5"), 0)), "")</f>
        <v/>
      </c>
      <c r="R108" s="137" cm="1">
        <f t="array" ref="R108">IF(COUNTIF($B$12:$E$12, R$2)&gt;0, _xlfn.IFS(COUNTIF($B$12:$C$12, R$2)&gt;0, VLOOKUP($J108,'Gear Values'!$A$2:$E$13, IF(COUNTBLANK('Attributes &amp; Prefixes'!$B$12:$C$12)&gt;0, "2", "3"), 0), COUNTIF($D$12:$E$12, R$2)&gt;0, VLOOKUP($J108,'Gear Values'!$A$2:$E$13, IF(COUNTBLANK('Attributes &amp; Prefixes'!$B$12:$C$12)&gt;0, "4", "5"), 0)), "")</f>
        <v>64</v>
      </c>
      <c r="S108" s="140" t="str" cm="1">
        <f t="array" ref="S108">IF(COUNTIF($B$12:$E$12, S$2)&gt;0, _xlfn.IFS(COUNTIF($B$12:$C$12, S$2)&gt;0, VLOOKUP($J108,'Gear Values'!$A$2:$E$13, IF(COUNTBLANK('Attributes &amp; Prefixes'!$B$12:$C$12)&gt;0, "2", "3"), 0), COUNTIF($D$12:$E$12, S$2)&gt;0, VLOOKUP($J108,'Gear Values'!$A$2:$E$13, IF(COUNTBLANK('Attributes &amp; Prefixes'!$B$12:$C$12)&gt;0, "4", "5"), 0)), "")</f>
        <v/>
      </c>
      <c r="V108" s="112"/>
      <c r="W108" s="113"/>
    </row>
    <row r="109" spans="6:23">
      <c r="F109" s="114"/>
      <c r="G109" s="114"/>
      <c r="H109" s="130" t="str">
        <f>_xlfn.CONCAT(I$99,J109)</f>
        <v>CavalierNeck</v>
      </c>
      <c r="I109" s="520"/>
      <c r="J109" s="144" t="s">
        <v>52</v>
      </c>
      <c r="K109" s="136" cm="1">
        <f t="array" ref="K109">IF(COUNTIF($B$12:$E$12, K$2)&gt;0, _xlfn.IFS(COUNTIF($B$12:$C$12, K$2)&gt;0, VLOOKUP($J109,'Gear Values'!$A$2:$E$13, IF(COUNTBLANK('Attributes &amp; Prefixes'!$B$12:$C$12)&gt;0, "2", "3"), 0), COUNTIF($D$12:$E$12, K$2)&gt;0, VLOOKUP($J109,'Gear Values'!$A$2:$E$13, IF(COUNTBLANK('Attributes &amp; Prefixes'!$B$12:$C$12)&gt;0, "4", "5"), 0)), "")</f>
        <v>85</v>
      </c>
      <c r="L109" s="137" t="str" cm="1">
        <f t="array" ref="L109">IF(COUNTIF($B$12:$E$12, L$2)&gt;0, _xlfn.IFS(COUNTIF($B$12:$C$12, L$2)&gt;0, VLOOKUP($J109,'Gear Values'!$A$2:$E$13, IF(COUNTBLANK('Attributes &amp; Prefixes'!$B$12:$C$12)&gt;0, "2", "3"), 0), COUNTIF($D$12:$E$12, L$2)&gt;0, VLOOKUP($J109,'Gear Values'!$A$2:$E$13, IF(COUNTBLANK('Attributes &amp; Prefixes'!$B$12:$C$12)&gt;0, "4", "5"), 0)), "")</f>
        <v/>
      </c>
      <c r="M109" s="137" cm="1">
        <f t="array" ref="M109">IF(COUNTIF($B$12:$E$12, M$2)&gt;0, _xlfn.IFS(COUNTIF($B$12:$C$12, M$2)&gt;0, VLOOKUP($J109,'Gear Values'!$A$2:$E$13, IF(COUNTBLANK('Attributes &amp; Prefixes'!$B$12:$C$12)&gt;0, "2", "3"), 0), COUNTIF($D$12:$E$12, M$2)&gt;0, VLOOKUP($J109,'Gear Values'!$A$2:$E$13, IF(COUNTBLANK('Attributes &amp; Prefixes'!$B$12:$C$12)&gt;0, "4", "5"), 0)), "")</f>
        <v>120</v>
      </c>
      <c r="N109" s="137" t="str" cm="1">
        <f t="array" ref="N109">IF(COUNTIF($B$12:$E$12, N$2)&gt;0, _xlfn.IFS(COUNTIF($B$12:$C$12, N$2)&gt;0, VLOOKUP($J109,'Gear Values'!$A$2:$E$13, IF(COUNTBLANK('Attributes &amp; Prefixes'!$B$12:$C$12)&gt;0, "2", "3"), 0), COUNTIF($D$12:$E$12, N$2)&gt;0, VLOOKUP($J109,'Gear Values'!$A$2:$E$13, IF(COUNTBLANK('Attributes &amp; Prefixes'!$B$12:$C$12)&gt;0, "4", "5"), 0)), "")</f>
        <v/>
      </c>
      <c r="O109" s="137" t="str" cm="1">
        <f t="array" ref="O109">IF(COUNTIF($B$12:$E$12, O$2)&gt;0, _xlfn.IFS(COUNTIF($B$12:$C$12, O$2)&gt;0, VLOOKUP($J109,'Gear Values'!$A$2:$E$13, IF(COUNTBLANK('Attributes &amp; Prefixes'!$B$12:$C$12)&gt;0, "2", "3"), 0), COUNTIF($D$12:$E$12, O$2)&gt;0, VLOOKUP($J109,'Gear Values'!$A$2:$E$13, IF(COUNTBLANK('Attributes &amp; Prefixes'!$B$12:$C$12)&gt;0, "4", "5"), 0)), "")</f>
        <v/>
      </c>
      <c r="P109" s="137" t="str" cm="1">
        <f t="array" ref="P109">IF(COUNTIF($B$12:$E$12, P$2)&gt;0, _xlfn.IFS(COUNTIF($B$12:$C$12, P$2)&gt;0, VLOOKUP($J109,'Gear Values'!$A$2:$E$13, IF(COUNTBLANK('Attributes &amp; Prefixes'!$B$12:$C$12)&gt;0, "2", "3"), 0), COUNTIF($D$12:$E$12, P$2)&gt;0, VLOOKUP($J109,'Gear Values'!$A$2:$E$13, IF(COUNTBLANK('Attributes &amp; Prefixes'!$B$12:$C$12)&gt;0, "4", "5"), 0)), "")</f>
        <v/>
      </c>
      <c r="Q109" s="137" t="str" cm="1">
        <f t="array" ref="Q109">IF(COUNTIF($B$12:$E$12, Q$2)&gt;0, _xlfn.IFS(COUNTIF($B$12:$C$12, Q$2)&gt;0, VLOOKUP($J109,'Gear Values'!$A$2:$E$13, IF(COUNTBLANK('Attributes &amp; Prefixes'!$B$12:$C$12)&gt;0, "2", "3"), 0), COUNTIF($D$12:$E$12, Q$2)&gt;0, VLOOKUP($J109,'Gear Values'!$A$2:$E$13, IF(COUNTBLANK('Attributes &amp; Prefixes'!$B$12:$C$12)&gt;0, "4", "5"), 0)), "")</f>
        <v/>
      </c>
      <c r="R109" s="137" cm="1">
        <f t="array" ref="R109">IF(COUNTIF($B$12:$E$12, R$2)&gt;0, _xlfn.IFS(COUNTIF($B$12:$C$12, R$2)&gt;0, VLOOKUP($J109,'Gear Values'!$A$2:$E$13, IF(COUNTBLANK('Attributes &amp; Prefixes'!$B$12:$C$12)&gt;0, "2", "3"), 0), COUNTIF($D$12:$E$12, R$2)&gt;0, VLOOKUP($J109,'Gear Values'!$A$2:$E$13, IF(COUNTBLANK('Attributes &amp; Prefixes'!$B$12:$C$12)&gt;0, "4", "5"), 0)), "")</f>
        <v>85</v>
      </c>
      <c r="S109" s="140" t="str" cm="1">
        <f t="array" ref="S109">IF(COUNTIF($B$12:$E$12, S$2)&gt;0, _xlfn.IFS(COUNTIF($B$12:$C$12, S$2)&gt;0, VLOOKUP($J109,'Gear Values'!$A$2:$E$13, IF(COUNTBLANK('Attributes &amp; Prefixes'!$B$12:$C$12)&gt;0, "2", "3"), 0), COUNTIF($D$12:$E$12, S$2)&gt;0, VLOOKUP($J109,'Gear Values'!$A$2:$E$13, IF(COUNTBLANK('Attributes &amp; Prefixes'!$B$12:$C$12)&gt;0, "4", "5"), 0)), "")</f>
        <v/>
      </c>
      <c r="V109" s="112"/>
      <c r="W109" s="113"/>
    </row>
    <row r="110" spans="6:23">
      <c r="F110" s="114"/>
      <c r="G110" s="114"/>
      <c r="H110" s="130" t="str">
        <f>_xlfn.CONCAT(I$99,J110)</f>
        <v>CavalierBack</v>
      </c>
      <c r="I110" s="521"/>
      <c r="J110" s="146" t="s">
        <v>53</v>
      </c>
      <c r="K110" s="147" cm="1">
        <f t="array" ref="K110">IF(COUNTIF($B$12:$E$12, K$2)&gt;0, _xlfn.IFS(COUNTIF($B$12:$C$12, K$2)&gt;0, VLOOKUP($J110,'Gear Values'!$A$2:$E$13, IF(COUNTBLANK('Attributes &amp; Prefixes'!$B$12:$C$12)&gt;0, "2", "3"), 0), COUNTIF($D$12:$E$12, K$2)&gt;0, VLOOKUP($J110,'Gear Values'!$A$2:$E$13, IF(COUNTBLANK('Attributes &amp; Prefixes'!$B$12:$C$12)&gt;0, "4", "5"), 0)), "")</f>
        <v>18</v>
      </c>
      <c r="L110" s="148" t="str" cm="1">
        <f t="array" ref="L110">IF(COUNTIF($B$12:$E$12, L$2)&gt;0, _xlfn.IFS(COUNTIF($B$12:$C$12, L$2)&gt;0, VLOOKUP($J110,'Gear Values'!$A$2:$E$13, IF(COUNTBLANK('Attributes &amp; Prefixes'!$B$12:$C$12)&gt;0, "2", "3"), 0), COUNTIF($D$12:$E$12, L$2)&gt;0, VLOOKUP($J110,'Gear Values'!$A$2:$E$13, IF(COUNTBLANK('Attributes &amp; Prefixes'!$B$12:$C$12)&gt;0, "4", "5"), 0)), "")</f>
        <v/>
      </c>
      <c r="M110" s="148" cm="1">
        <f t="array" ref="M110">IF(COUNTIF($B$12:$E$12, M$2)&gt;0, _xlfn.IFS(COUNTIF($B$12:$C$12, M$2)&gt;0, VLOOKUP($J110,'Gear Values'!$A$2:$E$13, IF(COUNTBLANK('Attributes &amp; Prefixes'!$B$12:$C$12)&gt;0, "2", "3"), 0), COUNTIF($D$12:$E$12, M$2)&gt;0, VLOOKUP($J110,'Gear Values'!$A$2:$E$13, IF(COUNTBLANK('Attributes &amp; Prefixes'!$B$12:$C$12)&gt;0, "4", "5"), 0)), "")</f>
        <v>32</v>
      </c>
      <c r="N110" s="148" t="str" cm="1">
        <f t="array" ref="N110">IF(COUNTIF($B$12:$E$12, N$2)&gt;0, _xlfn.IFS(COUNTIF($B$12:$C$12, N$2)&gt;0, VLOOKUP($J110,'Gear Values'!$A$2:$E$13, IF(COUNTBLANK('Attributes &amp; Prefixes'!$B$12:$C$12)&gt;0, "2", "3"), 0), COUNTIF($D$12:$E$12, N$2)&gt;0, VLOOKUP($J110,'Gear Values'!$A$2:$E$13, IF(COUNTBLANK('Attributes &amp; Prefixes'!$B$12:$C$12)&gt;0, "4", "5"), 0)), "")</f>
        <v/>
      </c>
      <c r="O110" s="148" t="str" cm="1">
        <f t="array" ref="O110">IF(COUNTIF($B$12:$E$12, O$2)&gt;0, _xlfn.IFS(COUNTIF($B$12:$C$12, O$2)&gt;0, VLOOKUP($J110,'Gear Values'!$A$2:$E$13, IF(COUNTBLANK('Attributes &amp; Prefixes'!$B$12:$C$12)&gt;0, "2", "3"), 0), COUNTIF($D$12:$E$12, O$2)&gt;0, VLOOKUP($J110,'Gear Values'!$A$2:$E$13, IF(COUNTBLANK('Attributes &amp; Prefixes'!$B$12:$C$12)&gt;0, "4", "5"), 0)), "")</f>
        <v/>
      </c>
      <c r="P110" s="148" t="str" cm="1">
        <f t="array" ref="P110">IF(COUNTIF($B$12:$E$12, P$2)&gt;0, _xlfn.IFS(COUNTIF($B$12:$C$12, P$2)&gt;0, VLOOKUP($J110,'Gear Values'!$A$2:$E$13, IF(COUNTBLANK('Attributes &amp; Prefixes'!$B$12:$C$12)&gt;0, "2", "3"), 0), COUNTIF($D$12:$E$12, P$2)&gt;0, VLOOKUP($J110,'Gear Values'!$A$2:$E$13, IF(COUNTBLANK('Attributes &amp; Prefixes'!$B$12:$C$12)&gt;0, "4", "5"), 0)), "")</f>
        <v/>
      </c>
      <c r="Q110" s="148" t="str" cm="1">
        <f t="array" ref="Q110">IF(COUNTIF($B$12:$E$12, Q$2)&gt;0, _xlfn.IFS(COUNTIF($B$12:$C$12, Q$2)&gt;0, VLOOKUP($J110,'Gear Values'!$A$2:$E$13, IF(COUNTBLANK('Attributes &amp; Prefixes'!$B$12:$C$12)&gt;0, "2", "3"), 0), COUNTIF($D$12:$E$12, Q$2)&gt;0, VLOOKUP($J110,'Gear Values'!$A$2:$E$13, IF(COUNTBLANK('Attributes &amp; Prefixes'!$B$12:$C$12)&gt;0, "4", "5"), 0)), "")</f>
        <v/>
      </c>
      <c r="R110" s="148" cm="1">
        <f t="array" ref="R110">IF(COUNTIF($B$12:$E$12, R$2)&gt;0, _xlfn.IFS(COUNTIF($B$12:$C$12, R$2)&gt;0, VLOOKUP($J110,'Gear Values'!$A$2:$E$13, IF(COUNTBLANK('Attributes &amp; Prefixes'!$B$12:$C$12)&gt;0, "2", "3"), 0), COUNTIF($D$12:$E$12, R$2)&gt;0, VLOOKUP($J110,'Gear Values'!$A$2:$E$13, IF(COUNTBLANK('Attributes &amp; Prefixes'!$B$12:$C$12)&gt;0, "4", "5"), 0)), "")</f>
        <v>18</v>
      </c>
      <c r="S110" s="151" t="str" cm="1">
        <f t="array" ref="S110">IF(COUNTIF($B$12:$E$12, S$2)&gt;0, _xlfn.IFS(COUNTIF($B$12:$C$12, S$2)&gt;0, VLOOKUP($J110,'Gear Values'!$A$2:$E$13, IF(COUNTBLANK('Attributes &amp; Prefixes'!$B$12:$C$12)&gt;0, "2", "3"), 0), COUNTIF($D$12:$E$12, S$2)&gt;0, VLOOKUP($J110,'Gear Values'!$A$2:$E$13, IF(COUNTBLANK('Attributes &amp; Prefixes'!$B$12:$C$12)&gt;0, "4", "5"), 0)), "")</f>
        <v/>
      </c>
      <c r="V110" s="112"/>
      <c r="W110" s="113"/>
    </row>
    <row r="111" spans="6:23">
      <c r="F111" s="114"/>
      <c r="G111" s="114"/>
      <c r="H111" s="130" t="str">
        <f>_xlfn.CONCAT(I$111,J111)</f>
        <v>CelestialWeapon (1H)</v>
      </c>
      <c r="I111" s="519" t="str">
        <f>A13</f>
        <v>Celestial</v>
      </c>
      <c r="J111" s="145" t="s">
        <v>37</v>
      </c>
      <c r="K111" s="133">
        <f>VLOOKUP($J111, 'Gear Values'!$A$2:$F$13, 6, 0)</f>
        <v>56</v>
      </c>
      <c r="L111" s="134">
        <f>VLOOKUP($J111, 'Gear Values'!$A$2:$F$13, 6, 0)</f>
        <v>56</v>
      </c>
      <c r="M111" s="134">
        <f>VLOOKUP($J111, 'Gear Values'!$A$2:$F$13, 6, 0)</f>
        <v>56</v>
      </c>
      <c r="N111" s="134">
        <f>VLOOKUP($J111, 'Gear Values'!$A$2:$F$13, 6, 0)</f>
        <v>56</v>
      </c>
      <c r="O111" s="134">
        <f>VLOOKUP($J111, 'Gear Values'!$A$2:$F$13, 6, 0)</f>
        <v>56</v>
      </c>
      <c r="P111" s="134">
        <f>VLOOKUP($J111, 'Gear Values'!$A$2:$F$13, 6, 0)</f>
        <v>56</v>
      </c>
      <c r="Q111" s="134">
        <f>VLOOKUP($J111, 'Gear Values'!$A$2:$F$13, 6, 0)</f>
        <v>56</v>
      </c>
      <c r="R111" s="134">
        <f>VLOOKUP($J111, 'Gear Values'!$A$2:$F$13, 6, 0)</f>
        <v>56</v>
      </c>
      <c r="S111" s="139">
        <f>VLOOKUP($J111, 'Gear Values'!$A$2:$F$13, 6, 0)</f>
        <v>56</v>
      </c>
      <c r="V111" s="112"/>
      <c r="W111" s="113"/>
    </row>
    <row r="112" spans="6:23">
      <c r="F112" s="114"/>
      <c r="G112" s="114"/>
      <c r="H112" s="130" t="str">
        <f>_xlfn.CONCAT(I$111,J112)</f>
        <v>CelestialWeapon (2H)</v>
      </c>
      <c r="I112" s="520"/>
      <c r="J112" s="144" t="s">
        <v>39</v>
      </c>
      <c r="K112" s="136">
        <f>VLOOKUP($J112, 'Gear Values'!$A$2:$F$13, 6, 0)</f>
        <v>113</v>
      </c>
      <c r="L112" s="137">
        <f>VLOOKUP($J112, 'Gear Values'!$A$2:$F$13, 6, 0)</f>
        <v>113</v>
      </c>
      <c r="M112" s="137">
        <f>VLOOKUP($J112, 'Gear Values'!$A$2:$F$13, 6, 0)</f>
        <v>113</v>
      </c>
      <c r="N112" s="137">
        <f>VLOOKUP($J112, 'Gear Values'!$A$2:$F$13, 6, 0)</f>
        <v>113</v>
      </c>
      <c r="O112" s="137">
        <f>VLOOKUP($J112, 'Gear Values'!$A$2:$F$13, 6, 0)</f>
        <v>113</v>
      </c>
      <c r="P112" s="137">
        <f>VLOOKUP($J112, 'Gear Values'!$A$2:$F$13, 6, 0)</f>
        <v>113</v>
      </c>
      <c r="Q112" s="137">
        <f>VLOOKUP($J112, 'Gear Values'!$A$2:$F$13, 6, 0)</f>
        <v>113</v>
      </c>
      <c r="R112" s="137">
        <f>VLOOKUP($J112, 'Gear Values'!$A$2:$F$13, 6, 0)</f>
        <v>113</v>
      </c>
      <c r="S112" s="140">
        <f>VLOOKUP($J112, 'Gear Values'!$A$2:$F$13, 6, 0)</f>
        <v>113</v>
      </c>
      <c r="V112" s="112"/>
      <c r="W112" s="113"/>
    </row>
    <row r="113" spans="6:23">
      <c r="F113" s="114"/>
      <c r="G113" s="114"/>
      <c r="H113" s="130" t="str">
        <f>_xlfn.CONCAT(I$111,J113)</f>
        <v>CelestialHead</v>
      </c>
      <c r="I113" s="520"/>
      <c r="J113" s="144" t="s">
        <v>40</v>
      </c>
      <c r="K113" s="136">
        <f>VLOOKUP($J113, 'Gear Values'!$A$2:$F$13, 6, 0)</f>
        <v>28</v>
      </c>
      <c r="L113" s="137">
        <f>VLOOKUP($J113, 'Gear Values'!$A$2:$F$13, 6, 0)</f>
        <v>28</v>
      </c>
      <c r="M113" s="137">
        <f>VLOOKUP($J113, 'Gear Values'!$A$2:$F$13, 6, 0)</f>
        <v>28</v>
      </c>
      <c r="N113" s="137">
        <f>VLOOKUP($J113, 'Gear Values'!$A$2:$F$13, 6, 0)</f>
        <v>28</v>
      </c>
      <c r="O113" s="137">
        <f>VLOOKUP($J113, 'Gear Values'!$A$2:$F$13, 6, 0)</f>
        <v>28</v>
      </c>
      <c r="P113" s="137">
        <f>VLOOKUP($J113, 'Gear Values'!$A$2:$F$13, 6, 0)</f>
        <v>28</v>
      </c>
      <c r="Q113" s="137">
        <f>VLOOKUP($J113, 'Gear Values'!$A$2:$F$13, 6, 0)</f>
        <v>28</v>
      </c>
      <c r="R113" s="137">
        <f>VLOOKUP($J113, 'Gear Values'!$A$2:$F$13, 6, 0)</f>
        <v>28</v>
      </c>
      <c r="S113" s="140">
        <f>VLOOKUP($J113, 'Gear Values'!$A$2:$F$13, 6, 0)</f>
        <v>28</v>
      </c>
      <c r="V113" s="112"/>
      <c r="W113" s="113"/>
    </row>
    <row r="114" spans="6:23">
      <c r="F114" s="114"/>
      <c r="G114" s="114"/>
      <c r="H114" s="130" t="str">
        <f>_xlfn.CONCAT(I$111,J114)</f>
        <v>CelestialShoulders</v>
      </c>
      <c r="I114" s="520"/>
      <c r="J114" s="144" t="s">
        <v>42</v>
      </c>
      <c r="K114" s="136">
        <f>VLOOKUP($J114, 'Gear Values'!$A$2:$F$13, 6, 0)</f>
        <v>21</v>
      </c>
      <c r="L114" s="137">
        <f>VLOOKUP($J114, 'Gear Values'!$A$2:$F$13, 6, 0)</f>
        <v>21</v>
      </c>
      <c r="M114" s="137">
        <f>VLOOKUP($J114, 'Gear Values'!$A$2:$F$13, 6, 0)</f>
        <v>21</v>
      </c>
      <c r="N114" s="137">
        <f>VLOOKUP($J114, 'Gear Values'!$A$2:$F$13, 6, 0)</f>
        <v>21</v>
      </c>
      <c r="O114" s="137">
        <f>VLOOKUP($J114, 'Gear Values'!$A$2:$F$13, 6, 0)</f>
        <v>21</v>
      </c>
      <c r="P114" s="137">
        <f>VLOOKUP($J114, 'Gear Values'!$A$2:$F$13, 6, 0)</f>
        <v>21</v>
      </c>
      <c r="Q114" s="137">
        <f>VLOOKUP($J114, 'Gear Values'!$A$2:$F$13, 6, 0)</f>
        <v>21</v>
      </c>
      <c r="R114" s="137">
        <f>VLOOKUP($J114, 'Gear Values'!$A$2:$F$13, 6, 0)</f>
        <v>21</v>
      </c>
      <c r="S114" s="140">
        <f>VLOOKUP($J114, 'Gear Values'!$A$2:$F$13, 6, 0)</f>
        <v>21</v>
      </c>
      <c r="V114" s="112"/>
      <c r="W114" s="113"/>
    </row>
    <row r="115" spans="6:23">
      <c r="F115" s="114"/>
      <c r="G115" s="114"/>
      <c r="H115" s="130" t="str">
        <f>_xlfn.CONCAT(I$111,J115)</f>
        <v>CelestialChest</v>
      </c>
      <c r="I115" s="520"/>
      <c r="J115" s="144" t="s">
        <v>44</v>
      </c>
      <c r="K115" s="136">
        <f>VLOOKUP($J115, 'Gear Values'!$A$2:$F$13, 6, 0)</f>
        <v>63</v>
      </c>
      <c r="L115" s="137">
        <f>VLOOKUP($J115, 'Gear Values'!$A$2:$F$13, 6, 0)</f>
        <v>63</v>
      </c>
      <c r="M115" s="137">
        <f>VLOOKUP($J115, 'Gear Values'!$A$2:$F$13, 6, 0)</f>
        <v>63</v>
      </c>
      <c r="N115" s="137">
        <f>VLOOKUP($J115, 'Gear Values'!$A$2:$F$13, 6, 0)</f>
        <v>63</v>
      </c>
      <c r="O115" s="137">
        <f>VLOOKUP($J115, 'Gear Values'!$A$2:$F$13, 6, 0)</f>
        <v>63</v>
      </c>
      <c r="P115" s="137">
        <f>VLOOKUP($J115, 'Gear Values'!$A$2:$F$13, 6, 0)</f>
        <v>63</v>
      </c>
      <c r="Q115" s="137">
        <f>VLOOKUP($J115, 'Gear Values'!$A$2:$F$13, 6, 0)</f>
        <v>63</v>
      </c>
      <c r="R115" s="137">
        <f>VLOOKUP($J115, 'Gear Values'!$A$2:$F$13, 6, 0)</f>
        <v>63</v>
      </c>
      <c r="S115" s="140">
        <f>VLOOKUP($J115, 'Gear Values'!$A$2:$F$13, 6, 0)</f>
        <v>63</v>
      </c>
      <c r="V115" s="112"/>
      <c r="W115" s="113"/>
    </row>
    <row r="116" spans="6:23">
      <c r="F116" s="114"/>
      <c r="G116" s="114"/>
      <c r="H116" s="130" t="str">
        <f>_xlfn.CONCAT(I$111,J116)</f>
        <v>CelestialHands</v>
      </c>
      <c r="I116" s="520"/>
      <c r="J116" s="144" t="s">
        <v>45</v>
      </c>
      <c r="K116" s="136">
        <f>VLOOKUP($J116, 'Gear Values'!$A$2:$F$13, 6, 0)</f>
        <v>21</v>
      </c>
      <c r="L116" s="137">
        <f>VLOOKUP($J116, 'Gear Values'!$A$2:$F$13, 6, 0)</f>
        <v>21</v>
      </c>
      <c r="M116" s="137">
        <f>VLOOKUP($J116, 'Gear Values'!$A$2:$F$13, 6, 0)</f>
        <v>21</v>
      </c>
      <c r="N116" s="137">
        <f>VLOOKUP($J116, 'Gear Values'!$A$2:$F$13, 6, 0)</f>
        <v>21</v>
      </c>
      <c r="O116" s="137">
        <f>VLOOKUP($J116, 'Gear Values'!$A$2:$F$13, 6, 0)</f>
        <v>21</v>
      </c>
      <c r="P116" s="137">
        <f>VLOOKUP($J116, 'Gear Values'!$A$2:$F$13, 6, 0)</f>
        <v>21</v>
      </c>
      <c r="Q116" s="137">
        <f>VLOOKUP($J116, 'Gear Values'!$A$2:$F$13, 6, 0)</f>
        <v>21</v>
      </c>
      <c r="R116" s="137">
        <f>VLOOKUP($J116, 'Gear Values'!$A$2:$F$13, 6, 0)</f>
        <v>21</v>
      </c>
      <c r="S116" s="140">
        <f>VLOOKUP($J116, 'Gear Values'!$A$2:$F$13, 6, 0)</f>
        <v>21</v>
      </c>
      <c r="V116" s="112"/>
      <c r="W116" s="113"/>
    </row>
    <row r="117" spans="6:23">
      <c r="F117" s="114"/>
      <c r="G117" s="114"/>
      <c r="H117" s="130" t="str">
        <f>_xlfn.CONCAT(I$111,J117)</f>
        <v>CelestialLegs</v>
      </c>
      <c r="I117" s="520"/>
      <c r="J117" s="144" t="s">
        <v>47</v>
      </c>
      <c r="K117" s="136">
        <f>VLOOKUP($J117, 'Gear Values'!$A$2:$F$13, 6, 0)</f>
        <v>42</v>
      </c>
      <c r="L117" s="137">
        <f>VLOOKUP($J117, 'Gear Values'!$A$2:$F$13, 6, 0)</f>
        <v>42</v>
      </c>
      <c r="M117" s="137">
        <f>VLOOKUP($J117, 'Gear Values'!$A$2:$F$13, 6, 0)</f>
        <v>42</v>
      </c>
      <c r="N117" s="137">
        <f>VLOOKUP($J117, 'Gear Values'!$A$2:$F$13, 6, 0)</f>
        <v>42</v>
      </c>
      <c r="O117" s="137">
        <f>VLOOKUP($J117, 'Gear Values'!$A$2:$F$13, 6, 0)</f>
        <v>42</v>
      </c>
      <c r="P117" s="137">
        <f>VLOOKUP($J117, 'Gear Values'!$A$2:$F$13, 6, 0)</f>
        <v>42</v>
      </c>
      <c r="Q117" s="137">
        <f>VLOOKUP($J117, 'Gear Values'!$A$2:$F$13, 6, 0)</f>
        <v>42</v>
      </c>
      <c r="R117" s="137">
        <f>VLOOKUP($J117, 'Gear Values'!$A$2:$F$13, 6, 0)</f>
        <v>42</v>
      </c>
      <c r="S117" s="140">
        <f>VLOOKUP($J117, 'Gear Values'!$A$2:$F$13, 6, 0)</f>
        <v>42</v>
      </c>
      <c r="V117" s="112"/>
      <c r="W117" s="113"/>
    </row>
    <row r="118" spans="6:23">
      <c r="F118" s="114"/>
      <c r="G118" s="114"/>
      <c r="H118" s="130" t="str">
        <f>_xlfn.CONCAT(I$111,J118)</f>
        <v>CelestialFeet</v>
      </c>
      <c r="I118" s="520"/>
      <c r="J118" s="144" t="s">
        <v>48</v>
      </c>
      <c r="K118" s="136">
        <f>VLOOKUP($J118, 'Gear Values'!$A$2:$F$13, 6, 0)</f>
        <v>21</v>
      </c>
      <c r="L118" s="137">
        <f>VLOOKUP($J118, 'Gear Values'!$A$2:$F$13, 6, 0)</f>
        <v>21</v>
      </c>
      <c r="M118" s="137">
        <f>VLOOKUP($J118, 'Gear Values'!$A$2:$F$13, 6, 0)</f>
        <v>21</v>
      </c>
      <c r="N118" s="137">
        <f>VLOOKUP($J118, 'Gear Values'!$A$2:$F$13, 6, 0)</f>
        <v>21</v>
      </c>
      <c r="O118" s="137">
        <f>VLOOKUP($J118, 'Gear Values'!$A$2:$F$13, 6, 0)</f>
        <v>21</v>
      </c>
      <c r="P118" s="137">
        <f>VLOOKUP($J118, 'Gear Values'!$A$2:$F$13, 6, 0)</f>
        <v>21</v>
      </c>
      <c r="Q118" s="137">
        <f>VLOOKUP($J118, 'Gear Values'!$A$2:$F$13, 6, 0)</f>
        <v>21</v>
      </c>
      <c r="R118" s="137">
        <f>VLOOKUP($J118, 'Gear Values'!$A$2:$F$13, 6, 0)</f>
        <v>21</v>
      </c>
      <c r="S118" s="140">
        <f>VLOOKUP($J118, 'Gear Values'!$A$2:$F$13, 6, 0)</f>
        <v>21</v>
      </c>
      <c r="V118" s="112"/>
      <c r="W118" s="113"/>
    </row>
    <row r="119" spans="6:23">
      <c r="F119" s="114"/>
      <c r="G119" s="114"/>
      <c r="H119" s="130" t="str">
        <f>_xlfn.CONCAT(A$62,J119)</f>
        <v>Charged QuartzEar</v>
      </c>
      <c r="I119" s="520"/>
      <c r="J119" s="144" t="s">
        <v>49</v>
      </c>
      <c r="K119" s="136">
        <f>VLOOKUP($J119, 'Gear Values'!$A$2:$F$13, 6, 0)</f>
        <v>35</v>
      </c>
      <c r="L119" s="137">
        <f>VLOOKUP($J119, 'Gear Values'!$A$2:$F$13, 6, 0)</f>
        <v>35</v>
      </c>
      <c r="M119" s="137">
        <f>VLOOKUP($J119, 'Gear Values'!$A$2:$F$13, 6, 0)</f>
        <v>35</v>
      </c>
      <c r="N119" s="137">
        <f>VLOOKUP($J119, 'Gear Values'!$A$2:$F$13, 6, 0)</f>
        <v>35</v>
      </c>
      <c r="O119" s="137">
        <f>VLOOKUP($J119, 'Gear Values'!$A$2:$F$13, 6, 0)</f>
        <v>35</v>
      </c>
      <c r="P119" s="137">
        <f>VLOOKUP($J119, 'Gear Values'!$A$2:$F$13, 6, 0)</f>
        <v>35</v>
      </c>
      <c r="Q119" s="137">
        <f>VLOOKUP($J119, 'Gear Values'!$A$2:$F$13, 6, 0)</f>
        <v>35</v>
      </c>
      <c r="R119" s="137">
        <f>VLOOKUP($J119, 'Gear Values'!$A$2:$F$13, 6, 0)</f>
        <v>35</v>
      </c>
      <c r="S119" s="140">
        <f>VLOOKUP($J119, 'Gear Values'!$A$2:$F$13, 6, 0)</f>
        <v>35</v>
      </c>
      <c r="V119" s="112"/>
      <c r="W119" s="113"/>
    </row>
    <row r="120" spans="6:23">
      <c r="F120" s="114"/>
      <c r="G120" s="114"/>
      <c r="H120" s="130" t="str">
        <f>_xlfn.CONCAT(A$62,J120)</f>
        <v>Charged QuartzFinger</v>
      </c>
      <c r="I120" s="520"/>
      <c r="J120" s="144" t="s">
        <v>51</v>
      </c>
      <c r="K120" s="136">
        <f>VLOOKUP($J120, 'Gear Values'!$A$2:$F$13, 6, 0)</f>
        <v>42</v>
      </c>
      <c r="L120" s="137">
        <f>VLOOKUP($J120, 'Gear Values'!$A$2:$F$13, 6, 0)</f>
        <v>42</v>
      </c>
      <c r="M120" s="137">
        <f>VLOOKUP($J120, 'Gear Values'!$A$2:$F$13, 6, 0)</f>
        <v>42</v>
      </c>
      <c r="N120" s="137">
        <f>VLOOKUP($J120, 'Gear Values'!$A$2:$F$13, 6, 0)</f>
        <v>42</v>
      </c>
      <c r="O120" s="137">
        <f>VLOOKUP($J120, 'Gear Values'!$A$2:$F$13, 6, 0)</f>
        <v>42</v>
      </c>
      <c r="P120" s="137">
        <f>VLOOKUP($J120, 'Gear Values'!$A$2:$F$13, 6, 0)</f>
        <v>42</v>
      </c>
      <c r="Q120" s="137">
        <f>VLOOKUP($J120, 'Gear Values'!$A$2:$F$13, 6, 0)</f>
        <v>42</v>
      </c>
      <c r="R120" s="137">
        <f>VLOOKUP($J120, 'Gear Values'!$A$2:$F$13, 6, 0)</f>
        <v>42</v>
      </c>
      <c r="S120" s="140">
        <f>VLOOKUP($J120, 'Gear Values'!$A$2:$F$13, 6, 0)</f>
        <v>42</v>
      </c>
      <c r="V120" s="112"/>
      <c r="W120" s="113"/>
    </row>
    <row r="121" spans="6:23">
      <c r="F121" s="114"/>
      <c r="G121" s="114"/>
      <c r="H121" s="130" t="str">
        <f>_xlfn.CONCAT(A$62,J121)</f>
        <v>Charged QuartzNeck</v>
      </c>
      <c r="I121" s="520"/>
      <c r="J121" s="144" t="s">
        <v>52</v>
      </c>
      <c r="K121" s="136">
        <f>VLOOKUP($J121, 'Gear Values'!$A$2:$F$13, 6, 0)</f>
        <v>56</v>
      </c>
      <c r="L121" s="137">
        <f>VLOOKUP($J121, 'Gear Values'!$A$2:$F$13, 6, 0)</f>
        <v>56</v>
      </c>
      <c r="M121" s="137">
        <f>VLOOKUP($J121, 'Gear Values'!$A$2:$F$13, 6, 0)</f>
        <v>56</v>
      </c>
      <c r="N121" s="137">
        <f>VLOOKUP($J121, 'Gear Values'!$A$2:$F$13, 6, 0)</f>
        <v>56</v>
      </c>
      <c r="O121" s="137">
        <f>VLOOKUP($J121, 'Gear Values'!$A$2:$F$13, 6, 0)</f>
        <v>56</v>
      </c>
      <c r="P121" s="137">
        <f>VLOOKUP($J121, 'Gear Values'!$A$2:$F$13, 6, 0)</f>
        <v>56</v>
      </c>
      <c r="Q121" s="137">
        <f>VLOOKUP($J121, 'Gear Values'!$A$2:$F$13, 6, 0)</f>
        <v>56</v>
      </c>
      <c r="R121" s="137">
        <f>VLOOKUP($J121, 'Gear Values'!$A$2:$F$13, 6, 0)</f>
        <v>56</v>
      </c>
      <c r="S121" s="140">
        <f>VLOOKUP($J121, 'Gear Values'!$A$2:$F$13, 6, 0)</f>
        <v>56</v>
      </c>
      <c r="V121" s="112"/>
      <c r="W121" s="113"/>
    </row>
    <row r="122" spans="6:23">
      <c r="F122" s="114"/>
      <c r="G122" s="114"/>
      <c r="H122" s="130" t="str">
        <f>_xlfn.CONCAT(I$111,J122)</f>
        <v>CelestialBack</v>
      </c>
      <c r="I122" s="521"/>
      <c r="J122" s="146" t="s">
        <v>53</v>
      </c>
      <c r="K122" s="147" t="str">
        <f>VLOOKUP($J122, 'Gear Values'!$A$2:$F$13, 6, 0)</f>
        <v>N/A</v>
      </c>
      <c r="L122" s="148" t="str">
        <f>VLOOKUP($J122, 'Gear Values'!$A$2:$F$13, 6, 0)</f>
        <v>N/A</v>
      </c>
      <c r="M122" s="148" t="str">
        <f>VLOOKUP($J122, 'Gear Values'!$A$2:$F$13, 6, 0)</f>
        <v>N/A</v>
      </c>
      <c r="N122" s="148" t="str">
        <f>VLOOKUP($J122, 'Gear Values'!$A$2:$F$13, 6, 0)</f>
        <v>N/A</v>
      </c>
      <c r="O122" s="148" t="str">
        <f>VLOOKUP($J122, 'Gear Values'!$A$2:$F$13, 6, 0)</f>
        <v>N/A</v>
      </c>
      <c r="P122" s="148" t="str">
        <f>VLOOKUP($J122, 'Gear Values'!$A$2:$F$13, 6, 0)</f>
        <v>N/A</v>
      </c>
      <c r="Q122" s="148" t="str">
        <f>VLOOKUP($J122, 'Gear Values'!$A$2:$F$13, 6, 0)</f>
        <v>N/A</v>
      </c>
      <c r="R122" s="148" t="str">
        <f>VLOOKUP($J122, 'Gear Values'!$A$2:$F$13, 6, 0)</f>
        <v>N/A</v>
      </c>
      <c r="S122" s="151" t="str">
        <f>VLOOKUP($J122, 'Gear Values'!$A$2:$F$13, 6, 0)</f>
        <v>N/A</v>
      </c>
      <c r="V122" s="112"/>
      <c r="W122" s="113"/>
    </row>
    <row r="123" spans="6:23">
      <c r="F123" s="114"/>
      <c r="G123" s="114"/>
      <c r="H123" s="130" t="str">
        <f>_xlfn.CONCAT(I$123,J123)</f>
        <v>ClericWeapon (1H)</v>
      </c>
      <c r="I123" s="519" t="str">
        <f>A14</f>
        <v>Cleric</v>
      </c>
      <c r="J123" s="145" t="s">
        <v>37</v>
      </c>
      <c r="K123" s="133" cm="1">
        <f t="array" ref="K123">IF(COUNTIF($B$14:$E$14, K$2)&gt;0, _xlfn.IFS(COUNTIF($B$14:$C$14, K$2)&gt;0, VLOOKUP($J123,'Gear Values'!$A$2:$E$13, IF(COUNTBLANK('Attributes &amp; Prefixes'!$B$14:$C$14)&gt;0, "2", "3"), 0), COUNTIF($D$14:$E$14, K$2)&gt;0, VLOOKUP($J123,'Gear Values'!$A$2:$E$13, IF(COUNTBLANK('Attributes &amp; Prefixes'!$B$14:$C$14)&gt;0, "4", "5"), 0)), "")</f>
        <v>85</v>
      </c>
      <c r="L123" s="134" t="str" cm="1">
        <f t="array" ref="L123">IF(COUNTIF($B$14:$E$14, L$2)&gt;0, _xlfn.IFS(COUNTIF($B$14:$C$14, L$2)&gt;0, VLOOKUP($J123,'Gear Values'!$A$2:$E$13, IF(COUNTBLANK('Attributes &amp; Prefixes'!$B$14:$C$14)&gt;0, "2", "3"), 0), COUNTIF($D$14:$E$14, L$2)&gt;0, VLOOKUP($J123,'Gear Values'!$A$2:$E$13, IF(COUNTBLANK('Attributes &amp; Prefixes'!$B$14:$C$14)&gt;0, "4", "5"), 0)), "")</f>
        <v/>
      </c>
      <c r="M123" s="134" cm="1">
        <f t="array" ref="M123">IF(COUNTIF($B$14:$E$14, M$2)&gt;0, _xlfn.IFS(COUNTIF($B$14:$C$14, M$2)&gt;0, VLOOKUP($J123,'Gear Values'!$A$2:$E$13, IF(COUNTBLANK('Attributes &amp; Prefixes'!$B$14:$C$14)&gt;0, "2", "3"), 0), COUNTIF($D$14:$E$14, M$2)&gt;0, VLOOKUP($J123,'Gear Values'!$A$2:$E$13, IF(COUNTBLANK('Attributes &amp; Prefixes'!$B$14:$C$14)&gt;0, "4", "5"), 0)), "")</f>
        <v>85</v>
      </c>
      <c r="N123" s="134" t="str" cm="1">
        <f t="array" ref="N123">IF(COUNTIF($B$14:$E$14, N$2)&gt;0, _xlfn.IFS(COUNTIF($B$14:$C$14, N$2)&gt;0, VLOOKUP($J123,'Gear Values'!$A$2:$E$13, IF(COUNTBLANK('Attributes &amp; Prefixes'!$B$14:$C$14)&gt;0, "2", "3"), 0), COUNTIF($D$14:$E$14, N$2)&gt;0, VLOOKUP($J123,'Gear Values'!$A$2:$E$13, IF(COUNTBLANK('Attributes &amp; Prefixes'!$B$14:$C$14)&gt;0, "4", "5"), 0)), "")</f>
        <v/>
      </c>
      <c r="O123" s="134" t="str" cm="1">
        <f t="array" ref="O123">IF(COUNTIF($B$14:$E$14, O$2)&gt;0, _xlfn.IFS(COUNTIF($B$14:$C$14, O$2)&gt;0, VLOOKUP($J123,'Gear Values'!$A$2:$E$13, IF(COUNTBLANK('Attributes &amp; Prefixes'!$B$14:$C$14)&gt;0, "2", "3"), 0), COUNTIF($D$14:$E$14, O$2)&gt;0, VLOOKUP($J123,'Gear Values'!$A$2:$E$13, IF(COUNTBLANK('Attributes &amp; Prefixes'!$B$14:$C$14)&gt;0, "4", "5"), 0)), "")</f>
        <v/>
      </c>
      <c r="P123" s="134" t="str" cm="1">
        <f t="array" ref="P123">IF(COUNTIF($B$14:$E$14, P$2)&gt;0, _xlfn.IFS(COUNTIF($B$14:$C$14, P$2)&gt;0, VLOOKUP($J123,'Gear Values'!$A$2:$E$13, IF(COUNTBLANK('Attributes &amp; Prefixes'!$B$14:$C$14)&gt;0, "2", "3"), 0), COUNTIF($D$14:$E$14, P$2)&gt;0, VLOOKUP($J123,'Gear Values'!$A$2:$E$13, IF(COUNTBLANK('Attributes &amp; Prefixes'!$B$14:$C$14)&gt;0, "4", "5"), 0)), "")</f>
        <v/>
      </c>
      <c r="Q123" s="134" t="str" cm="1">
        <f t="array" ref="Q123">IF(COUNTIF($B$14:$E$14, Q$2)&gt;0, _xlfn.IFS(COUNTIF($B$14:$C$14, Q$2)&gt;0, VLOOKUP($J123,'Gear Values'!$A$2:$E$13, IF(COUNTBLANK('Attributes &amp; Prefixes'!$B$14:$C$14)&gt;0, "2", "3"), 0), COUNTIF($D$14:$E$14, Q$2)&gt;0, VLOOKUP($J123,'Gear Values'!$A$2:$E$13, IF(COUNTBLANK('Attributes &amp; Prefixes'!$B$14:$C$14)&gt;0, "4", "5"), 0)), "")</f>
        <v/>
      </c>
      <c r="R123" s="134" t="str" cm="1">
        <f t="array" ref="R123">IF(COUNTIF($B$14:$E$14, R$2)&gt;0, _xlfn.IFS(COUNTIF($B$14:$C$14, R$2)&gt;0, VLOOKUP($J123,'Gear Values'!$A$2:$E$13, IF(COUNTBLANK('Attributes &amp; Prefixes'!$B$14:$C$14)&gt;0, "2", "3"), 0), COUNTIF($D$14:$E$14, R$2)&gt;0, VLOOKUP($J123,'Gear Values'!$A$2:$E$13, IF(COUNTBLANK('Attributes &amp; Prefixes'!$B$14:$C$14)&gt;0, "4", "5"), 0)), "")</f>
        <v/>
      </c>
      <c r="S123" s="135" cm="1">
        <f t="array" ref="S123">IF(COUNTIF($B$14:$E$14, S$2)&gt;0, _xlfn.IFS(COUNTIF($B$14:$C$14, S$2)&gt;0, VLOOKUP($J123,'Gear Values'!$A$2:$E$13, IF(COUNTBLANK('Attributes &amp; Prefixes'!$B$14:$C$14)&gt;0, "2", "3"), 0), COUNTIF($D$14:$E$14, S$2)&gt;0, VLOOKUP($J123,'Gear Values'!$A$2:$E$13, IF(COUNTBLANK('Attributes &amp; Prefixes'!$B$14:$C$14)&gt;0, "4", "5"), 0)), "")</f>
        <v>120</v>
      </c>
      <c r="V123" s="112"/>
      <c r="W123" s="113"/>
    </row>
    <row r="124" spans="6:23">
      <c r="F124" s="114"/>
      <c r="G124" s="114"/>
      <c r="H124" s="130" t="str">
        <f>_xlfn.CONCAT(I$123,J124)</f>
        <v>ClericWeapon (2H)</v>
      </c>
      <c r="I124" s="520"/>
      <c r="J124" s="144" t="s">
        <v>39</v>
      </c>
      <c r="K124" s="136" cm="1">
        <f t="array" ref="K124">IF(COUNTIF($B$14:$E$14, K$2)&gt;0, _xlfn.IFS(COUNTIF($B$14:$C$14, K$2)&gt;0, VLOOKUP($J124,'Gear Values'!$A$2:$E$13, IF(COUNTBLANK('Attributes &amp; Prefixes'!$B$14:$C$14)&gt;0, "2", "3"), 0), COUNTIF($D$14:$E$14, K$2)&gt;0, VLOOKUP($J124,'Gear Values'!$A$2:$E$13, IF(COUNTBLANK('Attributes &amp; Prefixes'!$B$14:$C$14)&gt;0, "4", "5"), 0)), "")</f>
        <v>171</v>
      </c>
      <c r="L124" s="137" t="str" cm="1">
        <f t="array" ref="L124">IF(COUNTIF($B$14:$E$14, L$2)&gt;0, _xlfn.IFS(COUNTIF($B$14:$C$14, L$2)&gt;0, VLOOKUP($J124,'Gear Values'!$A$2:$E$13, IF(COUNTBLANK('Attributes &amp; Prefixes'!$B$14:$C$14)&gt;0, "2", "3"), 0), COUNTIF($D$14:$E$14, L$2)&gt;0, VLOOKUP($J124,'Gear Values'!$A$2:$E$13, IF(COUNTBLANK('Attributes &amp; Prefixes'!$B$14:$C$14)&gt;0, "4", "5"), 0)), "")</f>
        <v/>
      </c>
      <c r="M124" s="137" cm="1">
        <f t="array" ref="M124">IF(COUNTIF($B$14:$E$14, M$2)&gt;0, _xlfn.IFS(COUNTIF($B$14:$C$14, M$2)&gt;0, VLOOKUP($J124,'Gear Values'!$A$2:$E$13, IF(COUNTBLANK('Attributes &amp; Prefixes'!$B$14:$C$14)&gt;0, "2", "3"), 0), COUNTIF($D$14:$E$14, M$2)&gt;0, VLOOKUP($J124,'Gear Values'!$A$2:$E$13, IF(COUNTBLANK('Attributes &amp; Prefixes'!$B$14:$C$14)&gt;0, "4", "5"), 0)), "")</f>
        <v>171</v>
      </c>
      <c r="N124" s="137" t="str" cm="1">
        <f t="array" ref="N124">IF(COUNTIF($B$14:$E$14, N$2)&gt;0, _xlfn.IFS(COUNTIF($B$14:$C$14, N$2)&gt;0, VLOOKUP($J124,'Gear Values'!$A$2:$E$13, IF(COUNTBLANK('Attributes &amp; Prefixes'!$B$14:$C$14)&gt;0, "2", "3"), 0), COUNTIF($D$14:$E$14, N$2)&gt;0, VLOOKUP($J124,'Gear Values'!$A$2:$E$13, IF(COUNTBLANK('Attributes &amp; Prefixes'!$B$14:$C$14)&gt;0, "4", "5"), 0)), "")</f>
        <v/>
      </c>
      <c r="O124" s="137" t="str" cm="1">
        <f t="array" ref="O124">IF(COUNTIF($B$14:$E$14, O$2)&gt;0, _xlfn.IFS(COUNTIF($B$14:$C$14, O$2)&gt;0, VLOOKUP($J124,'Gear Values'!$A$2:$E$13, IF(COUNTBLANK('Attributes &amp; Prefixes'!$B$14:$C$14)&gt;0, "2", "3"), 0), COUNTIF($D$14:$E$14, O$2)&gt;0, VLOOKUP($J124,'Gear Values'!$A$2:$E$13, IF(COUNTBLANK('Attributes &amp; Prefixes'!$B$14:$C$14)&gt;0, "4", "5"), 0)), "")</f>
        <v/>
      </c>
      <c r="P124" s="137" t="str" cm="1">
        <f t="array" ref="P124">IF(COUNTIF($B$14:$E$14, P$2)&gt;0, _xlfn.IFS(COUNTIF($B$14:$C$14, P$2)&gt;0, VLOOKUP($J124,'Gear Values'!$A$2:$E$13, IF(COUNTBLANK('Attributes &amp; Prefixes'!$B$14:$C$14)&gt;0, "2", "3"), 0), COUNTIF($D$14:$E$14, P$2)&gt;0, VLOOKUP($J124,'Gear Values'!$A$2:$E$13, IF(COUNTBLANK('Attributes &amp; Prefixes'!$B$14:$C$14)&gt;0, "4", "5"), 0)), "")</f>
        <v/>
      </c>
      <c r="Q124" s="137" t="str" cm="1">
        <f t="array" ref="Q124">IF(COUNTIF($B$14:$E$14, Q$2)&gt;0, _xlfn.IFS(COUNTIF($B$14:$C$14, Q$2)&gt;0, VLOOKUP($J124,'Gear Values'!$A$2:$E$13, IF(COUNTBLANK('Attributes &amp; Prefixes'!$B$14:$C$14)&gt;0, "2", "3"), 0), COUNTIF($D$14:$E$14, Q$2)&gt;0, VLOOKUP($J124,'Gear Values'!$A$2:$E$13, IF(COUNTBLANK('Attributes &amp; Prefixes'!$B$14:$C$14)&gt;0, "4", "5"), 0)), "")</f>
        <v/>
      </c>
      <c r="R124" s="137" t="str" cm="1">
        <f t="array" ref="R124">IF(COUNTIF($B$14:$E$14, R$2)&gt;0, _xlfn.IFS(COUNTIF($B$14:$C$14, R$2)&gt;0, VLOOKUP($J124,'Gear Values'!$A$2:$E$13, IF(COUNTBLANK('Attributes &amp; Prefixes'!$B$14:$C$14)&gt;0, "2", "3"), 0), COUNTIF($D$14:$E$14, R$2)&gt;0, VLOOKUP($J124,'Gear Values'!$A$2:$E$13, IF(COUNTBLANK('Attributes &amp; Prefixes'!$B$14:$C$14)&gt;0, "4", "5"), 0)), "")</f>
        <v/>
      </c>
      <c r="S124" s="138" cm="1">
        <f t="array" ref="S124">IF(COUNTIF($B$14:$E$14, S$2)&gt;0, _xlfn.IFS(COUNTIF($B$14:$C$14, S$2)&gt;0, VLOOKUP($J124,'Gear Values'!$A$2:$E$13, IF(COUNTBLANK('Attributes &amp; Prefixes'!$B$14:$C$14)&gt;0, "2", "3"), 0), COUNTIF($D$14:$E$14, S$2)&gt;0, VLOOKUP($J124,'Gear Values'!$A$2:$E$13, IF(COUNTBLANK('Attributes &amp; Prefixes'!$B$14:$C$14)&gt;0, "4", "5"), 0)), "")</f>
        <v>239</v>
      </c>
      <c r="V124" s="112"/>
      <c r="W124" s="113"/>
    </row>
    <row r="125" spans="6:23">
      <c r="F125" s="114"/>
      <c r="G125" s="114"/>
      <c r="H125" s="130" t="str">
        <f>_xlfn.CONCAT(I$123,J125)</f>
        <v>ClericHead</v>
      </c>
      <c r="I125" s="520"/>
      <c r="J125" s="144" t="s">
        <v>40</v>
      </c>
      <c r="K125" s="136" cm="1">
        <f t="array" ref="K125">IF(COUNTIF($B$14:$E$14, K$2)&gt;0, _xlfn.IFS(COUNTIF($B$14:$C$14, K$2)&gt;0, VLOOKUP($J125,'Gear Values'!$A$2:$E$13, IF(COUNTBLANK('Attributes &amp; Prefixes'!$B$14:$C$14)&gt;0, "2", "3"), 0), COUNTIF($D$14:$E$14, K$2)&gt;0, VLOOKUP($J125,'Gear Values'!$A$2:$E$13, IF(COUNTBLANK('Attributes &amp; Prefixes'!$B$14:$C$14)&gt;0, "4", "5"), 0)), "")</f>
        <v>43</v>
      </c>
      <c r="L125" s="137" t="str" cm="1">
        <f t="array" ref="L125">IF(COUNTIF($B$14:$E$14, L$2)&gt;0, _xlfn.IFS(COUNTIF($B$14:$C$14, L$2)&gt;0, VLOOKUP($J125,'Gear Values'!$A$2:$E$13, IF(COUNTBLANK('Attributes &amp; Prefixes'!$B$14:$C$14)&gt;0, "2", "3"), 0), COUNTIF($D$14:$E$14, L$2)&gt;0, VLOOKUP($J125,'Gear Values'!$A$2:$E$13, IF(COUNTBLANK('Attributes &amp; Prefixes'!$B$14:$C$14)&gt;0, "4", "5"), 0)), "")</f>
        <v/>
      </c>
      <c r="M125" s="137" cm="1">
        <f t="array" ref="M125">IF(COUNTIF($B$14:$E$14, M$2)&gt;0, _xlfn.IFS(COUNTIF($B$14:$C$14, M$2)&gt;0, VLOOKUP($J125,'Gear Values'!$A$2:$E$13, IF(COUNTBLANK('Attributes &amp; Prefixes'!$B$14:$C$14)&gt;0, "2", "3"), 0), COUNTIF($D$14:$E$14, M$2)&gt;0, VLOOKUP($J125,'Gear Values'!$A$2:$E$13, IF(COUNTBLANK('Attributes &amp; Prefixes'!$B$14:$C$14)&gt;0, "4", "5"), 0)), "")</f>
        <v>43</v>
      </c>
      <c r="N125" s="137" t="str" cm="1">
        <f t="array" ref="N125">IF(COUNTIF($B$14:$E$14, N$2)&gt;0, _xlfn.IFS(COUNTIF($B$14:$C$14, N$2)&gt;0, VLOOKUP($J125,'Gear Values'!$A$2:$E$13, IF(COUNTBLANK('Attributes &amp; Prefixes'!$B$14:$C$14)&gt;0, "2", "3"), 0), COUNTIF($D$14:$E$14, N$2)&gt;0, VLOOKUP($J125,'Gear Values'!$A$2:$E$13, IF(COUNTBLANK('Attributes &amp; Prefixes'!$B$14:$C$14)&gt;0, "4", "5"), 0)), "")</f>
        <v/>
      </c>
      <c r="O125" s="137" t="str" cm="1">
        <f t="array" ref="O125">IF(COUNTIF($B$14:$E$14, O$2)&gt;0, _xlfn.IFS(COUNTIF($B$14:$C$14, O$2)&gt;0, VLOOKUP($J125,'Gear Values'!$A$2:$E$13, IF(COUNTBLANK('Attributes &amp; Prefixes'!$B$14:$C$14)&gt;0, "2", "3"), 0), COUNTIF($D$14:$E$14, O$2)&gt;0, VLOOKUP($J125,'Gear Values'!$A$2:$E$13, IF(COUNTBLANK('Attributes &amp; Prefixes'!$B$14:$C$14)&gt;0, "4", "5"), 0)), "")</f>
        <v/>
      </c>
      <c r="P125" s="137" t="str" cm="1">
        <f t="array" ref="P125">IF(COUNTIF($B$14:$E$14, P$2)&gt;0, _xlfn.IFS(COUNTIF($B$14:$C$14, P$2)&gt;0, VLOOKUP($J125,'Gear Values'!$A$2:$E$13, IF(COUNTBLANK('Attributes &amp; Prefixes'!$B$14:$C$14)&gt;0, "2", "3"), 0), COUNTIF($D$14:$E$14, P$2)&gt;0, VLOOKUP($J125,'Gear Values'!$A$2:$E$13, IF(COUNTBLANK('Attributes &amp; Prefixes'!$B$14:$C$14)&gt;0, "4", "5"), 0)), "")</f>
        <v/>
      </c>
      <c r="Q125" s="137" t="str" cm="1">
        <f t="array" ref="Q125">IF(COUNTIF($B$14:$E$14, Q$2)&gt;0, _xlfn.IFS(COUNTIF($B$14:$C$14, Q$2)&gt;0, VLOOKUP($J125,'Gear Values'!$A$2:$E$13, IF(COUNTBLANK('Attributes &amp; Prefixes'!$B$14:$C$14)&gt;0, "2", "3"), 0), COUNTIF($D$14:$E$14, Q$2)&gt;0, VLOOKUP($J125,'Gear Values'!$A$2:$E$13, IF(COUNTBLANK('Attributes &amp; Prefixes'!$B$14:$C$14)&gt;0, "4", "5"), 0)), "")</f>
        <v/>
      </c>
      <c r="R125" s="137" t="str" cm="1">
        <f t="array" ref="R125">IF(COUNTIF($B$14:$E$14, R$2)&gt;0, _xlfn.IFS(COUNTIF($B$14:$C$14, R$2)&gt;0, VLOOKUP($J125,'Gear Values'!$A$2:$E$13, IF(COUNTBLANK('Attributes &amp; Prefixes'!$B$14:$C$14)&gt;0, "2", "3"), 0), COUNTIF($D$14:$E$14, R$2)&gt;0, VLOOKUP($J125,'Gear Values'!$A$2:$E$13, IF(COUNTBLANK('Attributes &amp; Prefixes'!$B$14:$C$14)&gt;0, "4", "5"), 0)), "")</f>
        <v/>
      </c>
      <c r="S125" s="138" cm="1">
        <f t="array" ref="S125">IF(COUNTIF($B$14:$E$14, S$2)&gt;0, _xlfn.IFS(COUNTIF($B$14:$C$14, S$2)&gt;0, VLOOKUP($J125,'Gear Values'!$A$2:$E$13, IF(COUNTBLANK('Attributes &amp; Prefixes'!$B$14:$C$14)&gt;0, "2", "3"), 0), COUNTIF($D$14:$E$14, S$2)&gt;0, VLOOKUP($J125,'Gear Values'!$A$2:$E$13, IF(COUNTBLANK('Attributes &amp; Prefixes'!$B$14:$C$14)&gt;0, "4", "5"), 0)), "")</f>
        <v>60</v>
      </c>
      <c r="V125" s="112"/>
      <c r="W125" s="113"/>
    </row>
    <row r="126" spans="6:23">
      <c r="F126" s="114"/>
      <c r="G126" s="114"/>
      <c r="H126" s="130" t="str">
        <f>_xlfn.CONCAT(I$123,J126)</f>
        <v>ClericShoulders</v>
      </c>
      <c r="I126" s="520"/>
      <c r="J126" s="144" t="s">
        <v>42</v>
      </c>
      <c r="K126" s="136" cm="1">
        <f t="array" ref="K126">IF(COUNTIF($B$14:$E$14, K$2)&gt;0, _xlfn.IFS(COUNTIF($B$14:$C$14, K$2)&gt;0, VLOOKUP($J126,'Gear Values'!$A$2:$E$13, IF(COUNTBLANK('Attributes &amp; Prefixes'!$B$14:$C$14)&gt;0, "2", "3"), 0), COUNTIF($D$14:$E$14, K$2)&gt;0, VLOOKUP($J126,'Gear Values'!$A$2:$E$13, IF(COUNTBLANK('Attributes &amp; Prefixes'!$B$14:$C$14)&gt;0, "4", "5"), 0)), "")</f>
        <v>32</v>
      </c>
      <c r="L126" s="137" t="str" cm="1">
        <f t="array" ref="L126">IF(COUNTIF($B$14:$E$14, L$2)&gt;0, _xlfn.IFS(COUNTIF($B$14:$C$14, L$2)&gt;0, VLOOKUP($J126,'Gear Values'!$A$2:$E$13, IF(COUNTBLANK('Attributes &amp; Prefixes'!$B$14:$C$14)&gt;0, "2", "3"), 0), COUNTIF($D$14:$E$14, L$2)&gt;0, VLOOKUP($J126,'Gear Values'!$A$2:$E$13, IF(COUNTBLANK('Attributes &amp; Prefixes'!$B$14:$C$14)&gt;0, "4", "5"), 0)), "")</f>
        <v/>
      </c>
      <c r="M126" s="137" cm="1">
        <f t="array" ref="M126">IF(COUNTIF($B$14:$E$14, M$2)&gt;0, _xlfn.IFS(COUNTIF($B$14:$C$14, M$2)&gt;0, VLOOKUP($J126,'Gear Values'!$A$2:$E$13, IF(COUNTBLANK('Attributes &amp; Prefixes'!$B$14:$C$14)&gt;0, "2", "3"), 0), COUNTIF($D$14:$E$14, M$2)&gt;0, VLOOKUP($J126,'Gear Values'!$A$2:$E$13, IF(COUNTBLANK('Attributes &amp; Prefixes'!$B$14:$C$14)&gt;0, "4", "5"), 0)), "")</f>
        <v>32</v>
      </c>
      <c r="N126" s="137" t="str" cm="1">
        <f t="array" ref="N126">IF(COUNTIF($B$14:$E$14, N$2)&gt;0, _xlfn.IFS(COUNTIF($B$14:$C$14, N$2)&gt;0, VLOOKUP($J126,'Gear Values'!$A$2:$E$13, IF(COUNTBLANK('Attributes &amp; Prefixes'!$B$14:$C$14)&gt;0, "2", "3"), 0), COUNTIF($D$14:$E$14, N$2)&gt;0, VLOOKUP($J126,'Gear Values'!$A$2:$E$13, IF(COUNTBLANK('Attributes &amp; Prefixes'!$B$14:$C$14)&gt;0, "4", "5"), 0)), "")</f>
        <v/>
      </c>
      <c r="O126" s="137" t="str" cm="1">
        <f t="array" ref="O126">IF(COUNTIF($B$14:$E$14, O$2)&gt;0, _xlfn.IFS(COUNTIF($B$14:$C$14, O$2)&gt;0, VLOOKUP($J126,'Gear Values'!$A$2:$E$13, IF(COUNTBLANK('Attributes &amp; Prefixes'!$B$14:$C$14)&gt;0, "2", "3"), 0), COUNTIF($D$14:$E$14, O$2)&gt;0, VLOOKUP($J126,'Gear Values'!$A$2:$E$13, IF(COUNTBLANK('Attributes &amp; Prefixes'!$B$14:$C$14)&gt;0, "4", "5"), 0)), "")</f>
        <v/>
      </c>
      <c r="P126" s="137" t="str" cm="1">
        <f t="array" ref="P126">IF(COUNTIF($B$14:$E$14, P$2)&gt;0, _xlfn.IFS(COUNTIF($B$14:$C$14, P$2)&gt;0, VLOOKUP($J126,'Gear Values'!$A$2:$E$13, IF(COUNTBLANK('Attributes &amp; Prefixes'!$B$14:$C$14)&gt;0, "2", "3"), 0), COUNTIF($D$14:$E$14, P$2)&gt;0, VLOOKUP($J126,'Gear Values'!$A$2:$E$13, IF(COUNTBLANK('Attributes &amp; Prefixes'!$B$14:$C$14)&gt;0, "4", "5"), 0)), "")</f>
        <v/>
      </c>
      <c r="Q126" s="137" t="str" cm="1">
        <f t="array" ref="Q126">IF(COUNTIF($B$14:$E$14, Q$2)&gt;0, _xlfn.IFS(COUNTIF($B$14:$C$14, Q$2)&gt;0, VLOOKUP($J126,'Gear Values'!$A$2:$E$13, IF(COUNTBLANK('Attributes &amp; Prefixes'!$B$14:$C$14)&gt;0, "2", "3"), 0), COUNTIF($D$14:$E$14, Q$2)&gt;0, VLOOKUP($J126,'Gear Values'!$A$2:$E$13, IF(COUNTBLANK('Attributes &amp; Prefixes'!$B$14:$C$14)&gt;0, "4", "5"), 0)), "")</f>
        <v/>
      </c>
      <c r="R126" s="137" t="str" cm="1">
        <f t="array" ref="R126">IF(COUNTIF($B$14:$E$14, R$2)&gt;0, _xlfn.IFS(COUNTIF($B$14:$C$14, R$2)&gt;0, VLOOKUP($J126,'Gear Values'!$A$2:$E$13, IF(COUNTBLANK('Attributes &amp; Prefixes'!$B$14:$C$14)&gt;0, "2", "3"), 0), COUNTIF($D$14:$E$14, R$2)&gt;0, VLOOKUP($J126,'Gear Values'!$A$2:$E$13, IF(COUNTBLANK('Attributes &amp; Prefixes'!$B$14:$C$14)&gt;0, "4", "5"), 0)), "")</f>
        <v/>
      </c>
      <c r="S126" s="138" cm="1">
        <f t="array" ref="S126">IF(COUNTIF($B$14:$E$14, S$2)&gt;0, _xlfn.IFS(COUNTIF($B$14:$C$14, S$2)&gt;0, VLOOKUP($J126,'Gear Values'!$A$2:$E$13, IF(COUNTBLANK('Attributes &amp; Prefixes'!$B$14:$C$14)&gt;0, "2", "3"), 0), COUNTIF($D$14:$E$14, S$2)&gt;0, VLOOKUP($J126,'Gear Values'!$A$2:$E$13, IF(COUNTBLANK('Attributes &amp; Prefixes'!$B$14:$C$14)&gt;0, "4", "5"), 0)), "")</f>
        <v>45</v>
      </c>
      <c r="V126" s="112"/>
      <c r="W126" s="113"/>
    </row>
    <row r="127" spans="6:23">
      <c r="F127" s="114"/>
      <c r="G127" s="114"/>
      <c r="H127" s="130" t="str">
        <f>_xlfn.CONCAT(I$123,J127)</f>
        <v>ClericChest</v>
      </c>
      <c r="I127" s="520"/>
      <c r="J127" s="144" t="s">
        <v>44</v>
      </c>
      <c r="K127" s="136" cm="1">
        <f t="array" ref="K127">IF(COUNTIF($B$14:$E$14, K$2)&gt;0, _xlfn.IFS(COUNTIF($B$14:$C$14, K$2)&gt;0, VLOOKUP($J127,'Gear Values'!$A$2:$E$13, IF(COUNTBLANK('Attributes &amp; Prefixes'!$B$14:$C$14)&gt;0, "2", "3"), 0), COUNTIF($D$14:$E$14, K$2)&gt;0, VLOOKUP($J127,'Gear Values'!$A$2:$E$13, IF(COUNTBLANK('Attributes &amp; Prefixes'!$B$14:$C$14)&gt;0, "4", "5"), 0)), "")</f>
        <v>96</v>
      </c>
      <c r="L127" s="137" t="str" cm="1">
        <f t="array" ref="L127">IF(COUNTIF($B$14:$E$14, L$2)&gt;0, _xlfn.IFS(COUNTIF($B$14:$C$14, L$2)&gt;0, VLOOKUP($J127,'Gear Values'!$A$2:$E$13, IF(COUNTBLANK('Attributes &amp; Prefixes'!$B$14:$C$14)&gt;0, "2", "3"), 0), COUNTIF($D$14:$E$14, L$2)&gt;0, VLOOKUP($J127,'Gear Values'!$A$2:$E$13, IF(COUNTBLANK('Attributes &amp; Prefixes'!$B$14:$C$14)&gt;0, "4", "5"), 0)), "")</f>
        <v/>
      </c>
      <c r="M127" s="137" cm="1">
        <f t="array" ref="M127">IF(COUNTIF($B$14:$E$14, M$2)&gt;0, _xlfn.IFS(COUNTIF($B$14:$C$14, M$2)&gt;0, VLOOKUP($J127,'Gear Values'!$A$2:$E$13, IF(COUNTBLANK('Attributes &amp; Prefixes'!$B$14:$C$14)&gt;0, "2", "3"), 0), COUNTIF($D$14:$E$14, M$2)&gt;0, VLOOKUP($J127,'Gear Values'!$A$2:$E$13, IF(COUNTBLANK('Attributes &amp; Prefixes'!$B$14:$C$14)&gt;0, "4", "5"), 0)), "")</f>
        <v>96</v>
      </c>
      <c r="N127" s="137" t="str" cm="1">
        <f t="array" ref="N127">IF(COUNTIF($B$14:$E$14, N$2)&gt;0, _xlfn.IFS(COUNTIF($B$14:$C$14, N$2)&gt;0, VLOOKUP($J127,'Gear Values'!$A$2:$E$13, IF(COUNTBLANK('Attributes &amp; Prefixes'!$B$14:$C$14)&gt;0, "2", "3"), 0), COUNTIF($D$14:$E$14, N$2)&gt;0, VLOOKUP($J127,'Gear Values'!$A$2:$E$13, IF(COUNTBLANK('Attributes &amp; Prefixes'!$B$14:$C$14)&gt;0, "4", "5"), 0)), "")</f>
        <v/>
      </c>
      <c r="O127" s="137" t="str" cm="1">
        <f t="array" ref="O127">IF(COUNTIF($B$14:$E$14, O$2)&gt;0, _xlfn.IFS(COUNTIF($B$14:$C$14, O$2)&gt;0, VLOOKUP($J127,'Gear Values'!$A$2:$E$13, IF(COUNTBLANK('Attributes &amp; Prefixes'!$B$14:$C$14)&gt;0, "2", "3"), 0), COUNTIF($D$14:$E$14, O$2)&gt;0, VLOOKUP($J127,'Gear Values'!$A$2:$E$13, IF(COUNTBLANK('Attributes &amp; Prefixes'!$B$14:$C$14)&gt;0, "4", "5"), 0)), "")</f>
        <v/>
      </c>
      <c r="P127" s="137" t="str" cm="1">
        <f t="array" ref="P127">IF(COUNTIF($B$14:$E$14, P$2)&gt;0, _xlfn.IFS(COUNTIF($B$14:$C$14, P$2)&gt;0, VLOOKUP($J127,'Gear Values'!$A$2:$E$13, IF(COUNTBLANK('Attributes &amp; Prefixes'!$B$14:$C$14)&gt;0, "2", "3"), 0), COUNTIF($D$14:$E$14, P$2)&gt;0, VLOOKUP($J127,'Gear Values'!$A$2:$E$13, IF(COUNTBLANK('Attributes &amp; Prefixes'!$B$14:$C$14)&gt;0, "4", "5"), 0)), "")</f>
        <v/>
      </c>
      <c r="Q127" s="137" t="str" cm="1">
        <f t="array" ref="Q127">IF(COUNTIF($B$14:$E$14, Q$2)&gt;0, _xlfn.IFS(COUNTIF($B$14:$C$14, Q$2)&gt;0, VLOOKUP($J127,'Gear Values'!$A$2:$E$13, IF(COUNTBLANK('Attributes &amp; Prefixes'!$B$14:$C$14)&gt;0, "2", "3"), 0), COUNTIF($D$14:$E$14, Q$2)&gt;0, VLOOKUP($J127,'Gear Values'!$A$2:$E$13, IF(COUNTBLANK('Attributes &amp; Prefixes'!$B$14:$C$14)&gt;0, "4", "5"), 0)), "")</f>
        <v/>
      </c>
      <c r="R127" s="137" t="str" cm="1">
        <f t="array" ref="R127">IF(COUNTIF($B$14:$E$14, R$2)&gt;0, _xlfn.IFS(COUNTIF($B$14:$C$14, R$2)&gt;0, VLOOKUP($J127,'Gear Values'!$A$2:$E$13, IF(COUNTBLANK('Attributes &amp; Prefixes'!$B$14:$C$14)&gt;0, "2", "3"), 0), COUNTIF($D$14:$E$14, R$2)&gt;0, VLOOKUP($J127,'Gear Values'!$A$2:$E$13, IF(COUNTBLANK('Attributes &amp; Prefixes'!$B$14:$C$14)&gt;0, "4", "5"), 0)), "")</f>
        <v/>
      </c>
      <c r="S127" s="138" cm="1">
        <f t="array" ref="S127">IF(COUNTIF($B$14:$E$14, S$2)&gt;0, _xlfn.IFS(COUNTIF($B$14:$C$14, S$2)&gt;0, VLOOKUP($J127,'Gear Values'!$A$2:$E$13, IF(COUNTBLANK('Attributes &amp; Prefixes'!$B$14:$C$14)&gt;0, "2", "3"), 0), COUNTIF($D$14:$E$14, S$2)&gt;0, VLOOKUP($J127,'Gear Values'!$A$2:$E$13, IF(COUNTBLANK('Attributes &amp; Prefixes'!$B$14:$C$14)&gt;0, "4", "5"), 0)), "")</f>
        <v>134</v>
      </c>
      <c r="V127" s="112"/>
      <c r="W127" s="113"/>
    </row>
    <row r="128" spans="6:23">
      <c r="F128" s="114"/>
      <c r="G128" s="114"/>
      <c r="H128" s="130" t="str">
        <f>_xlfn.CONCAT(I$123,J128)</f>
        <v>ClericHands</v>
      </c>
      <c r="I128" s="520"/>
      <c r="J128" s="144" t="s">
        <v>45</v>
      </c>
      <c r="K128" s="136" cm="1">
        <f t="array" ref="K128">IF(COUNTIF($B$14:$E$14, K$2)&gt;0, _xlfn.IFS(COUNTIF($B$14:$C$14, K$2)&gt;0, VLOOKUP($J128,'Gear Values'!$A$2:$E$13, IF(COUNTBLANK('Attributes &amp; Prefixes'!$B$14:$C$14)&gt;0, "2", "3"), 0), COUNTIF($D$14:$E$14, K$2)&gt;0, VLOOKUP($J128,'Gear Values'!$A$2:$E$13, IF(COUNTBLANK('Attributes &amp; Prefixes'!$B$14:$C$14)&gt;0, "4", "5"), 0)), "")</f>
        <v>32</v>
      </c>
      <c r="L128" s="137" t="str" cm="1">
        <f t="array" ref="L128">IF(COUNTIF($B$14:$E$14, L$2)&gt;0, _xlfn.IFS(COUNTIF($B$14:$C$14, L$2)&gt;0, VLOOKUP($J128,'Gear Values'!$A$2:$E$13, IF(COUNTBLANK('Attributes &amp; Prefixes'!$B$14:$C$14)&gt;0, "2", "3"), 0), COUNTIF($D$14:$E$14, L$2)&gt;0, VLOOKUP($J128,'Gear Values'!$A$2:$E$13, IF(COUNTBLANK('Attributes &amp; Prefixes'!$B$14:$C$14)&gt;0, "4", "5"), 0)), "")</f>
        <v/>
      </c>
      <c r="M128" s="137" cm="1">
        <f t="array" ref="M128">IF(COUNTIF($B$14:$E$14, M$2)&gt;0, _xlfn.IFS(COUNTIF($B$14:$C$14, M$2)&gt;0, VLOOKUP($J128,'Gear Values'!$A$2:$E$13, IF(COUNTBLANK('Attributes &amp; Prefixes'!$B$14:$C$14)&gt;0, "2", "3"), 0), COUNTIF($D$14:$E$14, M$2)&gt;0, VLOOKUP($J128,'Gear Values'!$A$2:$E$13, IF(COUNTBLANK('Attributes &amp; Prefixes'!$B$14:$C$14)&gt;0, "4", "5"), 0)), "")</f>
        <v>32</v>
      </c>
      <c r="N128" s="137" t="str" cm="1">
        <f t="array" ref="N128">IF(COUNTIF($B$14:$E$14, N$2)&gt;0, _xlfn.IFS(COUNTIF($B$14:$C$14, N$2)&gt;0, VLOOKUP($J128,'Gear Values'!$A$2:$E$13, IF(COUNTBLANK('Attributes &amp; Prefixes'!$B$14:$C$14)&gt;0, "2", "3"), 0), COUNTIF($D$14:$E$14, N$2)&gt;0, VLOOKUP($J128,'Gear Values'!$A$2:$E$13, IF(COUNTBLANK('Attributes &amp; Prefixes'!$B$14:$C$14)&gt;0, "4", "5"), 0)), "")</f>
        <v/>
      </c>
      <c r="O128" s="137" t="str" cm="1">
        <f t="array" ref="O128">IF(COUNTIF($B$14:$E$14, O$2)&gt;0, _xlfn.IFS(COUNTIF($B$14:$C$14, O$2)&gt;0, VLOOKUP($J128,'Gear Values'!$A$2:$E$13, IF(COUNTBLANK('Attributes &amp; Prefixes'!$B$14:$C$14)&gt;0, "2", "3"), 0), COUNTIF($D$14:$E$14, O$2)&gt;0, VLOOKUP($J128,'Gear Values'!$A$2:$E$13, IF(COUNTBLANK('Attributes &amp; Prefixes'!$B$14:$C$14)&gt;0, "4", "5"), 0)), "")</f>
        <v/>
      </c>
      <c r="P128" s="137" t="str" cm="1">
        <f t="array" ref="P128">IF(COUNTIF($B$14:$E$14, P$2)&gt;0, _xlfn.IFS(COUNTIF($B$14:$C$14, P$2)&gt;0, VLOOKUP($J128,'Gear Values'!$A$2:$E$13, IF(COUNTBLANK('Attributes &amp; Prefixes'!$B$14:$C$14)&gt;0, "2", "3"), 0), COUNTIF($D$14:$E$14, P$2)&gt;0, VLOOKUP($J128,'Gear Values'!$A$2:$E$13, IF(COUNTBLANK('Attributes &amp; Prefixes'!$B$14:$C$14)&gt;0, "4", "5"), 0)), "")</f>
        <v/>
      </c>
      <c r="Q128" s="137" t="str" cm="1">
        <f t="array" ref="Q128">IF(COUNTIF($B$14:$E$14, Q$2)&gt;0, _xlfn.IFS(COUNTIF($B$14:$C$14, Q$2)&gt;0, VLOOKUP($J128,'Gear Values'!$A$2:$E$13, IF(COUNTBLANK('Attributes &amp; Prefixes'!$B$14:$C$14)&gt;0, "2", "3"), 0), COUNTIF($D$14:$E$14, Q$2)&gt;0, VLOOKUP($J128,'Gear Values'!$A$2:$E$13, IF(COUNTBLANK('Attributes &amp; Prefixes'!$B$14:$C$14)&gt;0, "4", "5"), 0)), "")</f>
        <v/>
      </c>
      <c r="R128" s="137" t="str" cm="1">
        <f t="array" ref="R128">IF(COUNTIF($B$14:$E$14, R$2)&gt;0, _xlfn.IFS(COUNTIF($B$14:$C$14, R$2)&gt;0, VLOOKUP($J128,'Gear Values'!$A$2:$E$13, IF(COUNTBLANK('Attributes &amp; Prefixes'!$B$14:$C$14)&gt;0, "2", "3"), 0), COUNTIF($D$14:$E$14, R$2)&gt;0, VLOOKUP($J128,'Gear Values'!$A$2:$E$13, IF(COUNTBLANK('Attributes &amp; Prefixes'!$B$14:$C$14)&gt;0, "4", "5"), 0)), "")</f>
        <v/>
      </c>
      <c r="S128" s="138" cm="1">
        <f t="array" ref="S128">IF(COUNTIF($B$14:$E$14, S$2)&gt;0, _xlfn.IFS(COUNTIF($B$14:$C$14, S$2)&gt;0, VLOOKUP($J128,'Gear Values'!$A$2:$E$13, IF(COUNTBLANK('Attributes &amp; Prefixes'!$B$14:$C$14)&gt;0, "2", "3"), 0), COUNTIF($D$14:$E$14, S$2)&gt;0, VLOOKUP($J128,'Gear Values'!$A$2:$E$13, IF(COUNTBLANK('Attributes &amp; Prefixes'!$B$14:$C$14)&gt;0, "4", "5"), 0)), "")</f>
        <v>45</v>
      </c>
      <c r="V128" s="112"/>
      <c r="W128" s="113"/>
    </row>
    <row r="129" spans="6:23">
      <c r="F129" s="114"/>
      <c r="G129" s="114"/>
      <c r="H129" s="130" t="str">
        <f>_xlfn.CONCAT(I$123,J129)</f>
        <v>ClericLegs</v>
      </c>
      <c r="I129" s="520"/>
      <c r="J129" s="144" t="s">
        <v>47</v>
      </c>
      <c r="K129" s="136" cm="1">
        <f t="array" ref="K129">IF(COUNTIF($B$14:$E$14, K$2)&gt;0, _xlfn.IFS(COUNTIF($B$14:$C$14, K$2)&gt;0, VLOOKUP($J129,'Gear Values'!$A$2:$E$13, IF(COUNTBLANK('Attributes &amp; Prefixes'!$B$14:$C$14)&gt;0, "2", "3"), 0), COUNTIF($D$14:$E$14, K$2)&gt;0, VLOOKUP($J129,'Gear Values'!$A$2:$E$13, IF(COUNTBLANK('Attributes &amp; Prefixes'!$B$14:$C$14)&gt;0, "4", "5"), 0)), "")</f>
        <v>64</v>
      </c>
      <c r="L129" s="137" t="str" cm="1">
        <f t="array" ref="L129">IF(COUNTIF($B$14:$E$14, L$2)&gt;0, _xlfn.IFS(COUNTIF($B$14:$C$14, L$2)&gt;0, VLOOKUP($J129,'Gear Values'!$A$2:$E$13, IF(COUNTBLANK('Attributes &amp; Prefixes'!$B$14:$C$14)&gt;0, "2", "3"), 0), COUNTIF($D$14:$E$14, L$2)&gt;0, VLOOKUP($J129,'Gear Values'!$A$2:$E$13, IF(COUNTBLANK('Attributes &amp; Prefixes'!$B$14:$C$14)&gt;0, "4", "5"), 0)), "")</f>
        <v/>
      </c>
      <c r="M129" s="137" cm="1">
        <f t="array" ref="M129">IF(COUNTIF($B$14:$E$14, M$2)&gt;0, _xlfn.IFS(COUNTIF($B$14:$C$14, M$2)&gt;0, VLOOKUP($J129,'Gear Values'!$A$2:$E$13, IF(COUNTBLANK('Attributes &amp; Prefixes'!$B$14:$C$14)&gt;0, "2", "3"), 0), COUNTIF($D$14:$E$14, M$2)&gt;0, VLOOKUP($J129,'Gear Values'!$A$2:$E$13, IF(COUNTBLANK('Attributes &amp; Prefixes'!$B$14:$C$14)&gt;0, "4", "5"), 0)), "")</f>
        <v>64</v>
      </c>
      <c r="N129" s="137" t="str" cm="1">
        <f t="array" ref="N129">IF(COUNTIF($B$14:$E$14, N$2)&gt;0, _xlfn.IFS(COUNTIF($B$14:$C$14, N$2)&gt;0, VLOOKUP($J129,'Gear Values'!$A$2:$E$13, IF(COUNTBLANK('Attributes &amp; Prefixes'!$B$14:$C$14)&gt;0, "2", "3"), 0), COUNTIF($D$14:$E$14, N$2)&gt;0, VLOOKUP($J129,'Gear Values'!$A$2:$E$13, IF(COUNTBLANK('Attributes &amp; Prefixes'!$B$14:$C$14)&gt;0, "4", "5"), 0)), "")</f>
        <v/>
      </c>
      <c r="O129" s="137" t="str" cm="1">
        <f t="array" ref="O129">IF(COUNTIF($B$14:$E$14, O$2)&gt;0, _xlfn.IFS(COUNTIF($B$14:$C$14, O$2)&gt;0, VLOOKUP($J129,'Gear Values'!$A$2:$E$13, IF(COUNTBLANK('Attributes &amp; Prefixes'!$B$14:$C$14)&gt;0, "2", "3"), 0), COUNTIF($D$14:$E$14, O$2)&gt;0, VLOOKUP($J129,'Gear Values'!$A$2:$E$13, IF(COUNTBLANK('Attributes &amp; Prefixes'!$B$14:$C$14)&gt;0, "4", "5"), 0)), "")</f>
        <v/>
      </c>
      <c r="P129" s="137" t="str" cm="1">
        <f t="array" ref="P129">IF(COUNTIF($B$14:$E$14, P$2)&gt;0, _xlfn.IFS(COUNTIF($B$14:$C$14, P$2)&gt;0, VLOOKUP($J129,'Gear Values'!$A$2:$E$13, IF(COUNTBLANK('Attributes &amp; Prefixes'!$B$14:$C$14)&gt;0, "2", "3"), 0), COUNTIF($D$14:$E$14, P$2)&gt;0, VLOOKUP($J129,'Gear Values'!$A$2:$E$13, IF(COUNTBLANK('Attributes &amp; Prefixes'!$B$14:$C$14)&gt;0, "4", "5"), 0)), "")</f>
        <v/>
      </c>
      <c r="Q129" s="137" t="str" cm="1">
        <f t="array" ref="Q129">IF(COUNTIF($B$14:$E$14, Q$2)&gt;0, _xlfn.IFS(COUNTIF($B$14:$C$14, Q$2)&gt;0, VLOOKUP($J129,'Gear Values'!$A$2:$E$13, IF(COUNTBLANK('Attributes &amp; Prefixes'!$B$14:$C$14)&gt;0, "2", "3"), 0), COUNTIF($D$14:$E$14, Q$2)&gt;0, VLOOKUP($J129,'Gear Values'!$A$2:$E$13, IF(COUNTBLANK('Attributes &amp; Prefixes'!$B$14:$C$14)&gt;0, "4", "5"), 0)), "")</f>
        <v/>
      </c>
      <c r="R129" s="137" t="str" cm="1">
        <f t="array" ref="R129">IF(COUNTIF($B$14:$E$14, R$2)&gt;0, _xlfn.IFS(COUNTIF($B$14:$C$14, R$2)&gt;0, VLOOKUP($J129,'Gear Values'!$A$2:$E$13, IF(COUNTBLANK('Attributes &amp; Prefixes'!$B$14:$C$14)&gt;0, "2", "3"), 0), COUNTIF($D$14:$E$14, R$2)&gt;0, VLOOKUP($J129,'Gear Values'!$A$2:$E$13, IF(COUNTBLANK('Attributes &amp; Prefixes'!$B$14:$C$14)&gt;0, "4", "5"), 0)), "")</f>
        <v/>
      </c>
      <c r="S129" s="138" cm="1">
        <f t="array" ref="S129">IF(COUNTIF($B$14:$E$14, S$2)&gt;0, _xlfn.IFS(COUNTIF($B$14:$C$14, S$2)&gt;0, VLOOKUP($J129,'Gear Values'!$A$2:$E$13, IF(COUNTBLANK('Attributes &amp; Prefixes'!$B$14:$C$14)&gt;0, "2", "3"), 0), COUNTIF($D$14:$E$14, S$2)&gt;0, VLOOKUP($J129,'Gear Values'!$A$2:$E$13, IF(COUNTBLANK('Attributes &amp; Prefixes'!$B$14:$C$14)&gt;0, "4", "5"), 0)), "")</f>
        <v>90</v>
      </c>
      <c r="V129" s="112"/>
      <c r="W129" s="113"/>
    </row>
    <row r="130" spans="6:23">
      <c r="H130" s="130" t="str">
        <f>_xlfn.CONCAT(I$123,J130)</f>
        <v>ClericFeet</v>
      </c>
      <c r="I130" s="520"/>
      <c r="J130" s="144" t="s">
        <v>48</v>
      </c>
      <c r="K130" s="136" cm="1">
        <f t="array" ref="K130">IF(COUNTIF($B$14:$E$14, K$2)&gt;0, _xlfn.IFS(COUNTIF($B$14:$C$14, K$2)&gt;0, VLOOKUP($J130,'Gear Values'!$A$2:$E$13, IF(COUNTBLANK('Attributes &amp; Prefixes'!$B$14:$C$14)&gt;0, "2", "3"), 0), COUNTIF($D$14:$E$14, K$2)&gt;0, VLOOKUP($J130,'Gear Values'!$A$2:$E$13, IF(COUNTBLANK('Attributes &amp; Prefixes'!$B$14:$C$14)&gt;0, "4", "5"), 0)), "")</f>
        <v>32</v>
      </c>
      <c r="L130" s="137" t="str" cm="1">
        <f t="array" ref="L130">IF(COUNTIF($B$14:$E$14, L$2)&gt;0, _xlfn.IFS(COUNTIF($B$14:$C$14, L$2)&gt;0, VLOOKUP($J130,'Gear Values'!$A$2:$E$13, IF(COUNTBLANK('Attributes &amp; Prefixes'!$B$14:$C$14)&gt;0, "2", "3"), 0), COUNTIF($D$14:$E$14, L$2)&gt;0, VLOOKUP($J130,'Gear Values'!$A$2:$E$13, IF(COUNTBLANK('Attributes &amp; Prefixes'!$B$14:$C$14)&gt;0, "4", "5"), 0)), "")</f>
        <v/>
      </c>
      <c r="M130" s="137" cm="1">
        <f t="array" ref="M130">IF(COUNTIF($B$14:$E$14, M$2)&gt;0, _xlfn.IFS(COUNTIF($B$14:$C$14, M$2)&gt;0, VLOOKUP($J130,'Gear Values'!$A$2:$E$13, IF(COUNTBLANK('Attributes &amp; Prefixes'!$B$14:$C$14)&gt;0, "2", "3"), 0), COUNTIF($D$14:$E$14, M$2)&gt;0, VLOOKUP($J130,'Gear Values'!$A$2:$E$13, IF(COUNTBLANK('Attributes &amp; Prefixes'!$B$14:$C$14)&gt;0, "4", "5"), 0)), "")</f>
        <v>32</v>
      </c>
      <c r="N130" s="137" t="str" cm="1">
        <f t="array" ref="N130">IF(COUNTIF($B$14:$E$14, N$2)&gt;0, _xlfn.IFS(COUNTIF($B$14:$C$14, N$2)&gt;0, VLOOKUP($J130,'Gear Values'!$A$2:$E$13, IF(COUNTBLANK('Attributes &amp; Prefixes'!$B$14:$C$14)&gt;0, "2", "3"), 0), COUNTIF($D$14:$E$14, N$2)&gt;0, VLOOKUP($J130,'Gear Values'!$A$2:$E$13, IF(COUNTBLANK('Attributes &amp; Prefixes'!$B$14:$C$14)&gt;0, "4", "5"), 0)), "")</f>
        <v/>
      </c>
      <c r="O130" s="137" t="str" cm="1">
        <f t="array" ref="O130">IF(COUNTIF($B$14:$E$14, O$2)&gt;0, _xlfn.IFS(COUNTIF($B$14:$C$14, O$2)&gt;0, VLOOKUP($J130,'Gear Values'!$A$2:$E$13, IF(COUNTBLANK('Attributes &amp; Prefixes'!$B$14:$C$14)&gt;0, "2", "3"), 0), COUNTIF($D$14:$E$14, O$2)&gt;0, VLOOKUP($J130,'Gear Values'!$A$2:$E$13, IF(COUNTBLANK('Attributes &amp; Prefixes'!$B$14:$C$14)&gt;0, "4", "5"), 0)), "")</f>
        <v/>
      </c>
      <c r="P130" s="137" t="str" cm="1">
        <f t="array" ref="P130">IF(COUNTIF($B$14:$E$14, P$2)&gt;0, _xlfn.IFS(COUNTIF($B$14:$C$14, P$2)&gt;0, VLOOKUP($J130,'Gear Values'!$A$2:$E$13, IF(COUNTBLANK('Attributes &amp; Prefixes'!$B$14:$C$14)&gt;0, "2", "3"), 0), COUNTIF($D$14:$E$14, P$2)&gt;0, VLOOKUP($J130,'Gear Values'!$A$2:$E$13, IF(COUNTBLANK('Attributes &amp; Prefixes'!$B$14:$C$14)&gt;0, "4", "5"), 0)), "")</f>
        <v/>
      </c>
      <c r="Q130" s="137" t="str" cm="1">
        <f t="array" ref="Q130">IF(COUNTIF($B$14:$E$14, Q$2)&gt;0, _xlfn.IFS(COUNTIF($B$14:$C$14, Q$2)&gt;0, VLOOKUP($J130,'Gear Values'!$A$2:$E$13, IF(COUNTBLANK('Attributes &amp; Prefixes'!$B$14:$C$14)&gt;0, "2", "3"), 0), COUNTIF($D$14:$E$14, Q$2)&gt;0, VLOOKUP($J130,'Gear Values'!$A$2:$E$13, IF(COUNTBLANK('Attributes &amp; Prefixes'!$B$14:$C$14)&gt;0, "4", "5"), 0)), "")</f>
        <v/>
      </c>
      <c r="R130" s="137" t="str" cm="1">
        <f t="array" ref="R130">IF(COUNTIF($B$14:$E$14, R$2)&gt;0, _xlfn.IFS(COUNTIF($B$14:$C$14, R$2)&gt;0, VLOOKUP($J130,'Gear Values'!$A$2:$E$13, IF(COUNTBLANK('Attributes &amp; Prefixes'!$B$14:$C$14)&gt;0, "2", "3"), 0), COUNTIF($D$14:$E$14, R$2)&gt;0, VLOOKUP($J130,'Gear Values'!$A$2:$E$13, IF(COUNTBLANK('Attributes &amp; Prefixes'!$B$14:$C$14)&gt;0, "4", "5"), 0)), "")</f>
        <v/>
      </c>
      <c r="S130" s="138" cm="1">
        <f t="array" ref="S130">IF(COUNTIF($B$14:$E$14, S$2)&gt;0, _xlfn.IFS(COUNTIF($B$14:$C$14, S$2)&gt;0, VLOOKUP($J130,'Gear Values'!$A$2:$E$13, IF(COUNTBLANK('Attributes &amp; Prefixes'!$B$14:$C$14)&gt;0, "2", "3"), 0), COUNTIF($D$14:$E$14, S$2)&gt;0, VLOOKUP($J130,'Gear Values'!$A$2:$E$13, IF(COUNTBLANK('Attributes &amp; Prefixes'!$B$14:$C$14)&gt;0, "4", "5"), 0)), "")</f>
        <v>45</v>
      </c>
      <c r="V130" s="112"/>
      <c r="W130" s="113"/>
    </row>
    <row r="131" spans="6:23">
      <c r="H131" s="130" t="str">
        <f>_xlfn.CONCAT(A$76,J131)</f>
        <v>SapphireEar</v>
      </c>
      <c r="I131" s="520"/>
      <c r="J131" s="144" t="s">
        <v>49</v>
      </c>
      <c r="K131" s="136" cm="1">
        <f t="array" ref="K131">IF(COUNTIF($B$14:$E$14, K$2)&gt;0, _xlfn.IFS(COUNTIF($B$14:$C$14, K$2)&gt;0, VLOOKUP($J131,'Gear Values'!$A$2:$E$13, IF(COUNTBLANK('Attributes &amp; Prefixes'!$B$14:$C$14)&gt;0, "2", "3"), 0), COUNTIF($D$14:$E$14, K$2)&gt;0, VLOOKUP($J131,'Gear Values'!$A$2:$E$13, IF(COUNTBLANK('Attributes &amp; Prefixes'!$B$14:$C$14)&gt;0, "4", "5"), 0)), "")</f>
        <v>53</v>
      </c>
      <c r="L131" s="137" t="str" cm="1">
        <f t="array" ref="L131">IF(COUNTIF($B$14:$E$14, L$2)&gt;0, _xlfn.IFS(COUNTIF($B$14:$C$14, L$2)&gt;0, VLOOKUP($J131,'Gear Values'!$A$2:$E$13, IF(COUNTBLANK('Attributes &amp; Prefixes'!$B$14:$C$14)&gt;0, "2", "3"), 0), COUNTIF($D$14:$E$14, L$2)&gt;0, VLOOKUP($J131,'Gear Values'!$A$2:$E$13, IF(COUNTBLANK('Attributes &amp; Prefixes'!$B$14:$C$14)&gt;0, "4", "5"), 0)), "")</f>
        <v/>
      </c>
      <c r="M131" s="137" cm="1">
        <f t="array" ref="M131">IF(COUNTIF($B$14:$E$14, M$2)&gt;0, _xlfn.IFS(COUNTIF($B$14:$C$14, M$2)&gt;0, VLOOKUP($J131,'Gear Values'!$A$2:$E$13, IF(COUNTBLANK('Attributes &amp; Prefixes'!$B$14:$C$14)&gt;0, "2", "3"), 0), COUNTIF($D$14:$E$14, M$2)&gt;0, VLOOKUP($J131,'Gear Values'!$A$2:$E$13, IF(COUNTBLANK('Attributes &amp; Prefixes'!$B$14:$C$14)&gt;0, "4", "5"), 0)), "")</f>
        <v>53</v>
      </c>
      <c r="N131" s="137" t="str" cm="1">
        <f t="array" ref="N131">IF(COUNTIF($B$14:$E$14, N$2)&gt;0, _xlfn.IFS(COUNTIF($B$14:$C$14, N$2)&gt;0, VLOOKUP($J131,'Gear Values'!$A$2:$E$13, IF(COUNTBLANK('Attributes &amp; Prefixes'!$B$14:$C$14)&gt;0, "2", "3"), 0), COUNTIF($D$14:$E$14, N$2)&gt;0, VLOOKUP($J131,'Gear Values'!$A$2:$E$13, IF(COUNTBLANK('Attributes &amp; Prefixes'!$B$14:$C$14)&gt;0, "4", "5"), 0)), "")</f>
        <v/>
      </c>
      <c r="O131" s="137" t="str" cm="1">
        <f t="array" ref="O131">IF(COUNTIF($B$14:$E$14, O$2)&gt;0, _xlfn.IFS(COUNTIF($B$14:$C$14, O$2)&gt;0, VLOOKUP($J131,'Gear Values'!$A$2:$E$13, IF(COUNTBLANK('Attributes &amp; Prefixes'!$B$14:$C$14)&gt;0, "2", "3"), 0), COUNTIF($D$14:$E$14, O$2)&gt;0, VLOOKUP($J131,'Gear Values'!$A$2:$E$13, IF(COUNTBLANK('Attributes &amp; Prefixes'!$B$14:$C$14)&gt;0, "4", "5"), 0)), "")</f>
        <v/>
      </c>
      <c r="P131" s="137" t="str" cm="1">
        <f t="array" ref="P131">IF(COUNTIF($B$14:$E$14, P$2)&gt;0, _xlfn.IFS(COUNTIF($B$14:$C$14, P$2)&gt;0, VLOOKUP($J131,'Gear Values'!$A$2:$E$13, IF(COUNTBLANK('Attributes &amp; Prefixes'!$B$14:$C$14)&gt;0, "2", "3"), 0), COUNTIF($D$14:$E$14, P$2)&gt;0, VLOOKUP($J131,'Gear Values'!$A$2:$E$13, IF(COUNTBLANK('Attributes &amp; Prefixes'!$B$14:$C$14)&gt;0, "4", "5"), 0)), "")</f>
        <v/>
      </c>
      <c r="Q131" s="137" t="str" cm="1">
        <f t="array" ref="Q131">IF(COUNTIF($B$14:$E$14, Q$2)&gt;0, _xlfn.IFS(COUNTIF($B$14:$C$14, Q$2)&gt;0, VLOOKUP($J131,'Gear Values'!$A$2:$E$13, IF(COUNTBLANK('Attributes &amp; Prefixes'!$B$14:$C$14)&gt;0, "2", "3"), 0), COUNTIF($D$14:$E$14, Q$2)&gt;0, VLOOKUP($J131,'Gear Values'!$A$2:$E$13, IF(COUNTBLANK('Attributes &amp; Prefixes'!$B$14:$C$14)&gt;0, "4", "5"), 0)), "")</f>
        <v/>
      </c>
      <c r="R131" s="137" t="str" cm="1">
        <f t="array" ref="R131">IF(COUNTIF($B$14:$E$14, R$2)&gt;0, _xlfn.IFS(COUNTIF($B$14:$C$14, R$2)&gt;0, VLOOKUP($J131,'Gear Values'!$A$2:$E$13, IF(COUNTBLANK('Attributes &amp; Prefixes'!$B$14:$C$14)&gt;0, "2", "3"), 0), COUNTIF($D$14:$E$14, R$2)&gt;0, VLOOKUP($J131,'Gear Values'!$A$2:$E$13, IF(COUNTBLANK('Attributes &amp; Prefixes'!$B$14:$C$14)&gt;0, "4", "5"), 0)), "")</f>
        <v/>
      </c>
      <c r="S131" s="138" cm="1">
        <f t="array" ref="S131">IF(COUNTIF($B$14:$E$14, S$2)&gt;0, _xlfn.IFS(COUNTIF($B$14:$C$14, S$2)&gt;0, VLOOKUP($J131,'Gear Values'!$A$2:$E$13, IF(COUNTBLANK('Attributes &amp; Prefixes'!$B$14:$C$14)&gt;0, "2", "3"), 0), COUNTIF($D$14:$E$14, S$2)&gt;0, VLOOKUP($J131,'Gear Values'!$A$2:$E$13, IF(COUNTBLANK('Attributes &amp; Prefixes'!$B$14:$C$14)&gt;0, "4", "5"), 0)), "")</f>
        <v>75</v>
      </c>
      <c r="V131" s="112"/>
      <c r="W131" s="113"/>
    </row>
    <row r="132" spans="6:23">
      <c r="H132" s="130" t="str">
        <f>_xlfn.CONCAT(A$76,J132)</f>
        <v>SapphireFinger</v>
      </c>
      <c r="I132" s="520"/>
      <c r="J132" s="144" t="s">
        <v>51</v>
      </c>
      <c r="K132" s="136" cm="1">
        <f t="array" ref="K132">IF(COUNTIF($B$14:$E$14, K$2)&gt;0, _xlfn.IFS(COUNTIF($B$14:$C$14, K$2)&gt;0, VLOOKUP($J132,'Gear Values'!$A$2:$E$13, IF(COUNTBLANK('Attributes &amp; Prefixes'!$B$14:$C$14)&gt;0, "2", "3"), 0), COUNTIF($D$14:$E$14, K$2)&gt;0, VLOOKUP($J132,'Gear Values'!$A$2:$E$13, IF(COUNTBLANK('Attributes &amp; Prefixes'!$B$14:$C$14)&gt;0, "4", "5"), 0)), "")</f>
        <v>64</v>
      </c>
      <c r="L132" s="137" t="str" cm="1">
        <f t="array" ref="L132">IF(COUNTIF($B$14:$E$14, L$2)&gt;0, _xlfn.IFS(COUNTIF($B$14:$C$14, L$2)&gt;0, VLOOKUP($J132,'Gear Values'!$A$2:$E$13, IF(COUNTBLANK('Attributes &amp; Prefixes'!$B$14:$C$14)&gt;0, "2", "3"), 0), COUNTIF($D$14:$E$14, L$2)&gt;0, VLOOKUP($J132,'Gear Values'!$A$2:$E$13, IF(COUNTBLANK('Attributes &amp; Prefixes'!$B$14:$C$14)&gt;0, "4", "5"), 0)), "")</f>
        <v/>
      </c>
      <c r="M132" s="137" cm="1">
        <f t="array" ref="M132">IF(COUNTIF($B$14:$E$14, M$2)&gt;0, _xlfn.IFS(COUNTIF($B$14:$C$14, M$2)&gt;0, VLOOKUP($J132,'Gear Values'!$A$2:$E$13, IF(COUNTBLANK('Attributes &amp; Prefixes'!$B$14:$C$14)&gt;0, "2", "3"), 0), COUNTIF($D$14:$E$14, M$2)&gt;0, VLOOKUP($J132,'Gear Values'!$A$2:$E$13, IF(COUNTBLANK('Attributes &amp; Prefixes'!$B$14:$C$14)&gt;0, "4", "5"), 0)), "")</f>
        <v>64</v>
      </c>
      <c r="N132" s="137" t="str" cm="1">
        <f t="array" ref="N132">IF(COUNTIF($B$14:$E$14, N$2)&gt;0, _xlfn.IFS(COUNTIF($B$14:$C$14, N$2)&gt;0, VLOOKUP($J132,'Gear Values'!$A$2:$E$13, IF(COUNTBLANK('Attributes &amp; Prefixes'!$B$14:$C$14)&gt;0, "2", "3"), 0), COUNTIF($D$14:$E$14, N$2)&gt;0, VLOOKUP($J132,'Gear Values'!$A$2:$E$13, IF(COUNTBLANK('Attributes &amp; Prefixes'!$B$14:$C$14)&gt;0, "4", "5"), 0)), "")</f>
        <v/>
      </c>
      <c r="O132" s="137" t="str" cm="1">
        <f t="array" ref="O132">IF(COUNTIF($B$14:$E$14, O$2)&gt;0, _xlfn.IFS(COUNTIF($B$14:$C$14, O$2)&gt;0, VLOOKUP($J132,'Gear Values'!$A$2:$E$13, IF(COUNTBLANK('Attributes &amp; Prefixes'!$B$14:$C$14)&gt;0, "2", "3"), 0), COUNTIF($D$14:$E$14, O$2)&gt;0, VLOOKUP($J132,'Gear Values'!$A$2:$E$13, IF(COUNTBLANK('Attributes &amp; Prefixes'!$B$14:$C$14)&gt;0, "4", "5"), 0)), "")</f>
        <v/>
      </c>
      <c r="P132" s="137" t="str" cm="1">
        <f t="array" ref="P132">IF(COUNTIF($B$14:$E$14, P$2)&gt;0, _xlfn.IFS(COUNTIF($B$14:$C$14, P$2)&gt;0, VLOOKUP($J132,'Gear Values'!$A$2:$E$13, IF(COUNTBLANK('Attributes &amp; Prefixes'!$B$14:$C$14)&gt;0, "2", "3"), 0), COUNTIF($D$14:$E$14, P$2)&gt;0, VLOOKUP($J132,'Gear Values'!$A$2:$E$13, IF(COUNTBLANK('Attributes &amp; Prefixes'!$B$14:$C$14)&gt;0, "4", "5"), 0)), "")</f>
        <v/>
      </c>
      <c r="Q132" s="137" t="str" cm="1">
        <f t="array" ref="Q132">IF(COUNTIF($B$14:$E$14, Q$2)&gt;0, _xlfn.IFS(COUNTIF($B$14:$C$14, Q$2)&gt;0, VLOOKUP($J132,'Gear Values'!$A$2:$E$13, IF(COUNTBLANK('Attributes &amp; Prefixes'!$B$14:$C$14)&gt;0, "2", "3"), 0), COUNTIF($D$14:$E$14, Q$2)&gt;0, VLOOKUP($J132,'Gear Values'!$A$2:$E$13, IF(COUNTBLANK('Attributes &amp; Prefixes'!$B$14:$C$14)&gt;0, "4", "5"), 0)), "")</f>
        <v/>
      </c>
      <c r="R132" s="137" t="str" cm="1">
        <f t="array" ref="R132">IF(COUNTIF($B$14:$E$14, R$2)&gt;0, _xlfn.IFS(COUNTIF($B$14:$C$14, R$2)&gt;0, VLOOKUP($J132,'Gear Values'!$A$2:$E$13, IF(COUNTBLANK('Attributes &amp; Prefixes'!$B$14:$C$14)&gt;0, "2", "3"), 0), COUNTIF($D$14:$E$14, R$2)&gt;0, VLOOKUP($J132,'Gear Values'!$A$2:$E$13, IF(COUNTBLANK('Attributes &amp; Prefixes'!$B$14:$C$14)&gt;0, "4", "5"), 0)), "")</f>
        <v/>
      </c>
      <c r="S132" s="138" cm="1">
        <f t="array" ref="S132">IF(COUNTIF($B$14:$E$14, S$2)&gt;0, _xlfn.IFS(COUNTIF($B$14:$C$14, S$2)&gt;0, VLOOKUP($J132,'Gear Values'!$A$2:$E$13, IF(COUNTBLANK('Attributes &amp; Prefixes'!$B$14:$C$14)&gt;0, "2", "3"), 0), COUNTIF($D$14:$E$14, S$2)&gt;0, VLOOKUP($J132,'Gear Values'!$A$2:$E$13, IF(COUNTBLANK('Attributes &amp; Prefixes'!$B$14:$C$14)&gt;0, "4", "5"), 0)), "")</f>
        <v>90</v>
      </c>
      <c r="V132" s="112"/>
      <c r="W132" s="113"/>
    </row>
    <row r="133" spans="6:23">
      <c r="H133" s="130" t="str">
        <f>_xlfn.CONCAT(A$76,J133)</f>
        <v>SapphireNeck</v>
      </c>
      <c r="I133" s="520"/>
      <c r="J133" s="144" t="s">
        <v>52</v>
      </c>
      <c r="K133" s="136" cm="1">
        <f t="array" ref="K133">IF(COUNTIF($B$14:$E$14, K$2)&gt;0, _xlfn.IFS(COUNTIF($B$14:$C$14, K$2)&gt;0, VLOOKUP($J133,'Gear Values'!$A$2:$E$13, IF(COUNTBLANK('Attributes &amp; Prefixes'!$B$14:$C$14)&gt;0, "2", "3"), 0), COUNTIF($D$14:$E$14, K$2)&gt;0, VLOOKUP($J133,'Gear Values'!$A$2:$E$13, IF(COUNTBLANK('Attributes &amp; Prefixes'!$B$14:$C$14)&gt;0, "4", "5"), 0)), "")</f>
        <v>85</v>
      </c>
      <c r="L133" s="137" t="str" cm="1">
        <f t="array" ref="L133">IF(COUNTIF($B$14:$E$14, L$2)&gt;0, _xlfn.IFS(COUNTIF($B$14:$C$14, L$2)&gt;0, VLOOKUP($J133,'Gear Values'!$A$2:$E$13, IF(COUNTBLANK('Attributes &amp; Prefixes'!$B$14:$C$14)&gt;0, "2", "3"), 0), COUNTIF($D$14:$E$14, L$2)&gt;0, VLOOKUP($J133,'Gear Values'!$A$2:$E$13, IF(COUNTBLANK('Attributes &amp; Prefixes'!$B$14:$C$14)&gt;0, "4", "5"), 0)), "")</f>
        <v/>
      </c>
      <c r="M133" s="137" cm="1">
        <f t="array" ref="M133">IF(COUNTIF($B$14:$E$14, M$2)&gt;0, _xlfn.IFS(COUNTIF($B$14:$C$14, M$2)&gt;0, VLOOKUP($J133,'Gear Values'!$A$2:$E$13, IF(COUNTBLANK('Attributes &amp; Prefixes'!$B$14:$C$14)&gt;0, "2", "3"), 0), COUNTIF($D$14:$E$14, M$2)&gt;0, VLOOKUP($J133,'Gear Values'!$A$2:$E$13, IF(COUNTBLANK('Attributes &amp; Prefixes'!$B$14:$C$14)&gt;0, "4", "5"), 0)), "")</f>
        <v>85</v>
      </c>
      <c r="N133" s="137" t="str" cm="1">
        <f t="array" ref="N133">IF(COUNTIF($B$14:$E$14, N$2)&gt;0, _xlfn.IFS(COUNTIF($B$14:$C$14, N$2)&gt;0, VLOOKUP($J133,'Gear Values'!$A$2:$E$13, IF(COUNTBLANK('Attributes &amp; Prefixes'!$B$14:$C$14)&gt;0, "2", "3"), 0), COUNTIF($D$14:$E$14, N$2)&gt;0, VLOOKUP($J133,'Gear Values'!$A$2:$E$13, IF(COUNTBLANK('Attributes &amp; Prefixes'!$B$14:$C$14)&gt;0, "4", "5"), 0)), "")</f>
        <v/>
      </c>
      <c r="O133" s="137" t="str" cm="1">
        <f t="array" ref="O133">IF(COUNTIF($B$14:$E$14, O$2)&gt;0, _xlfn.IFS(COUNTIF($B$14:$C$14, O$2)&gt;0, VLOOKUP($J133,'Gear Values'!$A$2:$E$13, IF(COUNTBLANK('Attributes &amp; Prefixes'!$B$14:$C$14)&gt;0, "2", "3"), 0), COUNTIF($D$14:$E$14, O$2)&gt;0, VLOOKUP($J133,'Gear Values'!$A$2:$E$13, IF(COUNTBLANK('Attributes &amp; Prefixes'!$B$14:$C$14)&gt;0, "4", "5"), 0)), "")</f>
        <v/>
      </c>
      <c r="P133" s="137" t="str" cm="1">
        <f t="array" ref="P133">IF(COUNTIF($B$14:$E$14, P$2)&gt;0, _xlfn.IFS(COUNTIF($B$14:$C$14, P$2)&gt;0, VLOOKUP($J133,'Gear Values'!$A$2:$E$13, IF(COUNTBLANK('Attributes &amp; Prefixes'!$B$14:$C$14)&gt;0, "2", "3"), 0), COUNTIF($D$14:$E$14, P$2)&gt;0, VLOOKUP($J133,'Gear Values'!$A$2:$E$13, IF(COUNTBLANK('Attributes &amp; Prefixes'!$B$14:$C$14)&gt;0, "4", "5"), 0)), "")</f>
        <v/>
      </c>
      <c r="Q133" s="137" t="str" cm="1">
        <f t="array" ref="Q133">IF(COUNTIF($B$14:$E$14, Q$2)&gt;0, _xlfn.IFS(COUNTIF($B$14:$C$14, Q$2)&gt;0, VLOOKUP($J133,'Gear Values'!$A$2:$E$13, IF(COUNTBLANK('Attributes &amp; Prefixes'!$B$14:$C$14)&gt;0, "2", "3"), 0), COUNTIF($D$14:$E$14, Q$2)&gt;0, VLOOKUP($J133,'Gear Values'!$A$2:$E$13, IF(COUNTBLANK('Attributes &amp; Prefixes'!$B$14:$C$14)&gt;0, "4", "5"), 0)), "")</f>
        <v/>
      </c>
      <c r="R133" s="137" t="str" cm="1">
        <f t="array" ref="R133">IF(COUNTIF($B$14:$E$14, R$2)&gt;0, _xlfn.IFS(COUNTIF($B$14:$C$14, R$2)&gt;0, VLOOKUP($J133,'Gear Values'!$A$2:$E$13, IF(COUNTBLANK('Attributes &amp; Prefixes'!$B$14:$C$14)&gt;0, "2", "3"), 0), COUNTIF($D$14:$E$14, R$2)&gt;0, VLOOKUP($J133,'Gear Values'!$A$2:$E$13, IF(COUNTBLANK('Attributes &amp; Prefixes'!$B$14:$C$14)&gt;0, "4", "5"), 0)), "")</f>
        <v/>
      </c>
      <c r="S133" s="138" cm="1">
        <f t="array" ref="S133">IF(COUNTIF($B$14:$E$14, S$2)&gt;0, _xlfn.IFS(COUNTIF($B$14:$C$14, S$2)&gt;0, VLOOKUP($J133,'Gear Values'!$A$2:$E$13, IF(COUNTBLANK('Attributes &amp; Prefixes'!$B$14:$C$14)&gt;0, "2", "3"), 0), COUNTIF($D$14:$E$14, S$2)&gt;0, VLOOKUP($J133,'Gear Values'!$A$2:$E$13, IF(COUNTBLANK('Attributes &amp; Prefixes'!$B$14:$C$14)&gt;0, "4", "5"), 0)), "")</f>
        <v>120</v>
      </c>
      <c r="V133" s="112"/>
      <c r="W133" s="113"/>
    </row>
    <row r="134" spans="6:23">
      <c r="H134" s="130" t="str">
        <f>_xlfn.CONCAT(I$123,J134)</f>
        <v>ClericBack</v>
      </c>
      <c r="I134" s="521"/>
      <c r="J134" s="146" t="s">
        <v>53</v>
      </c>
      <c r="K134" s="147" cm="1">
        <f t="array" ref="K134">IF(COUNTIF($B$14:$E$14, K$2)&gt;0, _xlfn.IFS(COUNTIF($B$14:$C$14, K$2)&gt;0, VLOOKUP($J134,'Gear Values'!$A$2:$E$13, IF(COUNTBLANK('Attributes &amp; Prefixes'!$B$14:$C$14)&gt;0, "2", "3"), 0), COUNTIF($D$14:$E$14, K$2)&gt;0, VLOOKUP($J134,'Gear Values'!$A$2:$E$13, IF(COUNTBLANK('Attributes &amp; Prefixes'!$B$14:$C$14)&gt;0, "4", "5"), 0)), "")</f>
        <v>18</v>
      </c>
      <c r="L134" s="148" t="str" cm="1">
        <f t="array" ref="L134">IF(COUNTIF($B$14:$E$14, L$2)&gt;0, _xlfn.IFS(COUNTIF($B$14:$C$14, L$2)&gt;0, VLOOKUP($J134,'Gear Values'!$A$2:$E$13, IF(COUNTBLANK('Attributes &amp; Prefixes'!$B$14:$C$14)&gt;0, "2", "3"), 0), COUNTIF($D$14:$E$14, L$2)&gt;0, VLOOKUP($J134,'Gear Values'!$A$2:$E$13, IF(COUNTBLANK('Attributes &amp; Prefixes'!$B$14:$C$14)&gt;0, "4", "5"), 0)), "")</f>
        <v/>
      </c>
      <c r="M134" s="148" cm="1">
        <f t="array" ref="M134">IF(COUNTIF($B$14:$E$14, M$2)&gt;0, _xlfn.IFS(COUNTIF($B$14:$C$14, M$2)&gt;0, VLOOKUP($J134,'Gear Values'!$A$2:$E$13, IF(COUNTBLANK('Attributes &amp; Prefixes'!$B$14:$C$14)&gt;0, "2", "3"), 0), COUNTIF($D$14:$E$14, M$2)&gt;0, VLOOKUP($J134,'Gear Values'!$A$2:$E$13, IF(COUNTBLANK('Attributes &amp; Prefixes'!$B$14:$C$14)&gt;0, "4", "5"), 0)), "")</f>
        <v>18</v>
      </c>
      <c r="N134" s="148" t="str" cm="1">
        <f t="array" ref="N134">IF(COUNTIF($B$14:$E$14, N$2)&gt;0, _xlfn.IFS(COUNTIF($B$14:$C$14, N$2)&gt;0, VLOOKUP($J134,'Gear Values'!$A$2:$E$13, IF(COUNTBLANK('Attributes &amp; Prefixes'!$B$14:$C$14)&gt;0, "2", "3"), 0), COUNTIF($D$14:$E$14, N$2)&gt;0, VLOOKUP($J134,'Gear Values'!$A$2:$E$13, IF(COUNTBLANK('Attributes &amp; Prefixes'!$B$14:$C$14)&gt;0, "4", "5"), 0)), "")</f>
        <v/>
      </c>
      <c r="O134" s="148" t="str" cm="1">
        <f t="array" ref="O134">IF(COUNTIF($B$14:$E$14, O$2)&gt;0, _xlfn.IFS(COUNTIF($B$14:$C$14, O$2)&gt;0, VLOOKUP($J134,'Gear Values'!$A$2:$E$13, IF(COUNTBLANK('Attributes &amp; Prefixes'!$B$14:$C$14)&gt;0, "2", "3"), 0), COUNTIF($D$14:$E$14, O$2)&gt;0, VLOOKUP($J134,'Gear Values'!$A$2:$E$13, IF(COUNTBLANK('Attributes &amp; Prefixes'!$B$14:$C$14)&gt;0, "4", "5"), 0)), "")</f>
        <v/>
      </c>
      <c r="P134" s="148" t="str" cm="1">
        <f t="array" ref="P134">IF(COUNTIF($B$14:$E$14, P$2)&gt;0, _xlfn.IFS(COUNTIF($B$14:$C$14, P$2)&gt;0, VLOOKUP($J134,'Gear Values'!$A$2:$E$13, IF(COUNTBLANK('Attributes &amp; Prefixes'!$B$14:$C$14)&gt;0, "2", "3"), 0), COUNTIF($D$14:$E$14, P$2)&gt;0, VLOOKUP($J134,'Gear Values'!$A$2:$E$13, IF(COUNTBLANK('Attributes &amp; Prefixes'!$B$14:$C$14)&gt;0, "4", "5"), 0)), "")</f>
        <v/>
      </c>
      <c r="Q134" s="148" t="str" cm="1">
        <f t="array" ref="Q134">IF(COUNTIF($B$14:$E$14, Q$2)&gt;0, _xlfn.IFS(COUNTIF($B$14:$C$14, Q$2)&gt;0, VLOOKUP($J134,'Gear Values'!$A$2:$E$13, IF(COUNTBLANK('Attributes &amp; Prefixes'!$B$14:$C$14)&gt;0, "2", "3"), 0), COUNTIF($D$14:$E$14, Q$2)&gt;0, VLOOKUP($J134,'Gear Values'!$A$2:$E$13, IF(COUNTBLANK('Attributes &amp; Prefixes'!$B$14:$C$14)&gt;0, "4", "5"), 0)), "")</f>
        <v/>
      </c>
      <c r="R134" s="148" t="str" cm="1">
        <f t="array" ref="R134">IF(COUNTIF($B$14:$E$14, R$2)&gt;0, _xlfn.IFS(COUNTIF($B$14:$C$14, R$2)&gt;0, VLOOKUP($J134,'Gear Values'!$A$2:$E$13, IF(COUNTBLANK('Attributes &amp; Prefixes'!$B$14:$C$14)&gt;0, "2", "3"), 0), COUNTIF($D$14:$E$14, R$2)&gt;0, VLOOKUP($J134,'Gear Values'!$A$2:$E$13, IF(COUNTBLANK('Attributes &amp; Prefixes'!$B$14:$C$14)&gt;0, "4", "5"), 0)), "")</f>
        <v/>
      </c>
      <c r="S134" s="150" cm="1">
        <f t="array" ref="S134">IF(COUNTIF($B$14:$E$14, S$2)&gt;0, _xlfn.IFS(COUNTIF($B$14:$C$14, S$2)&gt;0, VLOOKUP($J134,'Gear Values'!$A$2:$E$13, IF(COUNTBLANK('Attributes &amp; Prefixes'!$B$14:$C$14)&gt;0, "2", "3"), 0), COUNTIF($D$14:$E$14, S$2)&gt;0, VLOOKUP($J134,'Gear Values'!$A$2:$E$13, IF(COUNTBLANK('Attributes &amp; Prefixes'!$B$14:$C$14)&gt;0, "4", "5"), 0)), "")</f>
        <v>32</v>
      </c>
      <c r="V134" s="112"/>
      <c r="W134" s="113"/>
    </row>
    <row r="135" spans="6:23">
      <c r="H135" s="130" t="str">
        <f>_xlfn.CONCAT(I$135,J135)</f>
        <v>CommanderWeapon (1H)</v>
      </c>
      <c r="I135" s="519" t="str">
        <f>A15</f>
        <v>Commander</v>
      </c>
      <c r="J135" s="145" t="s">
        <v>37</v>
      </c>
      <c r="K135" s="133" cm="1">
        <f t="array" ref="K135">IF(COUNTIF($B$15:$E$15, K$2)&gt;0, _xlfn.IFS(COUNTIF($B$15:$C$15, K$2)&gt;0, VLOOKUP($J135,'Gear Values'!$A$2:$E$13, IF(COUNTBLANK('Attributes &amp; Prefixes'!$B$15:$C$15)&gt;0, "2", "3"), 0), COUNTIF($D$15:$E$15, K$2)&gt;0, VLOOKUP($J135,'Gear Values'!$A$2:$E$13, IF(COUNTBLANK('Attributes &amp; Prefixes'!$B$15:$C$15)&gt;0, "4", "5"), 0)), "")</f>
        <v>102</v>
      </c>
      <c r="L135" s="134" cm="1">
        <f t="array" ref="L135">IF(COUNTIF($B$15:$E$15, L$2)&gt;0, _xlfn.IFS(COUNTIF($B$15:$C$15, L$2)&gt;0, VLOOKUP($J135,'Gear Values'!$A$2:$E$13, IF(COUNTBLANK('Attributes &amp; Prefixes'!$B$15:$C$15)&gt;0, "2", "3"), 0), COUNTIF($D$15:$E$15, L$2)&gt;0, VLOOKUP($J135,'Gear Values'!$A$2:$E$13, IF(COUNTBLANK('Attributes &amp; Prefixes'!$B$15:$C$15)&gt;0, "4", "5"), 0)), "")</f>
        <v>102</v>
      </c>
      <c r="M135" s="134" cm="1">
        <f t="array" ref="M135">IF(COUNTIF($B$15:$E$15, M$2)&gt;0, _xlfn.IFS(COUNTIF($B$15:$C$15, M$2)&gt;0, VLOOKUP($J135,'Gear Values'!$A$2:$E$13, IF(COUNTBLANK('Attributes &amp; Prefixes'!$B$15:$C$15)&gt;0, "2", "3"), 0), COUNTIF($D$15:$E$15, M$2)&gt;0, VLOOKUP($J135,'Gear Values'!$A$2:$E$13, IF(COUNTBLANK('Attributes &amp; Prefixes'!$B$15:$C$15)&gt;0, "4", "5"), 0)), "")</f>
        <v>56</v>
      </c>
      <c r="N135" s="134" t="str" cm="1">
        <f t="array" ref="N135">IF(COUNTIF($B$15:$E$15, N$2)&gt;0, _xlfn.IFS(COUNTIF($B$15:$C$15, N$2)&gt;0, VLOOKUP($J135,'Gear Values'!$A$2:$E$13, IF(COUNTBLANK('Attributes &amp; Prefixes'!$B$15:$C$15)&gt;0, "2", "3"), 0), COUNTIF($D$15:$E$15, N$2)&gt;0, VLOOKUP($J135,'Gear Values'!$A$2:$E$13, IF(COUNTBLANK('Attributes &amp; Prefixes'!$B$15:$C$15)&gt;0, "4", "5"), 0)), "")</f>
        <v/>
      </c>
      <c r="O135" s="134" cm="1">
        <f t="array" ref="O135">IF(COUNTIF($B$15:$E$15, O$2)&gt;0, _xlfn.IFS(COUNTIF($B$15:$C$15, O$2)&gt;0, VLOOKUP($J135,'Gear Values'!$A$2:$E$13, IF(COUNTBLANK('Attributes &amp; Prefixes'!$B$15:$C$15)&gt;0, "2", "3"), 0), COUNTIF($D$15:$E$15, O$2)&gt;0, VLOOKUP($J135,'Gear Values'!$A$2:$E$13, IF(COUNTBLANK('Attributes &amp; Prefixes'!$B$15:$C$15)&gt;0, "4", "5"), 0)), "")</f>
        <v>56</v>
      </c>
      <c r="P135" s="134" t="str" cm="1">
        <f t="array" ref="P135">IF(COUNTIF($B$15:$E$15, P$2)&gt;0, _xlfn.IFS(COUNTIF($B$15:$C$15, P$2)&gt;0, VLOOKUP($J135,'Gear Values'!$A$2:$E$13, IF(COUNTBLANK('Attributes &amp; Prefixes'!$B$15:$C$15)&gt;0, "2", "3"), 0), COUNTIF($D$15:$E$15, P$2)&gt;0, VLOOKUP($J135,'Gear Values'!$A$2:$E$13, IF(COUNTBLANK('Attributes &amp; Prefixes'!$B$15:$C$15)&gt;0, "4", "5"), 0)), "")</f>
        <v/>
      </c>
      <c r="Q135" s="134" t="str" cm="1">
        <f t="array" ref="Q135">IF(COUNTIF($B$15:$E$15, Q$2)&gt;0, _xlfn.IFS(COUNTIF($B$15:$C$15, Q$2)&gt;0, VLOOKUP($J135,'Gear Values'!$A$2:$E$13, IF(COUNTBLANK('Attributes &amp; Prefixes'!$B$15:$C$15)&gt;0, "2", "3"), 0), COUNTIF($D$15:$E$15, Q$2)&gt;0, VLOOKUP($J135,'Gear Values'!$A$2:$E$13, IF(COUNTBLANK('Attributes &amp; Prefixes'!$B$15:$C$15)&gt;0, "4", "5"), 0)), "")</f>
        <v/>
      </c>
      <c r="R135" s="134" t="str" cm="1">
        <f t="array" ref="R135">IF(COUNTIF($B$15:$E$15, R$2)&gt;0, _xlfn.IFS(COUNTIF($B$15:$C$15, R$2)&gt;0, VLOOKUP($J135,'Gear Values'!$A$2:$E$13, IF(COUNTBLANK('Attributes &amp; Prefixes'!$B$15:$C$15)&gt;0, "2", "3"), 0), COUNTIF($D$15:$E$15, R$2)&gt;0, VLOOKUP($J135,'Gear Values'!$A$2:$E$13, IF(COUNTBLANK('Attributes &amp; Prefixes'!$B$15:$C$15)&gt;0, "4", "5"), 0)), "")</f>
        <v/>
      </c>
      <c r="S135" s="135" t="str" cm="1">
        <f t="array" ref="S135">IF(COUNTIF($B$15:$E$15, S$2)&gt;0, _xlfn.IFS(COUNTIF($B$15:$C$15, S$2)&gt;0, VLOOKUP($J135,'Gear Values'!$A$2:$E$13, IF(COUNTBLANK('Attributes &amp; Prefixes'!$B$15:$C$15)&gt;0, "2", "3"), 0), COUNTIF($D$15:$E$15, S$2)&gt;0, VLOOKUP($J135,'Gear Values'!$A$2:$E$13, IF(COUNTBLANK('Attributes &amp; Prefixes'!$B$15:$C$15)&gt;0, "4", "5"), 0)), "")</f>
        <v/>
      </c>
      <c r="V135" s="112"/>
      <c r="W135" s="113"/>
    </row>
    <row r="136" spans="6:23">
      <c r="H136" s="130" t="str">
        <f>_xlfn.CONCAT(I$135,J136)</f>
        <v>CommanderWeapon (2H)</v>
      </c>
      <c r="I136" s="520"/>
      <c r="J136" s="144" t="s">
        <v>39</v>
      </c>
      <c r="K136" s="136" cm="1">
        <f t="array" ref="K136">IF(COUNTIF($B$15:$E$15, K$2)&gt;0, _xlfn.IFS(COUNTIF($B$15:$C$15, K$2)&gt;0, VLOOKUP($J136,'Gear Values'!$A$2:$E$13, IF(COUNTBLANK('Attributes &amp; Prefixes'!$B$15:$C$15)&gt;0, "2", "3"), 0), COUNTIF($D$15:$E$15, K$2)&gt;0, VLOOKUP($J136,'Gear Values'!$A$2:$E$13, IF(COUNTBLANK('Attributes &amp; Prefixes'!$B$15:$C$15)&gt;0, "4", "5"), 0)), "")</f>
        <v>205</v>
      </c>
      <c r="L136" s="137" cm="1">
        <f t="array" ref="L136">IF(COUNTIF($B$15:$E$15, L$2)&gt;0, _xlfn.IFS(COUNTIF($B$15:$C$15, L$2)&gt;0, VLOOKUP($J136,'Gear Values'!$A$2:$E$13, IF(COUNTBLANK('Attributes &amp; Prefixes'!$B$15:$C$15)&gt;0, "2", "3"), 0), COUNTIF($D$15:$E$15, L$2)&gt;0, VLOOKUP($J136,'Gear Values'!$A$2:$E$13, IF(COUNTBLANK('Attributes &amp; Prefixes'!$B$15:$C$15)&gt;0, "4", "5"), 0)), "")</f>
        <v>205</v>
      </c>
      <c r="M136" s="137" cm="1">
        <f t="array" ref="M136">IF(COUNTIF($B$15:$E$15, M$2)&gt;0, _xlfn.IFS(COUNTIF($B$15:$C$15, M$2)&gt;0, VLOOKUP($J136,'Gear Values'!$A$2:$E$13, IF(COUNTBLANK('Attributes &amp; Prefixes'!$B$15:$C$15)&gt;0, "2", "3"), 0), COUNTIF($D$15:$E$15, M$2)&gt;0, VLOOKUP($J136,'Gear Values'!$A$2:$E$13, IF(COUNTBLANK('Attributes &amp; Prefixes'!$B$15:$C$15)&gt;0, "4", "5"), 0)), "")</f>
        <v>113</v>
      </c>
      <c r="N136" s="137" t="str" cm="1">
        <f t="array" ref="N136">IF(COUNTIF($B$15:$E$15, N$2)&gt;0, _xlfn.IFS(COUNTIF($B$15:$C$15, N$2)&gt;0, VLOOKUP($J136,'Gear Values'!$A$2:$E$13, IF(COUNTBLANK('Attributes &amp; Prefixes'!$B$15:$C$15)&gt;0, "2", "3"), 0), COUNTIF($D$15:$E$15, N$2)&gt;0, VLOOKUP($J136,'Gear Values'!$A$2:$E$13, IF(COUNTBLANK('Attributes &amp; Prefixes'!$B$15:$C$15)&gt;0, "4", "5"), 0)), "")</f>
        <v/>
      </c>
      <c r="O136" s="137" cm="1">
        <f t="array" ref="O136">IF(COUNTIF($B$15:$E$15, O$2)&gt;0, _xlfn.IFS(COUNTIF($B$15:$C$15, O$2)&gt;0, VLOOKUP($J136,'Gear Values'!$A$2:$E$13, IF(COUNTBLANK('Attributes &amp; Prefixes'!$B$15:$C$15)&gt;0, "2", "3"), 0), COUNTIF($D$15:$E$15, O$2)&gt;0, VLOOKUP($J136,'Gear Values'!$A$2:$E$13, IF(COUNTBLANK('Attributes &amp; Prefixes'!$B$15:$C$15)&gt;0, "4", "5"), 0)), "")</f>
        <v>113</v>
      </c>
      <c r="P136" s="137" t="str" cm="1">
        <f t="array" ref="P136">IF(COUNTIF($B$15:$E$15, P$2)&gt;0, _xlfn.IFS(COUNTIF($B$15:$C$15, P$2)&gt;0, VLOOKUP($J136,'Gear Values'!$A$2:$E$13, IF(COUNTBLANK('Attributes &amp; Prefixes'!$B$15:$C$15)&gt;0, "2", "3"), 0), COUNTIF($D$15:$E$15, P$2)&gt;0, VLOOKUP($J136,'Gear Values'!$A$2:$E$13, IF(COUNTBLANK('Attributes &amp; Prefixes'!$B$15:$C$15)&gt;0, "4", "5"), 0)), "")</f>
        <v/>
      </c>
      <c r="Q136" s="137" t="str" cm="1">
        <f t="array" ref="Q136">IF(COUNTIF($B$15:$E$15, Q$2)&gt;0, _xlfn.IFS(COUNTIF($B$15:$C$15, Q$2)&gt;0, VLOOKUP($J136,'Gear Values'!$A$2:$E$13, IF(COUNTBLANK('Attributes &amp; Prefixes'!$B$15:$C$15)&gt;0, "2", "3"), 0), COUNTIF($D$15:$E$15, Q$2)&gt;0, VLOOKUP($J136,'Gear Values'!$A$2:$E$13, IF(COUNTBLANK('Attributes &amp; Prefixes'!$B$15:$C$15)&gt;0, "4", "5"), 0)), "")</f>
        <v/>
      </c>
      <c r="R136" s="137" t="str" cm="1">
        <f t="array" ref="R136">IF(COUNTIF($B$15:$E$15, R$2)&gt;0, _xlfn.IFS(COUNTIF($B$15:$C$15, R$2)&gt;0, VLOOKUP($J136,'Gear Values'!$A$2:$E$13, IF(COUNTBLANK('Attributes &amp; Prefixes'!$B$15:$C$15)&gt;0, "2", "3"), 0), COUNTIF($D$15:$E$15, R$2)&gt;0, VLOOKUP($J136,'Gear Values'!$A$2:$E$13, IF(COUNTBLANK('Attributes &amp; Prefixes'!$B$15:$C$15)&gt;0, "4", "5"), 0)), "")</f>
        <v/>
      </c>
      <c r="S136" s="138" t="str" cm="1">
        <f t="array" ref="S136">IF(COUNTIF($B$15:$E$15, S$2)&gt;0, _xlfn.IFS(COUNTIF($B$15:$C$15, S$2)&gt;0, VLOOKUP($J136,'Gear Values'!$A$2:$E$13, IF(COUNTBLANK('Attributes &amp; Prefixes'!$B$15:$C$15)&gt;0, "2", "3"), 0), COUNTIF($D$15:$E$15, S$2)&gt;0, VLOOKUP($J136,'Gear Values'!$A$2:$E$13, IF(COUNTBLANK('Attributes &amp; Prefixes'!$B$15:$C$15)&gt;0, "4", "5"), 0)), "")</f>
        <v/>
      </c>
      <c r="V136" s="112"/>
      <c r="W136" s="113"/>
    </row>
    <row r="137" spans="6:23">
      <c r="H137" s="130" t="str">
        <f>_xlfn.CONCAT(I$135,J137)</f>
        <v>CommanderHead</v>
      </c>
      <c r="I137" s="520"/>
      <c r="J137" s="144" t="s">
        <v>40</v>
      </c>
      <c r="K137" s="136" cm="1">
        <f t="array" ref="K137">IF(COUNTIF($B$15:$E$15, K$2)&gt;0, _xlfn.IFS(COUNTIF($B$15:$C$15, K$2)&gt;0, VLOOKUP($J137,'Gear Values'!$A$2:$E$13, IF(COUNTBLANK('Attributes &amp; Prefixes'!$B$15:$C$15)&gt;0, "2", "3"), 0), COUNTIF($D$15:$E$15, K$2)&gt;0, VLOOKUP($J137,'Gear Values'!$A$2:$E$13, IF(COUNTBLANK('Attributes &amp; Prefixes'!$B$15:$C$15)&gt;0, "4", "5"), 0)), "")</f>
        <v>51</v>
      </c>
      <c r="L137" s="137" cm="1">
        <f t="array" ref="L137">IF(COUNTIF($B$15:$E$15, L$2)&gt;0, _xlfn.IFS(COUNTIF($B$15:$C$15, L$2)&gt;0, VLOOKUP($J137,'Gear Values'!$A$2:$E$13, IF(COUNTBLANK('Attributes &amp; Prefixes'!$B$15:$C$15)&gt;0, "2", "3"), 0), COUNTIF($D$15:$E$15, L$2)&gt;0, VLOOKUP($J137,'Gear Values'!$A$2:$E$13, IF(COUNTBLANK('Attributes &amp; Prefixes'!$B$15:$C$15)&gt;0, "4", "5"), 0)), "")</f>
        <v>51</v>
      </c>
      <c r="M137" s="137" cm="1">
        <f t="array" ref="M137">IF(COUNTIF($B$15:$E$15, M$2)&gt;0, _xlfn.IFS(COUNTIF($B$15:$C$15, M$2)&gt;0, VLOOKUP($J137,'Gear Values'!$A$2:$E$13, IF(COUNTBLANK('Attributes &amp; Prefixes'!$B$15:$C$15)&gt;0, "2", "3"), 0), COUNTIF($D$15:$E$15, M$2)&gt;0, VLOOKUP($J137,'Gear Values'!$A$2:$E$13, IF(COUNTBLANK('Attributes &amp; Prefixes'!$B$15:$C$15)&gt;0, "4", "5"), 0)), "")</f>
        <v>28</v>
      </c>
      <c r="N137" s="137" t="str" cm="1">
        <f t="array" ref="N137">IF(COUNTIF($B$15:$E$15, N$2)&gt;0, _xlfn.IFS(COUNTIF($B$15:$C$15, N$2)&gt;0, VLOOKUP($J137,'Gear Values'!$A$2:$E$13, IF(COUNTBLANK('Attributes &amp; Prefixes'!$B$15:$C$15)&gt;0, "2", "3"), 0), COUNTIF($D$15:$E$15, N$2)&gt;0, VLOOKUP($J137,'Gear Values'!$A$2:$E$13, IF(COUNTBLANK('Attributes &amp; Prefixes'!$B$15:$C$15)&gt;0, "4", "5"), 0)), "")</f>
        <v/>
      </c>
      <c r="O137" s="137" cm="1">
        <f t="array" ref="O137">IF(COUNTIF($B$15:$E$15, O$2)&gt;0, _xlfn.IFS(COUNTIF($B$15:$C$15, O$2)&gt;0, VLOOKUP($J137,'Gear Values'!$A$2:$E$13, IF(COUNTBLANK('Attributes &amp; Prefixes'!$B$15:$C$15)&gt;0, "2", "3"), 0), COUNTIF($D$15:$E$15, O$2)&gt;0, VLOOKUP($J137,'Gear Values'!$A$2:$E$13, IF(COUNTBLANK('Attributes &amp; Prefixes'!$B$15:$C$15)&gt;0, "4", "5"), 0)), "")</f>
        <v>28</v>
      </c>
      <c r="P137" s="137" t="str" cm="1">
        <f t="array" ref="P137">IF(COUNTIF($B$15:$E$15, P$2)&gt;0, _xlfn.IFS(COUNTIF($B$15:$C$15, P$2)&gt;0, VLOOKUP($J137,'Gear Values'!$A$2:$E$13, IF(COUNTBLANK('Attributes &amp; Prefixes'!$B$15:$C$15)&gt;0, "2", "3"), 0), COUNTIF($D$15:$E$15, P$2)&gt;0, VLOOKUP($J137,'Gear Values'!$A$2:$E$13, IF(COUNTBLANK('Attributes &amp; Prefixes'!$B$15:$C$15)&gt;0, "4", "5"), 0)), "")</f>
        <v/>
      </c>
      <c r="Q137" s="137" t="str" cm="1">
        <f t="array" ref="Q137">IF(COUNTIF($B$15:$E$15, Q$2)&gt;0, _xlfn.IFS(COUNTIF($B$15:$C$15, Q$2)&gt;0, VLOOKUP($J137,'Gear Values'!$A$2:$E$13, IF(COUNTBLANK('Attributes &amp; Prefixes'!$B$15:$C$15)&gt;0, "2", "3"), 0), COUNTIF($D$15:$E$15, Q$2)&gt;0, VLOOKUP($J137,'Gear Values'!$A$2:$E$13, IF(COUNTBLANK('Attributes &amp; Prefixes'!$B$15:$C$15)&gt;0, "4", "5"), 0)), "")</f>
        <v/>
      </c>
      <c r="R137" s="137" t="str" cm="1">
        <f t="array" ref="R137">IF(COUNTIF($B$15:$E$15, R$2)&gt;0, _xlfn.IFS(COUNTIF($B$15:$C$15, R$2)&gt;0, VLOOKUP($J137,'Gear Values'!$A$2:$E$13, IF(COUNTBLANK('Attributes &amp; Prefixes'!$B$15:$C$15)&gt;0, "2", "3"), 0), COUNTIF($D$15:$E$15, R$2)&gt;0, VLOOKUP($J137,'Gear Values'!$A$2:$E$13, IF(COUNTBLANK('Attributes &amp; Prefixes'!$B$15:$C$15)&gt;0, "4", "5"), 0)), "")</f>
        <v/>
      </c>
      <c r="S137" s="138" t="str" cm="1">
        <f t="array" ref="S137">IF(COUNTIF($B$15:$E$15, S$2)&gt;0, _xlfn.IFS(COUNTIF($B$15:$C$15, S$2)&gt;0, VLOOKUP($J137,'Gear Values'!$A$2:$E$13, IF(COUNTBLANK('Attributes &amp; Prefixes'!$B$15:$C$15)&gt;0, "2", "3"), 0), COUNTIF($D$15:$E$15, S$2)&gt;0, VLOOKUP($J137,'Gear Values'!$A$2:$E$13, IF(COUNTBLANK('Attributes &amp; Prefixes'!$B$15:$C$15)&gt;0, "4", "5"), 0)), "")</f>
        <v/>
      </c>
      <c r="V137" s="112"/>
      <c r="W137" s="113"/>
    </row>
    <row r="138" spans="6:23">
      <c r="H138" s="130" t="str">
        <f>_xlfn.CONCAT(I$135,J138)</f>
        <v>CommanderShoulders</v>
      </c>
      <c r="I138" s="520"/>
      <c r="J138" s="144" t="s">
        <v>42</v>
      </c>
      <c r="K138" s="136" cm="1">
        <f t="array" ref="K138">IF(COUNTIF($B$15:$E$15, K$2)&gt;0, _xlfn.IFS(COUNTIF($B$15:$C$15, K$2)&gt;0, VLOOKUP($J138,'Gear Values'!$A$2:$E$13, IF(COUNTBLANK('Attributes &amp; Prefixes'!$B$15:$C$15)&gt;0, "2", "3"), 0), COUNTIF($D$15:$E$15, K$2)&gt;0, VLOOKUP($J138,'Gear Values'!$A$2:$E$13, IF(COUNTBLANK('Attributes &amp; Prefixes'!$B$15:$C$15)&gt;0, "4", "5"), 0)), "")</f>
        <v>38</v>
      </c>
      <c r="L138" s="137" cm="1">
        <f t="array" ref="L138">IF(COUNTIF($B$15:$E$15, L$2)&gt;0, _xlfn.IFS(COUNTIF($B$15:$C$15, L$2)&gt;0, VLOOKUP($J138,'Gear Values'!$A$2:$E$13, IF(COUNTBLANK('Attributes &amp; Prefixes'!$B$15:$C$15)&gt;0, "2", "3"), 0), COUNTIF($D$15:$E$15, L$2)&gt;0, VLOOKUP($J138,'Gear Values'!$A$2:$E$13, IF(COUNTBLANK('Attributes &amp; Prefixes'!$B$15:$C$15)&gt;0, "4", "5"), 0)), "")</f>
        <v>38</v>
      </c>
      <c r="M138" s="137" cm="1">
        <f t="array" ref="M138">IF(COUNTIF($B$15:$E$15, M$2)&gt;0, _xlfn.IFS(COUNTIF($B$15:$C$15, M$2)&gt;0, VLOOKUP($J138,'Gear Values'!$A$2:$E$13, IF(COUNTBLANK('Attributes &amp; Prefixes'!$B$15:$C$15)&gt;0, "2", "3"), 0), COUNTIF($D$15:$E$15, M$2)&gt;0, VLOOKUP($J138,'Gear Values'!$A$2:$E$13, IF(COUNTBLANK('Attributes &amp; Prefixes'!$B$15:$C$15)&gt;0, "4", "5"), 0)), "")</f>
        <v>21</v>
      </c>
      <c r="N138" s="137" t="str" cm="1">
        <f t="array" ref="N138">IF(COUNTIF($B$15:$E$15, N$2)&gt;0, _xlfn.IFS(COUNTIF($B$15:$C$15, N$2)&gt;0, VLOOKUP($J138,'Gear Values'!$A$2:$E$13, IF(COUNTBLANK('Attributes &amp; Prefixes'!$B$15:$C$15)&gt;0, "2", "3"), 0), COUNTIF($D$15:$E$15, N$2)&gt;0, VLOOKUP($J138,'Gear Values'!$A$2:$E$13, IF(COUNTBLANK('Attributes &amp; Prefixes'!$B$15:$C$15)&gt;0, "4", "5"), 0)), "")</f>
        <v/>
      </c>
      <c r="O138" s="137" cm="1">
        <f t="array" ref="O138">IF(COUNTIF($B$15:$E$15, O$2)&gt;0, _xlfn.IFS(COUNTIF($B$15:$C$15, O$2)&gt;0, VLOOKUP($J138,'Gear Values'!$A$2:$E$13, IF(COUNTBLANK('Attributes &amp; Prefixes'!$B$15:$C$15)&gt;0, "2", "3"), 0), COUNTIF($D$15:$E$15, O$2)&gt;0, VLOOKUP($J138,'Gear Values'!$A$2:$E$13, IF(COUNTBLANK('Attributes &amp; Prefixes'!$B$15:$C$15)&gt;0, "4", "5"), 0)), "")</f>
        <v>21</v>
      </c>
      <c r="P138" s="137" t="str" cm="1">
        <f t="array" ref="P138">IF(COUNTIF($B$15:$E$15, P$2)&gt;0, _xlfn.IFS(COUNTIF($B$15:$C$15, P$2)&gt;0, VLOOKUP($J138,'Gear Values'!$A$2:$E$13, IF(COUNTBLANK('Attributes &amp; Prefixes'!$B$15:$C$15)&gt;0, "2", "3"), 0), COUNTIF($D$15:$E$15, P$2)&gt;0, VLOOKUP($J138,'Gear Values'!$A$2:$E$13, IF(COUNTBLANK('Attributes &amp; Prefixes'!$B$15:$C$15)&gt;0, "4", "5"), 0)), "")</f>
        <v/>
      </c>
      <c r="Q138" s="137" t="str" cm="1">
        <f t="array" ref="Q138">IF(COUNTIF($B$15:$E$15, Q$2)&gt;0, _xlfn.IFS(COUNTIF($B$15:$C$15, Q$2)&gt;0, VLOOKUP($J138,'Gear Values'!$A$2:$E$13, IF(COUNTBLANK('Attributes &amp; Prefixes'!$B$15:$C$15)&gt;0, "2", "3"), 0), COUNTIF($D$15:$E$15, Q$2)&gt;0, VLOOKUP($J138,'Gear Values'!$A$2:$E$13, IF(COUNTBLANK('Attributes &amp; Prefixes'!$B$15:$C$15)&gt;0, "4", "5"), 0)), "")</f>
        <v/>
      </c>
      <c r="R138" s="137" t="str" cm="1">
        <f t="array" ref="R138">IF(COUNTIF($B$15:$E$15, R$2)&gt;0, _xlfn.IFS(COUNTIF($B$15:$C$15, R$2)&gt;0, VLOOKUP($J138,'Gear Values'!$A$2:$E$13, IF(COUNTBLANK('Attributes &amp; Prefixes'!$B$15:$C$15)&gt;0, "2", "3"), 0), COUNTIF($D$15:$E$15, R$2)&gt;0, VLOOKUP($J138,'Gear Values'!$A$2:$E$13, IF(COUNTBLANK('Attributes &amp; Prefixes'!$B$15:$C$15)&gt;0, "4", "5"), 0)), "")</f>
        <v/>
      </c>
      <c r="S138" s="138" t="str" cm="1">
        <f t="array" ref="S138">IF(COUNTIF($B$15:$E$15, S$2)&gt;0, _xlfn.IFS(COUNTIF($B$15:$C$15, S$2)&gt;0, VLOOKUP($J138,'Gear Values'!$A$2:$E$13, IF(COUNTBLANK('Attributes &amp; Prefixes'!$B$15:$C$15)&gt;0, "2", "3"), 0), COUNTIF($D$15:$E$15, S$2)&gt;0, VLOOKUP($J138,'Gear Values'!$A$2:$E$13, IF(COUNTBLANK('Attributes &amp; Prefixes'!$B$15:$C$15)&gt;0, "4", "5"), 0)), "")</f>
        <v/>
      </c>
      <c r="V138" s="112"/>
      <c r="W138" s="113"/>
    </row>
    <row r="139" spans="6:23">
      <c r="H139" s="130" t="str">
        <f>_xlfn.CONCAT(I$135,J139)</f>
        <v>CommanderChest</v>
      </c>
      <c r="I139" s="520"/>
      <c r="J139" s="144" t="s">
        <v>44</v>
      </c>
      <c r="K139" s="136" cm="1">
        <f t="array" ref="K139">IF(COUNTIF($B$15:$E$15, K$2)&gt;0, _xlfn.IFS(COUNTIF($B$15:$C$15, K$2)&gt;0, VLOOKUP($J139,'Gear Values'!$A$2:$E$13, IF(COUNTBLANK('Attributes &amp; Prefixes'!$B$15:$C$15)&gt;0, "2", "3"), 0), COUNTIF($D$15:$E$15, K$2)&gt;0, VLOOKUP($J139,'Gear Values'!$A$2:$E$13, IF(COUNTBLANK('Attributes &amp; Prefixes'!$B$15:$C$15)&gt;0, "4", "5"), 0)), "")</f>
        <v>115</v>
      </c>
      <c r="L139" s="137" cm="1">
        <f t="array" ref="L139">IF(COUNTIF($B$15:$E$15, L$2)&gt;0, _xlfn.IFS(COUNTIF($B$15:$C$15, L$2)&gt;0, VLOOKUP($J139,'Gear Values'!$A$2:$E$13, IF(COUNTBLANK('Attributes &amp; Prefixes'!$B$15:$C$15)&gt;0, "2", "3"), 0), COUNTIF($D$15:$E$15, L$2)&gt;0, VLOOKUP($J139,'Gear Values'!$A$2:$E$13, IF(COUNTBLANK('Attributes &amp; Prefixes'!$B$15:$C$15)&gt;0, "4", "5"), 0)), "")</f>
        <v>115</v>
      </c>
      <c r="M139" s="137" cm="1">
        <f t="array" ref="M139">IF(COUNTIF($B$15:$E$15, M$2)&gt;0, _xlfn.IFS(COUNTIF($B$15:$C$15, M$2)&gt;0, VLOOKUP($J139,'Gear Values'!$A$2:$E$13, IF(COUNTBLANK('Attributes &amp; Prefixes'!$B$15:$C$15)&gt;0, "2", "3"), 0), COUNTIF($D$15:$E$15, M$2)&gt;0, VLOOKUP($J139,'Gear Values'!$A$2:$E$13, IF(COUNTBLANK('Attributes &amp; Prefixes'!$B$15:$C$15)&gt;0, "4", "5"), 0)), "")</f>
        <v>63</v>
      </c>
      <c r="N139" s="137" t="str" cm="1">
        <f t="array" ref="N139">IF(COUNTIF($B$15:$E$15, N$2)&gt;0, _xlfn.IFS(COUNTIF($B$15:$C$15, N$2)&gt;0, VLOOKUP($J139,'Gear Values'!$A$2:$E$13, IF(COUNTBLANK('Attributes &amp; Prefixes'!$B$15:$C$15)&gt;0, "2", "3"), 0), COUNTIF($D$15:$E$15, N$2)&gt;0, VLOOKUP($J139,'Gear Values'!$A$2:$E$13, IF(COUNTBLANK('Attributes &amp; Prefixes'!$B$15:$C$15)&gt;0, "4", "5"), 0)), "")</f>
        <v/>
      </c>
      <c r="O139" s="137" cm="1">
        <f t="array" ref="O139">IF(COUNTIF($B$15:$E$15, O$2)&gt;0, _xlfn.IFS(COUNTIF($B$15:$C$15, O$2)&gt;0, VLOOKUP($J139,'Gear Values'!$A$2:$E$13, IF(COUNTBLANK('Attributes &amp; Prefixes'!$B$15:$C$15)&gt;0, "2", "3"), 0), COUNTIF($D$15:$E$15, O$2)&gt;0, VLOOKUP($J139,'Gear Values'!$A$2:$E$13, IF(COUNTBLANK('Attributes &amp; Prefixes'!$B$15:$C$15)&gt;0, "4", "5"), 0)), "")</f>
        <v>63</v>
      </c>
      <c r="P139" s="137" t="str" cm="1">
        <f t="array" ref="P139">IF(COUNTIF($B$15:$E$15, P$2)&gt;0, _xlfn.IFS(COUNTIF($B$15:$C$15, P$2)&gt;0, VLOOKUP($J139,'Gear Values'!$A$2:$E$13, IF(COUNTBLANK('Attributes &amp; Prefixes'!$B$15:$C$15)&gt;0, "2", "3"), 0), COUNTIF($D$15:$E$15, P$2)&gt;0, VLOOKUP($J139,'Gear Values'!$A$2:$E$13, IF(COUNTBLANK('Attributes &amp; Prefixes'!$B$15:$C$15)&gt;0, "4", "5"), 0)), "")</f>
        <v/>
      </c>
      <c r="Q139" s="137" t="str" cm="1">
        <f t="array" ref="Q139">IF(COUNTIF($B$15:$E$15, Q$2)&gt;0, _xlfn.IFS(COUNTIF($B$15:$C$15, Q$2)&gt;0, VLOOKUP($J139,'Gear Values'!$A$2:$E$13, IF(COUNTBLANK('Attributes &amp; Prefixes'!$B$15:$C$15)&gt;0, "2", "3"), 0), COUNTIF($D$15:$E$15, Q$2)&gt;0, VLOOKUP($J139,'Gear Values'!$A$2:$E$13, IF(COUNTBLANK('Attributes &amp; Prefixes'!$B$15:$C$15)&gt;0, "4", "5"), 0)), "")</f>
        <v/>
      </c>
      <c r="R139" s="137" t="str" cm="1">
        <f t="array" ref="R139">IF(COUNTIF($B$15:$E$15, R$2)&gt;0, _xlfn.IFS(COUNTIF($B$15:$C$15, R$2)&gt;0, VLOOKUP($J139,'Gear Values'!$A$2:$E$13, IF(COUNTBLANK('Attributes &amp; Prefixes'!$B$15:$C$15)&gt;0, "2", "3"), 0), COUNTIF($D$15:$E$15, R$2)&gt;0, VLOOKUP($J139,'Gear Values'!$A$2:$E$13, IF(COUNTBLANK('Attributes &amp; Prefixes'!$B$15:$C$15)&gt;0, "4", "5"), 0)), "")</f>
        <v/>
      </c>
      <c r="S139" s="138" t="str" cm="1">
        <f t="array" ref="S139">IF(COUNTIF($B$15:$E$15, S$2)&gt;0, _xlfn.IFS(COUNTIF($B$15:$C$15, S$2)&gt;0, VLOOKUP($J139,'Gear Values'!$A$2:$E$13, IF(COUNTBLANK('Attributes &amp; Prefixes'!$B$15:$C$15)&gt;0, "2", "3"), 0), COUNTIF($D$15:$E$15, S$2)&gt;0, VLOOKUP($J139,'Gear Values'!$A$2:$E$13, IF(COUNTBLANK('Attributes &amp; Prefixes'!$B$15:$C$15)&gt;0, "4", "5"), 0)), "")</f>
        <v/>
      </c>
      <c r="V139" s="112"/>
      <c r="W139" s="113"/>
    </row>
    <row r="140" spans="6:23">
      <c r="H140" s="130" t="str">
        <f>_xlfn.CONCAT(I$135,J140)</f>
        <v>CommanderHands</v>
      </c>
      <c r="I140" s="520"/>
      <c r="J140" s="144" t="s">
        <v>45</v>
      </c>
      <c r="K140" s="136" cm="1">
        <f t="array" ref="K140">IF(COUNTIF($B$15:$E$15, K$2)&gt;0, _xlfn.IFS(COUNTIF($B$15:$C$15, K$2)&gt;0, VLOOKUP($J140,'Gear Values'!$A$2:$E$13, IF(COUNTBLANK('Attributes &amp; Prefixes'!$B$15:$C$15)&gt;0, "2", "3"), 0), COUNTIF($D$15:$E$15, K$2)&gt;0, VLOOKUP($J140,'Gear Values'!$A$2:$E$13, IF(COUNTBLANK('Attributes &amp; Prefixes'!$B$15:$C$15)&gt;0, "4", "5"), 0)), "")</f>
        <v>38</v>
      </c>
      <c r="L140" s="137" cm="1">
        <f t="array" ref="L140">IF(COUNTIF($B$15:$E$15, L$2)&gt;0, _xlfn.IFS(COUNTIF($B$15:$C$15, L$2)&gt;0, VLOOKUP($J140,'Gear Values'!$A$2:$E$13, IF(COUNTBLANK('Attributes &amp; Prefixes'!$B$15:$C$15)&gt;0, "2", "3"), 0), COUNTIF($D$15:$E$15, L$2)&gt;0, VLOOKUP($J140,'Gear Values'!$A$2:$E$13, IF(COUNTBLANK('Attributes &amp; Prefixes'!$B$15:$C$15)&gt;0, "4", "5"), 0)), "")</f>
        <v>38</v>
      </c>
      <c r="M140" s="137" cm="1">
        <f t="array" ref="M140">IF(COUNTIF($B$15:$E$15, M$2)&gt;0, _xlfn.IFS(COUNTIF($B$15:$C$15, M$2)&gt;0, VLOOKUP($J140,'Gear Values'!$A$2:$E$13, IF(COUNTBLANK('Attributes &amp; Prefixes'!$B$15:$C$15)&gt;0, "2", "3"), 0), COUNTIF($D$15:$E$15, M$2)&gt;0, VLOOKUP($J140,'Gear Values'!$A$2:$E$13, IF(COUNTBLANK('Attributes &amp; Prefixes'!$B$15:$C$15)&gt;0, "4", "5"), 0)), "")</f>
        <v>21</v>
      </c>
      <c r="N140" s="137" t="str" cm="1">
        <f t="array" ref="N140">IF(COUNTIF($B$15:$E$15, N$2)&gt;0, _xlfn.IFS(COUNTIF($B$15:$C$15, N$2)&gt;0, VLOOKUP($J140,'Gear Values'!$A$2:$E$13, IF(COUNTBLANK('Attributes &amp; Prefixes'!$B$15:$C$15)&gt;0, "2", "3"), 0), COUNTIF($D$15:$E$15, N$2)&gt;0, VLOOKUP($J140,'Gear Values'!$A$2:$E$13, IF(COUNTBLANK('Attributes &amp; Prefixes'!$B$15:$C$15)&gt;0, "4", "5"), 0)), "")</f>
        <v/>
      </c>
      <c r="O140" s="137" cm="1">
        <f t="array" ref="O140">IF(COUNTIF($B$15:$E$15, O$2)&gt;0, _xlfn.IFS(COUNTIF($B$15:$C$15, O$2)&gt;0, VLOOKUP($J140,'Gear Values'!$A$2:$E$13, IF(COUNTBLANK('Attributes &amp; Prefixes'!$B$15:$C$15)&gt;0, "2", "3"), 0), COUNTIF($D$15:$E$15, O$2)&gt;0, VLOOKUP($J140,'Gear Values'!$A$2:$E$13, IF(COUNTBLANK('Attributes &amp; Prefixes'!$B$15:$C$15)&gt;0, "4", "5"), 0)), "")</f>
        <v>21</v>
      </c>
      <c r="P140" s="137" t="str" cm="1">
        <f t="array" ref="P140">IF(COUNTIF($B$15:$E$15, P$2)&gt;0, _xlfn.IFS(COUNTIF($B$15:$C$15, P$2)&gt;0, VLOOKUP($J140,'Gear Values'!$A$2:$E$13, IF(COUNTBLANK('Attributes &amp; Prefixes'!$B$15:$C$15)&gt;0, "2", "3"), 0), COUNTIF($D$15:$E$15, P$2)&gt;0, VLOOKUP($J140,'Gear Values'!$A$2:$E$13, IF(COUNTBLANK('Attributes &amp; Prefixes'!$B$15:$C$15)&gt;0, "4", "5"), 0)), "")</f>
        <v/>
      </c>
      <c r="Q140" s="137" t="str" cm="1">
        <f t="array" ref="Q140">IF(COUNTIF($B$15:$E$15, Q$2)&gt;0, _xlfn.IFS(COUNTIF($B$15:$C$15, Q$2)&gt;0, VLOOKUP($J140,'Gear Values'!$A$2:$E$13, IF(COUNTBLANK('Attributes &amp; Prefixes'!$B$15:$C$15)&gt;0, "2", "3"), 0), COUNTIF($D$15:$E$15, Q$2)&gt;0, VLOOKUP($J140,'Gear Values'!$A$2:$E$13, IF(COUNTBLANK('Attributes &amp; Prefixes'!$B$15:$C$15)&gt;0, "4", "5"), 0)), "")</f>
        <v/>
      </c>
      <c r="R140" s="137" t="str" cm="1">
        <f t="array" ref="R140">IF(COUNTIF($B$15:$E$15, R$2)&gt;0, _xlfn.IFS(COUNTIF($B$15:$C$15, R$2)&gt;0, VLOOKUP($J140,'Gear Values'!$A$2:$E$13, IF(COUNTBLANK('Attributes &amp; Prefixes'!$B$15:$C$15)&gt;0, "2", "3"), 0), COUNTIF($D$15:$E$15, R$2)&gt;0, VLOOKUP($J140,'Gear Values'!$A$2:$E$13, IF(COUNTBLANK('Attributes &amp; Prefixes'!$B$15:$C$15)&gt;0, "4", "5"), 0)), "")</f>
        <v/>
      </c>
      <c r="S140" s="138" t="str" cm="1">
        <f t="array" ref="S140">IF(COUNTIF($B$15:$E$15, S$2)&gt;0, _xlfn.IFS(COUNTIF($B$15:$C$15, S$2)&gt;0, VLOOKUP($J140,'Gear Values'!$A$2:$E$13, IF(COUNTBLANK('Attributes &amp; Prefixes'!$B$15:$C$15)&gt;0, "2", "3"), 0), COUNTIF($D$15:$E$15, S$2)&gt;0, VLOOKUP($J140,'Gear Values'!$A$2:$E$13, IF(COUNTBLANK('Attributes &amp; Prefixes'!$B$15:$C$15)&gt;0, "4", "5"), 0)), "")</f>
        <v/>
      </c>
      <c r="V140" s="112"/>
      <c r="W140" s="113"/>
    </row>
    <row r="141" spans="6:23">
      <c r="H141" s="130" t="str">
        <f>_xlfn.CONCAT(I$135,J141)</f>
        <v>CommanderLegs</v>
      </c>
      <c r="I141" s="520"/>
      <c r="J141" s="144" t="s">
        <v>47</v>
      </c>
      <c r="K141" s="136" cm="1">
        <f t="array" ref="K141">IF(COUNTIF($B$15:$E$15, K$2)&gt;0, _xlfn.IFS(COUNTIF($B$15:$C$15, K$2)&gt;0, VLOOKUP($J141,'Gear Values'!$A$2:$E$13, IF(COUNTBLANK('Attributes &amp; Prefixes'!$B$15:$C$15)&gt;0, "2", "3"), 0), COUNTIF($D$15:$E$15, K$2)&gt;0, VLOOKUP($J141,'Gear Values'!$A$2:$E$13, IF(COUNTBLANK('Attributes &amp; Prefixes'!$B$15:$C$15)&gt;0, "4", "5"), 0)), "")</f>
        <v>77</v>
      </c>
      <c r="L141" s="137" cm="1">
        <f t="array" ref="L141">IF(COUNTIF($B$15:$E$15, L$2)&gt;0, _xlfn.IFS(COUNTIF($B$15:$C$15, L$2)&gt;0, VLOOKUP($J141,'Gear Values'!$A$2:$E$13, IF(COUNTBLANK('Attributes &amp; Prefixes'!$B$15:$C$15)&gt;0, "2", "3"), 0), COUNTIF($D$15:$E$15, L$2)&gt;0, VLOOKUP($J141,'Gear Values'!$A$2:$E$13, IF(COUNTBLANK('Attributes &amp; Prefixes'!$B$15:$C$15)&gt;0, "4", "5"), 0)), "")</f>
        <v>77</v>
      </c>
      <c r="M141" s="137" cm="1">
        <f t="array" ref="M141">IF(COUNTIF($B$15:$E$15, M$2)&gt;0, _xlfn.IFS(COUNTIF($B$15:$C$15, M$2)&gt;0, VLOOKUP($J141,'Gear Values'!$A$2:$E$13, IF(COUNTBLANK('Attributes &amp; Prefixes'!$B$15:$C$15)&gt;0, "2", "3"), 0), COUNTIF($D$15:$E$15, M$2)&gt;0, VLOOKUP($J141,'Gear Values'!$A$2:$E$13, IF(COUNTBLANK('Attributes &amp; Prefixes'!$B$15:$C$15)&gt;0, "4", "5"), 0)), "")</f>
        <v>42</v>
      </c>
      <c r="N141" s="137" t="str" cm="1">
        <f t="array" ref="N141">IF(COUNTIF($B$15:$E$15, N$2)&gt;0, _xlfn.IFS(COUNTIF($B$15:$C$15, N$2)&gt;0, VLOOKUP($J141,'Gear Values'!$A$2:$E$13, IF(COUNTBLANK('Attributes &amp; Prefixes'!$B$15:$C$15)&gt;0, "2", "3"), 0), COUNTIF($D$15:$E$15, N$2)&gt;0, VLOOKUP($J141,'Gear Values'!$A$2:$E$13, IF(COUNTBLANK('Attributes &amp; Prefixes'!$B$15:$C$15)&gt;0, "4", "5"), 0)), "")</f>
        <v/>
      </c>
      <c r="O141" s="137" cm="1">
        <f t="array" ref="O141">IF(COUNTIF($B$15:$E$15, O$2)&gt;0, _xlfn.IFS(COUNTIF($B$15:$C$15, O$2)&gt;0, VLOOKUP($J141,'Gear Values'!$A$2:$E$13, IF(COUNTBLANK('Attributes &amp; Prefixes'!$B$15:$C$15)&gt;0, "2", "3"), 0), COUNTIF($D$15:$E$15, O$2)&gt;0, VLOOKUP($J141,'Gear Values'!$A$2:$E$13, IF(COUNTBLANK('Attributes &amp; Prefixes'!$B$15:$C$15)&gt;0, "4", "5"), 0)), "")</f>
        <v>42</v>
      </c>
      <c r="P141" s="137" t="str" cm="1">
        <f t="array" ref="P141">IF(COUNTIF($B$15:$E$15, P$2)&gt;0, _xlfn.IFS(COUNTIF($B$15:$C$15, P$2)&gt;0, VLOOKUP($J141,'Gear Values'!$A$2:$E$13, IF(COUNTBLANK('Attributes &amp; Prefixes'!$B$15:$C$15)&gt;0, "2", "3"), 0), COUNTIF($D$15:$E$15, P$2)&gt;0, VLOOKUP($J141,'Gear Values'!$A$2:$E$13, IF(COUNTBLANK('Attributes &amp; Prefixes'!$B$15:$C$15)&gt;0, "4", "5"), 0)), "")</f>
        <v/>
      </c>
      <c r="Q141" s="137" t="str" cm="1">
        <f t="array" ref="Q141">IF(COUNTIF($B$15:$E$15, Q$2)&gt;0, _xlfn.IFS(COUNTIF($B$15:$C$15, Q$2)&gt;0, VLOOKUP($J141,'Gear Values'!$A$2:$E$13, IF(COUNTBLANK('Attributes &amp; Prefixes'!$B$15:$C$15)&gt;0, "2", "3"), 0), COUNTIF($D$15:$E$15, Q$2)&gt;0, VLOOKUP($J141,'Gear Values'!$A$2:$E$13, IF(COUNTBLANK('Attributes &amp; Prefixes'!$B$15:$C$15)&gt;0, "4", "5"), 0)), "")</f>
        <v/>
      </c>
      <c r="R141" s="137" t="str" cm="1">
        <f t="array" ref="R141">IF(COUNTIF($B$15:$E$15, R$2)&gt;0, _xlfn.IFS(COUNTIF($B$15:$C$15, R$2)&gt;0, VLOOKUP($J141,'Gear Values'!$A$2:$E$13, IF(COUNTBLANK('Attributes &amp; Prefixes'!$B$15:$C$15)&gt;0, "2", "3"), 0), COUNTIF($D$15:$E$15, R$2)&gt;0, VLOOKUP($J141,'Gear Values'!$A$2:$E$13, IF(COUNTBLANK('Attributes &amp; Prefixes'!$B$15:$C$15)&gt;0, "4", "5"), 0)), "")</f>
        <v/>
      </c>
      <c r="S141" s="138" t="str" cm="1">
        <f t="array" ref="S141">IF(COUNTIF($B$15:$E$15, S$2)&gt;0, _xlfn.IFS(COUNTIF($B$15:$C$15, S$2)&gt;0, VLOOKUP($J141,'Gear Values'!$A$2:$E$13, IF(COUNTBLANK('Attributes &amp; Prefixes'!$B$15:$C$15)&gt;0, "2", "3"), 0), COUNTIF($D$15:$E$15, S$2)&gt;0, VLOOKUP($J141,'Gear Values'!$A$2:$E$13, IF(COUNTBLANK('Attributes &amp; Prefixes'!$B$15:$C$15)&gt;0, "4", "5"), 0)), "")</f>
        <v/>
      </c>
      <c r="V141" s="112"/>
      <c r="W141" s="113"/>
    </row>
    <row r="142" spans="6:23">
      <c r="H142" s="130" t="str">
        <f>_xlfn.CONCAT(I$135,J142)</f>
        <v>CommanderFeet</v>
      </c>
      <c r="I142" s="520"/>
      <c r="J142" s="144" t="s">
        <v>48</v>
      </c>
      <c r="K142" s="136" cm="1">
        <f t="array" ref="K142">IF(COUNTIF($B$15:$E$15, K$2)&gt;0, _xlfn.IFS(COUNTIF($B$15:$C$15, K$2)&gt;0, VLOOKUP($J142,'Gear Values'!$A$2:$E$13, IF(COUNTBLANK('Attributes &amp; Prefixes'!$B$15:$C$15)&gt;0, "2", "3"), 0), COUNTIF($D$15:$E$15, K$2)&gt;0, VLOOKUP($J142,'Gear Values'!$A$2:$E$13, IF(COUNTBLANK('Attributes &amp; Prefixes'!$B$15:$C$15)&gt;0, "4", "5"), 0)), "")</f>
        <v>38</v>
      </c>
      <c r="L142" s="137" cm="1">
        <f t="array" ref="L142">IF(COUNTIF($B$15:$E$15, L$2)&gt;0, _xlfn.IFS(COUNTIF($B$15:$C$15, L$2)&gt;0, VLOOKUP($J142,'Gear Values'!$A$2:$E$13, IF(COUNTBLANK('Attributes &amp; Prefixes'!$B$15:$C$15)&gt;0, "2", "3"), 0), COUNTIF($D$15:$E$15, L$2)&gt;0, VLOOKUP($J142,'Gear Values'!$A$2:$E$13, IF(COUNTBLANK('Attributes &amp; Prefixes'!$B$15:$C$15)&gt;0, "4", "5"), 0)), "")</f>
        <v>38</v>
      </c>
      <c r="M142" s="137" cm="1">
        <f t="array" ref="M142">IF(COUNTIF($B$15:$E$15, M$2)&gt;0, _xlfn.IFS(COUNTIF($B$15:$C$15, M$2)&gt;0, VLOOKUP($J142,'Gear Values'!$A$2:$E$13, IF(COUNTBLANK('Attributes &amp; Prefixes'!$B$15:$C$15)&gt;0, "2", "3"), 0), COUNTIF($D$15:$E$15, M$2)&gt;0, VLOOKUP($J142,'Gear Values'!$A$2:$E$13, IF(COUNTBLANK('Attributes &amp; Prefixes'!$B$15:$C$15)&gt;0, "4", "5"), 0)), "")</f>
        <v>21</v>
      </c>
      <c r="N142" s="137" t="str" cm="1">
        <f t="array" ref="N142">IF(COUNTIF($B$15:$E$15, N$2)&gt;0, _xlfn.IFS(COUNTIF($B$15:$C$15, N$2)&gt;0, VLOOKUP($J142,'Gear Values'!$A$2:$E$13, IF(COUNTBLANK('Attributes &amp; Prefixes'!$B$15:$C$15)&gt;0, "2", "3"), 0), COUNTIF($D$15:$E$15, N$2)&gt;0, VLOOKUP($J142,'Gear Values'!$A$2:$E$13, IF(COUNTBLANK('Attributes &amp; Prefixes'!$B$15:$C$15)&gt;0, "4", "5"), 0)), "")</f>
        <v/>
      </c>
      <c r="O142" s="137" cm="1">
        <f t="array" ref="O142">IF(COUNTIF($B$15:$E$15, O$2)&gt;0, _xlfn.IFS(COUNTIF($B$15:$C$15, O$2)&gt;0, VLOOKUP($J142,'Gear Values'!$A$2:$E$13, IF(COUNTBLANK('Attributes &amp; Prefixes'!$B$15:$C$15)&gt;0, "2", "3"), 0), COUNTIF($D$15:$E$15, O$2)&gt;0, VLOOKUP($J142,'Gear Values'!$A$2:$E$13, IF(COUNTBLANK('Attributes &amp; Prefixes'!$B$15:$C$15)&gt;0, "4", "5"), 0)), "")</f>
        <v>21</v>
      </c>
      <c r="P142" s="137" t="str" cm="1">
        <f t="array" ref="P142">IF(COUNTIF($B$15:$E$15, P$2)&gt;0, _xlfn.IFS(COUNTIF($B$15:$C$15, P$2)&gt;0, VLOOKUP($J142,'Gear Values'!$A$2:$E$13, IF(COUNTBLANK('Attributes &amp; Prefixes'!$B$15:$C$15)&gt;0, "2", "3"), 0), COUNTIF($D$15:$E$15, P$2)&gt;0, VLOOKUP($J142,'Gear Values'!$A$2:$E$13, IF(COUNTBLANK('Attributes &amp; Prefixes'!$B$15:$C$15)&gt;0, "4", "5"), 0)), "")</f>
        <v/>
      </c>
      <c r="Q142" s="137" t="str" cm="1">
        <f t="array" ref="Q142">IF(COUNTIF($B$15:$E$15, Q$2)&gt;0, _xlfn.IFS(COUNTIF($B$15:$C$15, Q$2)&gt;0, VLOOKUP($J142,'Gear Values'!$A$2:$E$13, IF(COUNTBLANK('Attributes &amp; Prefixes'!$B$15:$C$15)&gt;0, "2", "3"), 0), COUNTIF($D$15:$E$15, Q$2)&gt;0, VLOOKUP($J142,'Gear Values'!$A$2:$E$13, IF(COUNTBLANK('Attributes &amp; Prefixes'!$B$15:$C$15)&gt;0, "4", "5"), 0)), "")</f>
        <v/>
      </c>
      <c r="R142" s="137" t="str" cm="1">
        <f t="array" ref="R142">IF(COUNTIF($B$15:$E$15, R$2)&gt;0, _xlfn.IFS(COUNTIF($B$15:$C$15, R$2)&gt;0, VLOOKUP($J142,'Gear Values'!$A$2:$E$13, IF(COUNTBLANK('Attributes &amp; Prefixes'!$B$15:$C$15)&gt;0, "2", "3"), 0), COUNTIF($D$15:$E$15, R$2)&gt;0, VLOOKUP($J142,'Gear Values'!$A$2:$E$13, IF(COUNTBLANK('Attributes &amp; Prefixes'!$B$15:$C$15)&gt;0, "4", "5"), 0)), "")</f>
        <v/>
      </c>
      <c r="S142" s="138" t="str" cm="1">
        <f t="array" ref="S142">IF(COUNTIF($B$15:$E$15, S$2)&gt;0, _xlfn.IFS(COUNTIF($B$15:$C$15, S$2)&gt;0, VLOOKUP($J142,'Gear Values'!$A$2:$E$13, IF(COUNTBLANK('Attributes &amp; Prefixes'!$B$15:$C$15)&gt;0, "2", "3"), 0), COUNTIF($D$15:$E$15, S$2)&gt;0, VLOOKUP($J142,'Gear Values'!$A$2:$E$13, IF(COUNTBLANK('Attributes &amp; Prefixes'!$B$15:$C$15)&gt;0, "4", "5"), 0)), "")</f>
        <v/>
      </c>
      <c r="V142" s="112"/>
      <c r="W142" s="113"/>
    </row>
    <row r="143" spans="6:23">
      <c r="H143" s="130" t="str">
        <f>_xlfn.CONCAT(A$60,J143)</f>
        <v>BurlEar</v>
      </c>
      <c r="I143" s="520"/>
      <c r="J143" s="144" t="s">
        <v>49</v>
      </c>
      <c r="K143" s="136" cm="1">
        <f t="array" ref="K143">IF(COUNTIF($B$15:$E$15, K$2)&gt;0, _xlfn.IFS(COUNTIF($B$15:$C$15, K$2)&gt;0, VLOOKUP($J143,'Gear Values'!$A$2:$E$13, IF(COUNTBLANK('Attributes &amp; Prefixes'!$B$15:$C$15)&gt;0, "2", "3"), 0), COUNTIF($D$15:$E$15, K$2)&gt;0, VLOOKUP($J143,'Gear Values'!$A$2:$E$13, IF(COUNTBLANK('Attributes &amp; Prefixes'!$B$15:$C$15)&gt;0, "4", "5"), 0)), "")</f>
        <v>64</v>
      </c>
      <c r="L143" s="137" cm="1">
        <f t="array" ref="L143">IF(COUNTIF($B$15:$E$15, L$2)&gt;0, _xlfn.IFS(COUNTIF($B$15:$C$15, L$2)&gt;0, VLOOKUP($J143,'Gear Values'!$A$2:$E$13, IF(COUNTBLANK('Attributes &amp; Prefixes'!$B$15:$C$15)&gt;0, "2", "3"), 0), COUNTIF($D$15:$E$15, L$2)&gt;0, VLOOKUP($J143,'Gear Values'!$A$2:$E$13, IF(COUNTBLANK('Attributes &amp; Prefixes'!$B$15:$C$15)&gt;0, "4", "5"), 0)), "")</f>
        <v>64</v>
      </c>
      <c r="M143" s="137" cm="1">
        <f t="array" ref="M143">IF(COUNTIF($B$15:$E$15, M$2)&gt;0, _xlfn.IFS(COUNTIF($B$15:$C$15, M$2)&gt;0, VLOOKUP($J143,'Gear Values'!$A$2:$E$13, IF(COUNTBLANK('Attributes &amp; Prefixes'!$B$15:$C$15)&gt;0, "2", "3"), 0), COUNTIF($D$15:$E$15, M$2)&gt;0, VLOOKUP($J143,'Gear Values'!$A$2:$E$13, IF(COUNTBLANK('Attributes &amp; Prefixes'!$B$15:$C$15)&gt;0, "4", "5"), 0)), "")</f>
        <v>35</v>
      </c>
      <c r="N143" s="137" t="str" cm="1">
        <f t="array" ref="N143">IF(COUNTIF($B$15:$E$15, N$2)&gt;0, _xlfn.IFS(COUNTIF($B$15:$C$15, N$2)&gt;0, VLOOKUP($J143,'Gear Values'!$A$2:$E$13, IF(COUNTBLANK('Attributes &amp; Prefixes'!$B$15:$C$15)&gt;0, "2", "3"), 0), COUNTIF($D$15:$E$15, N$2)&gt;0, VLOOKUP($J143,'Gear Values'!$A$2:$E$13, IF(COUNTBLANK('Attributes &amp; Prefixes'!$B$15:$C$15)&gt;0, "4", "5"), 0)), "")</f>
        <v/>
      </c>
      <c r="O143" s="137" cm="1">
        <f t="array" ref="O143">IF(COUNTIF($B$15:$E$15, O$2)&gt;0, _xlfn.IFS(COUNTIF($B$15:$C$15, O$2)&gt;0, VLOOKUP($J143,'Gear Values'!$A$2:$E$13, IF(COUNTBLANK('Attributes &amp; Prefixes'!$B$15:$C$15)&gt;0, "2", "3"), 0), COUNTIF($D$15:$E$15, O$2)&gt;0, VLOOKUP($J143,'Gear Values'!$A$2:$E$13, IF(COUNTBLANK('Attributes &amp; Prefixes'!$B$15:$C$15)&gt;0, "4", "5"), 0)), "")</f>
        <v>35</v>
      </c>
      <c r="P143" s="137" t="str" cm="1">
        <f t="array" ref="P143">IF(COUNTIF($B$15:$E$15, P$2)&gt;0, _xlfn.IFS(COUNTIF($B$15:$C$15, P$2)&gt;0, VLOOKUP($J143,'Gear Values'!$A$2:$E$13, IF(COUNTBLANK('Attributes &amp; Prefixes'!$B$15:$C$15)&gt;0, "2", "3"), 0), COUNTIF($D$15:$E$15, P$2)&gt;0, VLOOKUP($J143,'Gear Values'!$A$2:$E$13, IF(COUNTBLANK('Attributes &amp; Prefixes'!$B$15:$C$15)&gt;0, "4", "5"), 0)), "")</f>
        <v/>
      </c>
      <c r="Q143" s="137" t="str" cm="1">
        <f t="array" ref="Q143">IF(COUNTIF($B$15:$E$15, Q$2)&gt;0, _xlfn.IFS(COUNTIF($B$15:$C$15, Q$2)&gt;0, VLOOKUP($J143,'Gear Values'!$A$2:$E$13, IF(COUNTBLANK('Attributes &amp; Prefixes'!$B$15:$C$15)&gt;0, "2", "3"), 0), COUNTIF($D$15:$E$15, Q$2)&gt;0, VLOOKUP($J143,'Gear Values'!$A$2:$E$13, IF(COUNTBLANK('Attributes &amp; Prefixes'!$B$15:$C$15)&gt;0, "4", "5"), 0)), "")</f>
        <v/>
      </c>
      <c r="R143" s="137" t="str" cm="1">
        <f t="array" ref="R143">IF(COUNTIF($B$15:$E$15, R$2)&gt;0, _xlfn.IFS(COUNTIF($B$15:$C$15, R$2)&gt;0, VLOOKUP($J143,'Gear Values'!$A$2:$E$13, IF(COUNTBLANK('Attributes &amp; Prefixes'!$B$15:$C$15)&gt;0, "2", "3"), 0), COUNTIF($D$15:$E$15, R$2)&gt;0, VLOOKUP($J143,'Gear Values'!$A$2:$E$13, IF(COUNTBLANK('Attributes &amp; Prefixes'!$B$15:$C$15)&gt;0, "4", "5"), 0)), "")</f>
        <v/>
      </c>
      <c r="S143" s="138" t="str" cm="1">
        <f t="array" ref="S143">IF(COUNTIF($B$15:$E$15, S$2)&gt;0, _xlfn.IFS(COUNTIF($B$15:$C$15, S$2)&gt;0, VLOOKUP($J143,'Gear Values'!$A$2:$E$13, IF(COUNTBLANK('Attributes &amp; Prefixes'!$B$15:$C$15)&gt;0, "2", "3"), 0), COUNTIF($D$15:$E$15, S$2)&gt;0, VLOOKUP($J143,'Gear Values'!$A$2:$E$13, IF(COUNTBLANK('Attributes &amp; Prefixes'!$B$15:$C$15)&gt;0, "4", "5"), 0)), "")</f>
        <v/>
      </c>
      <c r="V143" s="112"/>
      <c r="W143" s="113"/>
    </row>
    <row r="144" spans="6:23">
      <c r="H144" s="130" t="str">
        <f>_xlfn.CONCAT(A$60,J144)</f>
        <v>BurlFinger</v>
      </c>
      <c r="I144" s="520"/>
      <c r="J144" s="144" t="s">
        <v>51</v>
      </c>
      <c r="K144" s="136" cm="1">
        <f t="array" ref="K144">IF(COUNTIF($B$15:$E$15, K$2)&gt;0, _xlfn.IFS(COUNTIF($B$15:$C$15, K$2)&gt;0, VLOOKUP($J144,'Gear Values'!$A$2:$E$13, IF(COUNTBLANK('Attributes &amp; Prefixes'!$B$15:$C$15)&gt;0, "2", "3"), 0), COUNTIF($D$15:$E$15, K$2)&gt;0, VLOOKUP($J144,'Gear Values'!$A$2:$E$13, IF(COUNTBLANK('Attributes &amp; Prefixes'!$B$15:$C$15)&gt;0, "4", "5"), 0)), "")</f>
        <v>77</v>
      </c>
      <c r="L144" s="137" cm="1">
        <f t="array" ref="L144">IF(COUNTIF($B$15:$E$15, L$2)&gt;0, _xlfn.IFS(COUNTIF($B$15:$C$15, L$2)&gt;0, VLOOKUP($J144,'Gear Values'!$A$2:$E$13, IF(COUNTBLANK('Attributes &amp; Prefixes'!$B$15:$C$15)&gt;0, "2", "3"), 0), COUNTIF($D$15:$E$15, L$2)&gt;0, VLOOKUP($J144,'Gear Values'!$A$2:$E$13, IF(COUNTBLANK('Attributes &amp; Prefixes'!$B$15:$C$15)&gt;0, "4", "5"), 0)), "")</f>
        <v>77</v>
      </c>
      <c r="M144" s="137" cm="1">
        <f t="array" ref="M144">IF(COUNTIF($B$15:$E$15, M$2)&gt;0, _xlfn.IFS(COUNTIF($B$15:$C$15, M$2)&gt;0, VLOOKUP($J144,'Gear Values'!$A$2:$E$13, IF(COUNTBLANK('Attributes &amp; Prefixes'!$B$15:$C$15)&gt;0, "2", "3"), 0), COUNTIF($D$15:$E$15, M$2)&gt;0, VLOOKUP($J144,'Gear Values'!$A$2:$E$13, IF(COUNTBLANK('Attributes &amp; Prefixes'!$B$15:$C$15)&gt;0, "4", "5"), 0)), "")</f>
        <v>42</v>
      </c>
      <c r="N144" s="137" t="str" cm="1">
        <f t="array" ref="N144">IF(COUNTIF($B$15:$E$15, N$2)&gt;0, _xlfn.IFS(COUNTIF($B$15:$C$15, N$2)&gt;0, VLOOKUP($J144,'Gear Values'!$A$2:$E$13, IF(COUNTBLANK('Attributes &amp; Prefixes'!$B$15:$C$15)&gt;0, "2", "3"), 0), COUNTIF($D$15:$E$15, N$2)&gt;0, VLOOKUP($J144,'Gear Values'!$A$2:$E$13, IF(COUNTBLANK('Attributes &amp; Prefixes'!$B$15:$C$15)&gt;0, "4", "5"), 0)), "")</f>
        <v/>
      </c>
      <c r="O144" s="137" cm="1">
        <f t="array" ref="O144">IF(COUNTIF($B$15:$E$15, O$2)&gt;0, _xlfn.IFS(COUNTIF($B$15:$C$15, O$2)&gt;0, VLOOKUP($J144,'Gear Values'!$A$2:$E$13, IF(COUNTBLANK('Attributes &amp; Prefixes'!$B$15:$C$15)&gt;0, "2", "3"), 0), COUNTIF($D$15:$E$15, O$2)&gt;0, VLOOKUP($J144,'Gear Values'!$A$2:$E$13, IF(COUNTBLANK('Attributes &amp; Prefixes'!$B$15:$C$15)&gt;0, "4", "5"), 0)), "")</f>
        <v>42</v>
      </c>
      <c r="P144" s="137" t="str" cm="1">
        <f t="array" ref="P144">IF(COUNTIF($B$15:$E$15, P$2)&gt;0, _xlfn.IFS(COUNTIF($B$15:$C$15, P$2)&gt;0, VLOOKUP($J144,'Gear Values'!$A$2:$E$13, IF(COUNTBLANK('Attributes &amp; Prefixes'!$B$15:$C$15)&gt;0, "2", "3"), 0), COUNTIF($D$15:$E$15, P$2)&gt;0, VLOOKUP($J144,'Gear Values'!$A$2:$E$13, IF(COUNTBLANK('Attributes &amp; Prefixes'!$B$15:$C$15)&gt;0, "4", "5"), 0)), "")</f>
        <v/>
      </c>
      <c r="Q144" s="137" t="str" cm="1">
        <f t="array" ref="Q144">IF(COUNTIF($B$15:$E$15, Q$2)&gt;0, _xlfn.IFS(COUNTIF($B$15:$C$15, Q$2)&gt;0, VLOOKUP($J144,'Gear Values'!$A$2:$E$13, IF(COUNTBLANK('Attributes &amp; Prefixes'!$B$15:$C$15)&gt;0, "2", "3"), 0), COUNTIF($D$15:$E$15, Q$2)&gt;0, VLOOKUP($J144,'Gear Values'!$A$2:$E$13, IF(COUNTBLANK('Attributes &amp; Prefixes'!$B$15:$C$15)&gt;0, "4", "5"), 0)), "")</f>
        <v/>
      </c>
      <c r="R144" s="137" t="str" cm="1">
        <f t="array" ref="R144">IF(COUNTIF($B$15:$E$15, R$2)&gt;0, _xlfn.IFS(COUNTIF($B$15:$C$15, R$2)&gt;0, VLOOKUP($J144,'Gear Values'!$A$2:$E$13, IF(COUNTBLANK('Attributes &amp; Prefixes'!$B$15:$C$15)&gt;0, "2", "3"), 0), COUNTIF($D$15:$E$15, R$2)&gt;0, VLOOKUP($J144,'Gear Values'!$A$2:$E$13, IF(COUNTBLANK('Attributes &amp; Prefixes'!$B$15:$C$15)&gt;0, "4", "5"), 0)), "")</f>
        <v/>
      </c>
      <c r="S144" s="138" t="str" cm="1">
        <f t="array" ref="S144">IF(COUNTIF($B$15:$E$15, S$2)&gt;0, _xlfn.IFS(COUNTIF($B$15:$C$15, S$2)&gt;0, VLOOKUP($J144,'Gear Values'!$A$2:$E$13, IF(COUNTBLANK('Attributes &amp; Prefixes'!$B$15:$C$15)&gt;0, "2", "3"), 0), COUNTIF($D$15:$E$15, S$2)&gt;0, VLOOKUP($J144,'Gear Values'!$A$2:$E$13, IF(COUNTBLANK('Attributes &amp; Prefixes'!$B$15:$C$15)&gt;0, "4", "5"), 0)), "")</f>
        <v/>
      </c>
      <c r="V144" s="112"/>
      <c r="W144" s="113"/>
    </row>
    <row r="145" spans="6:23">
      <c r="H145" s="130" t="str">
        <f>_xlfn.CONCAT(A$60,J145)</f>
        <v>BurlNeck</v>
      </c>
      <c r="I145" s="520"/>
      <c r="J145" s="144" t="s">
        <v>52</v>
      </c>
      <c r="K145" s="136" cm="1">
        <f t="array" ref="K145">IF(COUNTIF($B$15:$E$15, K$2)&gt;0, _xlfn.IFS(COUNTIF($B$15:$C$15, K$2)&gt;0, VLOOKUP($J145,'Gear Values'!$A$2:$E$13, IF(COUNTBLANK('Attributes &amp; Prefixes'!$B$15:$C$15)&gt;0, "2", "3"), 0), COUNTIF($D$15:$E$15, K$2)&gt;0, VLOOKUP($J145,'Gear Values'!$A$2:$E$13, IF(COUNTBLANK('Attributes &amp; Prefixes'!$B$15:$C$15)&gt;0, "4", "5"), 0)), "")</f>
        <v>102</v>
      </c>
      <c r="L145" s="137" cm="1">
        <f t="array" ref="L145">IF(COUNTIF($B$15:$E$15, L$2)&gt;0, _xlfn.IFS(COUNTIF($B$15:$C$15, L$2)&gt;0, VLOOKUP($J145,'Gear Values'!$A$2:$E$13, IF(COUNTBLANK('Attributes &amp; Prefixes'!$B$15:$C$15)&gt;0, "2", "3"), 0), COUNTIF($D$15:$E$15, L$2)&gt;0, VLOOKUP($J145,'Gear Values'!$A$2:$E$13, IF(COUNTBLANK('Attributes &amp; Prefixes'!$B$15:$C$15)&gt;0, "4", "5"), 0)), "")</f>
        <v>102</v>
      </c>
      <c r="M145" s="137" cm="1">
        <f t="array" ref="M145">IF(COUNTIF($B$15:$E$15, M$2)&gt;0, _xlfn.IFS(COUNTIF($B$15:$C$15, M$2)&gt;0, VLOOKUP($J145,'Gear Values'!$A$2:$E$13, IF(COUNTBLANK('Attributes &amp; Prefixes'!$B$15:$C$15)&gt;0, "2", "3"), 0), COUNTIF($D$15:$E$15, M$2)&gt;0, VLOOKUP($J145,'Gear Values'!$A$2:$E$13, IF(COUNTBLANK('Attributes &amp; Prefixes'!$B$15:$C$15)&gt;0, "4", "5"), 0)), "")</f>
        <v>56</v>
      </c>
      <c r="N145" s="137" t="str" cm="1">
        <f t="array" ref="N145">IF(COUNTIF($B$15:$E$15, N$2)&gt;0, _xlfn.IFS(COUNTIF($B$15:$C$15, N$2)&gt;0, VLOOKUP($J145,'Gear Values'!$A$2:$E$13, IF(COUNTBLANK('Attributes &amp; Prefixes'!$B$15:$C$15)&gt;0, "2", "3"), 0), COUNTIF($D$15:$E$15, N$2)&gt;0, VLOOKUP($J145,'Gear Values'!$A$2:$E$13, IF(COUNTBLANK('Attributes &amp; Prefixes'!$B$15:$C$15)&gt;0, "4", "5"), 0)), "")</f>
        <v/>
      </c>
      <c r="O145" s="137" cm="1">
        <f t="array" ref="O145">IF(COUNTIF($B$15:$E$15, O$2)&gt;0, _xlfn.IFS(COUNTIF($B$15:$C$15, O$2)&gt;0, VLOOKUP($J145,'Gear Values'!$A$2:$E$13, IF(COUNTBLANK('Attributes &amp; Prefixes'!$B$15:$C$15)&gt;0, "2", "3"), 0), COUNTIF($D$15:$E$15, O$2)&gt;0, VLOOKUP($J145,'Gear Values'!$A$2:$E$13, IF(COUNTBLANK('Attributes &amp; Prefixes'!$B$15:$C$15)&gt;0, "4", "5"), 0)), "")</f>
        <v>56</v>
      </c>
      <c r="P145" s="137" t="str" cm="1">
        <f t="array" ref="P145">IF(COUNTIF($B$15:$E$15, P$2)&gt;0, _xlfn.IFS(COUNTIF($B$15:$C$15, P$2)&gt;0, VLOOKUP($J145,'Gear Values'!$A$2:$E$13, IF(COUNTBLANK('Attributes &amp; Prefixes'!$B$15:$C$15)&gt;0, "2", "3"), 0), COUNTIF($D$15:$E$15, P$2)&gt;0, VLOOKUP($J145,'Gear Values'!$A$2:$E$13, IF(COUNTBLANK('Attributes &amp; Prefixes'!$B$15:$C$15)&gt;0, "4", "5"), 0)), "")</f>
        <v/>
      </c>
      <c r="Q145" s="137" t="str" cm="1">
        <f t="array" ref="Q145">IF(COUNTIF($B$15:$E$15, Q$2)&gt;0, _xlfn.IFS(COUNTIF($B$15:$C$15, Q$2)&gt;0, VLOOKUP($J145,'Gear Values'!$A$2:$E$13, IF(COUNTBLANK('Attributes &amp; Prefixes'!$B$15:$C$15)&gt;0, "2", "3"), 0), COUNTIF($D$15:$E$15, Q$2)&gt;0, VLOOKUP($J145,'Gear Values'!$A$2:$E$13, IF(COUNTBLANK('Attributes &amp; Prefixes'!$B$15:$C$15)&gt;0, "4", "5"), 0)), "")</f>
        <v/>
      </c>
      <c r="R145" s="137" t="str" cm="1">
        <f t="array" ref="R145">IF(COUNTIF($B$15:$E$15, R$2)&gt;0, _xlfn.IFS(COUNTIF($B$15:$C$15, R$2)&gt;0, VLOOKUP($J145,'Gear Values'!$A$2:$E$13, IF(COUNTBLANK('Attributes &amp; Prefixes'!$B$15:$C$15)&gt;0, "2", "3"), 0), COUNTIF($D$15:$E$15, R$2)&gt;0, VLOOKUP($J145,'Gear Values'!$A$2:$E$13, IF(COUNTBLANK('Attributes &amp; Prefixes'!$B$15:$C$15)&gt;0, "4", "5"), 0)), "")</f>
        <v/>
      </c>
      <c r="S145" s="138" t="str" cm="1">
        <f t="array" ref="S145">IF(COUNTIF($B$15:$E$15, S$2)&gt;0, _xlfn.IFS(COUNTIF($B$15:$C$15, S$2)&gt;0, VLOOKUP($J145,'Gear Values'!$A$2:$E$13, IF(COUNTBLANK('Attributes &amp; Prefixes'!$B$15:$C$15)&gt;0, "2", "3"), 0), COUNTIF($D$15:$E$15, S$2)&gt;0, VLOOKUP($J145,'Gear Values'!$A$2:$E$13, IF(COUNTBLANK('Attributes &amp; Prefixes'!$B$15:$C$15)&gt;0, "4", "5"), 0)), "")</f>
        <v/>
      </c>
      <c r="V145" s="112"/>
      <c r="W145" s="113"/>
    </row>
    <row r="146" spans="6:23">
      <c r="H146" s="130" t="str">
        <f>_xlfn.CONCAT(I$135,J146)</f>
        <v>CommanderBack</v>
      </c>
      <c r="I146" s="521"/>
      <c r="J146" s="146" t="s">
        <v>53</v>
      </c>
      <c r="K146" s="147" t="str" cm="1">
        <f t="array" ref="K146">IF(COUNTIF($B$15:$E$15, K$2)&gt;0, _xlfn.IFS(COUNTIF($B$15:$C$15, K$2)&gt;0, VLOOKUP($J146,'Gear Values'!$A$2:$E$13, IF(COUNTBLANK('Attributes &amp; Prefixes'!$B$15:$C$15)&gt;0, "2", "3"), 0), COUNTIF($D$15:$E$15, K$2)&gt;0, VLOOKUP($J146,'Gear Values'!$A$2:$E$13, IF(COUNTBLANK('Attributes &amp; Prefixes'!$B$15:$C$15)&gt;0, "4", "5"), 0)), "")</f>
        <v>N/A</v>
      </c>
      <c r="L146" s="148" t="str" cm="1">
        <f t="array" ref="L146">IF(COUNTIF($B$15:$E$15, L$2)&gt;0, _xlfn.IFS(COUNTIF($B$15:$C$15, L$2)&gt;0, VLOOKUP($J146,'Gear Values'!$A$2:$E$13, IF(COUNTBLANK('Attributes &amp; Prefixes'!$B$15:$C$15)&gt;0, "2", "3"), 0), COUNTIF($D$15:$E$15, L$2)&gt;0, VLOOKUP($J146,'Gear Values'!$A$2:$E$13, IF(COUNTBLANK('Attributes &amp; Prefixes'!$B$15:$C$15)&gt;0, "4", "5"), 0)), "")</f>
        <v>N/A</v>
      </c>
      <c r="M146" s="148" t="str" cm="1">
        <f t="array" ref="M146">IF(COUNTIF($B$15:$E$15, M$2)&gt;0, _xlfn.IFS(COUNTIF($B$15:$C$15, M$2)&gt;0, VLOOKUP($J146,'Gear Values'!$A$2:$E$13, IF(COUNTBLANK('Attributes &amp; Prefixes'!$B$15:$C$15)&gt;0, "2", "3"), 0), COUNTIF($D$15:$E$15, M$2)&gt;0, VLOOKUP($J146,'Gear Values'!$A$2:$E$13, IF(COUNTBLANK('Attributes &amp; Prefixes'!$B$15:$C$15)&gt;0, "4", "5"), 0)), "")</f>
        <v>N/A</v>
      </c>
      <c r="N146" s="148" t="str" cm="1">
        <f t="array" ref="N146">IF(COUNTIF($B$15:$E$15, N$2)&gt;0, _xlfn.IFS(COUNTIF($B$15:$C$15, N$2)&gt;0, VLOOKUP($J146,'Gear Values'!$A$2:$E$13, IF(COUNTBLANK('Attributes &amp; Prefixes'!$B$15:$C$15)&gt;0, "2", "3"), 0), COUNTIF($D$15:$E$15, N$2)&gt;0, VLOOKUP($J146,'Gear Values'!$A$2:$E$13, IF(COUNTBLANK('Attributes &amp; Prefixes'!$B$15:$C$15)&gt;0, "4", "5"), 0)), "")</f>
        <v/>
      </c>
      <c r="O146" s="148" t="str" cm="1">
        <f t="array" ref="O146">IF(COUNTIF($B$15:$E$15, O$2)&gt;0, _xlfn.IFS(COUNTIF($B$15:$C$15, O$2)&gt;0, VLOOKUP($J146,'Gear Values'!$A$2:$E$13, IF(COUNTBLANK('Attributes &amp; Prefixes'!$B$15:$C$15)&gt;0, "2", "3"), 0), COUNTIF($D$15:$E$15, O$2)&gt;0, VLOOKUP($J146,'Gear Values'!$A$2:$E$13, IF(COUNTBLANK('Attributes &amp; Prefixes'!$B$15:$C$15)&gt;0, "4", "5"), 0)), "")</f>
        <v>N/A</v>
      </c>
      <c r="P146" s="148" t="str" cm="1">
        <f t="array" ref="P146">IF(COUNTIF($B$15:$E$15, P$2)&gt;0, _xlfn.IFS(COUNTIF($B$15:$C$15, P$2)&gt;0, VLOOKUP($J146,'Gear Values'!$A$2:$E$13, IF(COUNTBLANK('Attributes &amp; Prefixes'!$B$15:$C$15)&gt;0, "2", "3"), 0), COUNTIF($D$15:$E$15, P$2)&gt;0, VLOOKUP($J146,'Gear Values'!$A$2:$E$13, IF(COUNTBLANK('Attributes &amp; Prefixes'!$B$15:$C$15)&gt;0, "4", "5"), 0)), "")</f>
        <v/>
      </c>
      <c r="Q146" s="148" t="str" cm="1">
        <f t="array" ref="Q146">IF(COUNTIF($B$15:$E$15, Q$2)&gt;0, _xlfn.IFS(COUNTIF($B$15:$C$15, Q$2)&gt;0, VLOOKUP($J146,'Gear Values'!$A$2:$E$13, IF(COUNTBLANK('Attributes &amp; Prefixes'!$B$15:$C$15)&gt;0, "2", "3"), 0), COUNTIF($D$15:$E$15, Q$2)&gt;0, VLOOKUP($J146,'Gear Values'!$A$2:$E$13, IF(COUNTBLANK('Attributes &amp; Prefixes'!$B$15:$C$15)&gt;0, "4", "5"), 0)), "")</f>
        <v/>
      </c>
      <c r="R146" s="148" t="str" cm="1">
        <f t="array" ref="R146">IF(COUNTIF($B$15:$E$15, R$2)&gt;0, _xlfn.IFS(COUNTIF($B$15:$C$15, R$2)&gt;0, VLOOKUP($J146,'Gear Values'!$A$2:$E$13, IF(COUNTBLANK('Attributes &amp; Prefixes'!$B$15:$C$15)&gt;0, "2", "3"), 0), COUNTIF($D$15:$E$15, R$2)&gt;0, VLOOKUP($J146,'Gear Values'!$A$2:$E$13, IF(COUNTBLANK('Attributes &amp; Prefixes'!$B$15:$C$15)&gt;0, "4", "5"), 0)), "")</f>
        <v/>
      </c>
      <c r="S146" s="150" t="str" cm="1">
        <f t="array" ref="S146">IF(COUNTIF($B$15:$E$15, S$2)&gt;0, _xlfn.IFS(COUNTIF($B$15:$C$15, S$2)&gt;0, VLOOKUP($J146,'Gear Values'!$A$2:$E$13, IF(COUNTBLANK('Attributes &amp; Prefixes'!$B$15:$C$15)&gt;0, "2", "3"), 0), COUNTIF($D$15:$E$15, S$2)&gt;0, VLOOKUP($J146,'Gear Values'!$A$2:$E$13, IF(COUNTBLANK('Attributes &amp; Prefixes'!$B$15:$C$15)&gt;0, "4", "5"), 0)), "")</f>
        <v/>
      </c>
      <c r="V146" s="112"/>
      <c r="W146" s="113"/>
    </row>
    <row r="147" spans="6:23">
      <c r="H147" s="130" t="str">
        <f>_xlfn.CONCAT(I$147,J147)</f>
        <v>CrusaderWeapon (1H)</v>
      </c>
      <c r="I147" s="519" t="str">
        <f>A16</f>
        <v>Crusader</v>
      </c>
      <c r="J147" s="145" t="s">
        <v>37</v>
      </c>
      <c r="K147" s="133" cm="1">
        <f t="array" ref="K147">IF(COUNTIF($B$16:$E$16, K$2)&gt;0, _xlfn.IFS(COUNTIF($B$16:$C$16, K$2)&gt;0, VLOOKUP($J147,'Gear Values'!$A$2:$E$13, IF(COUNTBLANK('Attributes &amp; Prefixes'!$B$16:$C$16)&gt;0, "2", "3"), 0), COUNTIF($D$16:$E$16, K$2)&gt;0, VLOOKUP($J147,'Gear Values'!$A$2:$E$13, IF(COUNTBLANK('Attributes &amp; Prefixes'!$B$16:$C$16)&gt;0, "4", "5"), 0)), "")</f>
        <v>102</v>
      </c>
      <c r="L147" s="134" t="str" cm="1">
        <f t="array" ref="L147">IF(COUNTIF($B$16:$E$16, L$2)&gt;0, _xlfn.IFS(COUNTIF($B$16:$C$16, L$2)&gt;0, VLOOKUP($J147,'Gear Values'!$A$2:$E$13, IF(COUNTBLANK('Attributes &amp; Prefixes'!$B$16:$C$16)&gt;0, "2", "3"), 0), COUNTIF($D$16:$E$16, L$2)&gt;0, VLOOKUP($J147,'Gear Values'!$A$2:$E$13, IF(COUNTBLANK('Attributes &amp; Prefixes'!$B$16:$C$16)&gt;0, "4", "5"), 0)), "")</f>
        <v/>
      </c>
      <c r="M147" s="134" cm="1">
        <f t="array" ref="M147">IF(COUNTIF($B$16:$E$16, M$2)&gt;0, _xlfn.IFS(COUNTIF($B$16:$C$16, M$2)&gt;0, VLOOKUP($J147,'Gear Values'!$A$2:$E$13, IF(COUNTBLANK('Attributes &amp; Prefixes'!$B$16:$C$16)&gt;0, "2", "3"), 0), COUNTIF($D$16:$E$16, M$2)&gt;0, VLOOKUP($J147,'Gear Values'!$A$2:$E$13, IF(COUNTBLANK('Attributes &amp; Prefixes'!$B$16:$C$16)&gt;0, "4", "5"), 0)), "")</f>
        <v>102</v>
      </c>
      <c r="N147" s="134" t="str" cm="1">
        <f t="array" ref="N147">IF(COUNTIF($B$16:$E$16, N$2)&gt;0, _xlfn.IFS(COUNTIF($B$16:$C$16, N$2)&gt;0, VLOOKUP($J147,'Gear Values'!$A$2:$E$13, IF(COUNTBLANK('Attributes &amp; Prefixes'!$B$16:$C$16)&gt;0, "2", "3"), 0), COUNTIF($D$16:$E$16, N$2)&gt;0, VLOOKUP($J147,'Gear Values'!$A$2:$E$13, IF(COUNTBLANK('Attributes &amp; Prefixes'!$B$16:$C$16)&gt;0, "4", "5"), 0)), "")</f>
        <v/>
      </c>
      <c r="O147" s="134" t="str" cm="1">
        <f t="array" ref="O147">IF(COUNTIF($B$16:$E$16, O$2)&gt;0, _xlfn.IFS(COUNTIF($B$16:$C$16, O$2)&gt;0, VLOOKUP($J147,'Gear Values'!$A$2:$E$13, IF(COUNTBLANK('Attributes &amp; Prefixes'!$B$16:$C$16)&gt;0, "2", "3"), 0), COUNTIF($D$16:$E$16, O$2)&gt;0, VLOOKUP($J147,'Gear Values'!$A$2:$E$13, IF(COUNTBLANK('Attributes &amp; Prefixes'!$B$16:$C$16)&gt;0, "4", "5"), 0)), "")</f>
        <v/>
      </c>
      <c r="P147" s="134" t="str" cm="1">
        <f t="array" ref="P147">IF(COUNTIF($B$16:$E$16, P$2)&gt;0, _xlfn.IFS(COUNTIF($B$16:$C$16, P$2)&gt;0, VLOOKUP($J147,'Gear Values'!$A$2:$E$13, IF(COUNTBLANK('Attributes &amp; Prefixes'!$B$16:$C$16)&gt;0, "2", "3"), 0), COUNTIF($D$16:$E$16, P$2)&gt;0, VLOOKUP($J147,'Gear Values'!$A$2:$E$13, IF(COUNTBLANK('Attributes &amp; Prefixes'!$B$16:$C$16)&gt;0, "4", "5"), 0)), "")</f>
        <v/>
      </c>
      <c r="Q147" s="134" t="str" cm="1">
        <f t="array" ref="Q147">IF(COUNTIF($B$16:$E$16, Q$2)&gt;0, _xlfn.IFS(COUNTIF($B$16:$C$16, Q$2)&gt;0, VLOOKUP($J147,'Gear Values'!$A$2:$E$13, IF(COUNTBLANK('Attributes &amp; Prefixes'!$B$16:$C$16)&gt;0, "2", "3"), 0), COUNTIF($D$16:$E$16, Q$2)&gt;0, VLOOKUP($J147,'Gear Values'!$A$2:$E$13, IF(COUNTBLANK('Attributes &amp; Prefixes'!$B$16:$C$16)&gt;0, "4", "5"), 0)), "")</f>
        <v/>
      </c>
      <c r="R147" s="134" cm="1">
        <f t="array" ref="R147">IF(COUNTIF($B$16:$E$16, R$2)&gt;0, _xlfn.IFS(COUNTIF($B$16:$C$16, R$2)&gt;0, VLOOKUP($J147,'Gear Values'!$A$2:$E$13, IF(COUNTBLANK('Attributes &amp; Prefixes'!$B$16:$C$16)&gt;0, "2", "3"), 0), COUNTIF($D$16:$E$16, R$2)&gt;0, VLOOKUP($J147,'Gear Values'!$A$2:$E$13, IF(COUNTBLANK('Attributes &amp; Prefixes'!$B$16:$C$16)&gt;0, "4", "5"), 0)), "")</f>
        <v>56</v>
      </c>
      <c r="S147" s="135" cm="1">
        <f t="array" ref="S147">IF(COUNTIF($B$16:$E$16, S$2)&gt;0, _xlfn.IFS(COUNTIF($B$16:$C$16, S$2)&gt;0, VLOOKUP($J147,'Gear Values'!$A$2:$E$13, IF(COUNTBLANK('Attributes &amp; Prefixes'!$B$16:$C$16)&gt;0, "2", "3"), 0), COUNTIF($D$16:$E$16, S$2)&gt;0, VLOOKUP($J147,'Gear Values'!$A$2:$E$13, IF(COUNTBLANK('Attributes &amp; Prefixes'!$B$16:$C$16)&gt;0, "4", "5"), 0)), "")</f>
        <v>56</v>
      </c>
      <c r="V147" s="112"/>
      <c r="W147" s="113"/>
    </row>
    <row r="148" spans="6:23">
      <c r="H148" s="130" t="str">
        <f>_xlfn.CONCAT(I$147,J148)</f>
        <v>CrusaderWeapon (2H)</v>
      </c>
      <c r="I148" s="520"/>
      <c r="J148" s="144" t="s">
        <v>39</v>
      </c>
      <c r="K148" s="136" cm="1">
        <f t="array" ref="K148">IF(COUNTIF($B$16:$E$16, K$2)&gt;0, _xlfn.IFS(COUNTIF($B$16:$C$16, K$2)&gt;0, VLOOKUP($J148,'Gear Values'!$A$2:$E$13, IF(COUNTBLANK('Attributes &amp; Prefixes'!$B$16:$C$16)&gt;0, "2", "3"), 0), COUNTIF($D$16:$E$16, K$2)&gt;0, VLOOKUP($J148,'Gear Values'!$A$2:$E$13, IF(COUNTBLANK('Attributes &amp; Prefixes'!$B$16:$C$16)&gt;0, "4", "5"), 0)), "")</f>
        <v>205</v>
      </c>
      <c r="L148" s="137" t="str" cm="1">
        <f t="array" ref="L148">IF(COUNTIF($B$16:$E$16, L$2)&gt;0, _xlfn.IFS(COUNTIF($B$16:$C$16, L$2)&gt;0, VLOOKUP($J148,'Gear Values'!$A$2:$E$13, IF(COUNTBLANK('Attributes &amp; Prefixes'!$B$16:$C$16)&gt;0, "2", "3"), 0), COUNTIF($D$16:$E$16, L$2)&gt;0, VLOOKUP($J148,'Gear Values'!$A$2:$E$13, IF(COUNTBLANK('Attributes &amp; Prefixes'!$B$16:$C$16)&gt;0, "4", "5"), 0)), "")</f>
        <v/>
      </c>
      <c r="M148" s="137" cm="1">
        <f t="array" ref="M148">IF(COUNTIF($B$16:$E$16, M$2)&gt;0, _xlfn.IFS(COUNTIF($B$16:$C$16, M$2)&gt;0, VLOOKUP($J148,'Gear Values'!$A$2:$E$13, IF(COUNTBLANK('Attributes &amp; Prefixes'!$B$16:$C$16)&gt;0, "2", "3"), 0), COUNTIF($D$16:$E$16, M$2)&gt;0, VLOOKUP($J148,'Gear Values'!$A$2:$E$13, IF(COUNTBLANK('Attributes &amp; Prefixes'!$B$16:$C$16)&gt;0, "4", "5"), 0)), "")</f>
        <v>205</v>
      </c>
      <c r="N148" s="137" t="str" cm="1">
        <f t="array" ref="N148">IF(COUNTIF($B$16:$E$16, N$2)&gt;0, _xlfn.IFS(COUNTIF($B$16:$C$16, N$2)&gt;0, VLOOKUP($J148,'Gear Values'!$A$2:$E$13, IF(COUNTBLANK('Attributes &amp; Prefixes'!$B$16:$C$16)&gt;0, "2", "3"), 0), COUNTIF($D$16:$E$16, N$2)&gt;0, VLOOKUP($J148,'Gear Values'!$A$2:$E$13, IF(COUNTBLANK('Attributes &amp; Prefixes'!$B$16:$C$16)&gt;0, "4", "5"), 0)), "")</f>
        <v/>
      </c>
      <c r="O148" s="137" t="str" cm="1">
        <f t="array" ref="O148">IF(COUNTIF($B$16:$E$16, O$2)&gt;0, _xlfn.IFS(COUNTIF($B$16:$C$16, O$2)&gt;0, VLOOKUP($J148,'Gear Values'!$A$2:$E$13, IF(COUNTBLANK('Attributes &amp; Prefixes'!$B$16:$C$16)&gt;0, "2", "3"), 0), COUNTIF($D$16:$E$16, O$2)&gt;0, VLOOKUP($J148,'Gear Values'!$A$2:$E$13, IF(COUNTBLANK('Attributes &amp; Prefixes'!$B$16:$C$16)&gt;0, "4", "5"), 0)), "")</f>
        <v/>
      </c>
      <c r="P148" s="137" t="str" cm="1">
        <f t="array" ref="P148">IF(COUNTIF($B$16:$E$16, P$2)&gt;0, _xlfn.IFS(COUNTIF($B$16:$C$16, P$2)&gt;0, VLOOKUP($J148,'Gear Values'!$A$2:$E$13, IF(COUNTBLANK('Attributes &amp; Prefixes'!$B$16:$C$16)&gt;0, "2", "3"), 0), COUNTIF($D$16:$E$16, P$2)&gt;0, VLOOKUP($J148,'Gear Values'!$A$2:$E$13, IF(COUNTBLANK('Attributes &amp; Prefixes'!$B$16:$C$16)&gt;0, "4", "5"), 0)), "")</f>
        <v/>
      </c>
      <c r="Q148" s="137" t="str" cm="1">
        <f t="array" ref="Q148">IF(COUNTIF($B$16:$E$16, Q$2)&gt;0, _xlfn.IFS(COUNTIF($B$16:$C$16, Q$2)&gt;0, VLOOKUP($J148,'Gear Values'!$A$2:$E$13, IF(COUNTBLANK('Attributes &amp; Prefixes'!$B$16:$C$16)&gt;0, "2", "3"), 0), COUNTIF($D$16:$E$16, Q$2)&gt;0, VLOOKUP($J148,'Gear Values'!$A$2:$E$13, IF(COUNTBLANK('Attributes &amp; Prefixes'!$B$16:$C$16)&gt;0, "4", "5"), 0)), "")</f>
        <v/>
      </c>
      <c r="R148" s="137" cm="1">
        <f t="array" ref="R148">IF(COUNTIF($B$16:$E$16, R$2)&gt;0, _xlfn.IFS(COUNTIF($B$16:$C$16, R$2)&gt;0, VLOOKUP($J148,'Gear Values'!$A$2:$E$13, IF(COUNTBLANK('Attributes &amp; Prefixes'!$B$16:$C$16)&gt;0, "2", "3"), 0), COUNTIF($D$16:$E$16, R$2)&gt;0, VLOOKUP($J148,'Gear Values'!$A$2:$E$13, IF(COUNTBLANK('Attributes &amp; Prefixes'!$B$16:$C$16)&gt;0, "4", "5"), 0)), "")</f>
        <v>113</v>
      </c>
      <c r="S148" s="138" cm="1">
        <f t="array" ref="S148">IF(COUNTIF($B$16:$E$16, S$2)&gt;0, _xlfn.IFS(COUNTIF($B$16:$C$16, S$2)&gt;0, VLOOKUP($J148,'Gear Values'!$A$2:$E$13, IF(COUNTBLANK('Attributes &amp; Prefixes'!$B$16:$C$16)&gt;0, "2", "3"), 0), COUNTIF($D$16:$E$16, S$2)&gt;0, VLOOKUP($J148,'Gear Values'!$A$2:$E$13, IF(COUNTBLANK('Attributes &amp; Prefixes'!$B$16:$C$16)&gt;0, "4", "5"), 0)), "")</f>
        <v>113</v>
      </c>
      <c r="V148" s="112"/>
      <c r="W148" s="113"/>
    </row>
    <row r="149" spans="6:23">
      <c r="H149" s="130" t="str">
        <f>_xlfn.CONCAT(I$147,J149)</f>
        <v>CrusaderHead</v>
      </c>
      <c r="I149" s="520"/>
      <c r="J149" s="144" t="s">
        <v>40</v>
      </c>
      <c r="K149" s="136" cm="1">
        <f t="array" ref="K149">IF(COUNTIF($B$16:$E$16, K$2)&gt;0, _xlfn.IFS(COUNTIF($B$16:$C$16, K$2)&gt;0, VLOOKUP($J149,'Gear Values'!$A$2:$E$13, IF(COUNTBLANK('Attributes &amp; Prefixes'!$B$16:$C$16)&gt;0, "2", "3"), 0), COUNTIF($D$16:$E$16, K$2)&gt;0, VLOOKUP($J149,'Gear Values'!$A$2:$E$13, IF(COUNTBLANK('Attributes &amp; Prefixes'!$B$16:$C$16)&gt;0, "4", "5"), 0)), "")</f>
        <v>51</v>
      </c>
      <c r="L149" s="137" t="str" cm="1">
        <f t="array" ref="L149">IF(COUNTIF($B$16:$E$16, L$2)&gt;0, _xlfn.IFS(COUNTIF($B$16:$C$16, L$2)&gt;0, VLOOKUP($J149,'Gear Values'!$A$2:$E$13, IF(COUNTBLANK('Attributes &amp; Prefixes'!$B$16:$C$16)&gt;0, "2", "3"), 0), COUNTIF($D$16:$E$16, L$2)&gt;0, VLOOKUP($J149,'Gear Values'!$A$2:$E$13, IF(COUNTBLANK('Attributes &amp; Prefixes'!$B$16:$C$16)&gt;0, "4", "5"), 0)), "")</f>
        <v/>
      </c>
      <c r="M149" s="137" cm="1">
        <f t="array" ref="M149">IF(COUNTIF($B$16:$E$16, M$2)&gt;0, _xlfn.IFS(COUNTIF($B$16:$C$16, M$2)&gt;0, VLOOKUP($J149,'Gear Values'!$A$2:$E$13, IF(COUNTBLANK('Attributes &amp; Prefixes'!$B$16:$C$16)&gt;0, "2", "3"), 0), COUNTIF($D$16:$E$16, M$2)&gt;0, VLOOKUP($J149,'Gear Values'!$A$2:$E$13, IF(COUNTBLANK('Attributes &amp; Prefixes'!$B$16:$C$16)&gt;0, "4", "5"), 0)), "")</f>
        <v>51</v>
      </c>
      <c r="N149" s="137" t="str" cm="1">
        <f t="array" ref="N149">IF(COUNTIF($B$16:$E$16, N$2)&gt;0, _xlfn.IFS(COUNTIF($B$16:$C$16, N$2)&gt;0, VLOOKUP($J149,'Gear Values'!$A$2:$E$13, IF(COUNTBLANK('Attributes &amp; Prefixes'!$B$16:$C$16)&gt;0, "2", "3"), 0), COUNTIF($D$16:$E$16, N$2)&gt;0, VLOOKUP($J149,'Gear Values'!$A$2:$E$13, IF(COUNTBLANK('Attributes &amp; Prefixes'!$B$16:$C$16)&gt;0, "4", "5"), 0)), "")</f>
        <v/>
      </c>
      <c r="O149" s="137" t="str" cm="1">
        <f t="array" ref="O149">IF(COUNTIF($B$16:$E$16, O$2)&gt;0, _xlfn.IFS(COUNTIF($B$16:$C$16, O$2)&gt;0, VLOOKUP($J149,'Gear Values'!$A$2:$E$13, IF(COUNTBLANK('Attributes &amp; Prefixes'!$B$16:$C$16)&gt;0, "2", "3"), 0), COUNTIF($D$16:$E$16, O$2)&gt;0, VLOOKUP($J149,'Gear Values'!$A$2:$E$13, IF(COUNTBLANK('Attributes &amp; Prefixes'!$B$16:$C$16)&gt;0, "4", "5"), 0)), "")</f>
        <v/>
      </c>
      <c r="P149" s="137" t="str" cm="1">
        <f t="array" ref="P149">IF(COUNTIF($B$16:$E$16, P$2)&gt;0, _xlfn.IFS(COUNTIF($B$16:$C$16, P$2)&gt;0, VLOOKUP($J149,'Gear Values'!$A$2:$E$13, IF(COUNTBLANK('Attributes &amp; Prefixes'!$B$16:$C$16)&gt;0, "2", "3"), 0), COUNTIF($D$16:$E$16, P$2)&gt;0, VLOOKUP($J149,'Gear Values'!$A$2:$E$13, IF(COUNTBLANK('Attributes &amp; Prefixes'!$B$16:$C$16)&gt;0, "4", "5"), 0)), "")</f>
        <v/>
      </c>
      <c r="Q149" s="137" t="str" cm="1">
        <f t="array" ref="Q149">IF(COUNTIF($B$16:$E$16, Q$2)&gt;0, _xlfn.IFS(COUNTIF($B$16:$C$16, Q$2)&gt;0, VLOOKUP($J149,'Gear Values'!$A$2:$E$13, IF(COUNTBLANK('Attributes &amp; Prefixes'!$B$16:$C$16)&gt;0, "2", "3"), 0), COUNTIF($D$16:$E$16, Q$2)&gt;0, VLOOKUP($J149,'Gear Values'!$A$2:$E$13, IF(COUNTBLANK('Attributes &amp; Prefixes'!$B$16:$C$16)&gt;0, "4", "5"), 0)), "")</f>
        <v/>
      </c>
      <c r="R149" s="137" cm="1">
        <f t="array" ref="R149">IF(COUNTIF($B$16:$E$16, R$2)&gt;0, _xlfn.IFS(COUNTIF($B$16:$C$16, R$2)&gt;0, VLOOKUP($J149,'Gear Values'!$A$2:$E$13, IF(COUNTBLANK('Attributes &amp; Prefixes'!$B$16:$C$16)&gt;0, "2", "3"), 0), COUNTIF($D$16:$E$16, R$2)&gt;0, VLOOKUP($J149,'Gear Values'!$A$2:$E$13, IF(COUNTBLANK('Attributes &amp; Prefixes'!$B$16:$C$16)&gt;0, "4", "5"), 0)), "")</f>
        <v>28</v>
      </c>
      <c r="S149" s="138" cm="1">
        <f t="array" ref="S149">IF(COUNTIF($B$16:$E$16, S$2)&gt;0, _xlfn.IFS(COUNTIF($B$16:$C$16, S$2)&gt;0, VLOOKUP($J149,'Gear Values'!$A$2:$E$13, IF(COUNTBLANK('Attributes &amp; Prefixes'!$B$16:$C$16)&gt;0, "2", "3"), 0), COUNTIF($D$16:$E$16, S$2)&gt;0, VLOOKUP($J149,'Gear Values'!$A$2:$E$13, IF(COUNTBLANK('Attributes &amp; Prefixes'!$B$16:$C$16)&gt;0, "4", "5"), 0)), "")</f>
        <v>28</v>
      </c>
      <c r="V149" s="112"/>
      <c r="W149" s="113"/>
    </row>
    <row r="150" spans="6:23">
      <c r="H150" s="130" t="str">
        <f>_xlfn.CONCAT(I$147,J150)</f>
        <v>CrusaderShoulders</v>
      </c>
      <c r="I150" s="520"/>
      <c r="J150" s="144" t="s">
        <v>42</v>
      </c>
      <c r="K150" s="136" cm="1">
        <f t="array" ref="K150">IF(COUNTIF($B$16:$E$16, K$2)&gt;0, _xlfn.IFS(COUNTIF($B$16:$C$16, K$2)&gt;0, VLOOKUP($J150,'Gear Values'!$A$2:$E$13, IF(COUNTBLANK('Attributes &amp; Prefixes'!$B$16:$C$16)&gt;0, "2", "3"), 0), COUNTIF($D$16:$E$16, K$2)&gt;0, VLOOKUP($J150,'Gear Values'!$A$2:$E$13, IF(COUNTBLANK('Attributes &amp; Prefixes'!$B$16:$C$16)&gt;0, "4", "5"), 0)), "")</f>
        <v>38</v>
      </c>
      <c r="L150" s="137" t="str" cm="1">
        <f t="array" ref="L150">IF(COUNTIF($B$16:$E$16, L$2)&gt;0, _xlfn.IFS(COUNTIF($B$16:$C$16, L$2)&gt;0, VLOOKUP($J150,'Gear Values'!$A$2:$E$13, IF(COUNTBLANK('Attributes &amp; Prefixes'!$B$16:$C$16)&gt;0, "2", "3"), 0), COUNTIF($D$16:$E$16, L$2)&gt;0, VLOOKUP($J150,'Gear Values'!$A$2:$E$13, IF(COUNTBLANK('Attributes &amp; Prefixes'!$B$16:$C$16)&gt;0, "4", "5"), 0)), "")</f>
        <v/>
      </c>
      <c r="M150" s="137" cm="1">
        <f t="array" ref="M150">IF(COUNTIF($B$16:$E$16, M$2)&gt;0, _xlfn.IFS(COUNTIF($B$16:$C$16, M$2)&gt;0, VLOOKUP($J150,'Gear Values'!$A$2:$E$13, IF(COUNTBLANK('Attributes &amp; Prefixes'!$B$16:$C$16)&gt;0, "2", "3"), 0), COUNTIF($D$16:$E$16, M$2)&gt;0, VLOOKUP($J150,'Gear Values'!$A$2:$E$13, IF(COUNTBLANK('Attributes &amp; Prefixes'!$B$16:$C$16)&gt;0, "4", "5"), 0)), "")</f>
        <v>38</v>
      </c>
      <c r="N150" s="137" t="str" cm="1">
        <f t="array" ref="N150">IF(COUNTIF($B$16:$E$16, N$2)&gt;0, _xlfn.IFS(COUNTIF($B$16:$C$16, N$2)&gt;0, VLOOKUP($J150,'Gear Values'!$A$2:$E$13, IF(COUNTBLANK('Attributes &amp; Prefixes'!$B$16:$C$16)&gt;0, "2", "3"), 0), COUNTIF($D$16:$E$16, N$2)&gt;0, VLOOKUP($J150,'Gear Values'!$A$2:$E$13, IF(COUNTBLANK('Attributes &amp; Prefixes'!$B$16:$C$16)&gt;0, "4", "5"), 0)), "")</f>
        <v/>
      </c>
      <c r="O150" s="137" t="str" cm="1">
        <f t="array" ref="O150">IF(COUNTIF($B$16:$E$16, O$2)&gt;0, _xlfn.IFS(COUNTIF($B$16:$C$16, O$2)&gt;0, VLOOKUP($J150,'Gear Values'!$A$2:$E$13, IF(COUNTBLANK('Attributes &amp; Prefixes'!$B$16:$C$16)&gt;0, "2", "3"), 0), COUNTIF($D$16:$E$16, O$2)&gt;0, VLOOKUP($J150,'Gear Values'!$A$2:$E$13, IF(COUNTBLANK('Attributes &amp; Prefixes'!$B$16:$C$16)&gt;0, "4", "5"), 0)), "")</f>
        <v/>
      </c>
      <c r="P150" s="137" t="str" cm="1">
        <f t="array" ref="P150">IF(COUNTIF($B$16:$E$16, P$2)&gt;0, _xlfn.IFS(COUNTIF($B$16:$C$16, P$2)&gt;0, VLOOKUP($J150,'Gear Values'!$A$2:$E$13, IF(COUNTBLANK('Attributes &amp; Prefixes'!$B$16:$C$16)&gt;0, "2", "3"), 0), COUNTIF($D$16:$E$16, P$2)&gt;0, VLOOKUP($J150,'Gear Values'!$A$2:$E$13, IF(COUNTBLANK('Attributes &amp; Prefixes'!$B$16:$C$16)&gt;0, "4", "5"), 0)), "")</f>
        <v/>
      </c>
      <c r="Q150" s="137" t="str" cm="1">
        <f t="array" ref="Q150">IF(COUNTIF($B$16:$E$16, Q$2)&gt;0, _xlfn.IFS(COUNTIF($B$16:$C$16, Q$2)&gt;0, VLOOKUP($J150,'Gear Values'!$A$2:$E$13, IF(COUNTBLANK('Attributes &amp; Prefixes'!$B$16:$C$16)&gt;0, "2", "3"), 0), COUNTIF($D$16:$E$16, Q$2)&gt;0, VLOOKUP($J150,'Gear Values'!$A$2:$E$13, IF(COUNTBLANK('Attributes &amp; Prefixes'!$B$16:$C$16)&gt;0, "4", "5"), 0)), "")</f>
        <v/>
      </c>
      <c r="R150" s="137" cm="1">
        <f t="array" ref="R150">IF(COUNTIF($B$16:$E$16, R$2)&gt;0, _xlfn.IFS(COUNTIF($B$16:$C$16, R$2)&gt;0, VLOOKUP($J150,'Gear Values'!$A$2:$E$13, IF(COUNTBLANK('Attributes &amp; Prefixes'!$B$16:$C$16)&gt;0, "2", "3"), 0), COUNTIF($D$16:$E$16, R$2)&gt;0, VLOOKUP($J150,'Gear Values'!$A$2:$E$13, IF(COUNTBLANK('Attributes &amp; Prefixes'!$B$16:$C$16)&gt;0, "4", "5"), 0)), "")</f>
        <v>21</v>
      </c>
      <c r="S150" s="138" cm="1">
        <f t="array" ref="S150">IF(COUNTIF($B$16:$E$16, S$2)&gt;0, _xlfn.IFS(COUNTIF($B$16:$C$16, S$2)&gt;0, VLOOKUP($J150,'Gear Values'!$A$2:$E$13, IF(COUNTBLANK('Attributes &amp; Prefixes'!$B$16:$C$16)&gt;0, "2", "3"), 0), COUNTIF($D$16:$E$16, S$2)&gt;0, VLOOKUP($J150,'Gear Values'!$A$2:$E$13, IF(COUNTBLANK('Attributes &amp; Prefixes'!$B$16:$C$16)&gt;0, "4", "5"), 0)), "")</f>
        <v>21</v>
      </c>
      <c r="V150" s="112"/>
      <c r="W150" s="113"/>
    </row>
    <row r="151" spans="6:23">
      <c r="H151" s="130" t="str">
        <f>_xlfn.CONCAT(I$147,J151)</f>
        <v>CrusaderChest</v>
      </c>
      <c r="I151" s="520"/>
      <c r="J151" s="144" t="s">
        <v>44</v>
      </c>
      <c r="K151" s="136" cm="1">
        <f t="array" ref="K151">IF(COUNTIF($B$16:$E$16, K$2)&gt;0, _xlfn.IFS(COUNTIF($B$16:$C$16, K$2)&gt;0, VLOOKUP($J151,'Gear Values'!$A$2:$E$13, IF(COUNTBLANK('Attributes &amp; Prefixes'!$B$16:$C$16)&gt;0, "2", "3"), 0), COUNTIF($D$16:$E$16, K$2)&gt;0, VLOOKUP($J151,'Gear Values'!$A$2:$E$13, IF(COUNTBLANK('Attributes &amp; Prefixes'!$B$16:$C$16)&gt;0, "4", "5"), 0)), "")</f>
        <v>115</v>
      </c>
      <c r="L151" s="137" t="str" cm="1">
        <f t="array" ref="L151">IF(COUNTIF($B$16:$E$16, L$2)&gt;0, _xlfn.IFS(COUNTIF($B$16:$C$16, L$2)&gt;0, VLOOKUP($J151,'Gear Values'!$A$2:$E$13, IF(COUNTBLANK('Attributes &amp; Prefixes'!$B$16:$C$16)&gt;0, "2", "3"), 0), COUNTIF($D$16:$E$16, L$2)&gt;0, VLOOKUP($J151,'Gear Values'!$A$2:$E$13, IF(COUNTBLANK('Attributes &amp; Prefixes'!$B$16:$C$16)&gt;0, "4", "5"), 0)), "")</f>
        <v/>
      </c>
      <c r="M151" s="137" cm="1">
        <f t="array" ref="M151">IF(COUNTIF($B$16:$E$16, M$2)&gt;0, _xlfn.IFS(COUNTIF($B$16:$C$16, M$2)&gt;0, VLOOKUP($J151,'Gear Values'!$A$2:$E$13, IF(COUNTBLANK('Attributes &amp; Prefixes'!$B$16:$C$16)&gt;0, "2", "3"), 0), COUNTIF($D$16:$E$16, M$2)&gt;0, VLOOKUP($J151,'Gear Values'!$A$2:$E$13, IF(COUNTBLANK('Attributes &amp; Prefixes'!$B$16:$C$16)&gt;0, "4", "5"), 0)), "")</f>
        <v>115</v>
      </c>
      <c r="N151" s="137" t="str" cm="1">
        <f t="array" ref="N151">IF(COUNTIF($B$16:$E$16, N$2)&gt;0, _xlfn.IFS(COUNTIF($B$16:$C$16, N$2)&gt;0, VLOOKUP($J151,'Gear Values'!$A$2:$E$13, IF(COUNTBLANK('Attributes &amp; Prefixes'!$B$16:$C$16)&gt;0, "2", "3"), 0), COUNTIF($D$16:$E$16, N$2)&gt;0, VLOOKUP($J151,'Gear Values'!$A$2:$E$13, IF(COUNTBLANK('Attributes &amp; Prefixes'!$B$16:$C$16)&gt;0, "4", "5"), 0)), "")</f>
        <v/>
      </c>
      <c r="O151" s="137" t="str" cm="1">
        <f t="array" ref="O151">IF(COUNTIF($B$16:$E$16, O$2)&gt;0, _xlfn.IFS(COUNTIF($B$16:$C$16, O$2)&gt;0, VLOOKUP($J151,'Gear Values'!$A$2:$E$13, IF(COUNTBLANK('Attributes &amp; Prefixes'!$B$16:$C$16)&gt;0, "2", "3"), 0), COUNTIF($D$16:$E$16, O$2)&gt;0, VLOOKUP($J151,'Gear Values'!$A$2:$E$13, IF(COUNTBLANK('Attributes &amp; Prefixes'!$B$16:$C$16)&gt;0, "4", "5"), 0)), "")</f>
        <v/>
      </c>
      <c r="P151" s="137" t="str" cm="1">
        <f t="array" ref="P151">IF(COUNTIF($B$16:$E$16, P$2)&gt;0, _xlfn.IFS(COUNTIF($B$16:$C$16, P$2)&gt;0, VLOOKUP($J151,'Gear Values'!$A$2:$E$13, IF(COUNTBLANK('Attributes &amp; Prefixes'!$B$16:$C$16)&gt;0, "2", "3"), 0), COUNTIF($D$16:$E$16, P$2)&gt;0, VLOOKUP($J151,'Gear Values'!$A$2:$E$13, IF(COUNTBLANK('Attributes &amp; Prefixes'!$B$16:$C$16)&gt;0, "4", "5"), 0)), "")</f>
        <v/>
      </c>
      <c r="Q151" s="137" t="str" cm="1">
        <f t="array" ref="Q151">IF(COUNTIF($B$16:$E$16, Q$2)&gt;0, _xlfn.IFS(COUNTIF($B$16:$C$16, Q$2)&gt;0, VLOOKUP($J151,'Gear Values'!$A$2:$E$13, IF(COUNTBLANK('Attributes &amp; Prefixes'!$B$16:$C$16)&gt;0, "2", "3"), 0), COUNTIF($D$16:$E$16, Q$2)&gt;0, VLOOKUP($J151,'Gear Values'!$A$2:$E$13, IF(COUNTBLANK('Attributes &amp; Prefixes'!$B$16:$C$16)&gt;0, "4", "5"), 0)), "")</f>
        <v/>
      </c>
      <c r="R151" s="137" cm="1">
        <f t="array" ref="R151">IF(COUNTIF($B$16:$E$16, R$2)&gt;0, _xlfn.IFS(COUNTIF($B$16:$C$16, R$2)&gt;0, VLOOKUP($J151,'Gear Values'!$A$2:$E$13, IF(COUNTBLANK('Attributes &amp; Prefixes'!$B$16:$C$16)&gt;0, "2", "3"), 0), COUNTIF($D$16:$E$16, R$2)&gt;0, VLOOKUP($J151,'Gear Values'!$A$2:$E$13, IF(COUNTBLANK('Attributes &amp; Prefixes'!$B$16:$C$16)&gt;0, "4", "5"), 0)), "")</f>
        <v>63</v>
      </c>
      <c r="S151" s="138" cm="1">
        <f t="array" ref="S151">IF(COUNTIF($B$16:$E$16, S$2)&gt;0, _xlfn.IFS(COUNTIF($B$16:$C$16, S$2)&gt;0, VLOOKUP($J151,'Gear Values'!$A$2:$E$13, IF(COUNTBLANK('Attributes &amp; Prefixes'!$B$16:$C$16)&gt;0, "2", "3"), 0), COUNTIF($D$16:$E$16, S$2)&gt;0, VLOOKUP($J151,'Gear Values'!$A$2:$E$13, IF(COUNTBLANK('Attributes &amp; Prefixes'!$B$16:$C$16)&gt;0, "4", "5"), 0)), "")</f>
        <v>63</v>
      </c>
      <c r="V151" s="112"/>
      <c r="W151" s="113"/>
    </row>
    <row r="152" spans="6:23">
      <c r="F152" s="114"/>
      <c r="G152" s="114"/>
      <c r="H152" s="130" t="str">
        <f>_xlfn.CONCAT(I$147,J152)</f>
        <v>CrusaderHands</v>
      </c>
      <c r="I152" s="520"/>
      <c r="J152" s="144" t="s">
        <v>45</v>
      </c>
      <c r="K152" s="136" cm="1">
        <f t="array" ref="K152">IF(COUNTIF($B$16:$E$16, K$2)&gt;0, _xlfn.IFS(COUNTIF($B$16:$C$16, K$2)&gt;0, VLOOKUP($J152,'Gear Values'!$A$2:$E$13, IF(COUNTBLANK('Attributes &amp; Prefixes'!$B$16:$C$16)&gt;0, "2", "3"), 0), COUNTIF($D$16:$E$16, K$2)&gt;0, VLOOKUP($J152,'Gear Values'!$A$2:$E$13, IF(COUNTBLANK('Attributes &amp; Prefixes'!$B$16:$C$16)&gt;0, "4", "5"), 0)), "")</f>
        <v>38</v>
      </c>
      <c r="L152" s="137" t="str" cm="1">
        <f t="array" ref="L152">IF(COUNTIF($B$16:$E$16, L$2)&gt;0, _xlfn.IFS(COUNTIF($B$16:$C$16, L$2)&gt;0, VLOOKUP($J152,'Gear Values'!$A$2:$E$13, IF(COUNTBLANK('Attributes &amp; Prefixes'!$B$16:$C$16)&gt;0, "2", "3"), 0), COUNTIF($D$16:$E$16, L$2)&gt;0, VLOOKUP($J152,'Gear Values'!$A$2:$E$13, IF(COUNTBLANK('Attributes &amp; Prefixes'!$B$16:$C$16)&gt;0, "4", "5"), 0)), "")</f>
        <v/>
      </c>
      <c r="M152" s="137" cm="1">
        <f t="array" ref="M152">IF(COUNTIF($B$16:$E$16, M$2)&gt;0, _xlfn.IFS(COUNTIF($B$16:$C$16, M$2)&gt;0, VLOOKUP($J152,'Gear Values'!$A$2:$E$13, IF(COUNTBLANK('Attributes &amp; Prefixes'!$B$16:$C$16)&gt;0, "2", "3"), 0), COUNTIF($D$16:$E$16, M$2)&gt;0, VLOOKUP($J152,'Gear Values'!$A$2:$E$13, IF(COUNTBLANK('Attributes &amp; Prefixes'!$B$16:$C$16)&gt;0, "4", "5"), 0)), "")</f>
        <v>38</v>
      </c>
      <c r="N152" s="137" t="str" cm="1">
        <f t="array" ref="N152">IF(COUNTIF($B$16:$E$16, N$2)&gt;0, _xlfn.IFS(COUNTIF($B$16:$C$16, N$2)&gt;0, VLOOKUP($J152,'Gear Values'!$A$2:$E$13, IF(COUNTBLANK('Attributes &amp; Prefixes'!$B$16:$C$16)&gt;0, "2", "3"), 0), COUNTIF($D$16:$E$16, N$2)&gt;0, VLOOKUP($J152,'Gear Values'!$A$2:$E$13, IF(COUNTBLANK('Attributes &amp; Prefixes'!$B$16:$C$16)&gt;0, "4", "5"), 0)), "")</f>
        <v/>
      </c>
      <c r="O152" s="137" t="str" cm="1">
        <f t="array" ref="O152">IF(COUNTIF($B$16:$E$16, O$2)&gt;0, _xlfn.IFS(COUNTIF($B$16:$C$16, O$2)&gt;0, VLOOKUP($J152,'Gear Values'!$A$2:$E$13, IF(COUNTBLANK('Attributes &amp; Prefixes'!$B$16:$C$16)&gt;0, "2", "3"), 0), COUNTIF($D$16:$E$16, O$2)&gt;0, VLOOKUP($J152,'Gear Values'!$A$2:$E$13, IF(COUNTBLANK('Attributes &amp; Prefixes'!$B$16:$C$16)&gt;0, "4", "5"), 0)), "")</f>
        <v/>
      </c>
      <c r="P152" s="137" t="str" cm="1">
        <f t="array" ref="P152">IF(COUNTIF($B$16:$E$16, P$2)&gt;0, _xlfn.IFS(COUNTIF($B$16:$C$16, P$2)&gt;0, VLOOKUP($J152,'Gear Values'!$A$2:$E$13, IF(COUNTBLANK('Attributes &amp; Prefixes'!$B$16:$C$16)&gt;0, "2", "3"), 0), COUNTIF($D$16:$E$16, P$2)&gt;0, VLOOKUP($J152,'Gear Values'!$A$2:$E$13, IF(COUNTBLANK('Attributes &amp; Prefixes'!$B$16:$C$16)&gt;0, "4", "5"), 0)), "")</f>
        <v/>
      </c>
      <c r="Q152" s="137" t="str" cm="1">
        <f t="array" ref="Q152">IF(COUNTIF($B$16:$E$16, Q$2)&gt;0, _xlfn.IFS(COUNTIF($B$16:$C$16, Q$2)&gt;0, VLOOKUP($J152,'Gear Values'!$A$2:$E$13, IF(COUNTBLANK('Attributes &amp; Prefixes'!$B$16:$C$16)&gt;0, "2", "3"), 0), COUNTIF($D$16:$E$16, Q$2)&gt;0, VLOOKUP($J152,'Gear Values'!$A$2:$E$13, IF(COUNTBLANK('Attributes &amp; Prefixes'!$B$16:$C$16)&gt;0, "4", "5"), 0)), "")</f>
        <v/>
      </c>
      <c r="R152" s="137" cm="1">
        <f t="array" ref="R152">IF(COUNTIF($B$16:$E$16, R$2)&gt;0, _xlfn.IFS(COUNTIF($B$16:$C$16, R$2)&gt;0, VLOOKUP($J152,'Gear Values'!$A$2:$E$13, IF(COUNTBLANK('Attributes &amp; Prefixes'!$B$16:$C$16)&gt;0, "2", "3"), 0), COUNTIF($D$16:$E$16, R$2)&gt;0, VLOOKUP($J152,'Gear Values'!$A$2:$E$13, IF(COUNTBLANK('Attributes &amp; Prefixes'!$B$16:$C$16)&gt;0, "4", "5"), 0)), "")</f>
        <v>21</v>
      </c>
      <c r="S152" s="138" cm="1">
        <f t="array" ref="S152">IF(COUNTIF($B$16:$E$16, S$2)&gt;0, _xlfn.IFS(COUNTIF($B$16:$C$16, S$2)&gt;0, VLOOKUP($J152,'Gear Values'!$A$2:$E$13, IF(COUNTBLANK('Attributes &amp; Prefixes'!$B$16:$C$16)&gt;0, "2", "3"), 0), COUNTIF($D$16:$E$16, S$2)&gt;0, VLOOKUP($J152,'Gear Values'!$A$2:$E$13, IF(COUNTBLANK('Attributes &amp; Prefixes'!$B$16:$C$16)&gt;0, "4", "5"), 0)), "")</f>
        <v>21</v>
      </c>
      <c r="V152" s="112"/>
      <c r="W152" s="113"/>
    </row>
    <row r="153" spans="6:23">
      <c r="F153" s="114"/>
      <c r="G153" s="114"/>
      <c r="H153" s="130" t="str">
        <f>_xlfn.CONCAT(I$147,J153)</f>
        <v>CrusaderLegs</v>
      </c>
      <c r="I153" s="520"/>
      <c r="J153" s="144" t="s">
        <v>47</v>
      </c>
      <c r="K153" s="136" cm="1">
        <f t="array" ref="K153">IF(COUNTIF($B$16:$E$16, K$2)&gt;0, _xlfn.IFS(COUNTIF($B$16:$C$16, K$2)&gt;0, VLOOKUP($J153,'Gear Values'!$A$2:$E$13, IF(COUNTBLANK('Attributes &amp; Prefixes'!$B$16:$C$16)&gt;0, "2", "3"), 0), COUNTIF($D$16:$E$16, K$2)&gt;0, VLOOKUP($J153,'Gear Values'!$A$2:$E$13, IF(COUNTBLANK('Attributes &amp; Prefixes'!$B$16:$C$16)&gt;0, "4", "5"), 0)), "")</f>
        <v>77</v>
      </c>
      <c r="L153" s="137" t="str" cm="1">
        <f t="array" ref="L153">IF(COUNTIF($B$16:$E$16, L$2)&gt;0, _xlfn.IFS(COUNTIF($B$16:$C$16, L$2)&gt;0, VLOOKUP($J153,'Gear Values'!$A$2:$E$13, IF(COUNTBLANK('Attributes &amp; Prefixes'!$B$16:$C$16)&gt;0, "2", "3"), 0), COUNTIF($D$16:$E$16, L$2)&gt;0, VLOOKUP($J153,'Gear Values'!$A$2:$E$13, IF(COUNTBLANK('Attributes &amp; Prefixes'!$B$16:$C$16)&gt;0, "4", "5"), 0)), "")</f>
        <v/>
      </c>
      <c r="M153" s="137" cm="1">
        <f t="array" ref="M153">IF(COUNTIF($B$16:$E$16, M$2)&gt;0, _xlfn.IFS(COUNTIF($B$16:$C$16, M$2)&gt;0, VLOOKUP($J153,'Gear Values'!$A$2:$E$13, IF(COUNTBLANK('Attributes &amp; Prefixes'!$B$16:$C$16)&gt;0, "2", "3"), 0), COUNTIF($D$16:$E$16, M$2)&gt;0, VLOOKUP($J153,'Gear Values'!$A$2:$E$13, IF(COUNTBLANK('Attributes &amp; Prefixes'!$B$16:$C$16)&gt;0, "4", "5"), 0)), "")</f>
        <v>77</v>
      </c>
      <c r="N153" s="137" t="str" cm="1">
        <f t="array" ref="N153">IF(COUNTIF($B$16:$E$16, N$2)&gt;0, _xlfn.IFS(COUNTIF($B$16:$C$16, N$2)&gt;0, VLOOKUP($J153,'Gear Values'!$A$2:$E$13, IF(COUNTBLANK('Attributes &amp; Prefixes'!$B$16:$C$16)&gt;0, "2", "3"), 0), COUNTIF($D$16:$E$16, N$2)&gt;0, VLOOKUP($J153,'Gear Values'!$A$2:$E$13, IF(COUNTBLANK('Attributes &amp; Prefixes'!$B$16:$C$16)&gt;0, "4", "5"), 0)), "")</f>
        <v/>
      </c>
      <c r="O153" s="137" t="str" cm="1">
        <f t="array" ref="O153">IF(COUNTIF($B$16:$E$16, O$2)&gt;0, _xlfn.IFS(COUNTIF($B$16:$C$16, O$2)&gt;0, VLOOKUP($J153,'Gear Values'!$A$2:$E$13, IF(COUNTBLANK('Attributes &amp; Prefixes'!$B$16:$C$16)&gt;0, "2", "3"), 0), COUNTIF($D$16:$E$16, O$2)&gt;0, VLOOKUP($J153,'Gear Values'!$A$2:$E$13, IF(COUNTBLANK('Attributes &amp; Prefixes'!$B$16:$C$16)&gt;0, "4", "5"), 0)), "")</f>
        <v/>
      </c>
      <c r="P153" s="137" t="str" cm="1">
        <f t="array" ref="P153">IF(COUNTIF($B$16:$E$16, P$2)&gt;0, _xlfn.IFS(COUNTIF($B$16:$C$16, P$2)&gt;0, VLOOKUP($J153,'Gear Values'!$A$2:$E$13, IF(COUNTBLANK('Attributes &amp; Prefixes'!$B$16:$C$16)&gt;0, "2", "3"), 0), COUNTIF($D$16:$E$16, P$2)&gt;0, VLOOKUP($J153,'Gear Values'!$A$2:$E$13, IF(COUNTBLANK('Attributes &amp; Prefixes'!$B$16:$C$16)&gt;0, "4", "5"), 0)), "")</f>
        <v/>
      </c>
      <c r="Q153" s="137" t="str" cm="1">
        <f t="array" ref="Q153">IF(COUNTIF($B$16:$E$16, Q$2)&gt;0, _xlfn.IFS(COUNTIF($B$16:$C$16, Q$2)&gt;0, VLOOKUP($J153,'Gear Values'!$A$2:$E$13, IF(COUNTBLANK('Attributes &amp; Prefixes'!$B$16:$C$16)&gt;0, "2", "3"), 0), COUNTIF($D$16:$E$16, Q$2)&gt;0, VLOOKUP($J153,'Gear Values'!$A$2:$E$13, IF(COUNTBLANK('Attributes &amp; Prefixes'!$B$16:$C$16)&gt;0, "4", "5"), 0)), "")</f>
        <v/>
      </c>
      <c r="R153" s="137" cm="1">
        <f t="array" ref="R153">IF(COUNTIF($B$16:$E$16, R$2)&gt;0, _xlfn.IFS(COUNTIF($B$16:$C$16, R$2)&gt;0, VLOOKUP($J153,'Gear Values'!$A$2:$E$13, IF(COUNTBLANK('Attributes &amp; Prefixes'!$B$16:$C$16)&gt;0, "2", "3"), 0), COUNTIF($D$16:$E$16, R$2)&gt;0, VLOOKUP($J153,'Gear Values'!$A$2:$E$13, IF(COUNTBLANK('Attributes &amp; Prefixes'!$B$16:$C$16)&gt;0, "4", "5"), 0)), "")</f>
        <v>42</v>
      </c>
      <c r="S153" s="138" cm="1">
        <f t="array" ref="S153">IF(COUNTIF($B$16:$E$16, S$2)&gt;0, _xlfn.IFS(COUNTIF($B$16:$C$16, S$2)&gt;0, VLOOKUP($J153,'Gear Values'!$A$2:$E$13, IF(COUNTBLANK('Attributes &amp; Prefixes'!$B$16:$C$16)&gt;0, "2", "3"), 0), COUNTIF($D$16:$E$16, S$2)&gt;0, VLOOKUP($J153,'Gear Values'!$A$2:$E$13, IF(COUNTBLANK('Attributes &amp; Prefixes'!$B$16:$C$16)&gt;0, "4", "5"), 0)), "")</f>
        <v>42</v>
      </c>
      <c r="V153" s="112"/>
      <c r="W153" s="113"/>
    </row>
    <row r="154" spans="6:23">
      <c r="F154" s="114"/>
      <c r="H154" s="130" t="str">
        <f>_xlfn.CONCAT(I$147,J154)</f>
        <v>CrusaderFeet</v>
      </c>
      <c r="I154" s="520"/>
      <c r="J154" s="144" t="s">
        <v>48</v>
      </c>
      <c r="K154" s="136" cm="1">
        <f t="array" ref="K154">IF(COUNTIF($B$16:$E$16, K$2)&gt;0, _xlfn.IFS(COUNTIF($B$16:$C$16, K$2)&gt;0, VLOOKUP($J154,'Gear Values'!$A$2:$E$13, IF(COUNTBLANK('Attributes &amp; Prefixes'!$B$16:$C$16)&gt;0, "2", "3"), 0), COUNTIF($D$16:$E$16, K$2)&gt;0, VLOOKUP($J154,'Gear Values'!$A$2:$E$13, IF(COUNTBLANK('Attributes &amp; Prefixes'!$B$16:$C$16)&gt;0, "4", "5"), 0)), "")</f>
        <v>38</v>
      </c>
      <c r="L154" s="137" t="str" cm="1">
        <f t="array" ref="L154">IF(COUNTIF($B$16:$E$16, L$2)&gt;0, _xlfn.IFS(COUNTIF($B$16:$C$16, L$2)&gt;0, VLOOKUP($J154,'Gear Values'!$A$2:$E$13, IF(COUNTBLANK('Attributes &amp; Prefixes'!$B$16:$C$16)&gt;0, "2", "3"), 0), COUNTIF($D$16:$E$16, L$2)&gt;0, VLOOKUP($J154,'Gear Values'!$A$2:$E$13, IF(COUNTBLANK('Attributes &amp; Prefixes'!$B$16:$C$16)&gt;0, "4", "5"), 0)), "")</f>
        <v/>
      </c>
      <c r="M154" s="137" cm="1">
        <f t="array" ref="M154">IF(COUNTIF($B$16:$E$16, M$2)&gt;0, _xlfn.IFS(COUNTIF($B$16:$C$16, M$2)&gt;0, VLOOKUP($J154,'Gear Values'!$A$2:$E$13, IF(COUNTBLANK('Attributes &amp; Prefixes'!$B$16:$C$16)&gt;0, "2", "3"), 0), COUNTIF($D$16:$E$16, M$2)&gt;0, VLOOKUP($J154,'Gear Values'!$A$2:$E$13, IF(COUNTBLANK('Attributes &amp; Prefixes'!$B$16:$C$16)&gt;0, "4", "5"), 0)), "")</f>
        <v>38</v>
      </c>
      <c r="N154" s="137" t="str" cm="1">
        <f t="array" ref="N154">IF(COUNTIF($B$16:$E$16, N$2)&gt;0, _xlfn.IFS(COUNTIF($B$16:$C$16, N$2)&gt;0, VLOOKUP($J154,'Gear Values'!$A$2:$E$13, IF(COUNTBLANK('Attributes &amp; Prefixes'!$B$16:$C$16)&gt;0, "2", "3"), 0), COUNTIF($D$16:$E$16, N$2)&gt;0, VLOOKUP($J154,'Gear Values'!$A$2:$E$13, IF(COUNTBLANK('Attributes &amp; Prefixes'!$B$16:$C$16)&gt;0, "4", "5"), 0)), "")</f>
        <v/>
      </c>
      <c r="O154" s="137" t="str" cm="1">
        <f t="array" ref="O154">IF(COUNTIF($B$16:$E$16, O$2)&gt;0, _xlfn.IFS(COUNTIF($B$16:$C$16, O$2)&gt;0, VLOOKUP($J154,'Gear Values'!$A$2:$E$13, IF(COUNTBLANK('Attributes &amp; Prefixes'!$B$16:$C$16)&gt;0, "2", "3"), 0), COUNTIF($D$16:$E$16, O$2)&gt;0, VLOOKUP($J154,'Gear Values'!$A$2:$E$13, IF(COUNTBLANK('Attributes &amp; Prefixes'!$B$16:$C$16)&gt;0, "4", "5"), 0)), "")</f>
        <v/>
      </c>
      <c r="P154" s="137" t="str" cm="1">
        <f t="array" ref="P154">IF(COUNTIF($B$16:$E$16, P$2)&gt;0, _xlfn.IFS(COUNTIF($B$16:$C$16, P$2)&gt;0, VLOOKUP($J154,'Gear Values'!$A$2:$E$13, IF(COUNTBLANK('Attributes &amp; Prefixes'!$B$16:$C$16)&gt;0, "2", "3"), 0), COUNTIF($D$16:$E$16, P$2)&gt;0, VLOOKUP($J154,'Gear Values'!$A$2:$E$13, IF(COUNTBLANK('Attributes &amp; Prefixes'!$B$16:$C$16)&gt;0, "4", "5"), 0)), "")</f>
        <v/>
      </c>
      <c r="Q154" s="137" t="str" cm="1">
        <f t="array" ref="Q154">IF(COUNTIF($B$16:$E$16, Q$2)&gt;0, _xlfn.IFS(COUNTIF($B$16:$C$16, Q$2)&gt;0, VLOOKUP($J154,'Gear Values'!$A$2:$E$13, IF(COUNTBLANK('Attributes &amp; Prefixes'!$B$16:$C$16)&gt;0, "2", "3"), 0), COUNTIF($D$16:$E$16, Q$2)&gt;0, VLOOKUP($J154,'Gear Values'!$A$2:$E$13, IF(COUNTBLANK('Attributes &amp; Prefixes'!$B$16:$C$16)&gt;0, "4", "5"), 0)), "")</f>
        <v/>
      </c>
      <c r="R154" s="137" cm="1">
        <f t="array" ref="R154">IF(COUNTIF($B$16:$E$16, R$2)&gt;0, _xlfn.IFS(COUNTIF($B$16:$C$16, R$2)&gt;0, VLOOKUP($J154,'Gear Values'!$A$2:$E$13, IF(COUNTBLANK('Attributes &amp; Prefixes'!$B$16:$C$16)&gt;0, "2", "3"), 0), COUNTIF($D$16:$E$16, R$2)&gt;0, VLOOKUP($J154,'Gear Values'!$A$2:$E$13, IF(COUNTBLANK('Attributes &amp; Prefixes'!$B$16:$C$16)&gt;0, "4", "5"), 0)), "")</f>
        <v>21</v>
      </c>
      <c r="S154" s="138" cm="1">
        <f t="array" ref="S154">IF(COUNTIF($B$16:$E$16, S$2)&gt;0, _xlfn.IFS(COUNTIF($B$16:$C$16, S$2)&gt;0, VLOOKUP($J154,'Gear Values'!$A$2:$E$13, IF(COUNTBLANK('Attributes &amp; Prefixes'!$B$16:$C$16)&gt;0, "2", "3"), 0), COUNTIF($D$16:$E$16, S$2)&gt;0, VLOOKUP($J154,'Gear Values'!$A$2:$E$13, IF(COUNTBLANK('Attributes &amp; Prefixes'!$B$16:$C$16)&gt;0, "4", "5"), 0)), "")</f>
        <v>21</v>
      </c>
      <c r="V154" s="112"/>
      <c r="W154" s="113"/>
    </row>
    <row r="155" spans="6:23">
      <c r="F155" s="114"/>
      <c r="H155" s="130" t="str">
        <f>_xlfn.CONCAT($A$55,J155)</f>
        <v>AgateEar</v>
      </c>
      <c r="I155" s="520"/>
      <c r="J155" s="144" t="s">
        <v>49</v>
      </c>
      <c r="K155" s="136" cm="1">
        <f t="array" ref="K155">IF(COUNTIF($B$16:$E$16, K$2)&gt;0, _xlfn.IFS(COUNTIF($B$16:$C$16, K$2)&gt;0, VLOOKUP($J155,'Gear Values'!$A$2:$E$13, IF(COUNTBLANK('Attributes &amp; Prefixes'!$B$16:$C$16)&gt;0, "2", "3"), 0), COUNTIF($D$16:$E$16, K$2)&gt;0, VLOOKUP($J155,'Gear Values'!$A$2:$E$13, IF(COUNTBLANK('Attributes &amp; Prefixes'!$B$16:$C$16)&gt;0, "4", "5"), 0)), "")</f>
        <v>64</v>
      </c>
      <c r="L155" s="137" t="str" cm="1">
        <f t="array" ref="L155">IF(COUNTIF($B$16:$E$16, L$2)&gt;0, _xlfn.IFS(COUNTIF($B$16:$C$16, L$2)&gt;0, VLOOKUP($J155,'Gear Values'!$A$2:$E$13, IF(COUNTBLANK('Attributes &amp; Prefixes'!$B$16:$C$16)&gt;0, "2", "3"), 0), COUNTIF($D$16:$E$16, L$2)&gt;0, VLOOKUP($J155,'Gear Values'!$A$2:$E$13, IF(COUNTBLANK('Attributes &amp; Prefixes'!$B$16:$C$16)&gt;0, "4", "5"), 0)), "")</f>
        <v/>
      </c>
      <c r="M155" s="137" cm="1">
        <f t="array" ref="M155">IF(COUNTIF($B$16:$E$16, M$2)&gt;0, _xlfn.IFS(COUNTIF($B$16:$C$16, M$2)&gt;0, VLOOKUP($J155,'Gear Values'!$A$2:$E$13, IF(COUNTBLANK('Attributes &amp; Prefixes'!$B$16:$C$16)&gt;0, "2", "3"), 0), COUNTIF($D$16:$E$16, M$2)&gt;0, VLOOKUP($J155,'Gear Values'!$A$2:$E$13, IF(COUNTBLANK('Attributes &amp; Prefixes'!$B$16:$C$16)&gt;0, "4", "5"), 0)), "")</f>
        <v>64</v>
      </c>
      <c r="N155" s="137" t="str" cm="1">
        <f t="array" ref="N155">IF(COUNTIF($B$16:$E$16, N$2)&gt;0, _xlfn.IFS(COUNTIF($B$16:$C$16, N$2)&gt;0, VLOOKUP($J155,'Gear Values'!$A$2:$E$13, IF(COUNTBLANK('Attributes &amp; Prefixes'!$B$16:$C$16)&gt;0, "2", "3"), 0), COUNTIF($D$16:$E$16, N$2)&gt;0, VLOOKUP($J155,'Gear Values'!$A$2:$E$13, IF(COUNTBLANK('Attributes &amp; Prefixes'!$B$16:$C$16)&gt;0, "4", "5"), 0)), "")</f>
        <v/>
      </c>
      <c r="O155" s="137" t="str" cm="1">
        <f t="array" ref="O155">IF(COUNTIF($B$16:$E$16, O$2)&gt;0, _xlfn.IFS(COUNTIF($B$16:$C$16, O$2)&gt;0, VLOOKUP($J155,'Gear Values'!$A$2:$E$13, IF(COUNTBLANK('Attributes &amp; Prefixes'!$B$16:$C$16)&gt;0, "2", "3"), 0), COUNTIF($D$16:$E$16, O$2)&gt;0, VLOOKUP($J155,'Gear Values'!$A$2:$E$13, IF(COUNTBLANK('Attributes &amp; Prefixes'!$B$16:$C$16)&gt;0, "4", "5"), 0)), "")</f>
        <v/>
      </c>
      <c r="P155" s="137" t="str" cm="1">
        <f t="array" ref="P155">IF(COUNTIF($B$16:$E$16, P$2)&gt;0, _xlfn.IFS(COUNTIF($B$16:$C$16, P$2)&gt;0, VLOOKUP($J155,'Gear Values'!$A$2:$E$13, IF(COUNTBLANK('Attributes &amp; Prefixes'!$B$16:$C$16)&gt;0, "2", "3"), 0), COUNTIF($D$16:$E$16, P$2)&gt;0, VLOOKUP($J155,'Gear Values'!$A$2:$E$13, IF(COUNTBLANK('Attributes &amp; Prefixes'!$B$16:$C$16)&gt;0, "4", "5"), 0)), "")</f>
        <v/>
      </c>
      <c r="Q155" s="137" t="str" cm="1">
        <f t="array" ref="Q155">IF(COUNTIF($B$16:$E$16, Q$2)&gt;0, _xlfn.IFS(COUNTIF($B$16:$C$16, Q$2)&gt;0, VLOOKUP($J155,'Gear Values'!$A$2:$E$13, IF(COUNTBLANK('Attributes &amp; Prefixes'!$B$16:$C$16)&gt;0, "2", "3"), 0), COUNTIF($D$16:$E$16, Q$2)&gt;0, VLOOKUP($J155,'Gear Values'!$A$2:$E$13, IF(COUNTBLANK('Attributes &amp; Prefixes'!$B$16:$C$16)&gt;0, "4", "5"), 0)), "")</f>
        <v/>
      </c>
      <c r="R155" s="137" cm="1">
        <f t="array" ref="R155">IF(COUNTIF($B$16:$E$16, R$2)&gt;0, _xlfn.IFS(COUNTIF($B$16:$C$16, R$2)&gt;0, VLOOKUP($J155,'Gear Values'!$A$2:$E$13, IF(COUNTBLANK('Attributes &amp; Prefixes'!$B$16:$C$16)&gt;0, "2", "3"), 0), COUNTIF($D$16:$E$16, R$2)&gt;0, VLOOKUP($J155,'Gear Values'!$A$2:$E$13, IF(COUNTBLANK('Attributes &amp; Prefixes'!$B$16:$C$16)&gt;0, "4", "5"), 0)), "")</f>
        <v>35</v>
      </c>
      <c r="S155" s="138" cm="1">
        <f t="array" ref="S155">IF(COUNTIF($B$16:$E$16, S$2)&gt;0, _xlfn.IFS(COUNTIF($B$16:$C$16, S$2)&gt;0, VLOOKUP($J155,'Gear Values'!$A$2:$E$13, IF(COUNTBLANK('Attributes &amp; Prefixes'!$B$16:$C$16)&gt;0, "2", "3"), 0), COUNTIF($D$16:$E$16, S$2)&gt;0, VLOOKUP($J155,'Gear Values'!$A$2:$E$13, IF(COUNTBLANK('Attributes &amp; Prefixes'!$B$16:$C$16)&gt;0, "4", "5"), 0)), "")</f>
        <v>35</v>
      </c>
      <c r="V155" s="112"/>
      <c r="W155" s="113"/>
    </row>
    <row r="156" spans="6:23">
      <c r="F156" s="114"/>
      <c r="H156" s="130" t="str">
        <f>_xlfn.CONCAT($A$55,J156)</f>
        <v>AgateFinger</v>
      </c>
      <c r="I156" s="520"/>
      <c r="J156" s="144" t="s">
        <v>51</v>
      </c>
      <c r="K156" s="136" cm="1">
        <f t="array" ref="K156">IF(COUNTIF($B$16:$E$16, K$2)&gt;0, _xlfn.IFS(COUNTIF($B$16:$C$16, K$2)&gt;0, VLOOKUP($J156,'Gear Values'!$A$2:$E$13, IF(COUNTBLANK('Attributes &amp; Prefixes'!$B$16:$C$16)&gt;0, "2", "3"), 0), COUNTIF($D$16:$E$16, K$2)&gt;0, VLOOKUP($J156,'Gear Values'!$A$2:$E$13, IF(COUNTBLANK('Attributes &amp; Prefixes'!$B$16:$C$16)&gt;0, "4", "5"), 0)), "")</f>
        <v>77</v>
      </c>
      <c r="L156" s="137" t="str" cm="1">
        <f t="array" ref="L156">IF(COUNTIF($B$16:$E$16, L$2)&gt;0, _xlfn.IFS(COUNTIF($B$16:$C$16, L$2)&gt;0, VLOOKUP($J156,'Gear Values'!$A$2:$E$13, IF(COUNTBLANK('Attributes &amp; Prefixes'!$B$16:$C$16)&gt;0, "2", "3"), 0), COUNTIF($D$16:$E$16, L$2)&gt;0, VLOOKUP($J156,'Gear Values'!$A$2:$E$13, IF(COUNTBLANK('Attributes &amp; Prefixes'!$B$16:$C$16)&gt;0, "4", "5"), 0)), "")</f>
        <v/>
      </c>
      <c r="M156" s="137" cm="1">
        <f t="array" ref="M156">IF(COUNTIF($B$16:$E$16, M$2)&gt;0, _xlfn.IFS(COUNTIF($B$16:$C$16, M$2)&gt;0, VLOOKUP($J156,'Gear Values'!$A$2:$E$13, IF(COUNTBLANK('Attributes &amp; Prefixes'!$B$16:$C$16)&gt;0, "2", "3"), 0), COUNTIF($D$16:$E$16, M$2)&gt;0, VLOOKUP($J156,'Gear Values'!$A$2:$E$13, IF(COUNTBLANK('Attributes &amp; Prefixes'!$B$16:$C$16)&gt;0, "4", "5"), 0)), "")</f>
        <v>77</v>
      </c>
      <c r="N156" s="137" t="str" cm="1">
        <f t="array" ref="N156">IF(COUNTIF($B$16:$E$16, N$2)&gt;0, _xlfn.IFS(COUNTIF($B$16:$C$16, N$2)&gt;0, VLOOKUP($J156,'Gear Values'!$A$2:$E$13, IF(COUNTBLANK('Attributes &amp; Prefixes'!$B$16:$C$16)&gt;0, "2", "3"), 0), COUNTIF($D$16:$E$16, N$2)&gt;0, VLOOKUP($J156,'Gear Values'!$A$2:$E$13, IF(COUNTBLANK('Attributes &amp; Prefixes'!$B$16:$C$16)&gt;0, "4", "5"), 0)), "")</f>
        <v/>
      </c>
      <c r="O156" s="137" t="str" cm="1">
        <f t="array" ref="O156">IF(COUNTIF($B$16:$E$16, O$2)&gt;0, _xlfn.IFS(COUNTIF($B$16:$C$16, O$2)&gt;0, VLOOKUP($J156,'Gear Values'!$A$2:$E$13, IF(COUNTBLANK('Attributes &amp; Prefixes'!$B$16:$C$16)&gt;0, "2", "3"), 0), COUNTIF($D$16:$E$16, O$2)&gt;0, VLOOKUP($J156,'Gear Values'!$A$2:$E$13, IF(COUNTBLANK('Attributes &amp; Prefixes'!$B$16:$C$16)&gt;0, "4", "5"), 0)), "")</f>
        <v/>
      </c>
      <c r="P156" s="137" t="str" cm="1">
        <f t="array" ref="P156">IF(COUNTIF($B$16:$E$16, P$2)&gt;0, _xlfn.IFS(COUNTIF($B$16:$C$16, P$2)&gt;0, VLOOKUP($J156,'Gear Values'!$A$2:$E$13, IF(COUNTBLANK('Attributes &amp; Prefixes'!$B$16:$C$16)&gt;0, "2", "3"), 0), COUNTIF($D$16:$E$16, P$2)&gt;0, VLOOKUP($J156,'Gear Values'!$A$2:$E$13, IF(COUNTBLANK('Attributes &amp; Prefixes'!$B$16:$C$16)&gt;0, "4", "5"), 0)), "")</f>
        <v/>
      </c>
      <c r="Q156" s="137" t="str" cm="1">
        <f t="array" ref="Q156">IF(COUNTIF($B$16:$E$16, Q$2)&gt;0, _xlfn.IFS(COUNTIF($B$16:$C$16, Q$2)&gt;0, VLOOKUP($J156,'Gear Values'!$A$2:$E$13, IF(COUNTBLANK('Attributes &amp; Prefixes'!$B$16:$C$16)&gt;0, "2", "3"), 0), COUNTIF($D$16:$E$16, Q$2)&gt;0, VLOOKUP($J156,'Gear Values'!$A$2:$E$13, IF(COUNTBLANK('Attributes &amp; Prefixes'!$B$16:$C$16)&gt;0, "4", "5"), 0)), "")</f>
        <v/>
      </c>
      <c r="R156" s="137" cm="1">
        <f t="array" ref="R156">IF(COUNTIF($B$16:$E$16, R$2)&gt;0, _xlfn.IFS(COUNTIF($B$16:$C$16, R$2)&gt;0, VLOOKUP($J156,'Gear Values'!$A$2:$E$13, IF(COUNTBLANK('Attributes &amp; Prefixes'!$B$16:$C$16)&gt;0, "2", "3"), 0), COUNTIF($D$16:$E$16, R$2)&gt;0, VLOOKUP($J156,'Gear Values'!$A$2:$E$13, IF(COUNTBLANK('Attributes &amp; Prefixes'!$B$16:$C$16)&gt;0, "4", "5"), 0)), "")</f>
        <v>42</v>
      </c>
      <c r="S156" s="138" cm="1">
        <f t="array" ref="S156">IF(COUNTIF($B$16:$E$16, S$2)&gt;0, _xlfn.IFS(COUNTIF($B$16:$C$16, S$2)&gt;0, VLOOKUP($J156,'Gear Values'!$A$2:$E$13, IF(COUNTBLANK('Attributes &amp; Prefixes'!$B$16:$C$16)&gt;0, "2", "3"), 0), COUNTIF($D$16:$E$16, S$2)&gt;0, VLOOKUP($J156,'Gear Values'!$A$2:$E$13, IF(COUNTBLANK('Attributes &amp; Prefixes'!$B$16:$C$16)&gt;0, "4", "5"), 0)), "")</f>
        <v>42</v>
      </c>
      <c r="V156" s="112"/>
      <c r="W156" s="113"/>
    </row>
    <row r="157" spans="6:23">
      <c r="F157" s="114"/>
      <c r="H157" s="130" t="str">
        <f>_xlfn.CONCAT($A$55,J157)</f>
        <v>AgateNeck</v>
      </c>
      <c r="I157" s="520"/>
      <c r="J157" s="144" t="s">
        <v>52</v>
      </c>
      <c r="K157" s="136" cm="1">
        <f t="array" ref="K157">IF(COUNTIF($B$16:$E$16, K$2)&gt;0, _xlfn.IFS(COUNTIF($B$16:$C$16, K$2)&gt;0, VLOOKUP($J157,'Gear Values'!$A$2:$E$13, IF(COUNTBLANK('Attributes &amp; Prefixes'!$B$16:$C$16)&gt;0, "2", "3"), 0), COUNTIF($D$16:$E$16, K$2)&gt;0, VLOOKUP($J157,'Gear Values'!$A$2:$E$13, IF(COUNTBLANK('Attributes &amp; Prefixes'!$B$16:$C$16)&gt;0, "4", "5"), 0)), "")</f>
        <v>102</v>
      </c>
      <c r="L157" s="137" t="str" cm="1">
        <f t="array" ref="L157">IF(COUNTIF($B$16:$E$16, L$2)&gt;0, _xlfn.IFS(COUNTIF($B$16:$C$16, L$2)&gt;0, VLOOKUP($J157,'Gear Values'!$A$2:$E$13, IF(COUNTBLANK('Attributes &amp; Prefixes'!$B$16:$C$16)&gt;0, "2", "3"), 0), COUNTIF($D$16:$E$16, L$2)&gt;0, VLOOKUP($J157,'Gear Values'!$A$2:$E$13, IF(COUNTBLANK('Attributes &amp; Prefixes'!$B$16:$C$16)&gt;0, "4", "5"), 0)), "")</f>
        <v/>
      </c>
      <c r="M157" s="137" cm="1">
        <f t="array" ref="M157">IF(COUNTIF($B$16:$E$16, M$2)&gt;0, _xlfn.IFS(COUNTIF($B$16:$C$16, M$2)&gt;0, VLOOKUP($J157,'Gear Values'!$A$2:$E$13, IF(COUNTBLANK('Attributes &amp; Prefixes'!$B$16:$C$16)&gt;0, "2", "3"), 0), COUNTIF($D$16:$E$16, M$2)&gt;0, VLOOKUP($J157,'Gear Values'!$A$2:$E$13, IF(COUNTBLANK('Attributes &amp; Prefixes'!$B$16:$C$16)&gt;0, "4", "5"), 0)), "")</f>
        <v>102</v>
      </c>
      <c r="N157" s="137" t="str" cm="1">
        <f t="array" ref="N157">IF(COUNTIF($B$16:$E$16, N$2)&gt;0, _xlfn.IFS(COUNTIF($B$16:$C$16, N$2)&gt;0, VLOOKUP($J157,'Gear Values'!$A$2:$E$13, IF(COUNTBLANK('Attributes &amp; Prefixes'!$B$16:$C$16)&gt;0, "2", "3"), 0), COUNTIF($D$16:$E$16, N$2)&gt;0, VLOOKUP($J157,'Gear Values'!$A$2:$E$13, IF(COUNTBLANK('Attributes &amp; Prefixes'!$B$16:$C$16)&gt;0, "4", "5"), 0)), "")</f>
        <v/>
      </c>
      <c r="O157" s="137" t="str" cm="1">
        <f t="array" ref="O157">IF(COUNTIF($B$16:$E$16, O$2)&gt;0, _xlfn.IFS(COUNTIF($B$16:$C$16, O$2)&gt;0, VLOOKUP($J157,'Gear Values'!$A$2:$E$13, IF(COUNTBLANK('Attributes &amp; Prefixes'!$B$16:$C$16)&gt;0, "2", "3"), 0), COUNTIF($D$16:$E$16, O$2)&gt;0, VLOOKUP($J157,'Gear Values'!$A$2:$E$13, IF(COUNTBLANK('Attributes &amp; Prefixes'!$B$16:$C$16)&gt;0, "4", "5"), 0)), "")</f>
        <v/>
      </c>
      <c r="P157" s="137" t="str" cm="1">
        <f t="array" ref="P157">IF(COUNTIF($B$16:$E$16, P$2)&gt;0, _xlfn.IFS(COUNTIF($B$16:$C$16, P$2)&gt;0, VLOOKUP($J157,'Gear Values'!$A$2:$E$13, IF(COUNTBLANK('Attributes &amp; Prefixes'!$B$16:$C$16)&gt;0, "2", "3"), 0), COUNTIF($D$16:$E$16, P$2)&gt;0, VLOOKUP($J157,'Gear Values'!$A$2:$E$13, IF(COUNTBLANK('Attributes &amp; Prefixes'!$B$16:$C$16)&gt;0, "4", "5"), 0)), "")</f>
        <v/>
      </c>
      <c r="Q157" s="137" t="str" cm="1">
        <f t="array" ref="Q157">IF(COUNTIF($B$16:$E$16, Q$2)&gt;0, _xlfn.IFS(COUNTIF($B$16:$C$16, Q$2)&gt;0, VLOOKUP($J157,'Gear Values'!$A$2:$E$13, IF(COUNTBLANK('Attributes &amp; Prefixes'!$B$16:$C$16)&gt;0, "2", "3"), 0), COUNTIF($D$16:$E$16, Q$2)&gt;0, VLOOKUP($J157,'Gear Values'!$A$2:$E$13, IF(COUNTBLANK('Attributes &amp; Prefixes'!$B$16:$C$16)&gt;0, "4", "5"), 0)), "")</f>
        <v/>
      </c>
      <c r="R157" s="137" cm="1">
        <f t="array" ref="R157">IF(COUNTIF($B$16:$E$16, R$2)&gt;0, _xlfn.IFS(COUNTIF($B$16:$C$16, R$2)&gt;0, VLOOKUP($J157,'Gear Values'!$A$2:$E$13, IF(COUNTBLANK('Attributes &amp; Prefixes'!$B$16:$C$16)&gt;0, "2", "3"), 0), COUNTIF($D$16:$E$16, R$2)&gt;0, VLOOKUP($J157,'Gear Values'!$A$2:$E$13, IF(COUNTBLANK('Attributes &amp; Prefixes'!$B$16:$C$16)&gt;0, "4", "5"), 0)), "")</f>
        <v>56</v>
      </c>
      <c r="S157" s="138" cm="1">
        <f t="array" ref="S157">IF(COUNTIF($B$16:$E$16, S$2)&gt;0, _xlfn.IFS(COUNTIF($B$16:$C$16, S$2)&gt;0, VLOOKUP($J157,'Gear Values'!$A$2:$E$13, IF(COUNTBLANK('Attributes &amp; Prefixes'!$B$16:$C$16)&gt;0, "2", "3"), 0), COUNTIF($D$16:$E$16, S$2)&gt;0, VLOOKUP($J157,'Gear Values'!$A$2:$E$13, IF(COUNTBLANK('Attributes &amp; Prefixes'!$B$16:$C$16)&gt;0, "4", "5"), 0)), "")</f>
        <v>56</v>
      </c>
      <c r="V157" s="112"/>
      <c r="W157" s="113"/>
    </row>
    <row r="158" spans="6:23">
      <c r="F158" s="114"/>
      <c r="G158" s="114"/>
      <c r="H158" s="130" t="str">
        <f>_xlfn.CONCAT(I$147,J158)</f>
        <v>CrusaderBack</v>
      </c>
      <c r="I158" s="521"/>
      <c r="J158" s="146" t="s">
        <v>53</v>
      </c>
      <c r="K158" s="147" t="str" cm="1">
        <f t="array" ref="K158">IF(COUNTIF($B$16:$E$16, K$2)&gt;0, _xlfn.IFS(COUNTIF($B$16:$C$16, K$2)&gt;0, VLOOKUP($J158,'Gear Values'!$A$2:$E$13, IF(COUNTBLANK('Attributes &amp; Prefixes'!$B$16:$C$16)&gt;0, "2", "3"), 0), COUNTIF($D$16:$E$16, K$2)&gt;0, VLOOKUP($J158,'Gear Values'!$A$2:$E$13, IF(COUNTBLANK('Attributes &amp; Prefixes'!$B$16:$C$16)&gt;0, "4", "5"), 0)), "")</f>
        <v>N/A</v>
      </c>
      <c r="L158" s="148" t="str" cm="1">
        <f t="array" ref="L158">IF(COUNTIF($B$16:$E$16, L$2)&gt;0, _xlfn.IFS(COUNTIF($B$16:$C$16, L$2)&gt;0, VLOOKUP($J158,'Gear Values'!$A$2:$E$13, IF(COUNTBLANK('Attributes &amp; Prefixes'!$B$16:$C$16)&gt;0, "2", "3"), 0), COUNTIF($D$16:$E$16, L$2)&gt;0, VLOOKUP($J158,'Gear Values'!$A$2:$E$13, IF(COUNTBLANK('Attributes &amp; Prefixes'!$B$16:$C$16)&gt;0, "4", "5"), 0)), "")</f>
        <v/>
      </c>
      <c r="M158" s="148" t="str" cm="1">
        <f t="array" ref="M158">IF(COUNTIF($B$16:$E$16, M$2)&gt;0, _xlfn.IFS(COUNTIF($B$16:$C$16, M$2)&gt;0, VLOOKUP($J158,'Gear Values'!$A$2:$E$13, IF(COUNTBLANK('Attributes &amp; Prefixes'!$B$16:$C$16)&gt;0, "2", "3"), 0), COUNTIF($D$16:$E$16, M$2)&gt;0, VLOOKUP($J158,'Gear Values'!$A$2:$E$13, IF(COUNTBLANK('Attributes &amp; Prefixes'!$B$16:$C$16)&gt;0, "4", "5"), 0)), "")</f>
        <v>N/A</v>
      </c>
      <c r="N158" s="148" t="str" cm="1">
        <f t="array" ref="N158">IF(COUNTIF($B$16:$E$16, N$2)&gt;0, _xlfn.IFS(COUNTIF($B$16:$C$16, N$2)&gt;0, VLOOKUP($J158,'Gear Values'!$A$2:$E$13, IF(COUNTBLANK('Attributes &amp; Prefixes'!$B$16:$C$16)&gt;0, "2", "3"), 0), COUNTIF($D$16:$E$16, N$2)&gt;0, VLOOKUP($J158,'Gear Values'!$A$2:$E$13, IF(COUNTBLANK('Attributes &amp; Prefixes'!$B$16:$C$16)&gt;0, "4", "5"), 0)), "")</f>
        <v/>
      </c>
      <c r="O158" s="148" t="str" cm="1">
        <f t="array" ref="O158">IF(COUNTIF($B$16:$E$16, O$2)&gt;0, _xlfn.IFS(COUNTIF($B$16:$C$16, O$2)&gt;0, VLOOKUP($J158,'Gear Values'!$A$2:$E$13, IF(COUNTBLANK('Attributes &amp; Prefixes'!$B$16:$C$16)&gt;0, "2", "3"), 0), COUNTIF($D$16:$E$16, O$2)&gt;0, VLOOKUP($J158,'Gear Values'!$A$2:$E$13, IF(COUNTBLANK('Attributes &amp; Prefixes'!$B$16:$C$16)&gt;0, "4", "5"), 0)), "")</f>
        <v/>
      </c>
      <c r="P158" s="148" t="str" cm="1">
        <f t="array" ref="P158">IF(COUNTIF($B$16:$E$16, P$2)&gt;0, _xlfn.IFS(COUNTIF($B$16:$C$16, P$2)&gt;0, VLOOKUP($J158,'Gear Values'!$A$2:$E$13, IF(COUNTBLANK('Attributes &amp; Prefixes'!$B$16:$C$16)&gt;0, "2", "3"), 0), COUNTIF($D$16:$E$16, P$2)&gt;0, VLOOKUP($J158,'Gear Values'!$A$2:$E$13, IF(COUNTBLANK('Attributes &amp; Prefixes'!$B$16:$C$16)&gt;0, "4", "5"), 0)), "")</f>
        <v/>
      </c>
      <c r="Q158" s="148" t="str" cm="1">
        <f t="array" ref="Q158">IF(COUNTIF($B$16:$E$16, Q$2)&gt;0, _xlfn.IFS(COUNTIF($B$16:$C$16, Q$2)&gt;0, VLOOKUP($J158,'Gear Values'!$A$2:$E$13, IF(COUNTBLANK('Attributes &amp; Prefixes'!$B$16:$C$16)&gt;0, "2", "3"), 0), COUNTIF($D$16:$E$16, Q$2)&gt;0, VLOOKUP($J158,'Gear Values'!$A$2:$E$13, IF(COUNTBLANK('Attributes &amp; Prefixes'!$B$16:$C$16)&gt;0, "4", "5"), 0)), "")</f>
        <v/>
      </c>
      <c r="R158" s="148" t="str" cm="1">
        <f t="array" ref="R158">IF(COUNTIF($B$16:$E$16, R$2)&gt;0, _xlfn.IFS(COUNTIF($B$16:$C$16, R$2)&gt;0, VLOOKUP($J158,'Gear Values'!$A$2:$E$13, IF(COUNTBLANK('Attributes &amp; Prefixes'!$B$16:$C$16)&gt;0, "2", "3"), 0), COUNTIF($D$16:$E$16, R$2)&gt;0, VLOOKUP($J158,'Gear Values'!$A$2:$E$13, IF(COUNTBLANK('Attributes &amp; Prefixes'!$B$16:$C$16)&gt;0, "4", "5"), 0)), "")</f>
        <v>N/A</v>
      </c>
      <c r="S158" s="150" t="str" cm="1">
        <f t="array" ref="S158">IF(COUNTIF($B$16:$E$16, S$2)&gt;0, _xlfn.IFS(COUNTIF($B$16:$C$16, S$2)&gt;0, VLOOKUP($J158,'Gear Values'!$A$2:$E$13, IF(COUNTBLANK('Attributes &amp; Prefixes'!$B$16:$C$16)&gt;0, "2", "3"), 0), COUNTIF($D$16:$E$16, S$2)&gt;0, VLOOKUP($J158,'Gear Values'!$A$2:$E$13, IF(COUNTBLANK('Attributes &amp; Prefixes'!$B$16:$C$16)&gt;0, "4", "5"), 0)), "")</f>
        <v>N/A</v>
      </c>
      <c r="V158" s="112"/>
      <c r="W158" s="113"/>
    </row>
    <row r="159" spans="6:23">
      <c r="F159" s="114"/>
      <c r="G159" s="114"/>
      <c r="H159" s="130" t="str">
        <f>_xlfn.CONCAT(I$159,J159)</f>
        <v>DemolisherWeapon (1H)</v>
      </c>
      <c r="I159" s="519" t="str">
        <f>A17</f>
        <v>Demolisher</v>
      </c>
      <c r="J159" s="145" t="s">
        <v>37</v>
      </c>
      <c r="K159" s="133" cm="1">
        <f t="array" ref="K159">IF(COUNTIF($B$17:$E$17, K$2)&gt;0, _xlfn.IFS(COUNTIF($B$17:$C$17, K$2)&gt;0, VLOOKUP($J159,'Gear Values'!$A$2:$E$13, IF(COUNTBLANK('Attributes &amp; Prefixes'!$B$17:$C$17)&gt;0, "2", "3"), 0), COUNTIF($D$17:$E$17, K$2)&gt;0, VLOOKUP($J159,'Gear Values'!$A$2:$E$13, IF(COUNTBLANK('Attributes &amp; Prefixes'!$B$17:$C$17)&gt;0, "4", "5"), 0)), "")</f>
        <v>102</v>
      </c>
      <c r="L159" s="134" cm="1">
        <f t="array" ref="L159">IF(COUNTIF($B$17:$E$17, L$2)&gt;0, _xlfn.IFS(COUNTIF($B$17:$C$17, L$2)&gt;0, VLOOKUP($J159,'Gear Values'!$A$2:$E$13, IF(COUNTBLANK('Attributes &amp; Prefixes'!$B$17:$C$17)&gt;0, "2", "3"), 0), COUNTIF($D$17:$E$17, L$2)&gt;0, VLOOKUP($J159,'Gear Values'!$A$2:$E$13, IF(COUNTBLANK('Attributes &amp; Prefixes'!$B$17:$C$17)&gt;0, "4", "5"), 0)), "")</f>
        <v>102</v>
      </c>
      <c r="M159" s="134" cm="1">
        <f t="array" ref="M159">IF(COUNTIF($B$17:$E$17, M$2)&gt;0, _xlfn.IFS(COUNTIF($B$17:$C$17, M$2)&gt;0, VLOOKUP($J159,'Gear Values'!$A$2:$E$13, IF(COUNTBLANK('Attributes &amp; Prefixes'!$B$17:$C$17)&gt;0, "2", "3"), 0), COUNTIF($D$17:$E$17, M$2)&gt;0, VLOOKUP($J159,'Gear Values'!$A$2:$E$13, IF(COUNTBLANK('Attributes &amp; Prefixes'!$B$17:$C$17)&gt;0, "4", "5"), 0)), "")</f>
        <v>56</v>
      </c>
      <c r="N159" s="134" t="str" cm="1">
        <f t="array" ref="N159">IF(COUNTIF($B$17:$E$17, N$2)&gt;0, _xlfn.IFS(COUNTIF($B$17:$C$17, N$2)&gt;0, VLOOKUP($J159,'Gear Values'!$A$2:$E$13, IF(COUNTBLANK('Attributes &amp; Prefixes'!$B$17:$C$17)&gt;0, "2", "3"), 0), COUNTIF($D$17:$E$17, N$2)&gt;0, VLOOKUP($J159,'Gear Values'!$A$2:$E$13, IF(COUNTBLANK('Attributes &amp; Prefixes'!$B$17:$C$17)&gt;0, "4", "5"), 0)), "")</f>
        <v/>
      </c>
      <c r="O159" s="134" t="str" cm="1">
        <f t="array" ref="O159">IF(COUNTIF($B$17:$E$17, O$2)&gt;0, _xlfn.IFS(COUNTIF($B$17:$C$17, O$2)&gt;0, VLOOKUP($J159,'Gear Values'!$A$2:$E$13, IF(COUNTBLANK('Attributes &amp; Prefixes'!$B$17:$C$17)&gt;0, "2", "3"), 0), COUNTIF($D$17:$E$17, O$2)&gt;0, VLOOKUP($J159,'Gear Values'!$A$2:$E$13, IF(COUNTBLANK('Attributes &amp; Prefixes'!$B$17:$C$17)&gt;0, "4", "5"), 0)), "")</f>
        <v/>
      </c>
      <c r="P159" s="134" t="str" cm="1">
        <f t="array" ref="P159">IF(COUNTIF($B$17:$E$17, P$2)&gt;0, _xlfn.IFS(COUNTIF($B$17:$C$17, P$2)&gt;0, VLOOKUP($J159,'Gear Values'!$A$2:$E$13, IF(COUNTBLANK('Attributes &amp; Prefixes'!$B$17:$C$17)&gt;0, "2", "3"), 0), COUNTIF($D$17:$E$17, P$2)&gt;0, VLOOKUP($J159,'Gear Values'!$A$2:$E$13, IF(COUNTBLANK('Attributes &amp; Prefixes'!$B$17:$C$17)&gt;0, "4", "5"), 0)), "")</f>
        <v/>
      </c>
      <c r="Q159" s="134" t="str" cm="1">
        <f t="array" ref="Q159">IF(COUNTIF($B$17:$E$17, Q$2)&gt;0, _xlfn.IFS(COUNTIF($B$17:$C$17, Q$2)&gt;0, VLOOKUP($J159,'Gear Values'!$A$2:$E$13, IF(COUNTBLANK('Attributes &amp; Prefixes'!$B$17:$C$17)&gt;0, "2", "3"), 0), COUNTIF($D$17:$E$17, Q$2)&gt;0, VLOOKUP($J159,'Gear Values'!$A$2:$E$13, IF(COUNTBLANK('Attributes &amp; Prefixes'!$B$17:$C$17)&gt;0, "4", "5"), 0)), "")</f>
        <v/>
      </c>
      <c r="R159" s="134" cm="1">
        <f t="array" ref="R159">IF(COUNTIF($B$17:$E$17, R$2)&gt;0, _xlfn.IFS(COUNTIF($B$17:$C$17, R$2)&gt;0, VLOOKUP($J159,'Gear Values'!$A$2:$E$13, IF(COUNTBLANK('Attributes &amp; Prefixes'!$B$17:$C$17)&gt;0, "2", "3"), 0), COUNTIF($D$17:$E$17, R$2)&gt;0, VLOOKUP($J159,'Gear Values'!$A$2:$E$13, IF(COUNTBLANK('Attributes &amp; Prefixes'!$B$17:$C$17)&gt;0, "4", "5"), 0)), "")</f>
        <v>56</v>
      </c>
      <c r="S159" s="135" t="str" cm="1">
        <f t="array" ref="S159">IF(COUNTIF($B$17:$E$17, S$2)&gt;0, _xlfn.IFS(COUNTIF($B$17:$C$17, S$2)&gt;0, VLOOKUP($J159,'Gear Values'!$A$2:$E$13, IF(COUNTBLANK('Attributes &amp; Prefixes'!$B$17:$C$17)&gt;0, "2", "3"), 0), COUNTIF($D$17:$E$17, S$2)&gt;0, VLOOKUP($J159,'Gear Values'!$A$2:$E$13, IF(COUNTBLANK('Attributes &amp; Prefixes'!$B$17:$C$17)&gt;0, "4", "5"), 0)), "")</f>
        <v/>
      </c>
      <c r="V159" s="112"/>
      <c r="W159" s="113"/>
    </row>
    <row r="160" spans="6:23">
      <c r="F160" s="114"/>
      <c r="G160" s="114"/>
      <c r="H160" s="130" t="str">
        <f>_xlfn.CONCAT(I$159,J160)</f>
        <v>DemolisherWeapon (2H)</v>
      </c>
      <c r="I160" s="520"/>
      <c r="J160" s="144" t="s">
        <v>39</v>
      </c>
      <c r="K160" s="136" cm="1">
        <f t="array" ref="K160">IF(COUNTIF($B$17:$E$17, K$2)&gt;0, _xlfn.IFS(COUNTIF($B$17:$C$17, K$2)&gt;0, VLOOKUP($J160,'Gear Values'!$A$2:$E$13, IF(COUNTBLANK('Attributes &amp; Prefixes'!$B$17:$C$17)&gt;0, "2", "3"), 0), COUNTIF($D$17:$E$17, K$2)&gt;0, VLOOKUP($J160,'Gear Values'!$A$2:$E$13, IF(COUNTBLANK('Attributes &amp; Prefixes'!$B$17:$C$17)&gt;0, "4", "5"), 0)), "")</f>
        <v>205</v>
      </c>
      <c r="L160" s="137" cm="1">
        <f t="array" ref="L160">IF(COUNTIF($B$17:$E$17, L$2)&gt;0, _xlfn.IFS(COUNTIF($B$17:$C$17, L$2)&gt;0, VLOOKUP($J160,'Gear Values'!$A$2:$E$13, IF(COUNTBLANK('Attributes &amp; Prefixes'!$B$17:$C$17)&gt;0, "2", "3"), 0), COUNTIF($D$17:$E$17, L$2)&gt;0, VLOOKUP($J160,'Gear Values'!$A$2:$E$13, IF(COUNTBLANK('Attributes &amp; Prefixes'!$B$17:$C$17)&gt;0, "4", "5"), 0)), "")</f>
        <v>205</v>
      </c>
      <c r="M160" s="137" cm="1">
        <f t="array" ref="M160">IF(COUNTIF($B$17:$E$17, M$2)&gt;0, _xlfn.IFS(COUNTIF($B$17:$C$17, M$2)&gt;0, VLOOKUP($J160,'Gear Values'!$A$2:$E$13, IF(COUNTBLANK('Attributes &amp; Prefixes'!$B$17:$C$17)&gt;0, "2", "3"), 0), COUNTIF($D$17:$E$17, M$2)&gt;0, VLOOKUP($J160,'Gear Values'!$A$2:$E$13, IF(COUNTBLANK('Attributes &amp; Prefixes'!$B$17:$C$17)&gt;0, "4", "5"), 0)), "")</f>
        <v>113</v>
      </c>
      <c r="N160" s="137" t="str" cm="1">
        <f t="array" ref="N160">IF(COUNTIF($B$17:$E$17, N$2)&gt;0, _xlfn.IFS(COUNTIF($B$17:$C$17, N$2)&gt;0, VLOOKUP($J160,'Gear Values'!$A$2:$E$13, IF(COUNTBLANK('Attributes &amp; Prefixes'!$B$17:$C$17)&gt;0, "2", "3"), 0), COUNTIF($D$17:$E$17, N$2)&gt;0, VLOOKUP($J160,'Gear Values'!$A$2:$E$13, IF(COUNTBLANK('Attributes &amp; Prefixes'!$B$17:$C$17)&gt;0, "4", "5"), 0)), "")</f>
        <v/>
      </c>
      <c r="O160" s="137" t="str" cm="1">
        <f t="array" ref="O160">IF(COUNTIF($B$17:$E$17, O$2)&gt;0, _xlfn.IFS(COUNTIF($B$17:$C$17, O$2)&gt;0, VLOOKUP($J160,'Gear Values'!$A$2:$E$13, IF(COUNTBLANK('Attributes &amp; Prefixes'!$B$17:$C$17)&gt;0, "2", "3"), 0), COUNTIF($D$17:$E$17, O$2)&gt;0, VLOOKUP($J160,'Gear Values'!$A$2:$E$13, IF(COUNTBLANK('Attributes &amp; Prefixes'!$B$17:$C$17)&gt;0, "4", "5"), 0)), "")</f>
        <v/>
      </c>
      <c r="P160" s="137" t="str" cm="1">
        <f t="array" ref="P160">IF(COUNTIF($B$17:$E$17, P$2)&gt;0, _xlfn.IFS(COUNTIF($B$17:$C$17, P$2)&gt;0, VLOOKUP($J160,'Gear Values'!$A$2:$E$13, IF(COUNTBLANK('Attributes &amp; Prefixes'!$B$17:$C$17)&gt;0, "2", "3"), 0), COUNTIF($D$17:$E$17, P$2)&gt;0, VLOOKUP($J160,'Gear Values'!$A$2:$E$13, IF(COUNTBLANK('Attributes &amp; Prefixes'!$B$17:$C$17)&gt;0, "4", "5"), 0)), "")</f>
        <v/>
      </c>
      <c r="Q160" s="137" t="str" cm="1">
        <f t="array" ref="Q160">IF(COUNTIF($B$17:$E$17, Q$2)&gt;0, _xlfn.IFS(COUNTIF($B$17:$C$17, Q$2)&gt;0, VLOOKUP($J160,'Gear Values'!$A$2:$E$13, IF(COUNTBLANK('Attributes &amp; Prefixes'!$B$17:$C$17)&gt;0, "2", "3"), 0), COUNTIF($D$17:$E$17, Q$2)&gt;0, VLOOKUP($J160,'Gear Values'!$A$2:$E$13, IF(COUNTBLANK('Attributes &amp; Prefixes'!$B$17:$C$17)&gt;0, "4", "5"), 0)), "")</f>
        <v/>
      </c>
      <c r="R160" s="137" cm="1">
        <f t="array" ref="R160">IF(COUNTIF($B$17:$E$17, R$2)&gt;0, _xlfn.IFS(COUNTIF($B$17:$C$17, R$2)&gt;0, VLOOKUP($J160,'Gear Values'!$A$2:$E$13, IF(COUNTBLANK('Attributes &amp; Prefixes'!$B$17:$C$17)&gt;0, "2", "3"), 0), COUNTIF($D$17:$E$17, R$2)&gt;0, VLOOKUP($J160,'Gear Values'!$A$2:$E$13, IF(COUNTBLANK('Attributes &amp; Prefixes'!$B$17:$C$17)&gt;0, "4", "5"), 0)), "")</f>
        <v>113</v>
      </c>
      <c r="S160" s="138" t="str" cm="1">
        <f t="array" ref="S160">IF(COUNTIF($B$17:$E$17, S$2)&gt;0, _xlfn.IFS(COUNTIF($B$17:$C$17, S$2)&gt;0, VLOOKUP($J160,'Gear Values'!$A$2:$E$13, IF(COUNTBLANK('Attributes &amp; Prefixes'!$B$17:$C$17)&gt;0, "2", "3"), 0), COUNTIF($D$17:$E$17, S$2)&gt;0, VLOOKUP($J160,'Gear Values'!$A$2:$E$13, IF(COUNTBLANK('Attributes &amp; Prefixes'!$B$17:$C$17)&gt;0, "4", "5"), 0)), "")</f>
        <v/>
      </c>
      <c r="V160" s="112"/>
      <c r="W160" s="113"/>
    </row>
    <row r="161" spans="6:23">
      <c r="F161" s="114"/>
      <c r="G161" s="114"/>
      <c r="H161" s="130" t="str">
        <f>_xlfn.CONCAT(I$159,J161)</f>
        <v>DemolisherHead</v>
      </c>
      <c r="I161" s="520"/>
      <c r="J161" s="144" t="s">
        <v>40</v>
      </c>
      <c r="K161" s="136" cm="1">
        <f t="array" ref="K161">IF(COUNTIF($B$17:$E$17, K$2)&gt;0, _xlfn.IFS(COUNTIF($B$17:$C$17, K$2)&gt;0, VLOOKUP($J161,'Gear Values'!$A$2:$E$13, IF(COUNTBLANK('Attributes &amp; Prefixes'!$B$17:$C$17)&gt;0, "2", "3"), 0), COUNTIF($D$17:$E$17, K$2)&gt;0, VLOOKUP($J161,'Gear Values'!$A$2:$E$13, IF(COUNTBLANK('Attributes &amp; Prefixes'!$B$17:$C$17)&gt;0, "4", "5"), 0)), "")</f>
        <v>51</v>
      </c>
      <c r="L161" s="137" cm="1">
        <f t="array" ref="L161">IF(COUNTIF($B$17:$E$17, L$2)&gt;0, _xlfn.IFS(COUNTIF($B$17:$C$17, L$2)&gt;0, VLOOKUP($J161,'Gear Values'!$A$2:$E$13, IF(COUNTBLANK('Attributes &amp; Prefixes'!$B$17:$C$17)&gt;0, "2", "3"), 0), COUNTIF($D$17:$E$17, L$2)&gt;0, VLOOKUP($J161,'Gear Values'!$A$2:$E$13, IF(COUNTBLANK('Attributes &amp; Prefixes'!$B$17:$C$17)&gt;0, "4", "5"), 0)), "")</f>
        <v>51</v>
      </c>
      <c r="M161" s="137" cm="1">
        <f t="array" ref="M161">IF(COUNTIF($B$17:$E$17, M$2)&gt;0, _xlfn.IFS(COUNTIF($B$17:$C$17, M$2)&gt;0, VLOOKUP($J161,'Gear Values'!$A$2:$E$13, IF(COUNTBLANK('Attributes &amp; Prefixes'!$B$17:$C$17)&gt;0, "2", "3"), 0), COUNTIF($D$17:$E$17, M$2)&gt;0, VLOOKUP($J161,'Gear Values'!$A$2:$E$13, IF(COUNTBLANK('Attributes &amp; Prefixes'!$B$17:$C$17)&gt;0, "4", "5"), 0)), "")</f>
        <v>28</v>
      </c>
      <c r="N161" s="137" t="str" cm="1">
        <f t="array" ref="N161">IF(COUNTIF($B$17:$E$17, N$2)&gt;0, _xlfn.IFS(COUNTIF($B$17:$C$17, N$2)&gt;0, VLOOKUP($J161,'Gear Values'!$A$2:$E$13, IF(COUNTBLANK('Attributes &amp; Prefixes'!$B$17:$C$17)&gt;0, "2", "3"), 0), COUNTIF($D$17:$E$17, N$2)&gt;0, VLOOKUP($J161,'Gear Values'!$A$2:$E$13, IF(COUNTBLANK('Attributes &amp; Prefixes'!$B$17:$C$17)&gt;0, "4", "5"), 0)), "")</f>
        <v/>
      </c>
      <c r="O161" s="137" t="str" cm="1">
        <f t="array" ref="O161">IF(COUNTIF($B$17:$E$17, O$2)&gt;0, _xlfn.IFS(COUNTIF($B$17:$C$17, O$2)&gt;0, VLOOKUP($J161,'Gear Values'!$A$2:$E$13, IF(COUNTBLANK('Attributes &amp; Prefixes'!$B$17:$C$17)&gt;0, "2", "3"), 0), COUNTIF($D$17:$E$17, O$2)&gt;0, VLOOKUP($J161,'Gear Values'!$A$2:$E$13, IF(COUNTBLANK('Attributes &amp; Prefixes'!$B$17:$C$17)&gt;0, "4", "5"), 0)), "")</f>
        <v/>
      </c>
      <c r="P161" s="137" t="str" cm="1">
        <f t="array" ref="P161">IF(COUNTIF($B$17:$E$17, P$2)&gt;0, _xlfn.IFS(COUNTIF($B$17:$C$17, P$2)&gt;0, VLOOKUP($J161,'Gear Values'!$A$2:$E$13, IF(COUNTBLANK('Attributes &amp; Prefixes'!$B$17:$C$17)&gt;0, "2", "3"), 0), COUNTIF($D$17:$E$17, P$2)&gt;0, VLOOKUP($J161,'Gear Values'!$A$2:$E$13, IF(COUNTBLANK('Attributes &amp; Prefixes'!$B$17:$C$17)&gt;0, "4", "5"), 0)), "")</f>
        <v/>
      </c>
      <c r="Q161" s="137" t="str" cm="1">
        <f t="array" ref="Q161">IF(COUNTIF($B$17:$E$17, Q$2)&gt;0, _xlfn.IFS(COUNTIF($B$17:$C$17, Q$2)&gt;0, VLOOKUP($J161,'Gear Values'!$A$2:$E$13, IF(COUNTBLANK('Attributes &amp; Prefixes'!$B$17:$C$17)&gt;0, "2", "3"), 0), COUNTIF($D$17:$E$17, Q$2)&gt;0, VLOOKUP($J161,'Gear Values'!$A$2:$E$13, IF(COUNTBLANK('Attributes &amp; Prefixes'!$B$17:$C$17)&gt;0, "4", "5"), 0)), "")</f>
        <v/>
      </c>
      <c r="R161" s="137" cm="1">
        <f t="array" ref="R161">IF(COUNTIF($B$17:$E$17, R$2)&gt;0, _xlfn.IFS(COUNTIF($B$17:$C$17, R$2)&gt;0, VLOOKUP($J161,'Gear Values'!$A$2:$E$13, IF(COUNTBLANK('Attributes &amp; Prefixes'!$B$17:$C$17)&gt;0, "2", "3"), 0), COUNTIF($D$17:$E$17, R$2)&gt;0, VLOOKUP($J161,'Gear Values'!$A$2:$E$13, IF(COUNTBLANK('Attributes &amp; Prefixes'!$B$17:$C$17)&gt;0, "4", "5"), 0)), "")</f>
        <v>28</v>
      </c>
      <c r="S161" s="138" t="str" cm="1">
        <f t="array" ref="S161">IF(COUNTIF($B$17:$E$17, S$2)&gt;0, _xlfn.IFS(COUNTIF($B$17:$C$17, S$2)&gt;0, VLOOKUP($J161,'Gear Values'!$A$2:$E$13, IF(COUNTBLANK('Attributes &amp; Prefixes'!$B$17:$C$17)&gt;0, "2", "3"), 0), COUNTIF($D$17:$E$17, S$2)&gt;0, VLOOKUP($J161,'Gear Values'!$A$2:$E$13, IF(COUNTBLANK('Attributes &amp; Prefixes'!$B$17:$C$17)&gt;0, "4", "5"), 0)), "")</f>
        <v/>
      </c>
      <c r="V161" s="112"/>
      <c r="W161" s="113"/>
    </row>
    <row r="162" spans="6:23">
      <c r="F162" s="114"/>
      <c r="G162" s="114"/>
      <c r="H162" s="130" t="str">
        <f>_xlfn.CONCAT(I$159,J162)</f>
        <v>DemolisherShoulders</v>
      </c>
      <c r="I162" s="520"/>
      <c r="J162" s="144" t="s">
        <v>42</v>
      </c>
      <c r="K162" s="136" cm="1">
        <f t="array" ref="K162">IF(COUNTIF($B$17:$E$17, K$2)&gt;0, _xlfn.IFS(COUNTIF($B$17:$C$17, K$2)&gt;0, VLOOKUP($J162,'Gear Values'!$A$2:$E$13, IF(COUNTBLANK('Attributes &amp; Prefixes'!$B$17:$C$17)&gt;0, "2", "3"), 0), COUNTIF($D$17:$E$17, K$2)&gt;0, VLOOKUP($J162,'Gear Values'!$A$2:$E$13, IF(COUNTBLANK('Attributes &amp; Prefixes'!$B$17:$C$17)&gt;0, "4", "5"), 0)), "")</f>
        <v>38</v>
      </c>
      <c r="L162" s="137" cm="1">
        <f t="array" ref="L162">IF(COUNTIF($B$17:$E$17, L$2)&gt;0, _xlfn.IFS(COUNTIF($B$17:$C$17, L$2)&gt;0, VLOOKUP($J162,'Gear Values'!$A$2:$E$13, IF(COUNTBLANK('Attributes &amp; Prefixes'!$B$17:$C$17)&gt;0, "2", "3"), 0), COUNTIF($D$17:$E$17, L$2)&gt;0, VLOOKUP($J162,'Gear Values'!$A$2:$E$13, IF(COUNTBLANK('Attributes &amp; Prefixes'!$B$17:$C$17)&gt;0, "4", "5"), 0)), "")</f>
        <v>38</v>
      </c>
      <c r="M162" s="137" cm="1">
        <f t="array" ref="M162">IF(COUNTIF($B$17:$E$17, M$2)&gt;0, _xlfn.IFS(COUNTIF($B$17:$C$17, M$2)&gt;0, VLOOKUP($J162,'Gear Values'!$A$2:$E$13, IF(COUNTBLANK('Attributes &amp; Prefixes'!$B$17:$C$17)&gt;0, "2", "3"), 0), COUNTIF($D$17:$E$17, M$2)&gt;0, VLOOKUP($J162,'Gear Values'!$A$2:$E$13, IF(COUNTBLANK('Attributes &amp; Prefixes'!$B$17:$C$17)&gt;0, "4", "5"), 0)), "")</f>
        <v>21</v>
      </c>
      <c r="N162" s="137" t="str" cm="1">
        <f t="array" ref="N162">IF(COUNTIF($B$17:$E$17, N$2)&gt;0, _xlfn.IFS(COUNTIF($B$17:$C$17, N$2)&gt;0, VLOOKUP($J162,'Gear Values'!$A$2:$E$13, IF(COUNTBLANK('Attributes &amp; Prefixes'!$B$17:$C$17)&gt;0, "2", "3"), 0), COUNTIF($D$17:$E$17, N$2)&gt;0, VLOOKUP($J162,'Gear Values'!$A$2:$E$13, IF(COUNTBLANK('Attributes &amp; Prefixes'!$B$17:$C$17)&gt;0, "4", "5"), 0)), "")</f>
        <v/>
      </c>
      <c r="O162" s="137" t="str" cm="1">
        <f t="array" ref="O162">IF(COUNTIF($B$17:$E$17, O$2)&gt;0, _xlfn.IFS(COUNTIF($B$17:$C$17, O$2)&gt;0, VLOOKUP($J162,'Gear Values'!$A$2:$E$13, IF(COUNTBLANK('Attributes &amp; Prefixes'!$B$17:$C$17)&gt;0, "2", "3"), 0), COUNTIF($D$17:$E$17, O$2)&gt;0, VLOOKUP($J162,'Gear Values'!$A$2:$E$13, IF(COUNTBLANK('Attributes &amp; Prefixes'!$B$17:$C$17)&gt;0, "4", "5"), 0)), "")</f>
        <v/>
      </c>
      <c r="P162" s="137" t="str" cm="1">
        <f t="array" ref="P162">IF(COUNTIF($B$17:$E$17, P$2)&gt;0, _xlfn.IFS(COUNTIF($B$17:$C$17, P$2)&gt;0, VLOOKUP($J162,'Gear Values'!$A$2:$E$13, IF(COUNTBLANK('Attributes &amp; Prefixes'!$B$17:$C$17)&gt;0, "2", "3"), 0), COUNTIF($D$17:$E$17, P$2)&gt;0, VLOOKUP($J162,'Gear Values'!$A$2:$E$13, IF(COUNTBLANK('Attributes &amp; Prefixes'!$B$17:$C$17)&gt;0, "4", "5"), 0)), "")</f>
        <v/>
      </c>
      <c r="Q162" s="137" t="str" cm="1">
        <f t="array" ref="Q162">IF(COUNTIF($B$17:$E$17, Q$2)&gt;0, _xlfn.IFS(COUNTIF($B$17:$C$17, Q$2)&gt;0, VLOOKUP($J162,'Gear Values'!$A$2:$E$13, IF(COUNTBLANK('Attributes &amp; Prefixes'!$B$17:$C$17)&gt;0, "2", "3"), 0), COUNTIF($D$17:$E$17, Q$2)&gt;0, VLOOKUP($J162,'Gear Values'!$A$2:$E$13, IF(COUNTBLANK('Attributes &amp; Prefixes'!$B$17:$C$17)&gt;0, "4", "5"), 0)), "")</f>
        <v/>
      </c>
      <c r="R162" s="137" cm="1">
        <f t="array" ref="R162">IF(COUNTIF($B$17:$E$17, R$2)&gt;0, _xlfn.IFS(COUNTIF($B$17:$C$17, R$2)&gt;0, VLOOKUP($J162,'Gear Values'!$A$2:$E$13, IF(COUNTBLANK('Attributes &amp; Prefixes'!$B$17:$C$17)&gt;0, "2", "3"), 0), COUNTIF($D$17:$E$17, R$2)&gt;0, VLOOKUP($J162,'Gear Values'!$A$2:$E$13, IF(COUNTBLANK('Attributes &amp; Prefixes'!$B$17:$C$17)&gt;0, "4", "5"), 0)), "")</f>
        <v>21</v>
      </c>
      <c r="S162" s="138" t="str" cm="1">
        <f t="array" ref="S162">IF(COUNTIF($B$17:$E$17, S$2)&gt;0, _xlfn.IFS(COUNTIF($B$17:$C$17, S$2)&gt;0, VLOOKUP($J162,'Gear Values'!$A$2:$E$13, IF(COUNTBLANK('Attributes &amp; Prefixes'!$B$17:$C$17)&gt;0, "2", "3"), 0), COUNTIF($D$17:$E$17, S$2)&gt;0, VLOOKUP($J162,'Gear Values'!$A$2:$E$13, IF(COUNTBLANK('Attributes &amp; Prefixes'!$B$17:$C$17)&gt;0, "4", "5"), 0)), "")</f>
        <v/>
      </c>
      <c r="V162" s="112"/>
      <c r="W162" s="113"/>
    </row>
    <row r="163" spans="6:23">
      <c r="F163" s="114"/>
      <c r="G163" s="114"/>
      <c r="H163" s="130" t="str">
        <f>_xlfn.CONCAT(I$159,J163)</f>
        <v>DemolisherChest</v>
      </c>
      <c r="I163" s="520"/>
      <c r="J163" s="144" t="s">
        <v>44</v>
      </c>
      <c r="K163" s="136" cm="1">
        <f t="array" ref="K163">IF(COUNTIF($B$17:$E$17, K$2)&gt;0, _xlfn.IFS(COUNTIF($B$17:$C$17, K$2)&gt;0, VLOOKUP($J163,'Gear Values'!$A$2:$E$13, IF(COUNTBLANK('Attributes &amp; Prefixes'!$B$17:$C$17)&gt;0, "2", "3"), 0), COUNTIF($D$17:$E$17, K$2)&gt;0, VLOOKUP($J163,'Gear Values'!$A$2:$E$13, IF(COUNTBLANK('Attributes &amp; Prefixes'!$B$17:$C$17)&gt;0, "4", "5"), 0)), "")</f>
        <v>115</v>
      </c>
      <c r="L163" s="137" cm="1">
        <f t="array" ref="L163">IF(COUNTIF($B$17:$E$17, L$2)&gt;0, _xlfn.IFS(COUNTIF($B$17:$C$17, L$2)&gt;0, VLOOKUP($J163,'Gear Values'!$A$2:$E$13, IF(COUNTBLANK('Attributes &amp; Prefixes'!$B$17:$C$17)&gt;0, "2", "3"), 0), COUNTIF($D$17:$E$17, L$2)&gt;0, VLOOKUP($J163,'Gear Values'!$A$2:$E$13, IF(COUNTBLANK('Attributes &amp; Prefixes'!$B$17:$C$17)&gt;0, "4", "5"), 0)), "")</f>
        <v>115</v>
      </c>
      <c r="M163" s="137" cm="1">
        <f t="array" ref="M163">IF(COUNTIF($B$17:$E$17, M$2)&gt;0, _xlfn.IFS(COUNTIF($B$17:$C$17, M$2)&gt;0, VLOOKUP($J163,'Gear Values'!$A$2:$E$13, IF(COUNTBLANK('Attributes &amp; Prefixes'!$B$17:$C$17)&gt;0, "2", "3"), 0), COUNTIF($D$17:$E$17, M$2)&gt;0, VLOOKUP($J163,'Gear Values'!$A$2:$E$13, IF(COUNTBLANK('Attributes &amp; Prefixes'!$B$17:$C$17)&gt;0, "4", "5"), 0)), "")</f>
        <v>63</v>
      </c>
      <c r="N163" s="137" t="str" cm="1">
        <f t="array" ref="N163">IF(COUNTIF($B$17:$E$17, N$2)&gt;0, _xlfn.IFS(COUNTIF($B$17:$C$17, N$2)&gt;0, VLOOKUP($J163,'Gear Values'!$A$2:$E$13, IF(COUNTBLANK('Attributes &amp; Prefixes'!$B$17:$C$17)&gt;0, "2", "3"), 0), COUNTIF($D$17:$E$17, N$2)&gt;0, VLOOKUP($J163,'Gear Values'!$A$2:$E$13, IF(COUNTBLANK('Attributes &amp; Prefixes'!$B$17:$C$17)&gt;0, "4", "5"), 0)), "")</f>
        <v/>
      </c>
      <c r="O163" s="137" t="str" cm="1">
        <f t="array" ref="O163">IF(COUNTIF($B$17:$E$17, O$2)&gt;0, _xlfn.IFS(COUNTIF($B$17:$C$17, O$2)&gt;0, VLOOKUP($J163,'Gear Values'!$A$2:$E$13, IF(COUNTBLANK('Attributes &amp; Prefixes'!$B$17:$C$17)&gt;0, "2", "3"), 0), COUNTIF($D$17:$E$17, O$2)&gt;0, VLOOKUP($J163,'Gear Values'!$A$2:$E$13, IF(COUNTBLANK('Attributes &amp; Prefixes'!$B$17:$C$17)&gt;0, "4", "5"), 0)), "")</f>
        <v/>
      </c>
      <c r="P163" s="137" t="str" cm="1">
        <f t="array" ref="P163">IF(COUNTIF($B$17:$E$17, P$2)&gt;0, _xlfn.IFS(COUNTIF($B$17:$C$17, P$2)&gt;0, VLOOKUP($J163,'Gear Values'!$A$2:$E$13, IF(COUNTBLANK('Attributes &amp; Prefixes'!$B$17:$C$17)&gt;0, "2", "3"), 0), COUNTIF($D$17:$E$17, P$2)&gt;0, VLOOKUP($J163,'Gear Values'!$A$2:$E$13, IF(COUNTBLANK('Attributes &amp; Prefixes'!$B$17:$C$17)&gt;0, "4", "5"), 0)), "")</f>
        <v/>
      </c>
      <c r="Q163" s="137" t="str" cm="1">
        <f t="array" ref="Q163">IF(COUNTIF($B$17:$E$17, Q$2)&gt;0, _xlfn.IFS(COUNTIF($B$17:$C$17, Q$2)&gt;0, VLOOKUP($J163,'Gear Values'!$A$2:$E$13, IF(COUNTBLANK('Attributes &amp; Prefixes'!$B$17:$C$17)&gt;0, "2", "3"), 0), COUNTIF($D$17:$E$17, Q$2)&gt;0, VLOOKUP($J163,'Gear Values'!$A$2:$E$13, IF(COUNTBLANK('Attributes &amp; Prefixes'!$B$17:$C$17)&gt;0, "4", "5"), 0)), "")</f>
        <v/>
      </c>
      <c r="R163" s="137" cm="1">
        <f t="array" ref="R163">IF(COUNTIF($B$17:$E$17, R$2)&gt;0, _xlfn.IFS(COUNTIF($B$17:$C$17, R$2)&gt;0, VLOOKUP($J163,'Gear Values'!$A$2:$E$13, IF(COUNTBLANK('Attributes &amp; Prefixes'!$B$17:$C$17)&gt;0, "2", "3"), 0), COUNTIF($D$17:$E$17, R$2)&gt;0, VLOOKUP($J163,'Gear Values'!$A$2:$E$13, IF(COUNTBLANK('Attributes &amp; Prefixes'!$B$17:$C$17)&gt;0, "4", "5"), 0)), "")</f>
        <v>63</v>
      </c>
      <c r="S163" s="138" t="str" cm="1">
        <f t="array" ref="S163">IF(COUNTIF($B$17:$E$17, S$2)&gt;0, _xlfn.IFS(COUNTIF($B$17:$C$17, S$2)&gt;0, VLOOKUP($J163,'Gear Values'!$A$2:$E$13, IF(COUNTBLANK('Attributes &amp; Prefixes'!$B$17:$C$17)&gt;0, "2", "3"), 0), COUNTIF($D$17:$E$17, S$2)&gt;0, VLOOKUP($J163,'Gear Values'!$A$2:$E$13, IF(COUNTBLANK('Attributes &amp; Prefixes'!$B$17:$C$17)&gt;0, "4", "5"), 0)), "")</f>
        <v/>
      </c>
      <c r="V163" s="112"/>
      <c r="W163" s="113"/>
    </row>
    <row r="164" spans="6:23">
      <c r="F164" s="114"/>
      <c r="G164" s="114"/>
      <c r="H164" s="130" t="str">
        <f>_xlfn.CONCAT(I$159,J164)</f>
        <v>DemolisherHands</v>
      </c>
      <c r="I164" s="520"/>
      <c r="J164" s="144" t="s">
        <v>45</v>
      </c>
      <c r="K164" s="136" cm="1">
        <f t="array" ref="K164">IF(COUNTIF($B$17:$E$17, K$2)&gt;0, _xlfn.IFS(COUNTIF($B$17:$C$17, K$2)&gt;0, VLOOKUP($J164,'Gear Values'!$A$2:$E$13, IF(COUNTBLANK('Attributes &amp; Prefixes'!$B$17:$C$17)&gt;0, "2", "3"), 0), COUNTIF($D$17:$E$17, K$2)&gt;0, VLOOKUP($J164,'Gear Values'!$A$2:$E$13, IF(COUNTBLANK('Attributes &amp; Prefixes'!$B$17:$C$17)&gt;0, "4", "5"), 0)), "")</f>
        <v>38</v>
      </c>
      <c r="L164" s="137" cm="1">
        <f t="array" ref="L164">IF(COUNTIF($B$17:$E$17, L$2)&gt;0, _xlfn.IFS(COUNTIF($B$17:$C$17, L$2)&gt;0, VLOOKUP($J164,'Gear Values'!$A$2:$E$13, IF(COUNTBLANK('Attributes &amp; Prefixes'!$B$17:$C$17)&gt;0, "2", "3"), 0), COUNTIF($D$17:$E$17, L$2)&gt;0, VLOOKUP($J164,'Gear Values'!$A$2:$E$13, IF(COUNTBLANK('Attributes &amp; Prefixes'!$B$17:$C$17)&gt;0, "4", "5"), 0)), "")</f>
        <v>38</v>
      </c>
      <c r="M164" s="137" cm="1">
        <f t="array" ref="M164">IF(COUNTIF($B$17:$E$17, M$2)&gt;0, _xlfn.IFS(COUNTIF($B$17:$C$17, M$2)&gt;0, VLOOKUP($J164,'Gear Values'!$A$2:$E$13, IF(COUNTBLANK('Attributes &amp; Prefixes'!$B$17:$C$17)&gt;0, "2", "3"), 0), COUNTIF($D$17:$E$17, M$2)&gt;0, VLOOKUP($J164,'Gear Values'!$A$2:$E$13, IF(COUNTBLANK('Attributes &amp; Prefixes'!$B$17:$C$17)&gt;0, "4", "5"), 0)), "")</f>
        <v>21</v>
      </c>
      <c r="N164" s="137" t="str" cm="1">
        <f t="array" ref="N164">IF(COUNTIF($B$17:$E$17, N$2)&gt;0, _xlfn.IFS(COUNTIF($B$17:$C$17, N$2)&gt;0, VLOOKUP($J164,'Gear Values'!$A$2:$E$13, IF(COUNTBLANK('Attributes &amp; Prefixes'!$B$17:$C$17)&gt;0, "2", "3"), 0), COUNTIF($D$17:$E$17, N$2)&gt;0, VLOOKUP($J164,'Gear Values'!$A$2:$E$13, IF(COUNTBLANK('Attributes &amp; Prefixes'!$B$17:$C$17)&gt;0, "4", "5"), 0)), "")</f>
        <v/>
      </c>
      <c r="O164" s="137" t="str" cm="1">
        <f t="array" ref="O164">IF(COUNTIF($B$17:$E$17, O$2)&gt;0, _xlfn.IFS(COUNTIF($B$17:$C$17, O$2)&gt;0, VLOOKUP($J164,'Gear Values'!$A$2:$E$13, IF(COUNTBLANK('Attributes &amp; Prefixes'!$B$17:$C$17)&gt;0, "2", "3"), 0), COUNTIF($D$17:$E$17, O$2)&gt;0, VLOOKUP($J164,'Gear Values'!$A$2:$E$13, IF(COUNTBLANK('Attributes &amp; Prefixes'!$B$17:$C$17)&gt;0, "4", "5"), 0)), "")</f>
        <v/>
      </c>
      <c r="P164" s="137" t="str" cm="1">
        <f t="array" ref="P164">IF(COUNTIF($B$17:$E$17, P$2)&gt;0, _xlfn.IFS(COUNTIF($B$17:$C$17, P$2)&gt;0, VLOOKUP($J164,'Gear Values'!$A$2:$E$13, IF(COUNTBLANK('Attributes &amp; Prefixes'!$B$17:$C$17)&gt;0, "2", "3"), 0), COUNTIF($D$17:$E$17, P$2)&gt;0, VLOOKUP($J164,'Gear Values'!$A$2:$E$13, IF(COUNTBLANK('Attributes &amp; Prefixes'!$B$17:$C$17)&gt;0, "4", "5"), 0)), "")</f>
        <v/>
      </c>
      <c r="Q164" s="137" t="str" cm="1">
        <f t="array" ref="Q164">IF(COUNTIF($B$17:$E$17, Q$2)&gt;0, _xlfn.IFS(COUNTIF($B$17:$C$17, Q$2)&gt;0, VLOOKUP($J164,'Gear Values'!$A$2:$E$13, IF(COUNTBLANK('Attributes &amp; Prefixes'!$B$17:$C$17)&gt;0, "2", "3"), 0), COUNTIF($D$17:$E$17, Q$2)&gt;0, VLOOKUP($J164,'Gear Values'!$A$2:$E$13, IF(COUNTBLANK('Attributes &amp; Prefixes'!$B$17:$C$17)&gt;0, "4", "5"), 0)), "")</f>
        <v/>
      </c>
      <c r="R164" s="137" cm="1">
        <f t="array" ref="R164">IF(COUNTIF($B$17:$E$17, R$2)&gt;0, _xlfn.IFS(COUNTIF($B$17:$C$17, R$2)&gt;0, VLOOKUP($J164,'Gear Values'!$A$2:$E$13, IF(COUNTBLANK('Attributes &amp; Prefixes'!$B$17:$C$17)&gt;0, "2", "3"), 0), COUNTIF($D$17:$E$17, R$2)&gt;0, VLOOKUP($J164,'Gear Values'!$A$2:$E$13, IF(COUNTBLANK('Attributes &amp; Prefixes'!$B$17:$C$17)&gt;0, "4", "5"), 0)), "")</f>
        <v>21</v>
      </c>
      <c r="S164" s="138" t="str" cm="1">
        <f t="array" ref="S164">IF(COUNTIF($B$17:$E$17, S$2)&gt;0, _xlfn.IFS(COUNTIF($B$17:$C$17, S$2)&gt;0, VLOOKUP($J164,'Gear Values'!$A$2:$E$13, IF(COUNTBLANK('Attributes &amp; Prefixes'!$B$17:$C$17)&gt;0, "2", "3"), 0), COUNTIF($D$17:$E$17, S$2)&gt;0, VLOOKUP($J164,'Gear Values'!$A$2:$E$13, IF(COUNTBLANK('Attributes &amp; Prefixes'!$B$17:$C$17)&gt;0, "4", "5"), 0)), "")</f>
        <v/>
      </c>
      <c r="V164" s="112"/>
      <c r="W164" s="113"/>
    </row>
    <row r="165" spans="6:23">
      <c r="F165" s="114"/>
      <c r="G165" s="114"/>
      <c r="H165" s="130" t="str">
        <f>_xlfn.CONCAT(I$159,J165)</f>
        <v>DemolisherLegs</v>
      </c>
      <c r="I165" s="520"/>
      <c r="J165" s="144" t="s">
        <v>47</v>
      </c>
      <c r="K165" s="136" cm="1">
        <f t="array" ref="K165">IF(COUNTIF($B$17:$E$17, K$2)&gt;0, _xlfn.IFS(COUNTIF($B$17:$C$17, K$2)&gt;0, VLOOKUP($J165,'Gear Values'!$A$2:$E$13, IF(COUNTBLANK('Attributes &amp; Prefixes'!$B$17:$C$17)&gt;0, "2", "3"), 0), COUNTIF($D$17:$E$17, K$2)&gt;0, VLOOKUP($J165,'Gear Values'!$A$2:$E$13, IF(COUNTBLANK('Attributes &amp; Prefixes'!$B$17:$C$17)&gt;0, "4", "5"), 0)), "")</f>
        <v>77</v>
      </c>
      <c r="L165" s="137" cm="1">
        <f t="array" ref="L165">IF(COUNTIF($B$17:$E$17, L$2)&gt;0, _xlfn.IFS(COUNTIF($B$17:$C$17, L$2)&gt;0, VLOOKUP($J165,'Gear Values'!$A$2:$E$13, IF(COUNTBLANK('Attributes &amp; Prefixes'!$B$17:$C$17)&gt;0, "2", "3"), 0), COUNTIF($D$17:$E$17, L$2)&gt;0, VLOOKUP($J165,'Gear Values'!$A$2:$E$13, IF(COUNTBLANK('Attributes &amp; Prefixes'!$B$17:$C$17)&gt;0, "4", "5"), 0)), "")</f>
        <v>77</v>
      </c>
      <c r="M165" s="137" cm="1">
        <f t="array" ref="M165">IF(COUNTIF($B$17:$E$17, M$2)&gt;0, _xlfn.IFS(COUNTIF($B$17:$C$17, M$2)&gt;0, VLOOKUP($J165,'Gear Values'!$A$2:$E$13, IF(COUNTBLANK('Attributes &amp; Prefixes'!$B$17:$C$17)&gt;0, "2", "3"), 0), COUNTIF($D$17:$E$17, M$2)&gt;0, VLOOKUP($J165,'Gear Values'!$A$2:$E$13, IF(COUNTBLANK('Attributes &amp; Prefixes'!$B$17:$C$17)&gt;0, "4", "5"), 0)), "")</f>
        <v>42</v>
      </c>
      <c r="N165" s="137" t="str" cm="1">
        <f t="array" ref="N165">IF(COUNTIF($B$17:$E$17, N$2)&gt;0, _xlfn.IFS(COUNTIF($B$17:$C$17, N$2)&gt;0, VLOOKUP($J165,'Gear Values'!$A$2:$E$13, IF(COUNTBLANK('Attributes &amp; Prefixes'!$B$17:$C$17)&gt;0, "2", "3"), 0), COUNTIF($D$17:$E$17, N$2)&gt;0, VLOOKUP($J165,'Gear Values'!$A$2:$E$13, IF(COUNTBLANK('Attributes &amp; Prefixes'!$B$17:$C$17)&gt;0, "4", "5"), 0)), "")</f>
        <v/>
      </c>
      <c r="O165" s="137" t="str" cm="1">
        <f t="array" ref="O165">IF(COUNTIF($B$17:$E$17, O$2)&gt;0, _xlfn.IFS(COUNTIF($B$17:$C$17, O$2)&gt;0, VLOOKUP($J165,'Gear Values'!$A$2:$E$13, IF(COUNTBLANK('Attributes &amp; Prefixes'!$B$17:$C$17)&gt;0, "2", "3"), 0), COUNTIF($D$17:$E$17, O$2)&gt;0, VLOOKUP($J165,'Gear Values'!$A$2:$E$13, IF(COUNTBLANK('Attributes &amp; Prefixes'!$B$17:$C$17)&gt;0, "4", "5"), 0)), "")</f>
        <v/>
      </c>
      <c r="P165" s="137" t="str" cm="1">
        <f t="array" ref="P165">IF(COUNTIF($B$17:$E$17, P$2)&gt;0, _xlfn.IFS(COUNTIF($B$17:$C$17, P$2)&gt;0, VLOOKUP($J165,'Gear Values'!$A$2:$E$13, IF(COUNTBLANK('Attributes &amp; Prefixes'!$B$17:$C$17)&gt;0, "2", "3"), 0), COUNTIF($D$17:$E$17, P$2)&gt;0, VLOOKUP($J165,'Gear Values'!$A$2:$E$13, IF(COUNTBLANK('Attributes &amp; Prefixes'!$B$17:$C$17)&gt;0, "4", "5"), 0)), "")</f>
        <v/>
      </c>
      <c r="Q165" s="137" t="str" cm="1">
        <f t="array" ref="Q165">IF(COUNTIF($B$17:$E$17, Q$2)&gt;0, _xlfn.IFS(COUNTIF($B$17:$C$17, Q$2)&gt;0, VLOOKUP($J165,'Gear Values'!$A$2:$E$13, IF(COUNTBLANK('Attributes &amp; Prefixes'!$B$17:$C$17)&gt;0, "2", "3"), 0), COUNTIF($D$17:$E$17, Q$2)&gt;0, VLOOKUP($J165,'Gear Values'!$A$2:$E$13, IF(COUNTBLANK('Attributes &amp; Prefixes'!$B$17:$C$17)&gt;0, "4", "5"), 0)), "")</f>
        <v/>
      </c>
      <c r="R165" s="137" cm="1">
        <f t="array" ref="R165">IF(COUNTIF($B$17:$E$17, R$2)&gt;0, _xlfn.IFS(COUNTIF($B$17:$C$17, R$2)&gt;0, VLOOKUP($J165,'Gear Values'!$A$2:$E$13, IF(COUNTBLANK('Attributes &amp; Prefixes'!$B$17:$C$17)&gt;0, "2", "3"), 0), COUNTIF($D$17:$E$17, R$2)&gt;0, VLOOKUP($J165,'Gear Values'!$A$2:$E$13, IF(COUNTBLANK('Attributes &amp; Prefixes'!$B$17:$C$17)&gt;0, "4", "5"), 0)), "")</f>
        <v>42</v>
      </c>
      <c r="S165" s="138" t="str" cm="1">
        <f t="array" ref="S165">IF(COUNTIF($B$17:$E$17, S$2)&gt;0, _xlfn.IFS(COUNTIF($B$17:$C$17, S$2)&gt;0, VLOOKUP($J165,'Gear Values'!$A$2:$E$13, IF(COUNTBLANK('Attributes &amp; Prefixes'!$B$17:$C$17)&gt;0, "2", "3"), 0), COUNTIF($D$17:$E$17, S$2)&gt;0, VLOOKUP($J165,'Gear Values'!$A$2:$E$13, IF(COUNTBLANK('Attributes &amp; Prefixes'!$B$17:$C$17)&gt;0, "4", "5"), 0)), "")</f>
        <v/>
      </c>
      <c r="V165" s="112"/>
      <c r="W165" s="113"/>
    </row>
    <row r="166" spans="6:23">
      <c r="F166" s="114"/>
      <c r="G166" s="114"/>
      <c r="H166" s="130" t="str">
        <f>_xlfn.CONCAT(I$159,J166)</f>
        <v>DemolisherFeet</v>
      </c>
      <c r="I166" s="520"/>
      <c r="J166" s="144" t="s">
        <v>48</v>
      </c>
      <c r="K166" s="136" cm="1">
        <f t="array" ref="K166">IF(COUNTIF($B$17:$E$17, K$2)&gt;0, _xlfn.IFS(COUNTIF($B$17:$C$17, K$2)&gt;0, VLOOKUP($J166,'Gear Values'!$A$2:$E$13, IF(COUNTBLANK('Attributes &amp; Prefixes'!$B$17:$C$17)&gt;0, "2", "3"), 0), COUNTIF($D$17:$E$17, K$2)&gt;0, VLOOKUP($J166,'Gear Values'!$A$2:$E$13, IF(COUNTBLANK('Attributes &amp; Prefixes'!$B$17:$C$17)&gt;0, "4", "5"), 0)), "")</f>
        <v>38</v>
      </c>
      <c r="L166" s="137" cm="1">
        <f t="array" ref="L166">IF(COUNTIF($B$17:$E$17, L$2)&gt;0, _xlfn.IFS(COUNTIF($B$17:$C$17, L$2)&gt;0, VLOOKUP($J166,'Gear Values'!$A$2:$E$13, IF(COUNTBLANK('Attributes &amp; Prefixes'!$B$17:$C$17)&gt;0, "2", "3"), 0), COUNTIF($D$17:$E$17, L$2)&gt;0, VLOOKUP($J166,'Gear Values'!$A$2:$E$13, IF(COUNTBLANK('Attributes &amp; Prefixes'!$B$17:$C$17)&gt;0, "4", "5"), 0)), "")</f>
        <v>38</v>
      </c>
      <c r="M166" s="137" cm="1">
        <f t="array" ref="M166">IF(COUNTIF($B$17:$E$17, M$2)&gt;0, _xlfn.IFS(COUNTIF($B$17:$C$17, M$2)&gt;0, VLOOKUP($J166,'Gear Values'!$A$2:$E$13, IF(COUNTBLANK('Attributes &amp; Prefixes'!$B$17:$C$17)&gt;0, "2", "3"), 0), COUNTIF($D$17:$E$17, M$2)&gt;0, VLOOKUP($J166,'Gear Values'!$A$2:$E$13, IF(COUNTBLANK('Attributes &amp; Prefixes'!$B$17:$C$17)&gt;0, "4", "5"), 0)), "")</f>
        <v>21</v>
      </c>
      <c r="N166" s="137" t="str" cm="1">
        <f t="array" ref="N166">IF(COUNTIF($B$17:$E$17, N$2)&gt;0, _xlfn.IFS(COUNTIF($B$17:$C$17, N$2)&gt;0, VLOOKUP($J166,'Gear Values'!$A$2:$E$13, IF(COUNTBLANK('Attributes &amp; Prefixes'!$B$17:$C$17)&gt;0, "2", "3"), 0), COUNTIF($D$17:$E$17, N$2)&gt;0, VLOOKUP($J166,'Gear Values'!$A$2:$E$13, IF(COUNTBLANK('Attributes &amp; Prefixes'!$B$17:$C$17)&gt;0, "4", "5"), 0)), "")</f>
        <v/>
      </c>
      <c r="O166" s="137" t="str" cm="1">
        <f t="array" ref="O166">IF(COUNTIF($B$17:$E$17, O$2)&gt;0, _xlfn.IFS(COUNTIF($B$17:$C$17, O$2)&gt;0, VLOOKUP($J166,'Gear Values'!$A$2:$E$13, IF(COUNTBLANK('Attributes &amp; Prefixes'!$B$17:$C$17)&gt;0, "2", "3"), 0), COUNTIF($D$17:$E$17, O$2)&gt;0, VLOOKUP($J166,'Gear Values'!$A$2:$E$13, IF(COUNTBLANK('Attributes &amp; Prefixes'!$B$17:$C$17)&gt;0, "4", "5"), 0)), "")</f>
        <v/>
      </c>
      <c r="P166" s="137" t="str" cm="1">
        <f t="array" ref="P166">IF(COUNTIF($B$17:$E$17, P$2)&gt;0, _xlfn.IFS(COUNTIF($B$17:$C$17, P$2)&gt;0, VLOOKUP($J166,'Gear Values'!$A$2:$E$13, IF(COUNTBLANK('Attributes &amp; Prefixes'!$B$17:$C$17)&gt;0, "2", "3"), 0), COUNTIF($D$17:$E$17, P$2)&gt;0, VLOOKUP($J166,'Gear Values'!$A$2:$E$13, IF(COUNTBLANK('Attributes &amp; Prefixes'!$B$17:$C$17)&gt;0, "4", "5"), 0)), "")</f>
        <v/>
      </c>
      <c r="Q166" s="137" t="str" cm="1">
        <f t="array" ref="Q166">IF(COUNTIF($B$17:$E$17, Q$2)&gt;0, _xlfn.IFS(COUNTIF($B$17:$C$17, Q$2)&gt;0, VLOOKUP($J166,'Gear Values'!$A$2:$E$13, IF(COUNTBLANK('Attributes &amp; Prefixes'!$B$17:$C$17)&gt;0, "2", "3"), 0), COUNTIF($D$17:$E$17, Q$2)&gt;0, VLOOKUP($J166,'Gear Values'!$A$2:$E$13, IF(COUNTBLANK('Attributes &amp; Prefixes'!$B$17:$C$17)&gt;0, "4", "5"), 0)), "")</f>
        <v/>
      </c>
      <c r="R166" s="137" cm="1">
        <f t="array" ref="R166">IF(COUNTIF($B$17:$E$17, R$2)&gt;0, _xlfn.IFS(COUNTIF($B$17:$C$17, R$2)&gt;0, VLOOKUP($J166,'Gear Values'!$A$2:$E$13, IF(COUNTBLANK('Attributes &amp; Prefixes'!$B$17:$C$17)&gt;0, "2", "3"), 0), COUNTIF($D$17:$E$17, R$2)&gt;0, VLOOKUP($J166,'Gear Values'!$A$2:$E$13, IF(COUNTBLANK('Attributes &amp; Prefixes'!$B$17:$C$17)&gt;0, "4", "5"), 0)), "")</f>
        <v>21</v>
      </c>
      <c r="S166" s="138" t="str" cm="1">
        <f t="array" ref="S166">IF(COUNTIF($B$17:$E$17, S$2)&gt;0, _xlfn.IFS(COUNTIF($B$17:$C$17, S$2)&gt;0, VLOOKUP($J166,'Gear Values'!$A$2:$E$13, IF(COUNTBLANK('Attributes &amp; Prefixes'!$B$17:$C$17)&gt;0, "2", "3"), 0), COUNTIF($D$17:$E$17, S$2)&gt;0, VLOOKUP($J166,'Gear Values'!$A$2:$E$13, IF(COUNTBLANK('Attributes &amp; Prefixes'!$B$17:$C$17)&gt;0, "4", "5"), 0)), "")</f>
        <v/>
      </c>
      <c r="V166" s="112"/>
      <c r="W166" s="113"/>
    </row>
    <row r="167" spans="6:23">
      <c r="F167" s="114"/>
      <c r="G167" s="114"/>
      <c r="H167" s="130" t="str">
        <f>_xlfn.CONCAT(I$159,J168)</f>
        <v>DemolisherFinger</v>
      </c>
      <c r="I167" s="520"/>
      <c r="J167" s="144" t="s">
        <v>49</v>
      </c>
      <c r="K167" s="136" cm="1">
        <f t="array" ref="K167">IF(COUNTIF($B$17:$E$17, K$2)&gt;0, _xlfn.IFS(COUNTIF($B$17:$C$17, K$2)&gt;0, VLOOKUP($J168,'Gear Values'!$A$2:$E$13, IF(COUNTBLANK('Attributes &amp; Prefixes'!$B$17:$C$17)&gt;0, "2", "3"), 0), COUNTIF($D$17:$E$17, K$2)&gt;0, VLOOKUP($J168,'Gear Values'!$A$2:$E$13, IF(COUNTBLANK('Attributes &amp; Prefixes'!$B$17:$C$17)&gt;0, "4", "5"), 0)), "")</f>
        <v>77</v>
      </c>
      <c r="L167" s="137" cm="1">
        <f t="array" ref="L167">IF(COUNTIF($B$17:$E$17, L$2)&gt;0, _xlfn.IFS(COUNTIF($B$17:$C$17, L$2)&gt;0, VLOOKUP($J168,'Gear Values'!$A$2:$E$13, IF(COUNTBLANK('Attributes &amp; Prefixes'!$B$17:$C$17)&gt;0, "2", "3"), 0), COUNTIF($D$17:$E$17, L$2)&gt;0, VLOOKUP($J168,'Gear Values'!$A$2:$E$13, IF(COUNTBLANK('Attributes &amp; Prefixes'!$B$17:$C$17)&gt;0, "4", "5"), 0)), "")</f>
        <v>77</v>
      </c>
      <c r="M167" s="137" cm="1">
        <f t="array" ref="M167">IF(COUNTIF($B$17:$E$17, M$2)&gt;0, _xlfn.IFS(COUNTIF($B$17:$C$17, M$2)&gt;0, VLOOKUP($J168,'Gear Values'!$A$2:$E$13, IF(COUNTBLANK('Attributes &amp; Prefixes'!$B$17:$C$17)&gt;0, "2", "3"), 0), COUNTIF($D$17:$E$17, M$2)&gt;0, VLOOKUP($J168,'Gear Values'!$A$2:$E$13, IF(COUNTBLANK('Attributes &amp; Prefixes'!$B$17:$C$17)&gt;0, "4", "5"), 0)), "")</f>
        <v>42</v>
      </c>
      <c r="N167" s="137" t="str" cm="1">
        <f t="array" ref="N167">IF(COUNTIF($B$17:$E$17, N$2)&gt;0, _xlfn.IFS(COUNTIF($B$17:$C$17, N$2)&gt;0, VLOOKUP($J168,'Gear Values'!$A$2:$E$13, IF(COUNTBLANK('Attributes &amp; Prefixes'!$B$17:$C$17)&gt;0, "2", "3"), 0), COUNTIF($D$17:$E$17, N$2)&gt;0, VLOOKUP($J168,'Gear Values'!$A$2:$E$13, IF(COUNTBLANK('Attributes &amp; Prefixes'!$B$17:$C$17)&gt;0, "4", "5"), 0)), "")</f>
        <v/>
      </c>
      <c r="O167" s="137" t="str" cm="1">
        <f t="array" ref="O167">IF(COUNTIF($B$17:$E$17, O$2)&gt;0, _xlfn.IFS(COUNTIF($B$17:$C$17, O$2)&gt;0, VLOOKUP($J168,'Gear Values'!$A$2:$E$13, IF(COUNTBLANK('Attributes &amp; Prefixes'!$B$17:$C$17)&gt;0, "2", "3"), 0), COUNTIF($D$17:$E$17, O$2)&gt;0, VLOOKUP($J168,'Gear Values'!$A$2:$E$13, IF(COUNTBLANK('Attributes &amp; Prefixes'!$B$17:$C$17)&gt;0, "4", "5"), 0)), "")</f>
        <v/>
      </c>
      <c r="P167" s="137" t="str" cm="1">
        <f t="array" ref="P167">IF(COUNTIF($B$17:$E$17, P$2)&gt;0, _xlfn.IFS(COUNTIF($B$17:$C$17, P$2)&gt;0, VLOOKUP($J168,'Gear Values'!$A$2:$E$13, IF(COUNTBLANK('Attributes &amp; Prefixes'!$B$17:$C$17)&gt;0, "2", "3"), 0), COUNTIF($D$17:$E$17, P$2)&gt;0, VLOOKUP($J168,'Gear Values'!$A$2:$E$13, IF(COUNTBLANK('Attributes &amp; Prefixes'!$B$17:$C$17)&gt;0, "4", "5"), 0)), "")</f>
        <v/>
      </c>
      <c r="Q167" s="137" t="str" cm="1">
        <f t="array" ref="Q167">IF(COUNTIF($B$17:$E$17, Q$2)&gt;0, _xlfn.IFS(COUNTIF($B$17:$C$17, Q$2)&gt;0, VLOOKUP($J168,'Gear Values'!$A$2:$E$13, IF(COUNTBLANK('Attributes &amp; Prefixes'!$B$17:$C$17)&gt;0, "2", "3"), 0), COUNTIF($D$17:$E$17, Q$2)&gt;0, VLOOKUP($J168,'Gear Values'!$A$2:$E$13, IF(COUNTBLANK('Attributes &amp; Prefixes'!$B$17:$C$17)&gt;0, "4", "5"), 0)), "")</f>
        <v/>
      </c>
      <c r="R167" s="137" cm="1">
        <f t="array" ref="R167">IF(COUNTIF($B$17:$E$17, R$2)&gt;0, _xlfn.IFS(COUNTIF($B$17:$C$17, R$2)&gt;0, VLOOKUP($J168,'Gear Values'!$A$2:$E$13, IF(COUNTBLANK('Attributes &amp; Prefixes'!$B$17:$C$17)&gt;0, "2", "3"), 0), COUNTIF($D$17:$E$17, R$2)&gt;0, VLOOKUP($J168,'Gear Values'!$A$2:$E$13, IF(COUNTBLANK('Attributes &amp; Prefixes'!$B$17:$C$17)&gt;0, "4", "5"), 0)), "")</f>
        <v>42</v>
      </c>
      <c r="S167" s="138" t="str" cm="1">
        <f t="array" ref="S167">IF(COUNTIF($B$17:$E$17, S$2)&gt;0, _xlfn.IFS(COUNTIF($B$17:$C$17, S$2)&gt;0, VLOOKUP($J168,'Gear Values'!$A$2:$E$13, IF(COUNTBLANK('Attributes &amp; Prefixes'!$B$17:$C$17)&gt;0, "2", "3"), 0), COUNTIF($D$17:$E$17, S$2)&gt;0, VLOOKUP($J168,'Gear Values'!$A$2:$E$13, IF(COUNTBLANK('Attributes &amp; Prefixes'!$B$17:$C$17)&gt;0, "4", "5"), 0)), "")</f>
        <v/>
      </c>
      <c r="V167" s="112"/>
      <c r="W167" s="113"/>
    </row>
    <row r="168" spans="6:23">
      <c r="F168" s="114"/>
      <c r="G168" s="114"/>
      <c r="H168" s="130" t="str">
        <f>_xlfn.CONCAT(I$159,J168)</f>
        <v>DemolisherFinger</v>
      </c>
      <c r="I168" s="520"/>
      <c r="J168" s="144" t="s">
        <v>51</v>
      </c>
      <c r="K168" s="136" cm="1">
        <f t="array" ref="K168">IF(COUNTIF($B$17:$E$17, K$2)&gt;0, _xlfn.IFS(COUNTIF($B$17:$C$17, K$2)&gt;0, VLOOKUP($J168,'Gear Values'!$A$2:$E$13, IF(COUNTBLANK('Attributes &amp; Prefixes'!$B$17:$C$17)&gt;0, "2", "3"), 0), COUNTIF($D$17:$E$17, K$2)&gt;0, VLOOKUP($J168,'Gear Values'!$A$2:$E$13, IF(COUNTBLANK('Attributes &amp; Prefixes'!$B$17:$C$17)&gt;0, "4", "5"), 0)), "")</f>
        <v>77</v>
      </c>
      <c r="L168" s="137" cm="1">
        <f t="array" ref="L168">IF(COUNTIF($B$17:$E$17, L$2)&gt;0, _xlfn.IFS(COUNTIF($B$17:$C$17, L$2)&gt;0, VLOOKUP($J168,'Gear Values'!$A$2:$E$13, IF(COUNTBLANK('Attributes &amp; Prefixes'!$B$17:$C$17)&gt;0, "2", "3"), 0), COUNTIF($D$17:$E$17, L$2)&gt;0, VLOOKUP($J168,'Gear Values'!$A$2:$E$13, IF(COUNTBLANK('Attributes &amp; Prefixes'!$B$17:$C$17)&gt;0, "4", "5"), 0)), "")</f>
        <v>77</v>
      </c>
      <c r="M168" s="137" cm="1">
        <f t="array" ref="M168">IF(COUNTIF($B$17:$E$17, M$2)&gt;0, _xlfn.IFS(COUNTIF($B$17:$C$17, M$2)&gt;0, VLOOKUP($J168,'Gear Values'!$A$2:$E$13, IF(COUNTBLANK('Attributes &amp; Prefixes'!$B$17:$C$17)&gt;0, "2", "3"), 0), COUNTIF($D$17:$E$17, M$2)&gt;0, VLOOKUP($J168,'Gear Values'!$A$2:$E$13, IF(COUNTBLANK('Attributes &amp; Prefixes'!$B$17:$C$17)&gt;0, "4", "5"), 0)), "")</f>
        <v>42</v>
      </c>
      <c r="N168" s="137" t="str" cm="1">
        <f t="array" ref="N168">IF(COUNTIF($B$17:$E$17, N$2)&gt;0, _xlfn.IFS(COUNTIF($B$17:$C$17, N$2)&gt;0, VLOOKUP($J168,'Gear Values'!$A$2:$E$13, IF(COUNTBLANK('Attributes &amp; Prefixes'!$B$17:$C$17)&gt;0, "2", "3"), 0), COUNTIF($D$17:$E$17, N$2)&gt;0, VLOOKUP($J168,'Gear Values'!$A$2:$E$13, IF(COUNTBLANK('Attributes &amp; Prefixes'!$B$17:$C$17)&gt;0, "4", "5"), 0)), "")</f>
        <v/>
      </c>
      <c r="O168" s="137" t="str" cm="1">
        <f t="array" ref="O168">IF(COUNTIF($B$17:$E$17, O$2)&gt;0, _xlfn.IFS(COUNTIF($B$17:$C$17, O$2)&gt;0, VLOOKUP($J168,'Gear Values'!$A$2:$E$13, IF(COUNTBLANK('Attributes &amp; Prefixes'!$B$17:$C$17)&gt;0, "2", "3"), 0), COUNTIF($D$17:$E$17, O$2)&gt;0, VLOOKUP($J168,'Gear Values'!$A$2:$E$13, IF(COUNTBLANK('Attributes &amp; Prefixes'!$B$17:$C$17)&gt;0, "4", "5"), 0)), "")</f>
        <v/>
      </c>
      <c r="P168" s="137" t="str" cm="1">
        <f t="array" ref="P168">IF(COUNTIF($B$17:$E$17, P$2)&gt;0, _xlfn.IFS(COUNTIF($B$17:$C$17, P$2)&gt;0, VLOOKUP($J168,'Gear Values'!$A$2:$E$13, IF(COUNTBLANK('Attributes &amp; Prefixes'!$B$17:$C$17)&gt;0, "2", "3"), 0), COUNTIF($D$17:$E$17, P$2)&gt;0, VLOOKUP($J168,'Gear Values'!$A$2:$E$13, IF(COUNTBLANK('Attributes &amp; Prefixes'!$B$17:$C$17)&gt;0, "4", "5"), 0)), "")</f>
        <v/>
      </c>
      <c r="Q168" s="137" t="str" cm="1">
        <f t="array" ref="Q168">IF(COUNTIF($B$17:$E$17, Q$2)&gt;0, _xlfn.IFS(COUNTIF($B$17:$C$17, Q$2)&gt;0, VLOOKUP($J168,'Gear Values'!$A$2:$E$13, IF(COUNTBLANK('Attributes &amp; Prefixes'!$B$17:$C$17)&gt;0, "2", "3"), 0), COUNTIF($D$17:$E$17, Q$2)&gt;0, VLOOKUP($J168,'Gear Values'!$A$2:$E$13, IF(COUNTBLANK('Attributes &amp; Prefixes'!$B$17:$C$17)&gt;0, "4", "5"), 0)), "")</f>
        <v/>
      </c>
      <c r="R168" s="137" cm="1">
        <f t="array" ref="R168">IF(COUNTIF($B$17:$E$17, R$2)&gt;0, _xlfn.IFS(COUNTIF($B$17:$C$17, R$2)&gt;0, VLOOKUP($J168,'Gear Values'!$A$2:$E$13, IF(COUNTBLANK('Attributes &amp; Prefixes'!$B$17:$C$17)&gt;0, "2", "3"), 0), COUNTIF($D$17:$E$17, R$2)&gt;0, VLOOKUP($J168,'Gear Values'!$A$2:$E$13, IF(COUNTBLANK('Attributes &amp; Prefixes'!$B$17:$C$17)&gt;0, "4", "5"), 0)), "")</f>
        <v>42</v>
      </c>
      <c r="S168" s="138" t="str" cm="1">
        <f t="array" ref="S168">IF(COUNTIF($B$17:$E$17, S$2)&gt;0, _xlfn.IFS(COUNTIF($B$17:$C$17, S$2)&gt;0, VLOOKUP($J168,'Gear Values'!$A$2:$E$13, IF(COUNTBLANK('Attributes &amp; Prefixes'!$B$17:$C$17)&gt;0, "2", "3"), 0), COUNTIF($D$17:$E$17, S$2)&gt;0, VLOOKUP($J168,'Gear Values'!$A$2:$E$13, IF(COUNTBLANK('Attributes &amp; Prefixes'!$B$17:$C$17)&gt;0, "4", "5"), 0)), "")</f>
        <v/>
      </c>
      <c r="V168" s="112"/>
      <c r="W168" s="113"/>
    </row>
    <row r="169" spans="6:23">
      <c r="F169" s="114"/>
      <c r="G169" s="114"/>
      <c r="H169" s="130" t="str">
        <f>_xlfn.CONCAT(I$159,J169)</f>
        <v>DemolisherNeck</v>
      </c>
      <c r="I169" s="520"/>
      <c r="J169" s="144" t="s">
        <v>52</v>
      </c>
      <c r="K169" s="136" cm="1">
        <f t="array" ref="K169">IF(COUNTIF($B$17:$E$17, K$2)&gt;0, _xlfn.IFS(COUNTIF($B$17:$C$17, K$2)&gt;0, VLOOKUP($J169,'Gear Values'!$A$2:$E$13, IF(COUNTBLANK('Attributes &amp; Prefixes'!$B$17:$C$17)&gt;0, "2", "3"), 0), COUNTIF($D$17:$E$17, K$2)&gt;0, VLOOKUP($J169,'Gear Values'!$A$2:$E$13, IF(COUNTBLANK('Attributes &amp; Prefixes'!$B$17:$C$17)&gt;0, "4", "5"), 0)), "")</f>
        <v>102</v>
      </c>
      <c r="L169" s="137" cm="1">
        <f t="array" ref="L169">IF(COUNTIF($B$17:$E$17, L$2)&gt;0, _xlfn.IFS(COUNTIF($B$17:$C$17, L$2)&gt;0, VLOOKUP($J169,'Gear Values'!$A$2:$E$13, IF(COUNTBLANK('Attributes &amp; Prefixes'!$B$17:$C$17)&gt;0, "2", "3"), 0), COUNTIF($D$17:$E$17, L$2)&gt;0, VLOOKUP($J169,'Gear Values'!$A$2:$E$13, IF(COUNTBLANK('Attributes &amp; Prefixes'!$B$17:$C$17)&gt;0, "4", "5"), 0)), "")</f>
        <v>102</v>
      </c>
      <c r="M169" s="137" cm="1">
        <f t="array" ref="M169">IF(COUNTIF($B$17:$E$17, M$2)&gt;0, _xlfn.IFS(COUNTIF($B$17:$C$17, M$2)&gt;0, VLOOKUP($J169,'Gear Values'!$A$2:$E$13, IF(COUNTBLANK('Attributes &amp; Prefixes'!$B$17:$C$17)&gt;0, "2", "3"), 0), COUNTIF($D$17:$E$17, M$2)&gt;0, VLOOKUP($J169,'Gear Values'!$A$2:$E$13, IF(COUNTBLANK('Attributes &amp; Prefixes'!$B$17:$C$17)&gt;0, "4", "5"), 0)), "")</f>
        <v>56</v>
      </c>
      <c r="N169" s="137" t="str" cm="1">
        <f t="array" ref="N169">IF(COUNTIF($B$17:$E$17, N$2)&gt;0, _xlfn.IFS(COUNTIF($B$17:$C$17, N$2)&gt;0, VLOOKUP($J169,'Gear Values'!$A$2:$E$13, IF(COUNTBLANK('Attributes &amp; Prefixes'!$B$17:$C$17)&gt;0, "2", "3"), 0), COUNTIF($D$17:$E$17, N$2)&gt;0, VLOOKUP($J169,'Gear Values'!$A$2:$E$13, IF(COUNTBLANK('Attributes &amp; Prefixes'!$B$17:$C$17)&gt;0, "4", "5"), 0)), "")</f>
        <v/>
      </c>
      <c r="O169" s="137" t="str" cm="1">
        <f t="array" ref="O169">IF(COUNTIF($B$17:$E$17, O$2)&gt;0, _xlfn.IFS(COUNTIF($B$17:$C$17, O$2)&gt;0, VLOOKUP($J169,'Gear Values'!$A$2:$E$13, IF(COUNTBLANK('Attributes &amp; Prefixes'!$B$17:$C$17)&gt;0, "2", "3"), 0), COUNTIF($D$17:$E$17, O$2)&gt;0, VLOOKUP($J169,'Gear Values'!$A$2:$E$13, IF(COUNTBLANK('Attributes &amp; Prefixes'!$B$17:$C$17)&gt;0, "4", "5"), 0)), "")</f>
        <v/>
      </c>
      <c r="P169" s="137" t="str" cm="1">
        <f t="array" ref="P169">IF(COUNTIF($B$17:$E$17, P$2)&gt;0, _xlfn.IFS(COUNTIF($B$17:$C$17, P$2)&gt;0, VLOOKUP($J169,'Gear Values'!$A$2:$E$13, IF(COUNTBLANK('Attributes &amp; Prefixes'!$B$17:$C$17)&gt;0, "2", "3"), 0), COUNTIF($D$17:$E$17, P$2)&gt;0, VLOOKUP($J169,'Gear Values'!$A$2:$E$13, IF(COUNTBLANK('Attributes &amp; Prefixes'!$B$17:$C$17)&gt;0, "4", "5"), 0)), "")</f>
        <v/>
      </c>
      <c r="Q169" s="137" t="str" cm="1">
        <f t="array" ref="Q169">IF(COUNTIF($B$17:$E$17, Q$2)&gt;0, _xlfn.IFS(COUNTIF($B$17:$C$17, Q$2)&gt;0, VLOOKUP($J169,'Gear Values'!$A$2:$E$13, IF(COUNTBLANK('Attributes &amp; Prefixes'!$B$17:$C$17)&gt;0, "2", "3"), 0), COUNTIF($D$17:$E$17, Q$2)&gt;0, VLOOKUP($J169,'Gear Values'!$A$2:$E$13, IF(COUNTBLANK('Attributes &amp; Prefixes'!$B$17:$C$17)&gt;0, "4", "5"), 0)), "")</f>
        <v/>
      </c>
      <c r="R169" s="137" cm="1">
        <f t="array" ref="R169">IF(COUNTIF($B$17:$E$17, R$2)&gt;0, _xlfn.IFS(COUNTIF($B$17:$C$17, R$2)&gt;0, VLOOKUP($J169,'Gear Values'!$A$2:$E$13, IF(COUNTBLANK('Attributes &amp; Prefixes'!$B$17:$C$17)&gt;0, "2", "3"), 0), COUNTIF($D$17:$E$17, R$2)&gt;0, VLOOKUP($J169,'Gear Values'!$A$2:$E$13, IF(COUNTBLANK('Attributes &amp; Prefixes'!$B$17:$C$17)&gt;0, "4", "5"), 0)), "")</f>
        <v>56</v>
      </c>
      <c r="S169" s="138" t="str" cm="1">
        <f t="array" ref="S169">IF(COUNTIF($B$17:$E$17, S$2)&gt;0, _xlfn.IFS(COUNTIF($B$17:$C$17, S$2)&gt;0, VLOOKUP($J169,'Gear Values'!$A$2:$E$13, IF(COUNTBLANK('Attributes &amp; Prefixes'!$B$17:$C$17)&gt;0, "2", "3"), 0), COUNTIF($D$17:$E$17, S$2)&gt;0, VLOOKUP($J169,'Gear Values'!$A$2:$E$13, IF(COUNTBLANK('Attributes &amp; Prefixes'!$B$17:$C$17)&gt;0, "4", "5"), 0)), "")</f>
        <v/>
      </c>
      <c r="V169" s="112"/>
      <c r="W169" s="113"/>
    </row>
    <row r="170" spans="6:23">
      <c r="F170" s="114"/>
      <c r="G170" s="114"/>
      <c r="H170" s="130" t="str">
        <f>_xlfn.CONCAT(I$159,J170)</f>
        <v>DemolisherBack</v>
      </c>
      <c r="I170" s="521"/>
      <c r="J170" s="146" t="s">
        <v>53</v>
      </c>
      <c r="K170" s="147" t="str" cm="1">
        <f t="array" ref="K170">IF(COUNTIF($B$17:$E$17, K$2)&gt;0, _xlfn.IFS(COUNTIF($B$17:$C$17, K$2)&gt;0, VLOOKUP($J170,'Gear Values'!$A$2:$E$13, IF(COUNTBLANK('Attributes &amp; Prefixes'!$B$17:$C$17)&gt;0, "2", "3"), 0), COUNTIF($D$17:$E$17, K$2)&gt;0, VLOOKUP($J170,'Gear Values'!$A$2:$E$13, IF(COUNTBLANK('Attributes &amp; Prefixes'!$B$17:$C$17)&gt;0, "4", "5"), 0)), "")</f>
        <v>N/A</v>
      </c>
      <c r="L170" s="148" t="str" cm="1">
        <f t="array" ref="L170">IF(COUNTIF($B$17:$E$17, L$2)&gt;0, _xlfn.IFS(COUNTIF($B$17:$C$17, L$2)&gt;0, VLOOKUP($J170,'Gear Values'!$A$2:$E$13, IF(COUNTBLANK('Attributes &amp; Prefixes'!$B$17:$C$17)&gt;0, "2", "3"), 0), COUNTIF($D$17:$E$17, L$2)&gt;0, VLOOKUP($J170,'Gear Values'!$A$2:$E$13, IF(COUNTBLANK('Attributes &amp; Prefixes'!$B$17:$C$17)&gt;0, "4", "5"), 0)), "")</f>
        <v>N/A</v>
      </c>
      <c r="M170" s="148" t="str" cm="1">
        <f t="array" ref="M170">IF(COUNTIF($B$17:$E$17, M$2)&gt;0, _xlfn.IFS(COUNTIF($B$17:$C$17, M$2)&gt;0, VLOOKUP($J170,'Gear Values'!$A$2:$E$13, IF(COUNTBLANK('Attributes &amp; Prefixes'!$B$17:$C$17)&gt;0, "2", "3"), 0), COUNTIF($D$17:$E$17, M$2)&gt;0, VLOOKUP($J170,'Gear Values'!$A$2:$E$13, IF(COUNTBLANK('Attributes &amp; Prefixes'!$B$17:$C$17)&gt;0, "4", "5"), 0)), "")</f>
        <v>N/A</v>
      </c>
      <c r="N170" s="148" t="str" cm="1">
        <f t="array" ref="N170">IF(COUNTIF($B$17:$E$17, N$2)&gt;0, _xlfn.IFS(COUNTIF($B$17:$C$17, N$2)&gt;0, VLOOKUP($J170,'Gear Values'!$A$2:$E$13, IF(COUNTBLANK('Attributes &amp; Prefixes'!$B$17:$C$17)&gt;0, "2", "3"), 0), COUNTIF($D$17:$E$17, N$2)&gt;0, VLOOKUP($J170,'Gear Values'!$A$2:$E$13, IF(COUNTBLANK('Attributes &amp; Prefixes'!$B$17:$C$17)&gt;0, "4", "5"), 0)), "")</f>
        <v/>
      </c>
      <c r="O170" s="148" t="str" cm="1">
        <f t="array" ref="O170">IF(COUNTIF($B$17:$E$17, O$2)&gt;0, _xlfn.IFS(COUNTIF($B$17:$C$17, O$2)&gt;0, VLOOKUP($J170,'Gear Values'!$A$2:$E$13, IF(COUNTBLANK('Attributes &amp; Prefixes'!$B$17:$C$17)&gt;0, "2", "3"), 0), COUNTIF($D$17:$E$17, O$2)&gt;0, VLOOKUP($J170,'Gear Values'!$A$2:$E$13, IF(COUNTBLANK('Attributes &amp; Prefixes'!$B$17:$C$17)&gt;0, "4", "5"), 0)), "")</f>
        <v/>
      </c>
      <c r="P170" s="148" t="str" cm="1">
        <f t="array" ref="P170">IF(COUNTIF($B$17:$E$17, P$2)&gt;0, _xlfn.IFS(COUNTIF($B$17:$C$17, P$2)&gt;0, VLOOKUP($J170,'Gear Values'!$A$2:$E$13, IF(COUNTBLANK('Attributes &amp; Prefixes'!$B$17:$C$17)&gt;0, "2", "3"), 0), COUNTIF($D$17:$E$17, P$2)&gt;0, VLOOKUP($J170,'Gear Values'!$A$2:$E$13, IF(COUNTBLANK('Attributes &amp; Prefixes'!$B$17:$C$17)&gt;0, "4", "5"), 0)), "")</f>
        <v/>
      </c>
      <c r="Q170" s="148" t="str" cm="1">
        <f t="array" ref="Q170">IF(COUNTIF($B$17:$E$17, Q$2)&gt;0, _xlfn.IFS(COUNTIF($B$17:$C$17, Q$2)&gt;0, VLOOKUP($J170,'Gear Values'!$A$2:$E$13, IF(COUNTBLANK('Attributes &amp; Prefixes'!$B$17:$C$17)&gt;0, "2", "3"), 0), COUNTIF($D$17:$E$17, Q$2)&gt;0, VLOOKUP($J170,'Gear Values'!$A$2:$E$13, IF(COUNTBLANK('Attributes &amp; Prefixes'!$B$17:$C$17)&gt;0, "4", "5"), 0)), "")</f>
        <v/>
      </c>
      <c r="R170" s="148" t="str" cm="1">
        <f t="array" ref="R170">IF(COUNTIF($B$17:$E$17, R$2)&gt;0, _xlfn.IFS(COUNTIF($B$17:$C$17, R$2)&gt;0, VLOOKUP($J170,'Gear Values'!$A$2:$E$13, IF(COUNTBLANK('Attributes &amp; Prefixes'!$B$17:$C$17)&gt;0, "2", "3"), 0), COUNTIF($D$17:$E$17, R$2)&gt;0, VLOOKUP($J170,'Gear Values'!$A$2:$E$13, IF(COUNTBLANK('Attributes &amp; Prefixes'!$B$17:$C$17)&gt;0, "4", "5"), 0)), "")</f>
        <v>N/A</v>
      </c>
      <c r="S170" s="150" t="str" cm="1">
        <f t="array" ref="S170">IF(COUNTIF($B$17:$E$17, S$2)&gt;0, _xlfn.IFS(COUNTIF($B$17:$C$17, S$2)&gt;0, VLOOKUP($J170,'Gear Values'!$A$2:$E$13, IF(COUNTBLANK('Attributes &amp; Prefixes'!$B$17:$C$17)&gt;0, "2", "3"), 0), COUNTIF($D$17:$E$17, S$2)&gt;0, VLOOKUP($J170,'Gear Values'!$A$2:$E$13, IF(COUNTBLANK('Attributes &amp; Prefixes'!$B$17:$C$17)&gt;0, "4", "5"), 0)), "")</f>
        <v/>
      </c>
      <c r="V170" s="112"/>
      <c r="W170" s="113"/>
    </row>
    <row r="171" spans="6:23">
      <c r="F171" s="114"/>
      <c r="G171" s="114"/>
      <c r="H171" s="130" t="str">
        <f>_xlfn.CONCAT(I$171,J171)</f>
        <v>DestroyerWeapon (1H)</v>
      </c>
      <c r="I171" s="519" t="str">
        <f>A18</f>
        <v>Destroyer</v>
      </c>
      <c r="J171" s="145" t="s">
        <v>37</v>
      </c>
      <c r="K171" s="133" cm="1">
        <f t="array" ref="K171">IF(COUNTIF($B$18:$E$18, K$2)&gt;0, _xlfn.IFS(COUNTIF($B$18:$C$18, K$2)&gt;0, VLOOKUP($J171,'Gear Values'!$A$2:$E$13, IF(COUNTBLANK('Attributes &amp; Prefixes'!$B$18:$C$18)&gt;0, "2", "3"), 0), COUNTIF($D$18:$E$18, K$2)&gt;0, VLOOKUP($J171,'Gear Values'!$A$2:$E$13, IF(COUNTBLANK('Attributes &amp; Prefixes'!$B$18:$C$18)&gt;0, "4", "5"), 0)), "")</f>
        <v>102</v>
      </c>
      <c r="L171" s="134" cm="1">
        <f t="array" ref="L171">IF(COUNTIF($B$18:$E$18, L$2)&gt;0, _xlfn.IFS(COUNTIF($B$18:$C$18, L$2)&gt;0, VLOOKUP($J171,'Gear Values'!$A$2:$E$13, IF(COUNTBLANK('Attributes &amp; Prefixes'!$B$18:$C$18)&gt;0, "2", "3"), 0), COUNTIF($D$18:$E$18, L$2)&gt;0, VLOOKUP($J171,'Gear Values'!$A$2:$E$13, IF(COUNTBLANK('Attributes &amp; Prefixes'!$B$18:$C$18)&gt;0, "4", "5"), 0)), "")</f>
        <v>102</v>
      </c>
      <c r="M171" s="134" t="str" cm="1">
        <f t="array" ref="M171">IF(COUNTIF($B$18:$E$18, M$2)&gt;0, _xlfn.IFS(COUNTIF($B$18:$C$18, M$2)&gt;0, VLOOKUP($J171,'Gear Values'!$A$2:$E$13, IF(COUNTBLANK('Attributes &amp; Prefixes'!$B$18:$C$18)&gt;0, "2", "3"), 0), COUNTIF($D$18:$E$18, M$2)&gt;0, VLOOKUP($J171,'Gear Values'!$A$2:$E$13, IF(COUNTBLANK('Attributes &amp; Prefixes'!$B$18:$C$18)&gt;0, "4", "5"), 0)), "")</f>
        <v/>
      </c>
      <c r="N171" s="134" t="str" cm="1">
        <f t="array" ref="N171">IF(COUNTIF($B$18:$E$18, N$2)&gt;0, _xlfn.IFS(COUNTIF($B$18:$C$18, N$2)&gt;0, VLOOKUP($J171,'Gear Values'!$A$2:$E$13, IF(COUNTBLANK('Attributes &amp; Prefixes'!$B$18:$C$18)&gt;0, "2", "3"), 0), COUNTIF($D$18:$E$18, N$2)&gt;0, VLOOKUP($J171,'Gear Values'!$A$2:$E$13, IF(COUNTBLANK('Attributes &amp; Prefixes'!$B$18:$C$18)&gt;0, "4", "5"), 0)), "")</f>
        <v/>
      </c>
      <c r="O171" s="134" t="str" cm="1">
        <f t="array" ref="O171">IF(COUNTIF($B$18:$E$18, O$2)&gt;0, _xlfn.IFS(COUNTIF($B$18:$C$18, O$2)&gt;0, VLOOKUP($J171,'Gear Values'!$A$2:$E$13, IF(COUNTBLANK('Attributes &amp; Prefixes'!$B$18:$C$18)&gt;0, "2", "3"), 0), COUNTIF($D$18:$E$18, O$2)&gt;0, VLOOKUP($J171,'Gear Values'!$A$2:$E$13, IF(COUNTBLANK('Attributes &amp; Prefixes'!$B$18:$C$18)&gt;0, "4", "5"), 0)), "")</f>
        <v/>
      </c>
      <c r="P171" s="134" cm="1">
        <f t="array" ref="P171">IF(COUNTIF($B$18:$E$18, P$2)&gt;0, _xlfn.IFS(COUNTIF($B$18:$C$18, P$2)&gt;0, VLOOKUP($J171,'Gear Values'!$A$2:$E$13, IF(COUNTBLANK('Attributes &amp; Prefixes'!$B$18:$C$18)&gt;0, "2", "3"), 0), COUNTIF($D$18:$E$18, P$2)&gt;0, VLOOKUP($J171,'Gear Values'!$A$2:$E$13, IF(COUNTBLANK('Attributes &amp; Prefixes'!$B$18:$C$18)&gt;0, "4", "5"), 0)), "")</f>
        <v>56</v>
      </c>
      <c r="Q171" s="134" t="str" cm="1">
        <f t="array" ref="Q171">IF(COUNTIF($B$18:$E$18, Q$2)&gt;0, _xlfn.IFS(COUNTIF($B$18:$C$18, Q$2)&gt;0, VLOOKUP($J171,'Gear Values'!$A$2:$E$13, IF(COUNTBLANK('Attributes &amp; Prefixes'!$B$18:$C$18)&gt;0, "2", "3"), 0), COUNTIF($D$18:$E$18, Q$2)&gt;0, VLOOKUP($J171,'Gear Values'!$A$2:$E$13, IF(COUNTBLANK('Attributes &amp; Prefixes'!$B$18:$C$18)&gt;0, "4", "5"), 0)), "")</f>
        <v/>
      </c>
      <c r="R171" s="134" cm="1">
        <f t="array" ref="R171">IF(COUNTIF($B$18:$E$18, R$2)&gt;0, _xlfn.IFS(COUNTIF($B$18:$C$18, R$2)&gt;0, VLOOKUP($J171,'Gear Values'!$A$2:$E$13, IF(COUNTBLANK('Attributes &amp; Prefixes'!$B$18:$C$18)&gt;0, "2", "3"), 0), COUNTIF($D$18:$E$18, R$2)&gt;0, VLOOKUP($J171,'Gear Values'!$A$2:$E$13, IF(COUNTBLANK('Attributes &amp; Prefixes'!$B$18:$C$18)&gt;0, "4", "5"), 0)), "")</f>
        <v>56</v>
      </c>
      <c r="S171" s="135" t="str" cm="1">
        <f t="array" ref="S171">IF(COUNTIF($B$18:$E$18, S$2)&gt;0, _xlfn.IFS(COUNTIF($B$18:$C$18, S$2)&gt;0, VLOOKUP($J171,'Gear Values'!$A$2:$E$13, IF(COUNTBLANK('Attributes &amp; Prefixes'!$B$18:$C$18)&gt;0, "2", "3"), 0), COUNTIF($D$18:$E$18, S$2)&gt;0, VLOOKUP($J171,'Gear Values'!$A$2:$E$13, IF(COUNTBLANK('Attributes &amp; Prefixes'!$B$18:$C$18)&gt;0, "4", "5"), 0)), "")</f>
        <v/>
      </c>
      <c r="V171" s="112"/>
      <c r="W171" s="113"/>
    </row>
    <row r="172" spans="6:23">
      <c r="F172" s="114"/>
      <c r="G172" s="114"/>
      <c r="H172" s="130" t="str">
        <f>_xlfn.CONCAT(I$171,J172)</f>
        <v>DestroyerWeapon (2H)</v>
      </c>
      <c r="I172" s="520"/>
      <c r="J172" s="144" t="s">
        <v>39</v>
      </c>
      <c r="K172" s="136" cm="1">
        <f t="array" ref="K172">IF(COUNTIF($B$18:$E$18, K$2)&gt;0, _xlfn.IFS(COUNTIF($B$18:$C$18, K$2)&gt;0, VLOOKUP($J172,'Gear Values'!$A$2:$E$13, IF(COUNTBLANK('Attributes &amp; Prefixes'!$B$18:$C$18)&gt;0, "2", "3"), 0), COUNTIF($D$18:$E$18, K$2)&gt;0, VLOOKUP($J172,'Gear Values'!$A$2:$E$13, IF(COUNTBLANK('Attributes &amp; Prefixes'!$B$18:$C$18)&gt;0, "4", "5"), 0)), "")</f>
        <v>205</v>
      </c>
      <c r="L172" s="137" cm="1">
        <f t="array" ref="L172">IF(COUNTIF($B$18:$E$18, L$2)&gt;0, _xlfn.IFS(COUNTIF($B$18:$C$18, L$2)&gt;0, VLOOKUP($J172,'Gear Values'!$A$2:$E$13, IF(COUNTBLANK('Attributes &amp; Prefixes'!$B$18:$C$18)&gt;0, "2", "3"), 0), COUNTIF($D$18:$E$18, L$2)&gt;0, VLOOKUP($J172,'Gear Values'!$A$2:$E$13, IF(COUNTBLANK('Attributes &amp; Prefixes'!$B$18:$C$18)&gt;0, "4", "5"), 0)), "")</f>
        <v>205</v>
      </c>
      <c r="M172" s="137" t="str" cm="1">
        <f t="array" ref="M172">IF(COUNTIF($B$18:$E$18, M$2)&gt;0, _xlfn.IFS(COUNTIF($B$18:$C$18, M$2)&gt;0, VLOOKUP($J172,'Gear Values'!$A$2:$E$13, IF(COUNTBLANK('Attributes &amp; Prefixes'!$B$18:$C$18)&gt;0, "2", "3"), 0), COUNTIF($D$18:$E$18, M$2)&gt;0, VLOOKUP($J172,'Gear Values'!$A$2:$E$13, IF(COUNTBLANK('Attributes &amp; Prefixes'!$B$18:$C$18)&gt;0, "4", "5"), 0)), "")</f>
        <v/>
      </c>
      <c r="N172" s="137" t="str" cm="1">
        <f t="array" ref="N172">IF(COUNTIF($B$18:$E$18, N$2)&gt;0, _xlfn.IFS(COUNTIF($B$18:$C$18, N$2)&gt;0, VLOOKUP($J172,'Gear Values'!$A$2:$E$13, IF(COUNTBLANK('Attributes &amp; Prefixes'!$B$18:$C$18)&gt;0, "2", "3"), 0), COUNTIF($D$18:$E$18, N$2)&gt;0, VLOOKUP($J172,'Gear Values'!$A$2:$E$13, IF(COUNTBLANK('Attributes &amp; Prefixes'!$B$18:$C$18)&gt;0, "4", "5"), 0)), "")</f>
        <v/>
      </c>
      <c r="O172" s="137" t="str" cm="1">
        <f t="array" ref="O172">IF(COUNTIF($B$18:$E$18, O$2)&gt;0, _xlfn.IFS(COUNTIF($B$18:$C$18, O$2)&gt;0, VLOOKUP($J172,'Gear Values'!$A$2:$E$13, IF(COUNTBLANK('Attributes &amp; Prefixes'!$B$18:$C$18)&gt;0, "2", "3"), 0), COUNTIF($D$18:$E$18, O$2)&gt;0, VLOOKUP($J172,'Gear Values'!$A$2:$E$13, IF(COUNTBLANK('Attributes &amp; Prefixes'!$B$18:$C$18)&gt;0, "4", "5"), 0)), "")</f>
        <v/>
      </c>
      <c r="P172" s="137" cm="1">
        <f t="array" ref="P172">IF(COUNTIF($B$18:$E$18, P$2)&gt;0, _xlfn.IFS(COUNTIF($B$18:$C$18, P$2)&gt;0, VLOOKUP($J172,'Gear Values'!$A$2:$E$13, IF(COUNTBLANK('Attributes &amp; Prefixes'!$B$18:$C$18)&gt;0, "2", "3"), 0), COUNTIF($D$18:$E$18, P$2)&gt;0, VLOOKUP($J172,'Gear Values'!$A$2:$E$13, IF(COUNTBLANK('Attributes &amp; Prefixes'!$B$18:$C$18)&gt;0, "4", "5"), 0)), "")</f>
        <v>113</v>
      </c>
      <c r="Q172" s="137" t="str" cm="1">
        <f t="array" ref="Q172">IF(COUNTIF($B$18:$E$18, Q$2)&gt;0, _xlfn.IFS(COUNTIF($B$18:$C$18, Q$2)&gt;0, VLOOKUP($J172,'Gear Values'!$A$2:$E$13, IF(COUNTBLANK('Attributes &amp; Prefixes'!$B$18:$C$18)&gt;0, "2", "3"), 0), COUNTIF($D$18:$E$18, Q$2)&gt;0, VLOOKUP($J172,'Gear Values'!$A$2:$E$13, IF(COUNTBLANK('Attributes &amp; Prefixes'!$B$18:$C$18)&gt;0, "4", "5"), 0)), "")</f>
        <v/>
      </c>
      <c r="R172" s="137" cm="1">
        <f t="array" ref="R172">IF(COUNTIF($B$18:$E$18, R$2)&gt;0, _xlfn.IFS(COUNTIF($B$18:$C$18, R$2)&gt;0, VLOOKUP($J172,'Gear Values'!$A$2:$E$13, IF(COUNTBLANK('Attributes &amp; Prefixes'!$B$18:$C$18)&gt;0, "2", "3"), 0), COUNTIF($D$18:$E$18, R$2)&gt;0, VLOOKUP($J172,'Gear Values'!$A$2:$E$13, IF(COUNTBLANK('Attributes &amp; Prefixes'!$B$18:$C$18)&gt;0, "4", "5"), 0)), "")</f>
        <v>113</v>
      </c>
      <c r="S172" s="138" t="str" cm="1">
        <f t="array" ref="S172">IF(COUNTIF($B$18:$E$18, S$2)&gt;0, _xlfn.IFS(COUNTIF($B$18:$C$18, S$2)&gt;0, VLOOKUP($J172,'Gear Values'!$A$2:$E$13, IF(COUNTBLANK('Attributes &amp; Prefixes'!$B$18:$C$18)&gt;0, "2", "3"), 0), COUNTIF($D$18:$E$18, S$2)&gt;0, VLOOKUP($J172,'Gear Values'!$A$2:$E$13, IF(COUNTBLANK('Attributes &amp; Prefixes'!$B$18:$C$18)&gt;0, "4", "5"), 0)), "")</f>
        <v/>
      </c>
      <c r="V172" s="112"/>
      <c r="W172" s="113"/>
    </row>
    <row r="173" spans="6:23">
      <c r="F173" s="114"/>
      <c r="G173" s="114"/>
      <c r="H173" s="130" t="str">
        <f>_xlfn.CONCAT(I$171,J173)</f>
        <v>DestroyerHead</v>
      </c>
      <c r="I173" s="520"/>
      <c r="J173" s="144" t="s">
        <v>40</v>
      </c>
      <c r="K173" s="136" cm="1">
        <f t="array" ref="K173">IF(COUNTIF($B$18:$E$18, K$2)&gt;0, _xlfn.IFS(COUNTIF($B$18:$C$18, K$2)&gt;0, VLOOKUP($J173,'Gear Values'!$A$2:$E$13, IF(COUNTBLANK('Attributes &amp; Prefixes'!$B$18:$C$18)&gt;0, "2", "3"), 0), COUNTIF($D$18:$E$18, K$2)&gt;0, VLOOKUP($J173,'Gear Values'!$A$2:$E$13, IF(COUNTBLANK('Attributes &amp; Prefixes'!$B$18:$C$18)&gt;0, "4", "5"), 0)), "")</f>
        <v>51</v>
      </c>
      <c r="L173" s="137" cm="1">
        <f t="array" ref="L173">IF(COUNTIF($B$18:$E$18, L$2)&gt;0, _xlfn.IFS(COUNTIF($B$18:$C$18, L$2)&gt;0, VLOOKUP($J173,'Gear Values'!$A$2:$E$13, IF(COUNTBLANK('Attributes &amp; Prefixes'!$B$18:$C$18)&gt;0, "2", "3"), 0), COUNTIF($D$18:$E$18, L$2)&gt;0, VLOOKUP($J173,'Gear Values'!$A$2:$E$13, IF(COUNTBLANK('Attributes &amp; Prefixes'!$B$18:$C$18)&gt;0, "4", "5"), 0)), "")</f>
        <v>51</v>
      </c>
      <c r="M173" s="137" t="str" cm="1">
        <f t="array" ref="M173">IF(COUNTIF($B$18:$E$18, M$2)&gt;0, _xlfn.IFS(COUNTIF($B$18:$C$18, M$2)&gt;0, VLOOKUP($J173,'Gear Values'!$A$2:$E$13, IF(COUNTBLANK('Attributes &amp; Prefixes'!$B$18:$C$18)&gt;0, "2", "3"), 0), COUNTIF($D$18:$E$18, M$2)&gt;0, VLOOKUP($J173,'Gear Values'!$A$2:$E$13, IF(COUNTBLANK('Attributes &amp; Prefixes'!$B$18:$C$18)&gt;0, "4", "5"), 0)), "")</f>
        <v/>
      </c>
      <c r="N173" s="137" t="str" cm="1">
        <f t="array" ref="N173">IF(COUNTIF($B$18:$E$18, N$2)&gt;0, _xlfn.IFS(COUNTIF($B$18:$C$18, N$2)&gt;0, VLOOKUP($J173,'Gear Values'!$A$2:$E$13, IF(COUNTBLANK('Attributes &amp; Prefixes'!$B$18:$C$18)&gt;0, "2", "3"), 0), COUNTIF($D$18:$E$18, N$2)&gt;0, VLOOKUP($J173,'Gear Values'!$A$2:$E$13, IF(COUNTBLANK('Attributes &amp; Prefixes'!$B$18:$C$18)&gt;0, "4", "5"), 0)), "")</f>
        <v/>
      </c>
      <c r="O173" s="137" t="str" cm="1">
        <f t="array" ref="O173">IF(COUNTIF($B$18:$E$18, O$2)&gt;0, _xlfn.IFS(COUNTIF($B$18:$C$18, O$2)&gt;0, VLOOKUP($J173,'Gear Values'!$A$2:$E$13, IF(COUNTBLANK('Attributes &amp; Prefixes'!$B$18:$C$18)&gt;0, "2", "3"), 0), COUNTIF($D$18:$E$18, O$2)&gt;0, VLOOKUP($J173,'Gear Values'!$A$2:$E$13, IF(COUNTBLANK('Attributes &amp; Prefixes'!$B$18:$C$18)&gt;0, "4", "5"), 0)), "")</f>
        <v/>
      </c>
      <c r="P173" s="137" cm="1">
        <f t="array" ref="P173">IF(COUNTIF($B$18:$E$18, P$2)&gt;0, _xlfn.IFS(COUNTIF($B$18:$C$18, P$2)&gt;0, VLOOKUP($J173,'Gear Values'!$A$2:$E$13, IF(COUNTBLANK('Attributes &amp; Prefixes'!$B$18:$C$18)&gt;0, "2", "3"), 0), COUNTIF($D$18:$E$18, P$2)&gt;0, VLOOKUP($J173,'Gear Values'!$A$2:$E$13, IF(COUNTBLANK('Attributes &amp; Prefixes'!$B$18:$C$18)&gt;0, "4", "5"), 0)), "")</f>
        <v>28</v>
      </c>
      <c r="Q173" s="137" t="str" cm="1">
        <f t="array" ref="Q173">IF(COUNTIF($B$18:$E$18, Q$2)&gt;0, _xlfn.IFS(COUNTIF($B$18:$C$18, Q$2)&gt;0, VLOOKUP($J173,'Gear Values'!$A$2:$E$13, IF(COUNTBLANK('Attributes &amp; Prefixes'!$B$18:$C$18)&gt;0, "2", "3"), 0), COUNTIF($D$18:$E$18, Q$2)&gt;0, VLOOKUP($J173,'Gear Values'!$A$2:$E$13, IF(COUNTBLANK('Attributes &amp; Prefixes'!$B$18:$C$18)&gt;0, "4", "5"), 0)), "")</f>
        <v/>
      </c>
      <c r="R173" s="137" cm="1">
        <f t="array" ref="R173">IF(COUNTIF($B$18:$E$18, R$2)&gt;0, _xlfn.IFS(COUNTIF($B$18:$C$18, R$2)&gt;0, VLOOKUP($J173,'Gear Values'!$A$2:$E$13, IF(COUNTBLANK('Attributes &amp; Prefixes'!$B$18:$C$18)&gt;0, "2", "3"), 0), COUNTIF($D$18:$E$18, R$2)&gt;0, VLOOKUP($J173,'Gear Values'!$A$2:$E$13, IF(COUNTBLANK('Attributes &amp; Prefixes'!$B$18:$C$18)&gt;0, "4", "5"), 0)), "")</f>
        <v>28</v>
      </c>
      <c r="S173" s="138" t="str" cm="1">
        <f t="array" ref="S173">IF(COUNTIF($B$18:$E$18, S$2)&gt;0, _xlfn.IFS(COUNTIF($B$18:$C$18, S$2)&gt;0, VLOOKUP($J173,'Gear Values'!$A$2:$E$13, IF(COUNTBLANK('Attributes &amp; Prefixes'!$B$18:$C$18)&gt;0, "2", "3"), 0), COUNTIF($D$18:$E$18, S$2)&gt;0, VLOOKUP($J173,'Gear Values'!$A$2:$E$13, IF(COUNTBLANK('Attributes &amp; Prefixes'!$B$18:$C$18)&gt;0, "4", "5"), 0)), "")</f>
        <v/>
      </c>
      <c r="V173" s="112"/>
      <c r="W173" s="113"/>
    </row>
    <row r="174" spans="6:23">
      <c r="F174" s="114"/>
      <c r="G174" s="114"/>
      <c r="H174" s="130" t="str">
        <f>_xlfn.CONCAT(I$171,J174)</f>
        <v>DestroyerShoulders</v>
      </c>
      <c r="I174" s="520"/>
      <c r="J174" s="144" t="s">
        <v>42</v>
      </c>
      <c r="K174" s="136" cm="1">
        <f t="array" ref="K174">IF(COUNTIF($B$18:$E$18, K$2)&gt;0, _xlfn.IFS(COUNTIF($B$18:$C$18, K$2)&gt;0, VLOOKUP($J174,'Gear Values'!$A$2:$E$13, IF(COUNTBLANK('Attributes &amp; Prefixes'!$B$18:$C$18)&gt;0, "2", "3"), 0), COUNTIF($D$18:$E$18, K$2)&gt;0, VLOOKUP($J174,'Gear Values'!$A$2:$E$13, IF(COUNTBLANK('Attributes &amp; Prefixes'!$B$18:$C$18)&gt;0, "4", "5"), 0)), "")</f>
        <v>38</v>
      </c>
      <c r="L174" s="137" cm="1">
        <f t="array" ref="L174">IF(COUNTIF($B$18:$E$18, L$2)&gt;0, _xlfn.IFS(COUNTIF($B$18:$C$18, L$2)&gt;0, VLOOKUP($J174,'Gear Values'!$A$2:$E$13, IF(COUNTBLANK('Attributes &amp; Prefixes'!$B$18:$C$18)&gt;0, "2", "3"), 0), COUNTIF($D$18:$E$18, L$2)&gt;0, VLOOKUP($J174,'Gear Values'!$A$2:$E$13, IF(COUNTBLANK('Attributes &amp; Prefixes'!$B$18:$C$18)&gt;0, "4", "5"), 0)), "")</f>
        <v>38</v>
      </c>
      <c r="M174" s="137" t="str" cm="1">
        <f t="array" ref="M174">IF(COUNTIF($B$18:$E$18, M$2)&gt;0, _xlfn.IFS(COUNTIF($B$18:$C$18, M$2)&gt;0, VLOOKUP($J174,'Gear Values'!$A$2:$E$13, IF(COUNTBLANK('Attributes &amp; Prefixes'!$B$18:$C$18)&gt;0, "2", "3"), 0), COUNTIF($D$18:$E$18, M$2)&gt;0, VLOOKUP($J174,'Gear Values'!$A$2:$E$13, IF(COUNTBLANK('Attributes &amp; Prefixes'!$B$18:$C$18)&gt;0, "4", "5"), 0)), "")</f>
        <v/>
      </c>
      <c r="N174" s="137" t="str" cm="1">
        <f t="array" ref="N174">IF(COUNTIF($B$18:$E$18, N$2)&gt;0, _xlfn.IFS(COUNTIF($B$18:$C$18, N$2)&gt;0, VLOOKUP($J174,'Gear Values'!$A$2:$E$13, IF(COUNTBLANK('Attributes &amp; Prefixes'!$B$18:$C$18)&gt;0, "2", "3"), 0), COUNTIF($D$18:$E$18, N$2)&gt;0, VLOOKUP($J174,'Gear Values'!$A$2:$E$13, IF(COUNTBLANK('Attributes &amp; Prefixes'!$B$18:$C$18)&gt;0, "4", "5"), 0)), "")</f>
        <v/>
      </c>
      <c r="O174" s="137" t="str" cm="1">
        <f t="array" ref="O174">IF(COUNTIF($B$18:$E$18, O$2)&gt;0, _xlfn.IFS(COUNTIF($B$18:$C$18, O$2)&gt;0, VLOOKUP($J174,'Gear Values'!$A$2:$E$13, IF(COUNTBLANK('Attributes &amp; Prefixes'!$B$18:$C$18)&gt;0, "2", "3"), 0), COUNTIF($D$18:$E$18, O$2)&gt;0, VLOOKUP($J174,'Gear Values'!$A$2:$E$13, IF(COUNTBLANK('Attributes &amp; Prefixes'!$B$18:$C$18)&gt;0, "4", "5"), 0)), "")</f>
        <v/>
      </c>
      <c r="P174" s="137" cm="1">
        <f t="array" ref="P174">IF(COUNTIF($B$18:$E$18, P$2)&gt;0, _xlfn.IFS(COUNTIF($B$18:$C$18, P$2)&gt;0, VLOOKUP($J174,'Gear Values'!$A$2:$E$13, IF(COUNTBLANK('Attributes &amp; Prefixes'!$B$18:$C$18)&gt;0, "2", "3"), 0), COUNTIF($D$18:$E$18, P$2)&gt;0, VLOOKUP($J174,'Gear Values'!$A$2:$E$13, IF(COUNTBLANK('Attributes &amp; Prefixes'!$B$18:$C$18)&gt;0, "4", "5"), 0)), "")</f>
        <v>21</v>
      </c>
      <c r="Q174" s="137" t="str" cm="1">
        <f t="array" ref="Q174">IF(COUNTIF($B$18:$E$18, Q$2)&gt;0, _xlfn.IFS(COUNTIF($B$18:$C$18, Q$2)&gt;0, VLOOKUP($J174,'Gear Values'!$A$2:$E$13, IF(COUNTBLANK('Attributes &amp; Prefixes'!$B$18:$C$18)&gt;0, "2", "3"), 0), COUNTIF($D$18:$E$18, Q$2)&gt;0, VLOOKUP($J174,'Gear Values'!$A$2:$E$13, IF(COUNTBLANK('Attributes &amp; Prefixes'!$B$18:$C$18)&gt;0, "4", "5"), 0)), "")</f>
        <v/>
      </c>
      <c r="R174" s="137" cm="1">
        <f t="array" ref="R174">IF(COUNTIF($B$18:$E$18, R$2)&gt;0, _xlfn.IFS(COUNTIF($B$18:$C$18, R$2)&gt;0, VLOOKUP($J174,'Gear Values'!$A$2:$E$13, IF(COUNTBLANK('Attributes &amp; Prefixes'!$B$18:$C$18)&gt;0, "2", "3"), 0), COUNTIF($D$18:$E$18, R$2)&gt;0, VLOOKUP($J174,'Gear Values'!$A$2:$E$13, IF(COUNTBLANK('Attributes &amp; Prefixes'!$B$18:$C$18)&gt;0, "4", "5"), 0)), "")</f>
        <v>21</v>
      </c>
      <c r="S174" s="138" t="str" cm="1">
        <f t="array" ref="S174">IF(COUNTIF($B$18:$E$18, S$2)&gt;0, _xlfn.IFS(COUNTIF($B$18:$C$18, S$2)&gt;0, VLOOKUP($J174,'Gear Values'!$A$2:$E$13, IF(COUNTBLANK('Attributes &amp; Prefixes'!$B$18:$C$18)&gt;0, "2", "3"), 0), COUNTIF($D$18:$E$18, S$2)&gt;0, VLOOKUP($J174,'Gear Values'!$A$2:$E$13, IF(COUNTBLANK('Attributes &amp; Prefixes'!$B$18:$C$18)&gt;0, "4", "5"), 0)), "")</f>
        <v/>
      </c>
      <c r="V174" s="112"/>
      <c r="W174" s="113"/>
    </row>
    <row r="175" spans="6:23">
      <c r="F175" s="114"/>
      <c r="G175" s="114"/>
      <c r="H175" s="130" t="str">
        <f>_xlfn.CONCAT(I$171,J175)</f>
        <v>DestroyerChest</v>
      </c>
      <c r="I175" s="520"/>
      <c r="J175" s="144" t="s">
        <v>44</v>
      </c>
      <c r="K175" s="136" cm="1">
        <f t="array" ref="K175">IF(COUNTIF($B$18:$E$18, K$2)&gt;0, _xlfn.IFS(COUNTIF($B$18:$C$18, K$2)&gt;0, VLOOKUP($J175,'Gear Values'!$A$2:$E$13, IF(COUNTBLANK('Attributes &amp; Prefixes'!$B$18:$C$18)&gt;0, "2", "3"), 0), COUNTIF($D$18:$E$18, K$2)&gt;0, VLOOKUP($J175,'Gear Values'!$A$2:$E$13, IF(COUNTBLANK('Attributes &amp; Prefixes'!$B$18:$C$18)&gt;0, "4", "5"), 0)), "")</f>
        <v>115</v>
      </c>
      <c r="L175" s="137" cm="1">
        <f t="array" ref="L175">IF(COUNTIF($B$18:$E$18, L$2)&gt;0, _xlfn.IFS(COUNTIF($B$18:$C$18, L$2)&gt;0, VLOOKUP($J175,'Gear Values'!$A$2:$E$13, IF(COUNTBLANK('Attributes &amp; Prefixes'!$B$18:$C$18)&gt;0, "2", "3"), 0), COUNTIF($D$18:$E$18, L$2)&gt;0, VLOOKUP($J175,'Gear Values'!$A$2:$E$13, IF(COUNTBLANK('Attributes &amp; Prefixes'!$B$18:$C$18)&gt;0, "4", "5"), 0)), "")</f>
        <v>115</v>
      </c>
      <c r="M175" s="137" t="str" cm="1">
        <f t="array" ref="M175">IF(COUNTIF($B$18:$E$18, M$2)&gt;0, _xlfn.IFS(COUNTIF($B$18:$C$18, M$2)&gt;0, VLOOKUP($J175,'Gear Values'!$A$2:$E$13, IF(COUNTBLANK('Attributes &amp; Prefixes'!$B$18:$C$18)&gt;0, "2", "3"), 0), COUNTIF($D$18:$E$18, M$2)&gt;0, VLOOKUP($J175,'Gear Values'!$A$2:$E$13, IF(COUNTBLANK('Attributes &amp; Prefixes'!$B$18:$C$18)&gt;0, "4", "5"), 0)), "")</f>
        <v/>
      </c>
      <c r="N175" s="137" t="str" cm="1">
        <f t="array" ref="N175">IF(COUNTIF($B$18:$E$18, N$2)&gt;0, _xlfn.IFS(COUNTIF($B$18:$C$18, N$2)&gt;0, VLOOKUP($J175,'Gear Values'!$A$2:$E$13, IF(COUNTBLANK('Attributes &amp; Prefixes'!$B$18:$C$18)&gt;0, "2", "3"), 0), COUNTIF($D$18:$E$18, N$2)&gt;0, VLOOKUP($J175,'Gear Values'!$A$2:$E$13, IF(COUNTBLANK('Attributes &amp; Prefixes'!$B$18:$C$18)&gt;0, "4", "5"), 0)), "")</f>
        <v/>
      </c>
      <c r="O175" s="137" t="str" cm="1">
        <f t="array" ref="O175">IF(COUNTIF($B$18:$E$18, O$2)&gt;0, _xlfn.IFS(COUNTIF($B$18:$C$18, O$2)&gt;0, VLOOKUP($J175,'Gear Values'!$A$2:$E$13, IF(COUNTBLANK('Attributes &amp; Prefixes'!$B$18:$C$18)&gt;0, "2", "3"), 0), COUNTIF($D$18:$E$18, O$2)&gt;0, VLOOKUP($J175,'Gear Values'!$A$2:$E$13, IF(COUNTBLANK('Attributes &amp; Prefixes'!$B$18:$C$18)&gt;0, "4", "5"), 0)), "")</f>
        <v/>
      </c>
      <c r="P175" s="137" cm="1">
        <f t="array" ref="P175">IF(COUNTIF($B$18:$E$18, P$2)&gt;0, _xlfn.IFS(COUNTIF($B$18:$C$18, P$2)&gt;0, VLOOKUP($J175,'Gear Values'!$A$2:$E$13, IF(COUNTBLANK('Attributes &amp; Prefixes'!$B$18:$C$18)&gt;0, "2", "3"), 0), COUNTIF($D$18:$E$18, P$2)&gt;0, VLOOKUP($J175,'Gear Values'!$A$2:$E$13, IF(COUNTBLANK('Attributes &amp; Prefixes'!$B$18:$C$18)&gt;0, "4", "5"), 0)), "")</f>
        <v>63</v>
      </c>
      <c r="Q175" s="137" t="str" cm="1">
        <f t="array" ref="Q175">IF(COUNTIF($B$18:$E$18, Q$2)&gt;0, _xlfn.IFS(COUNTIF($B$18:$C$18, Q$2)&gt;0, VLOOKUP($J175,'Gear Values'!$A$2:$E$13, IF(COUNTBLANK('Attributes &amp; Prefixes'!$B$18:$C$18)&gt;0, "2", "3"), 0), COUNTIF($D$18:$E$18, Q$2)&gt;0, VLOOKUP($J175,'Gear Values'!$A$2:$E$13, IF(COUNTBLANK('Attributes &amp; Prefixes'!$B$18:$C$18)&gt;0, "4", "5"), 0)), "")</f>
        <v/>
      </c>
      <c r="R175" s="137" cm="1">
        <f t="array" ref="R175">IF(COUNTIF($B$18:$E$18, R$2)&gt;0, _xlfn.IFS(COUNTIF($B$18:$C$18, R$2)&gt;0, VLOOKUP($J175,'Gear Values'!$A$2:$E$13, IF(COUNTBLANK('Attributes &amp; Prefixes'!$B$18:$C$18)&gt;0, "2", "3"), 0), COUNTIF($D$18:$E$18, R$2)&gt;0, VLOOKUP($J175,'Gear Values'!$A$2:$E$13, IF(COUNTBLANK('Attributes &amp; Prefixes'!$B$18:$C$18)&gt;0, "4", "5"), 0)), "")</f>
        <v>63</v>
      </c>
      <c r="S175" s="138" t="str" cm="1">
        <f t="array" ref="S175">IF(COUNTIF($B$18:$E$18, S$2)&gt;0, _xlfn.IFS(COUNTIF($B$18:$C$18, S$2)&gt;0, VLOOKUP($J175,'Gear Values'!$A$2:$E$13, IF(COUNTBLANK('Attributes &amp; Prefixes'!$B$18:$C$18)&gt;0, "2", "3"), 0), COUNTIF($D$18:$E$18, S$2)&gt;0, VLOOKUP($J175,'Gear Values'!$A$2:$E$13, IF(COUNTBLANK('Attributes &amp; Prefixes'!$B$18:$C$18)&gt;0, "4", "5"), 0)), "")</f>
        <v/>
      </c>
      <c r="V175" s="112"/>
      <c r="W175" s="113"/>
    </row>
    <row r="176" spans="6:23">
      <c r="F176" s="114"/>
      <c r="G176" s="114"/>
      <c r="H176" s="130" t="str">
        <f>_xlfn.CONCAT(I$171,J176)</f>
        <v>DestroyerHands</v>
      </c>
      <c r="I176" s="520"/>
      <c r="J176" s="144" t="s">
        <v>45</v>
      </c>
      <c r="K176" s="136" cm="1">
        <f t="array" ref="K176">IF(COUNTIF($B$18:$E$18, K$2)&gt;0, _xlfn.IFS(COUNTIF($B$18:$C$18, K$2)&gt;0, VLOOKUP($J176,'Gear Values'!$A$2:$E$13, IF(COUNTBLANK('Attributes &amp; Prefixes'!$B$18:$C$18)&gt;0, "2", "3"), 0), COUNTIF($D$18:$E$18, K$2)&gt;0, VLOOKUP($J176,'Gear Values'!$A$2:$E$13, IF(COUNTBLANK('Attributes &amp; Prefixes'!$B$18:$C$18)&gt;0, "4", "5"), 0)), "")</f>
        <v>38</v>
      </c>
      <c r="L176" s="137" cm="1">
        <f t="array" ref="L176">IF(COUNTIF($B$18:$E$18, L$2)&gt;0, _xlfn.IFS(COUNTIF($B$18:$C$18, L$2)&gt;0, VLOOKUP($J176,'Gear Values'!$A$2:$E$13, IF(COUNTBLANK('Attributes &amp; Prefixes'!$B$18:$C$18)&gt;0, "2", "3"), 0), COUNTIF($D$18:$E$18, L$2)&gt;0, VLOOKUP($J176,'Gear Values'!$A$2:$E$13, IF(COUNTBLANK('Attributes &amp; Prefixes'!$B$18:$C$18)&gt;0, "4", "5"), 0)), "")</f>
        <v>38</v>
      </c>
      <c r="M176" s="137" t="str" cm="1">
        <f t="array" ref="M176">IF(COUNTIF($B$18:$E$18, M$2)&gt;0, _xlfn.IFS(COUNTIF($B$18:$C$18, M$2)&gt;0, VLOOKUP($J176,'Gear Values'!$A$2:$E$13, IF(COUNTBLANK('Attributes &amp; Prefixes'!$B$18:$C$18)&gt;0, "2", "3"), 0), COUNTIF($D$18:$E$18, M$2)&gt;0, VLOOKUP($J176,'Gear Values'!$A$2:$E$13, IF(COUNTBLANK('Attributes &amp; Prefixes'!$B$18:$C$18)&gt;0, "4", "5"), 0)), "")</f>
        <v/>
      </c>
      <c r="N176" s="137" t="str" cm="1">
        <f t="array" ref="N176">IF(COUNTIF($B$18:$E$18, N$2)&gt;0, _xlfn.IFS(COUNTIF($B$18:$C$18, N$2)&gt;0, VLOOKUP($J176,'Gear Values'!$A$2:$E$13, IF(COUNTBLANK('Attributes &amp; Prefixes'!$B$18:$C$18)&gt;0, "2", "3"), 0), COUNTIF($D$18:$E$18, N$2)&gt;0, VLOOKUP($J176,'Gear Values'!$A$2:$E$13, IF(COUNTBLANK('Attributes &amp; Prefixes'!$B$18:$C$18)&gt;0, "4", "5"), 0)), "")</f>
        <v/>
      </c>
      <c r="O176" s="137" t="str" cm="1">
        <f t="array" ref="O176">IF(COUNTIF($B$18:$E$18, O$2)&gt;0, _xlfn.IFS(COUNTIF($B$18:$C$18, O$2)&gt;0, VLOOKUP($J176,'Gear Values'!$A$2:$E$13, IF(COUNTBLANK('Attributes &amp; Prefixes'!$B$18:$C$18)&gt;0, "2", "3"), 0), COUNTIF($D$18:$E$18, O$2)&gt;0, VLOOKUP($J176,'Gear Values'!$A$2:$E$13, IF(COUNTBLANK('Attributes &amp; Prefixes'!$B$18:$C$18)&gt;0, "4", "5"), 0)), "")</f>
        <v/>
      </c>
      <c r="P176" s="137" cm="1">
        <f t="array" ref="P176">IF(COUNTIF($B$18:$E$18, P$2)&gt;0, _xlfn.IFS(COUNTIF($B$18:$C$18, P$2)&gt;0, VLOOKUP($J176,'Gear Values'!$A$2:$E$13, IF(COUNTBLANK('Attributes &amp; Prefixes'!$B$18:$C$18)&gt;0, "2", "3"), 0), COUNTIF($D$18:$E$18, P$2)&gt;0, VLOOKUP($J176,'Gear Values'!$A$2:$E$13, IF(COUNTBLANK('Attributes &amp; Prefixes'!$B$18:$C$18)&gt;0, "4", "5"), 0)), "")</f>
        <v>21</v>
      </c>
      <c r="Q176" s="137" t="str" cm="1">
        <f t="array" ref="Q176">IF(COUNTIF($B$18:$E$18, Q$2)&gt;0, _xlfn.IFS(COUNTIF($B$18:$C$18, Q$2)&gt;0, VLOOKUP($J176,'Gear Values'!$A$2:$E$13, IF(COUNTBLANK('Attributes &amp; Prefixes'!$B$18:$C$18)&gt;0, "2", "3"), 0), COUNTIF($D$18:$E$18, Q$2)&gt;0, VLOOKUP($J176,'Gear Values'!$A$2:$E$13, IF(COUNTBLANK('Attributes &amp; Prefixes'!$B$18:$C$18)&gt;0, "4", "5"), 0)), "")</f>
        <v/>
      </c>
      <c r="R176" s="137" cm="1">
        <f t="array" ref="R176">IF(COUNTIF($B$18:$E$18, R$2)&gt;0, _xlfn.IFS(COUNTIF($B$18:$C$18, R$2)&gt;0, VLOOKUP($J176,'Gear Values'!$A$2:$E$13, IF(COUNTBLANK('Attributes &amp; Prefixes'!$B$18:$C$18)&gt;0, "2", "3"), 0), COUNTIF($D$18:$E$18, R$2)&gt;0, VLOOKUP($J176,'Gear Values'!$A$2:$E$13, IF(COUNTBLANK('Attributes &amp; Prefixes'!$B$18:$C$18)&gt;0, "4", "5"), 0)), "")</f>
        <v>21</v>
      </c>
      <c r="S176" s="138" t="str" cm="1">
        <f t="array" ref="S176">IF(COUNTIF($B$18:$E$18, S$2)&gt;0, _xlfn.IFS(COUNTIF($B$18:$C$18, S$2)&gt;0, VLOOKUP($J176,'Gear Values'!$A$2:$E$13, IF(COUNTBLANK('Attributes &amp; Prefixes'!$B$18:$C$18)&gt;0, "2", "3"), 0), COUNTIF($D$18:$E$18, S$2)&gt;0, VLOOKUP($J176,'Gear Values'!$A$2:$E$13, IF(COUNTBLANK('Attributes &amp; Prefixes'!$B$18:$C$18)&gt;0, "4", "5"), 0)), "")</f>
        <v/>
      </c>
      <c r="V176" s="112"/>
      <c r="W176" s="113"/>
    </row>
    <row r="177" spans="6:23">
      <c r="F177" s="114"/>
      <c r="G177" s="114"/>
      <c r="H177" s="130" t="str">
        <f>_xlfn.CONCAT(I$171,J177)</f>
        <v>DestroyerLegs</v>
      </c>
      <c r="I177" s="520"/>
      <c r="J177" s="144" t="s">
        <v>47</v>
      </c>
      <c r="K177" s="136" cm="1">
        <f t="array" ref="K177">IF(COUNTIF($B$18:$E$18, K$2)&gt;0, _xlfn.IFS(COUNTIF($B$18:$C$18, K$2)&gt;0, VLOOKUP($J177,'Gear Values'!$A$2:$E$13, IF(COUNTBLANK('Attributes &amp; Prefixes'!$B$18:$C$18)&gt;0, "2", "3"), 0), COUNTIF($D$18:$E$18, K$2)&gt;0, VLOOKUP($J177,'Gear Values'!$A$2:$E$13, IF(COUNTBLANK('Attributes &amp; Prefixes'!$B$18:$C$18)&gt;0, "4", "5"), 0)), "")</f>
        <v>77</v>
      </c>
      <c r="L177" s="137" cm="1">
        <f t="array" ref="L177">IF(COUNTIF($B$18:$E$18, L$2)&gt;0, _xlfn.IFS(COUNTIF($B$18:$C$18, L$2)&gt;0, VLOOKUP($J177,'Gear Values'!$A$2:$E$13, IF(COUNTBLANK('Attributes &amp; Prefixes'!$B$18:$C$18)&gt;0, "2", "3"), 0), COUNTIF($D$18:$E$18, L$2)&gt;0, VLOOKUP($J177,'Gear Values'!$A$2:$E$13, IF(COUNTBLANK('Attributes &amp; Prefixes'!$B$18:$C$18)&gt;0, "4", "5"), 0)), "")</f>
        <v>77</v>
      </c>
      <c r="M177" s="137" t="str" cm="1">
        <f t="array" ref="M177">IF(COUNTIF($B$18:$E$18, M$2)&gt;0, _xlfn.IFS(COUNTIF($B$18:$C$18, M$2)&gt;0, VLOOKUP($J177,'Gear Values'!$A$2:$E$13, IF(COUNTBLANK('Attributes &amp; Prefixes'!$B$18:$C$18)&gt;0, "2", "3"), 0), COUNTIF($D$18:$E$18, M$2)&gt;0, VLOOKUP($J177,'Gear Values'!$A$2:$E$13, IF(COUNTBLANK('Attributes &amp; Prefixes'!$B$18:$C$18)&gt;0, "4", "5"), 0)), "")</f>
        <v/>
      </c>
      <c r="N177" s="137" t="str" cm="1">
        <f t="array" ref="N177">IF(COUNTIF($B$18:$E$18, N$2)&gt;0, _xlfn.IFS(COUNTIF($B$18:$C$18, N$2)&gt;0, VLOOKUP($J177,'Gear Values'!$A$2:$E$13, IF(COUNTBLANK('Attributes &amp; Prefixes'!$B$18:$C$18)&gt;0, "2", "3"), 0), COUNTIF($D$18:$E$18, N$2)&gt;0, VLOOKUP($J177,'Gear Values'!$A$2:$E$13, IF(COUNTBLANK('Attributes &amp; Prefixes'!$B$18:$C$18)&gt;0, "4", "5"), 0)), "")</f>
        <v/>
      </c>
      <c r="O177" s="137" t="str" cm="1">
        <f t="array" ref="O177">IF(COUNTIF($B$18:$E$18, O$2)&gt;0, _xlfn.IFS(COUNTIF($B$18:$C$18, O$2)&gt;0, VLOOKUP($J177,'Gear Values'!$A$2:$E$13, IF(COUNTBLANK('Attributes &amp; Prefixes'!$B$18:$C$18)&gt;0, "2", "3"), 0), COUNTIF($D$18:$E$18, O$2)&gt;0, VLOOKUP($J177,'Gear Values'!$A$2:$E$13, IF(COUNTBLANK('Attributes &amp; Prefixes'!$B$18:$C$18)&gt;0, "4", "5"), 0)), "")</f>
        <v/>
      </c>
      <c r="P177" s="137" cm="1">
        <f t="array" ref="P177">IF(COUNTIF($B$18:$E$18, P$2)&gt;0, _xlfn.IFS(COUNTIF($B$18:$C$18, P$2)&gt;0, VLOOKUP($J177,'Gear Values'!$A$2:$E$13, IF(COUNTBLANK('Attributes &amp; Prefixes'!$B$18:$C$18)&gt;0, "2", "3"), 0), COUNTIF($D$18:$E$18, P$2)&gt;0, VLOOKUP($J177,'Gear Values'!$A$2:$E$13, IF(COUNTBLANK('Attributes &amp; Prefixes'!$B$18:$C$18)&gt;0, "4", "5"), 0)), "")</f>
        <v>42</v>
      </c>
      <c r="Q177" s="137" t="str" cm="1">
        <f t="array" ref="Q177">IF(COUNTIF($B$18:$E$18, Q$2)&gt;0, _xlfn.IFS(COUNTIF($B$18:$C$18, Q$2)&gt;0, VLOOKUP($J177,'Gear Values'!$A$2:$E$13, IF(COUNTBLANK('Attributes &amp; Prefixes'!$B$18:$C$18)&gt;0, "2", "3"), 0), COUNTIF($D$18:$E$18, Q$2)&gt;0, VLOOKUP($J177,'Gear Values'!$A$2:$E$13, IF(COUNTBLANK('Attributes &amp; Prefixes'!$B$18:$C$18)&gt;0, "4", "5"), 0)), "")</f>
        <v/>
      </c>
      <c r="R177" s="137" cm="1">
        <f t="array" ref="R177">IF(COUNTIF($B$18:$E$18, R$2)&gt;0, _xlfn.IFS(COUNTIF($B$18:$C$18, R$2)&gt;0, VLOOKUP($J177,'Gear Values'!$A$2:$E$13, IF(COUNTBLANK('Attributes &amp; Prefixes'!$B$18:$C$18)&gt;0, "2", "3"), 0), COUNTIF($D$18:$E$18, R$2)&gt;0, VLOOKUP($J177,'Gear Values'!$A$2:$E$13, IF(COUNTBLANK('Attributes &amp; Prefixes'!$B$18:$C$18)&gt;0, "4", "5"), 0)), "")</f>
        <v>42</v>
      </c>
      <c r="S177" s="138" t="str" cm="1">
        <f t="array" ref="S177">IF(COUNTIF($B$18:$E$18, S$2)&gt;0, _xlfn.IFS(COUNTIF($B$18:$C$18, S$2)&gt;0, VLOOKUP($J177,'Gear Values'!$A$2:$E$13, IF(COUNTBLANK('Attributes &amp; Prefixes'!$B$18:$C$18)&gt;0, "2", "3"), 0), COUNTIF($D$18:$E$18, S$2)&gt;0, VLOOKUP($J177,'Gear Values'!$A$2:$E$13, IF(COUNTBLANK('Attributes &amp; Prefixes'!$B$18:$C$18)&gt;0, "4", "5"), 0)), "")</f>
        <v/>
      </c>
      <c r="V177" s="112"/>
      <c r="W177" s="113"/>
    </row>
    <row r="178" spans="6:23">
      <c r="F178" s="114"/>
      <c r="G178" s="114"/>
      <c r="H178" s="130" t="str">
        <f>_xlfn.CONCAT(I$171,J178)</f>
        <v>DestroyerFeet</v>
      </c>
      <c r="I178" s="520"/>
      <c r="J178" s="144" t="s">
        <v>48</v>
      </c>
      <c r="K178" s="136" cm="1">
        <f t="array" ref="K178">IF(COUNTIF($B$18:$E$18, K$2)&gt;0, _xlfn.IFS(COUNTIF($B$18:$C$18, K$2)&gt;0, VLOOKUP($J178,'Gear Values'!$A$2:$E$13, IF(COUNTBLANK('Attributes &amp; Prefixes'!$B$18:$C$18)&gt;0, "2", "3"), 0), COUNTIF($D$18:$E$18, K$2)&gt;0, VLOOKUP($J178,'Gear Values'!$A$2:$E$13, IF(COUNTBLANK('Attributes &amp; Prefixes'!$B$18:$C$18)&gt;0, "4", "5"), 0)), "")</f>
        <v>38</v>
      </c>
      <c r="L178" s="137" cm="1">
        <f t="array" ref="L178">IF(COUNTIF($B$18:$E$18, L$2)&gt;0, _xlfn.IFS(COUNTIF($B$18:$C$18, L$2)&gt;0, VLOOKUP($J178,'Gear Values'!$A$2:$E$13, IF(COUNTBLANK('Attributes &amp; Prefixes'!$B$18:$C$18)&gt;0, "2", "3"), 0), COUNTIF($D$18:$E$18, L$2)&gt;0, VLOOKUP($J178,'Gear Values'!$A$2:$E$13, IF(COUNTBLANK('Attributes &amp; Prefixes'!$B$18:$C$18)&gt;0, "4", "5"), 0)), "")</f>
        <v>38</v>
      </c>
      <c r="M178" s="137" t="str" cm="1">
        <f t="array" ref="M178">IF(COUNTIF($B$18:$E$18, M$2)&gt;0, _xlfn.IFS(COUNTIF($B$18:$C$18, M$2)&gt;0, VLOOKUP($J178,'Gear Values'!$A$2:$E$13, IF(COUNTBLANK('Attributes &amp; Prefixes'!$B$18:$C$18)&gt;0, "2", "3"), 0), COUNTIF($D$18:$E$18, M$2)&gt;0, VLOOKUP($J178,'Gear Values'!$A$2:$E$13, IF(COUNTBLANK('Attributes &amp; Prefixes'!$B$18:$C$18)&gt;0, "4", "5"), 0)), "")</f>
        <v/>
      </c>
      <c r="N178" s="137" t="str" cm="1">
        <f t="array" ref="N178">IF(COUNTIF($B$18:$E$18, N$2)&gt;0, _xlfn.IFS(COUNTIF($B$18:$C$18, N$2)&gt;0, VLOOKUP($J178,'Gear Values'!$A$2:$E$13, IF(COUNTBLANK('Attributes &amp; Prefixes'!$B$18:$C$18)&gt;0, "2", "3"), 0), COUNTIF($D$18:$E$18, N$2)&gt;0, VLOOKUP($J178,'Gear Values'!$A$2:$E$13, IF(COUNTBLANK('Attributes &amp; Prefixes'!$B$18:$C$18)&gt;0, "4", "5"), 0)), "")</f>
        <v/>
      </c>
      <c r="O178" s="137" t="str" cm="1">
        <f t="array" ref="O178">IF(COUNTIF($B$18:$E$18, O$2)&gt;0, _xlfn.IFS(COUNTIF($B$18:$C$18, O$2)&gt;0, VLOOKUP($J178,'Gear Values'!$A$2:$E$13, IF(COUNTBLANK('Attributes &amp; Prefixes'!$B$18:$C$18)&gt;0, "2", "3"), 0), COUNTIF($D$18:$E$18, O$2)&gt;0, VLOOKUP($J178,'Gear Values'!$A$2:$E$13, IF(COUNTBLANK('Attributes &amp; Prefixes'!$B$18:$C$18)&gt;0, "4", "5"), 0)), "")</f>
        <v/>
      </c>
      <c r="P178" s="137" cm="1">
        <f t="array" ref="P178">IF(COUNTIF($B$18:$E$18, P$2)&gt;0, _xlfn.IFS(COUNTIF($B$18:$C$18, P$2)&gt;0, VLOOKUP($J178,'Gear Values'!$A$2:$E$13, IF(COUNTBLANK('Attributes &amp; Prefixes'!$B$18:$C$18)&gt;0, "2", "3"), 0), COUNTIF($D$18:$E$18, P$2)&gt;0, VLOOKUP($J178,'Gear Values'!$A$2:$E$13, IF(COUNTBLANK('Attributes &amp; Prefixes'!$B$18:$C$18)&gt;0, "4", "5"), 0)), "")</f>
        <v>21</v>
      </c>
      <c r="Q178" s="137" t="str" cm="1">
        <f t="array" ref="Q178">IF(COUNTIF($B$18:$E$18, Q$2)&gt;0, _xlfn.IFS(COUNTIF($B$18:$C$18, Q$2)&gt;0, VLOOKUP($J178,'Gear Values'!$A$2:$E$13, IF(COUNTBLANK('Attributes &amp; Prefixes'!$B$18:$C$18)&gt;0, "2", "3"), 0), COUNTIF($D$18:$E$18, Q$2)&gt;0, VLOOKUP($J178,'Gear Values'!$A$2:$E$13, IF(COUNTBLANK('Attributes &amp; Prefixes'!$B$18:$C$18)&gt;0, "4", "5"), 0)), "")</f>
        <v/>
      </c>
      <c r="R178" s="137" cm="1">
        <f t="array" ref="R178">IF(COUNTIF($B$18:$E$18, R$2)&gt;0, _xlfn.IFS(COUNTIF($B$18:$C$18, R$2)&gt;0, VLOOKUP($J178,'Gear Values'!$A$2:$E$13, IF(COUNTBLANK('Attributes &amp; Prefixes'!$B$18:$C$18)&gt;0, "2", "3"), 0), COUNTIF($D$18:$E$18, R$2)&gt;0, VLOOKUP($J178,'Gear Values'!$A$2:$E$13, IF(COUNTBLANK('Attributes &amp; Prefixes'!$B$18:$C$18)&gt;0, "4", "5"), 0)), "")</f>
        <v>21</v>
      </c>
      <c r="S178" s="138" t="str" cm="1">
        <f t="array" ref="S178">IF(COUNTIF($B$18:$E$18, S$2)&gt;0, _xlfn.IFS(COUNTIF($B$18:$C$18, S$2)&gt;0, VLOOKUP($J178,'Gear Values'!$A$2:$E$13, IF(COUNTBLANK('Attributes &amp; Prefixes'!$B$18:$C$18)&gt;0, "2", "3"), 0), COUNTIF($D$18:$E$18, S$2)&gt;0, VLOOKUP($J178,'Gear Values'!$A$2:$E$13, IF(COUNTBLANK('Attributes &amp; Prefixes'!$B$18:$C$18)&gt;0, "4", "5"), 0)), "")</f>
        <v/>
      </c>
      <c r="V178" s="112"/>
      <c r="W178" s="113"/>
    </row>
    <row r="179" spans="6:23">
      <c r="F179" s="114"/>
      <c r="G179" s="114"/>
      <c r="H179" s="130" t="str">
        <f>_xlfn.CONCAT(I$171,J179)</f>
        <v>DestroyerEar</v>
      </c>
      <c r="I179" s="520"/>
      <c r="J179" s="144" t="s">
        <v>49</v>
      </c>
      <c r="K179" s="136" cm="1">
        <f t="array" ref="K179">IF(COUNTIF($B$18:$E$18, K$2)&gt;0, _xlfn.IFS(COUNTIF($B$18:$C$18, K$2)&gt;0, VLOOKUP($J179,'Gear Values'!$A$2:$E$13, IF(COUNTBLANK('Attributes &amp; Prefixes'!$B$18:$C$18)&gt;0, "2", "3"), 0), COUNTIF($D$18:$E$18, K$2)&gt;0, VLOOKUP($J179,'Gear Values'!$A$2:$E$13, IF(COUNTBLANK('Attributes &amp; Prefixes'!$B$18:$C$18)&gt;0, "4", "5"), 0)), "")</f>
        <v>64</v>
      </c>
      <c r="L179" s="137" cm="1">
        <f t="array" ref="L179">IF(COUNTIF($B$18:$E$18, L$2)&gt;0, _xlfn.IFS(COUNTIF($B$18:$C$18, L$2)&gt;0, VLOOKUP($J179,'Gear Values'!$A$2:$E$13, IF(COUNTBLANK('Attributes &amp; Prefixes'!$B$18:$C$18)&gt;0, "2", "3"), 0), COUNTIF($D$18:$E$18, L$2)&gt;0, VLOOKUP($J179,'Gear Values'!$A$2:$E$13, IF(COUNTBLANK('Attributes &amp; Prefixes'!$B$18:$C$18)&gt;0, "4", "5"), 0)), "")</f>
        <v>64</v>
      </c>
      <c r="M179" s="137" t="str" cm="1">
        <f t="array" ref="M179">IF(COUNTIF($B$18:$E$18, M$2)&gt;0, _xlfn.IFS(COUNTIF($B$18:$C$18, M$2)&gt;0, VLOOKUP($J179,'Gear Values'!$A$2:$E$13, IF(COUNTBLANK('Attributes &amp; Prefixes'!$B$18:$C$18)&gt;0, "2", "3"), 0), COUNTIF($D$18:$E$18, M$2)&gt;0, VLOOKUP($J179,'Gear Values'!$A$2:$E$13, IF(COUNTBLANK('Attributes &amp; Prefixes'!$B$18:$C$18)&gt;0, "4", "5"), 0)), "")</f>
        <v/>
      </c>
      <c r="N179" s="137" t="str" cm="1">
        <f t="array" ref="N179">IF(COUNTIF($B$18:$E$18, N$2)&gt;0, _xlfn.IFS(COUNTIF($B$18:$C$18, N$2)&gt;0, VLOOKUP($J179,'Gear Values'!$A$2:$E$13, IF(COUNTBLANK('Attributes &amp; Prefixes'!$B$18:$C$18)&gt;0, "2", "3"), 0), COUNTIF($D$18:$E$18, N$2)&gt;0, VLOOKUP($J179,'Gear Values'!$A$2:$E$13, IF(COUNTBLANK('Attributes &amp; Prefixes'!$B$18:$C$18)&gt;0, "4", "5"), 0)), "")</f>
        <v/>
      </c>
      <c r="O179" s="137" t="str" cm="1">
        <f t="array" ref="O179">IF(COUNTIF($B$18:$E$18, O$2)&gt;0, _xlfn.IFS(COUNTIF($B$18:$C$18, O$2)&gt;0, VLOOKUP($J179,'Gear Values'!$A$2:$E$13, IF(COUNTBLANK('Attributes &amp; Prefixes'!$B$18:$C$18)&gt;0, "2", "3"), 0), COUNTIF($D$18:$E$18, O$2)&gt;0, VLOOKUP($J179,'Gear Values'!$A$2:$E$13, IF(COUNTBLANK('Attributes &amp; Prefixes'!$B$18:$C$18)&gt;0, "4", "5"), 0)), "")</f>
        <v/>
      </c>
      <c r="P179" s="137" cm="1">
        <f t="array" ref="P179">IF(COUNTIF($B$18:$E$18, P$2)&gt;0, _xlfn.IFS(COUNTIF($B$18:$C$18, P$2)&gt;0, VLOOKUP($J179,'Gear Values'!$A$2:$E$13, IF(COUNTBLANK('Attributes &amp; Prefixes'!$B$18:$C$18)&gt;0, "2", "3"), 0), COUNTIF($D$18:$E$18, P$2)&gt;0, VLOOKUP($J179,'Gear Values'!$A$2:$E$13, IF(COUNTBLANK('Attributes &amp; Prefixes'!$B$18:$C$18)&gt;0, "4", "5"), 0)), "")</f>
        <v>35</v>
      </c>
      <c r="Q179" s="137" t="str" cm="1">
        <f t="array" ref="Q179">IF(COUNTIF($B$18:$E$18, Q$2)&gt;0, _xlfn.IFS(COUNTIF($B$18:$C$18, Q$2)&gt;0, VLOOKUP($J179,'Gear Values'!$A$2:$E$13, IF(COUNTBLANK('Attributes &amp; Prefixes'!$B$18:$C$18)&gt;0, "2", "3"), 0), COUNTIF($D$18:$E$18, Q$2)&gt;0, VLOOKUP($J179,'Gear Values'!$A$2:$E$13, IF(COUNTBLANK('Attributes &amp; Prefixes'!$B$18:$C$18)&gt;0, "4", "5"), 0)), "")</f>
        <v/>
      </c>
      <c r="R179" s="137" cm="1">
        <f t="array" ref="R179">IF(COUNTIF($B$18:$E$18, R$2)&gt;0, _xlfn.IFS(COUNTIF($B$18:$C$18, R$2)&gt;0, VLOOKUP($J179,'Gear Values'!$A$2:$E$13, IF(COUNTBLANK('Attributes &amp; Prefixes'!$B$18:$C$18)&gt;0, "2", "3"), 0), COUNTIF($D$18:$E$18, R$2)&gt;0, VLOOKUP($J179,'Gear Values'!$A$2:$E$13, IF(COUNTBLANK('Attributes &amp; Prefixes'!$B$18:$C$18)&gt;0, "4", "5"), 0)), "")</f>
        <v>35</v>
      </c>
      <c r="S179" s="138" t="str" cm="1">
        <f t="array" ref="S179">IF(COUNTIF($B$18:$E$18, S$2)&gt;0, _xlfn.IFS(COUNTIF($B$18:$C$18, S$2)&gt;0, VLOOKUP($J179,'Gear Values'!$A$2:$E$13, IF(COUNTBLANK('Attributes &amp; Prefixes'!$B$18:$C$18)&gt;0, "2", "3"), 0), COUNTIF($D$18:$E$18, S$2)&gt;0, VLOOKUP($J179,'Gear Values'!$A$2:$E$13, IF(COUNTBLANK('Attributes &amp; Prefixes'!$B$18:$C$18)&gt;0, "4", "5"), 0)), "")</f>
        <v/>
      </c>
      <c r="V179" s="112"/>
      <c r="W179" s="113"/>
    </row>
    <row r="180" spans="6:23">
      <c r="H180" s="130" t="str">
        <f>_xlfn.CONCAT(I$171,J180)</f>
        <v>DestroyerFinger</v>
      </c>
      <c r="I180" s="520"/>
      <c r="J180" s="144" t="s">
        <v>51</v>
      </c>
      <c r="K180" s="136" cm="1">
        <f t="array" ref="K180">IF(COUNTIF($B$18:$E$18, K$2)&gt;0, _xlfn.IFS(COUNTIF($B$18:$C$18, K$2)&gt;0, VLOOKUP($J180,'Gear Values'!$A$2:$E$13, IF(COUNTBLANK('Attributes &amp; Prefixes'!$B$18:$C$18)&gt;0, "2", "3"), 0), COUNTIF($D$18:$E$18, K$2)&gt;0, VLOOKUP($J180,'Gear Values'!$A$2:$E$13, IF(COUNTBLANK('Attributes &amp; Prefixes'!$B$18:$C$18)&gt;0, "4", "5"), 0)), "")</f>
        <v>77</v>
      </c>
      <c r="L180" s="137" cm="1">
        <f t="array" ref="L180">IF(COUNTIF($B$18:$E$18, L$2)&gt;0, _xlfn.IFS(COUNTIF($B$18:$C$18, L$2)&gt;0, VLOOKUP($J180,'Gear Values'!$A$2:$E$13, IF(COUNTBLANK('Attributes &amp; Prefixes'!$B$18:$C$18)&gt;0, "2", "3"), 0), COUNTIF($D$18:$E$18, L$2)&gt;0, VLOOKUP($J180,'Gear Values'!$A$2:$E$13, IF(COUNTBLANK('Attributes &amp; Prefixes'!$B$18:$C$18)&gt;0, "4", "5"), 0)), "")</f>
        <v>77</v>
      </c>
      <c r="M180" s="137" t="str" cm="1">
        <f t="array" ref="M180">IF(COUNTIF($B$18:$E$18, M$2)&gt;0, _xlfn.IFS(COUNTIF($B$18:$C$18, M$2)&gt;0, VLOOKUP($J180,'Gear Values'!$A$2:$E$13, IF(COUNTBLANK('Attributes &amp; Prefixes'!$B$18:$C$18)&gt;0, "2", "3"), 0), COUNTIF($D$18:$E$18, M$2)&gt;0, VLOOKUP($J180,'Gear Values'!$A$2:$E$13, IF(COUNTBLANK('Attributes &amp; Prefixes'!$B$18:$C$18)&gt;0, "4", "5"), 0)), "")</f>
        <v/>
      </c>
      <c r="N180" s="137" t="str" cm="1">
        <f t="array" ref="N180">IF(COUNTIF($B$18:$E$18, N$2)&gt;0, _xlfn.IFS(COUNTIF($B$18:$C$18, N$2)&gt;0, VLOOKUP($J180,'Gear Values'!$A$2:$E$13, IF(COUNTBLANK('Attributes &amp; Prefixes'!$B$18:$C$18)&gt;0, "2", "3"), 0), COUNTIF($D$18:$E$18, N$2)&gt;0, VLOOKUP($J180,'Gear Values'!$A$2:$E$13, IF(COUNTBLANK('Attributes &amp; Prefixes'!$B$18:$C$18)&gt;0, "4", "5"), 0)), "")</f>
        <v/>
      </c>
      <c r="O180" s="137" t="str" cm="1">
        <f t="array" ref="O180">IF(COUNTIF($B$18:$E$18, O$2)&gt;0, _xlfn.IFS(COUNTIF($B$18:$C$18, O$2)&gt;0, VLOOKUP($J180,'Gear Values'!$A$2:$E$13, IF(COUNTBLANK('Attributes &amp; Prefixes'!$B$18:$C$18)&gt;0, "2", "3"), 0), COUNTIF($D$18:$E$18, O$2)&gt;0, VLOOKUP($J180,'Gear Values'!$A$2:$E$13, IF(COUNTBLANK('Attributes &amp; Prefixes'!$B$18:$C$18)&gt;0, "4", "5"), 0)), "")</f>
        <v/>
      </c>
      <c r="P180" s="137" cm="1">
        <f t="array" ref="P180">IF(COUNTIF($B$18:$E$18, P$2)&gt;0, _xlfn.IFS(COUNTIF($B$18:$C$18, P$2)&gt;0, VLOOKUP($J180,'Gear Values'!$A$2:$E$13, IF(COUNTBLANK('Attributes &amp; Prefixes'!$B$18:$C$18)&gt;0, "2", "3"), 0), COUNTIF($D$18:$E$18, P$2)&gt;0, VLOOKUP($J180,'Gear Values'!$A$2:$E$13, IF(COUNTBLANK('Attributes &amp; Prefixes'!$B$18:$C$18)&gt;0, "4", "5"), 0)), "")</f>
        <v>42</v>
      </c>
      <c r="Q180" s="137" t="str" cm="1">
        <f t="array" ref="Q180">IF(COUNTIF($B$18:$E$18, Q$2)&gt;0, _xlfn.IFS(COUNTIF($B$18:$C$18, Q$2)&gt;0, VLOOKUP($J180,'Gear Values'!$A$2:$E$13, IF(COUNTBLANK('Attributes &amp; Prefixes'!$B$18:$C$18)&gt;0, "2", "3"), 0), COUNTIF($D$18:$E$18, Q$2)&gt;0, VLOOKUP($J180,'Gear Values'!$A$2:$E$13, IF(COUNTBLANK('Attributes &amp; Prefixes'!$B$18:$C$18)&gt;0, "4", "5"), 0)), "")</f>
        <v/>
      </c>
      <c r="R180" s="137" cm="1">
        <f t="array" ref="R180">IF(COUNTIF($B$18:$E$18, R$2)&gt;0, _xlfn.IFS(COUNTIF($B$18:$C$18, R$2)&gt;0, VLOOKUP($J180,'Gear Values'!$A$2:$E$13, IF(COUNTBLANK('Attributes &amp; Prefixes'!$B$18:$C$18)&gt;0, "2", "3"), 0), COUNTIF($D$18:$E$18, R$2)&gt;0, VLOOKUP($J180,'Gear Values'!$A$2:$E$13, IF(COUNTBLANK('Attributes &amp; Prefixes'!$B$18:$C$18)&gt;0, "4", "5"), 0)), "")</f>
        <v>42</v>
      </c>
      <c r="S180" s="138" t="str" cm="1">
        <f t="array" ref="S180">IF(COUNTIF($B$18:$E$18, S$2)&gt;0, _xlfn.IFS(COUNTIF($B$18:$C$18, S$2)&gt;0, VLOOKUP($J180,'Gear Values'!$A$2:$E$13, IF(COUNTBLANK('Attributes &amp; Prefixes'!$B$18:$C$18)&gt;0, "2", "3"), 0), COUNTIF($D$18:$E$18, S$2)&gt;0, VLOOKUP($J180,'Gear Values'!$A$2:$E$13, IF(COUNTBLANK('Attributes &amp; Prefixes'!$B$18:$C$18)&gt;0, "4", "5"), 0)), "")</f>
        <v/>
      </c>
      <c r="V180" s="112"/>
      <c r="W180" s="113"/>
    </row>
    <row r="181" spans="6:23">
      <c r="H181" s="130" t="str">
        <f>_xlfn.CONCAT(I$171,J181)</f>
        <v>DestroyerNeck</v>
      </c>
      <c r="I181" s="520"/>
      <c r="J181" s="144" t="s">
        <v>52</v>
      </c>
      <c r="K181" s="136" cm="1">
        <f t="array" ref="K181">IF(COUNTIF($B$18:$E$18, K$2)&gt;0, _xlfn.IFS(COUNTIF($B$18:$C$18, K$2)&gt;0, VLOOKUP($J181,'Gear Values'!$A$2:$E$13, IF(COUNTBLANK('Attributes &amp; Prefixes'!$B$18:$C$18)&gt;0, "2", "3"), 0), COUNTIF($D$18:$E$18, K$2)&gt;0, VLOOKUP($J181,'Gear Values'!$A$2:$E$13, IF(COUNTBLANK('Attributes &amp; Prefixes'!$B$18:$C$18)&gt;0, "4", "5"), 0)), "")</f>
        <v>102</v>
      </c>
      <c r="L181" s="137" cm="1">
        <f t="array" ref="L181">IF(COUNTIF($B$18:$E$18, L$2)&gt;0, _xlfn.IFS(COUNTIF($B$18:$C$18, L$2)&gt;0, VLOOKUP($J181,'Gear Values'!$A$2:$E$13, IF(COUNTBLANK('Attributes &amp; Prefixes'!$B$18:$C$18)&gt;0, "2", "3"), 0), COUNTIF($D$18:$E$18, L$2)&gt;0, VLOOKUP($J181,'Gear Values'!$A$2:$E$13, IF(COUNTBLANK('Attributes &amp; Prefixes'!$B$18:$C$18)&gt;0, "4", "5"), 0)), "")</f>
        <v>102</v>
      </c>
      <c r="M181" s="137" t="str" cm="1">
        <f t="array" ref="M181">IF(COUNTIF($B$18:$E$18, M$2)&gt;0, _xlfn.IFS(COUNTIF($B$18:$C$18, M$2)&gt;0, VLOOKUP($J181,'Gear Values'!$A$2:$E$13, IF(COUNTBLANK('Attributes &amp; Prefixes'!$B$18:$C$18)&gt;0, "2", "3"), 0), COUNTIF($D$18:$E$18, M$2)&gt;0, VLOOKUP($J181,'Gear Values'!$A$2:$E$13, IF(COUNTBLANK('Attributes &amp; Prefixes'!$B$18:$C$18)&gt;0, "4", "5"), 0)), "")</f>
        <v/>
      </c>
      <c r="N181" s="137" t="str" cm="1">
        <f t="array" ref="N181">IF(COUNTIF($B$18:$E$18, N$2)&gt;0, _xlfn.IFS(COUNTIF($B$18:$C$18, N$2)&gt;0, VLOOKUP($J181,'Gear Values'!$A$2:$E$13, IF(COUNTBLANK('Attributes &amp; Prefixes'!$B$18:$C$18)&gt;0, "2", "3"), 0), COUNTIF($D$18:$E$18, N$2)&gt;0, VLOOKUP($J181,'Gear Values'!$A$2:$E$13, IF(COUNTBLANK('Attributes &amp; Prefixes'!$B$18:$C$18)&gt;0, "4", "5"), 0)), "")</f>
        <v/>
      </c>
      <c r="O181" s="137" t="str" cm="1">
        <f t="array" ref="O181">IF(COUNTIF($B$18:$E$18, O$2)&gt;0, _xlfn.IFS(COUNTIF($B$18:$C$18, O$2)&gt;0, VLOOKUP($J181,'Gear Values'!$A$2:$E$13, IF(COUNTBLANK('Attributes &amp; Prefixes'!$B$18:$C$18)&gt;0, "2", "3"), 0), COUNTIF($D$18:$E$18, O$2)&gt;0, VLOOKUP($J181,'Gear Values'!$A$2:$E$13, IF(COUNTBLANK('Attributes &amp; Prefixes'!$B$18:$C$18)&gt;0, "4", "5"), 0)), "")</f>
        <v/>
      </c>
      <c r="P181" s="137" cm="1">
        <f t="array" ref="P181">IF(COUNTIF($B$18:$E$18, P$2)&gt;0, _xlfn.IFS(COUNTIF($B$18:$C$18, P$2)&gt;0, VLOOKUP($J181,'Gear Values'!$A$2:$E$13, IF(COUNTBLANK('Attributes &amp; Prefixes'!$B$18:$C$18)&gt;0, "2", "3"), 0), COUNTIF($D$18:$E$18, P$2)&gt;0, VLOOKUP($J181,'Gear Values'!$A$2:$E$13, IF(COUNTBLANK('Attributes &amp; Prefixes'!$B$18:$C$18)&gt;0, "4", "5"), 0)), "")</f>
        <v>56</v>
      </c>
      <c r="Q181" s="137" t="str" cm="1">
        <f t="array" ref="Q181">IF(COUNTIF($B$18:$E$18, Q$2)&gt;0, _xlfn.IFS(COUNTIF($B$18:$C$18, Q$2)&gt;0, VLOOKUP($J181,'Gear Values'!$A$2:$E$13, IF(COUNTBLANK('Attributes &amp; Prefixes'!$B$18:$C$18)&gt;0, "2", "3"), 0), COUNTIF($D$18:$E$18, Q$2)&gt;0, VLOOKUP($J181,'Gear Values'!$A$2:$E$13, IF(COUNTBLANK('Attributes &amp; Prefixes'!$B$18:$C$18)&gt;0, "4", "5"), 0)), "")</f>
        <v/>
      </c>
      <c r="R181" s="137" cm="1">
        <f t="array" ref="R181">IF(COUNTIF($B$18:$E$18, R$2)&gt;0, _xlfn.IFS(COUNTIF($B$18:$C$18, R$2)&gt;0, VLOOKUP($J181,'Gear Values'!$A$2:$E$13, IF(COUNTBLANK('Attributes &amp; Prefixes'!$B$18:$C$18)&gt;0, "2", "3"), 0), COUNTIF($D$18:$E$18, R$2)&gt;0, VLOOKUP($J181,'Gear Values'!$A$2:$E$13, IF(COUNTBLANK('Attributes &amp; Prefixes'!$B$18:$C$18)&gt;0, "4", "5"), 0)), "")</f>
        <v>56</v>
      </c>
      <c r="S181" s="138" t="str" cm="1">
        <f t="array" ref="S181">IF(COUNTIF($B$18:$E$18, S$2)&gt;0, _xlfn.IFS(COUNTIF($B$18:$C$18, S$2)&gt;0, VLOOKUP($J181,'Gear Values'!$A$2:$E$13, IF(COUNTBLANK('Attributes &amp; Prefixes'!$B$18:$C$18)&gt;0, "2", "3"), 0), COUNTIF($D$18:$E$18, S$2)&gt;0, VLOOKUP($J181,'Gear Values'!$A$2:$E$13, IF(COUNTBLANK('Attributes &amp; Prefixes'!$B$18:$C$18)&gt;0, "4", "5"), 0)), "")</f>
        <v/>
      </c>
      <c r="V181" s="112"/>
      <c r="W181" s="113"/>
    </row>
    <row r="182" spans="6:23">
      <c r="H182" s="130" t="str">
        <f>_xlfn.CONCAT(I$171,J182)</f>
        <v>DestroyerBack</v>
      </c>
      <c r="I182" s="521"/>
      <c r="J182" s="146" t="s">
        <v>53</v>
      </c>
      <c r="K182" s="147" t="str" cm="1">
        <f t="array" ref="K182">IF(COUNTIF($B$18:$E$18, K$2)&gt;0, _xlfn.IFS(COUNTIF($B$18:$C$18, K$2)&gt;0, VLOOKUP($J182,'Gear Values'!$A$2:$E$13, IF(COUNTBLANK('Attributes &amp; Prefixes'!$B$18:$C$18)&gt;0, "2", "3"), 0), COUNTIF($D$18:$E$18, K$2)&gt;0, VLOOKUP($J182,'Gear Values'!$A$2:$E$13, IF(COUNTBLANK('Attributes &amp; Prefixes'!$B$18:$C$18)&gt;0, "4", "5"), 0)), "")</f>
        <v>N/A</v>
      </c>
      <c r="L182" s="148" t="str" cm="1">
        <f t="array" ref="L182">IF(COUNTIF($B$18:$E$18, L$2)&gt;0, _xlfn.IFS(COUNTIF($B$18:$C$18, L$2)&gt;0, VLOOKUP($J182,'Gear Values'!$A$2:$E$13, IF(COUNTBLANK('Attributes &amp; Prefixes'!$B$18:$C$18)&gt;0, "2", "3"), 0), COUNTIF($D$18:$E$18, L$2)&gt;0, VLOOKUP($J182,'Gear Values'!$A$2:$E$13, IF(COUNTBLANK('Attributes &amp; Prefixes'!$B$18:$C$18)&gt;0, "4", "5"), 0)), "")</f>
        <v>N/A</v>
      </c>
      <c r="M182" s="148" t="str" cm="1">
        <f t="array" ref="M182">IF(COUNTIF($B$18:$E$18, M$2)&gt;0, _xlfn.IFS(COUNTIF($B$18:$C$18, M$2)&gt;0, VLOOKUP($J182,'Gear Values'!$A$2:$E$13, IF(COUNTBLANK('Attributes &amp; Prefixes'!$B$18:$C$18)&gt;0, "2", "3"), 0), COUNTIF($D$18:$E$18, M$2)&gt;0, VLOOKUP($J182,'Gear Values'!$A$2:$E$13, IF(COUNTBLANK('Attributes &amp; Prefixes'!$B$18:$C$18)&gt;0, "4", "5"), 0)), "")</f>
        <v/>
      </c>
      <c r="N182" s="148" t="str" cm="1">
        <f t="array" ref="N182">IF(COUNTIF($B$18:$E$18, N$2)&gt;0, _xlfn.IFS(COUNTIF($B$18:$C$18, N$2)&gt;0, VLOOKUP($J182,'Gear Values'!$A$2:$E$13, IF(COUNTBLANK('Attributes &amp; Prefixes'!$B$18:$C$18)&gt;0, "2", "3"), 0), COUNTIF($D$18:$E$18, N$2)&gt;0, VLOOKUP($J182,'Gear Values'!$A$2:$E$13, IF(COUNTBLANK('Attributes &amp; Prefixes'!$B$18:$C$18)&gt;0, "4", "5"), 0)), "")</f>
        <v/>
      </c>
      <c r="O182" s="148" t="str" cm="1">
        <f t="array" ref="O182">IF(COUNTIF($B$18:$E$18, O$2)&gt;0, _xlfn.IFS(COUNTIF($B$18:$C$18, O$2)&gt;0, VLOOKUP($J182,'Gear Values'!$A$2:$E$13, IF(COUNTBLANK('Attributes &amp; Prefixes'!$B$18:$C$18)&gt;0, "2", "3"), 0), COUNTIF($D$18:$E$18, O$2)&gt;0, VLOOKUP($J182,'Gear Values'!$A$2:$E$13, IF(COUNTBLANK('Attributes &amp; Prefixes'!$B$18:$C$18)&gt;0, "4", "5"), 0)), "")</f>
        <v/>
      </c>
      <c r="P182" s="148" t="str" cm="1">
        <f t="array" ref="P182">IF(COUNTIF($B$18:$E$18, P$2)&gt;0, _xlfn.IFS(COUNTIF($B$18:$C$18, P$2)&gt;0, VLOOKUP($J182,'Gear Values'!$A$2:$E$13, IF(COUNTBLANK('Attributes &amp; Prefixes'!$B$18:$C$18)&gt;0, "2", "3"), 0), COUNTIF($D$18:$E$18, P$2)&gt;0, VLOOKUP($J182,'Gear Values'!$A$2:$E$13, IF(COUNTBLANK('Attributes &amp; Prefixes'!$B$18:$C$18)&gt;0, "4", "5"), 0)), "")</f>
        <v>N/A</v>
      </c>
      <c r="Q182" s="148" t="str" cm="1">
        <f t="array" ref="Q182">IF(COUNTIF($B$18:$E$18, Q$2)&gt;0, _xlfn.IFS(COUNTIF($B$18:$C$18, Q$2)&gt;0, VLOOKUP($J182,'Gear Values'!$A$2:$E$13, IF(COUNTBLANK('Attributes &amp; Prefixes'!$B$18:$C$18)&gt;0, "2", "3"), 0), COUNTIF($D$18:$E$18, Q$2)&gt;0, VLOOKUP($J182,'Gear Values'!$A$2:$E$13, IF(COUNTBLANK('Attributes &amp; Prefixes'!$B$18:$C$18)&gt;0, "4", "5"), 0)), "")</f>
        <v/>
      </c>
      <c r="R182" s="148" t="str" cm="1">
        <f t="array" ref="R182">IF(COUNTIF($B$18:$E$18, R$2)&gt;0, _xlfn.IFS(COUNTIF($B$18:$C$18, R$2)&gt;0, VLOOKUP($J182,'Gear Values'!$A$2:$E$13, IF(COUNTBLANK('Attributes &amp; Prefixes'!$B$18:$C$18)&gt;0, "2", "3"), 0), COUNTIF($D$18:$E$18, R$2)&gt;0, VLOOKUP($J182,'Gear Values'!$A$2:$E$13, IF(COUNTBLANK('Attributes &amp; Prefixes'!$B$18:$C$18)&gt;0, "4", "5"), 0)), "")</f>
        <v>N/A</v>
      </c>
      <c r="S182" s="150" t="str" cm="1">
        <f t="array" ref="S182">IF(COUNTIF($B$18:$E$18, S$2)&gt;0, _xlfn.IFS(COUNTIF($B$18:$C$18, S$2)&gt;0, VLOOKUP($J182,'Gear Values'!$A$2:$E$13, IF(COUNTBLANK('Attributes &amp; Prefixes'!$B$18:$C$18)&gt;0, "2", "3"), 0), COUNTIF($D$18:$E$18, S$2)&gt;0, VLOOKUP($J182,'Gear Values'!$A$2:$E$13, IF(COUNTBLANK('Attributes &amp; Prefixes'!$B$18:$C$18)&gt;0, "4", "5"), 0)), "")</f>
        <v/>
      </c>
      <c r="V182" s="112"/>
      <c r="W182" s="113"/>
    </row>
    <row r="183" spans="6:23">
      <c r="H183" s="130" t="str">
        <f>_xlfn.CONCAT(I$183,J183)</f>
        <v>DireWeapon (1H)</v>
      </c>
      <c r="I183" s="519" t="str">
        <f>A19</f>
        <v>Dire</v>
      </c>
      <c r="J183" s="145" t="s">
        <v>37</v>
      </c>
      <c r="K183" s="133" t="str" cm="1">
        <f t="array" ref="K183">IF(COUNTIF($B$19:$E$19, K$2)&gt;0, _xlfn.IFS(COUNTIF($B$19:$C$19, K$2)&gt;0, VLOOKUP($J183,'Gear Values'!$A$2:$E$13, IF(COUNTBLANK('Attributes &amp; Prefixes'!$B$19:$C$19)&gt;0, "2", "3"), 0), COUNTIF($D$19:$E$19, K$2)&gt;0, VLOOKUP($J183,'Gear Values'!$A$2:$E$13, IF(COUNTBLANK('Attributes &amp; Prefixes'!$B$19:$C$19)&gt;0, "4", "5"), 0)), "")</f>
        <v/>
      </c>
      <c r="L183" s="134" t="str" cm="1">
        <f t="array" ref="L183">IF(COUNTIF($B$19:$E$19, L$2)&gt;0, _xlfn.IFS(COUNTIF($B$19:$C$19, L$2)&gt;0, VLOOKUP($J183,'Gear Values'!$A$2:$E$13, IF(COUNTBLANK('Attributes &amp; Prefixes'!$B$19:$C$19)&gt;0, "2", "3"), 0), COUNTIF($D$19:$E$19, L$2)&gt;0, VLOOKUP($J183,'Gear Values'!$A$2:$E$13, IF(COUNTBLANK('Attributes &amp; Prefixes'!$B$19:$C$19)&gt;0, "4", "5"), 0)), "")</f>
        <v/>
      </c>
      <c r="M183" s="134" cm="1">
        <f t="array" ref="M183">IF(COUNTIF($B$19:$E$19, M$2)&gt;0, _xlfn.IFS(COUNTIF($B$19:$C$19, M$2)&gt;0, VLOOKUP($J183,'Gear Values'!$A$2:$E$13, IF(COUNTBLANK('Attributes &amp; Prefixes'!$B$19:$C$19)&gt;0, "2", "3"), 0), COUNTIF($D$19:$E$19, M$2)&gt;0, VLOOKUP($J183,'Gear Values'!$A$2:$E$13, IF(COUNTBLANK('Attributes &amp; Prefixes'!$B$19:$C$19)&gt;0, "4", "5"), 0)), "")</f>
        <v>85</v>
      </c>
      <c r="N183" s="134" cm="1">
        <f t="array" ref="N183">IF(COUNTIF($B$19:$E$19, N$2)&gt;0, _xlfn.IFS(COUNTIF($B$19:$C$19, N$2)&gt;0, VLOOKUP($J183,'Gear Values'!$A$2:$E$13, IF(COUNTBLANK('Attributes &amp; Prefixes'!$B$19:$C$19)&gt;0, "2", "3"), 0), COUNTIF($D$19:$E$19, N$2)&gt;0, VLOOKUP($J183,'Gear Values'!$A$2:$E$13, IF(COUNTBLANK('Attributes &amp; Prefixes'!$B$19:$C$19)&gt;0, "4", "5"), 0)), "")</f>
        <v>85</v>
      </c>
      <c r="O183" s="134" t="str" cm="1">
        <f t="array" ref="O183">IF(COUNTIF($B$19:$E$19, O$2)&gt;0, _xlfn.IFS(COUNTIF($B$19:$C$19, O$2)&gt;0, VLOOKUP($J183,'Gear Values'!$A$2:$E$13, IF(COUNTBLANK('Attributes &amp; Prefixes'!$B$19:$C$19)&gt;0, "2", "3"), 0), COUNTIF($D$19:$E$19, O$2)&gt;0, VLOOKUP($J183,'Gear Values'!$A$2:$E$13, IF(COUNTBLANK('Attributes &amp; Prefixes'!$B$19:$C$19)&gt;0, "4", "5"), 0)), "")</f>
        <v/>
      </c>
      <c r="P183" s="134" cm="1">
        <f t="array" ref="P183">IF(COUNTIF($B$19:$E$19, P$2)&gt;0, _xlfn.IFS(COUNTIF($B$19:$C$19, P$2)&gt;0, VLOOKUP($J183,'Gear Values'!$A$2:$E$13, IF(COUNTBLANK('Attributes &amp; Prefixes'!$B$19:$C$19)&gt;0, "2", "3"), 0), COUNTIF($D$19:$E$19, P$2)&gt;0, VLOOKUP($J183,'Gear Values'!$A$2:$E$13, IF(COUNTBLANK('Attributes &amp; Prefixes'!$B$19:$C$19)&gt;0, "4", "5"), 0)), "")</f>
        <v>120</v>
      </c>
      <c r="Q183" s="134" t="str" cm="1">
        <f t="array" ref="Q183">IF(COUNTIF($B$19:$E$19, Q$2)&gt;0, _xlfn.IFS(COUNTIF($B$19:$C$19, Q$2)&gt;0, VLOOKUP($J183,'Gear Values'!$A$2:$E$13, IF(COUNTBLANK('Attributes &amp; Prefixes'!$B$19:$C$19)&gt;0, "2", "3"), 0), COUNTIF($D$19:$E$19, Q$2)&gt;0, VLOOKUP($J183,'Gear Values'!$A$2:$E$13, IF(COUNTBLANK('Attributes &amp; Prefixes'!$B$19:$C$19)&gt;0, "4", "5"), 0)), "")</f>
        <v/>
      </c>
      <c r="R183" s="134" t="str" cm="1">
        <f t="array" ref="R183">IF(COUNTIF($B$19:$E$19, R$2)&gt;0, _xlfn.IFS(COUNTIF($B$19:$C$19, R$2)&gt;0, VLOOKUP($J183,'Gear Values'!$A$2:$E$13, IF(COUNTBLANK('Attributes &amp; Prefixes'!$B$19:$C$19)&gt;0, "2", "3"), 0), COUNTIF($D$19:$E$19, R$2)&gt;0, VLOOKUP($J183,'Gear Values'!$A$2:$E$13, IF(COUNTBLANK('Attributes &amp; Prefixes'!$B$19:$C$19)&gt;0, "4", "5"), 0)), "")</f>
        <v/>
      </c>
      <c r="S183" s="135" t="str" cm="1">
        <f t="array" ref="S183">IF(COUNTIF($B$19:$E$19, S$2)&gt;0, _xlfn.IFS(COUNTIF($B$19:$C$19, S$2)&gt;0, VLOOKUP($J183,'Gear Values'!$A$2:$E$13, IF(COUNTBLANK('Attributes &amp; Prefixes'!$B$19:$C$19)&gt;0, "2", "3"), 0), COUNTIF($D$19:$E$19, S$2)&gt;0, VLOOKUP($J183,'Gear Values'!$A$2:$E$13, IF(COUNTBLANK('Attributes &amp; Prefixes'!$B$19:$C$19)&gt;0, "4", "5"), 0)), "")</f>
        <v/>
      </c>
      <c r="V183" s="112"/>
      <c r="W183" s="113"/>
    </row>
    <row r="184" spans="6:23">
      <c r="H184" s="130" t="str">
        <f>_xlfn.CONCAT(I$183,J184)</f>
        <v>DireWeapon (2H)</v>
      </c>
      <c r="I184" s="520"/>
      <c r="J184" s="144" t="s">
        <v>39</v>
      </c>
      <c r="K184" s="136" t="str" cm="1">
        <f t="array" ref="K184">IF(COUNTIF($B$19:$E$19, K$2)&gt;0, _xlfn.IFS(COUNTIF($B$19:$C$19, K$2)&gt;0, VLOOKUP($J184,'Gear Values'!$A$2:$E$13, IF(COUNTBLANK('Attributes &amp; Prefixes'!$B$19:$C$19)&gt;0, "2", "3"), 0), COUNTIF($D$19:$E$19, K$2)&gt;0, VLOOKUP($J184,'Gear Values'!$A$2:$E$13, IF(COUNTBLANK('Attributes &amp; Prefixes'!$B$19:$C$19)&gt;0, "4", "5"), 0)), "")</f>
        <v/>
      </c>
      <c r="L184" s="137" t="str" cm="1">
        <f t="array" ref="L184">IF(COUNTIF($B$19:$E$19, L$2)&gt;0, _xlfn.IFS(COUNTIF($B$19:$C$19, L$2)&gt;0, VLOOKUP($J184,'Gear Values'!$A$2:$E$13, IF(COUNTBLANK('Attributes &amp; Prefixes'!$B$19:$C$19)&gt;0, "2", "3"), 0), COUNTIF($D$19:$E$19, L$2)&gt;0, VLOOKUP($J184,'Gear Values'!$A$2:$E$13, IF(COUNTBLANK('Attributes &amp; Prefixes'!$B$19:$C$19)&gt;0, "4", "5"), 0)), "")</f>
        <v/>
      </c>
      <c r="M184" s="137" cm="1">
        <f t="array" ref="M184">IF(COUNTIF($B$19:$E$19, M$2)&gt;0, _xlfn.IFS(COUNTIF($B$19:$C$19, M$2)&gt;0, VLOOKUP($J184,'Gear Values'!$A$2:$E$13, IF(COUNTBLANK('Attributes &amp; Prefixes'!$B$19:$C$19)&gt;0, "2", "3"), 0), COUNTIF($D$19:$E$19, M$2)&gt;0, VLOOKUP($J184,'Gear Values'!$A$2:$E$13, IF(COUNTBLANK('Attributes &amp; Prefixes'!$B$19:$C$19)&gt;0, "4", "5"), 0)), "")</f>
        <v>171</v>
      </c>
      <c r="N184" s="137" cm="1">
        <f t="array" ref="N184">IF(COUNTIF($B$19:$E$19, N$2)&gt;0, _xlfn.IFS(COUNTIF($B$19:$C$19, N$2)&gt;0, VLOOKUP($J184,'Gear Values'!$A$2:$E$13, IF(COUNTBLANK('Attributes &amp; Prefixes'!$B$19:$C$19)&gt;0, "2", "3"), 0), COUNTIF($D$19:$E$19, N$2)&gt;0, VLOOKUP($J184,'Gear Values'!$A$2:$E$13, IF(COUNTBLANK('Attributes &amp; Prefixes'!$B$19:$C$19)&gt;0, "4", "5"), 0)), "")</f>
        <v>171</v>
      </c>
      <c r="O184" s="137" t="str" cm="1">
        <f t="array" ref="O184">IF(COUNTIF($B$19:$E$19, O$2)&gt;0, _xlfn.IFS(COUNTIF($B$19:$C$19, O$2)&gt;0, VLOOKUP($J184,'Gear Values'!$A$2:$E$13, IF(COUNTBLANK('Attributes &amp; Prefixes'!$B$19:$C$19)&gt;0, "2", "3"), 0), COUNTIF($D$19:$E$19, O$2)&gt;0, VLOOKUP($J184,'Gear Values'!$A$2:$E$13, IF(COUNTBLANK('Attributes &amp; Prefixes'!$B$19:$C$19)&gt;0, "4", "5"), 0)), "")</f>
        <v/>
      </c>
      <c r="P184" s="137" cm="1">
        <f t="array" ref="P184">IF(COUNTIF($B$19:$E$19, P$2)&gt;0, _xlfn.IFS(COUNTIF($B$19:$C$19, P$2)&gt;0, VLOOKUP($J184,'Gear Values'!$A$2:$E$13, IF(COUNTBLANK('Attributes &amp; Prefixes'!$B$19:$C$19)&gt;0, "2", "3"), 0), COUNTIF($D$19:$E$19, P$2)&gt;0, VLOOKUP($J184,'Gear Values'!$A$2:$E$13, IF(COUNTBLANK('Attributes &amp; Prefixes'!$B$19:$C$19)&gt;0, "4", "5"), 0)), "")</f>
        <v>239</v>
      </c>
      <c r="Q184" s="137" t="str" cm="1">
        <f t="array" ref="Q184">IF(COUNTIF($B$19:$E$19, Q$2)&gt;0, _xlfn.IFS(COUNTIF($B$19:$C$19, Q$2)&gt;0, VLOOKUP($J184,'Gear Values'!$A$2:$E$13, IF(COUNTBLANK('Attributes &amp; Prefixes'!$B$19:$C$19)&gt;0, "2", "3"), 0), COUNTIF($D$19:$E$19, Q$2)&gt;0, VLOOKUP($J184,'Gear Values'!$A$2:$E$13, IF(COUNTBLANK('Attributes &amp; Prefixes'!$B$19:$C$19)&gt;0, "4", "5"), 0)), "")</f>
        <v/>
      </c>
      <c r="R184" s="137" t="str" cm="1">
        <f t="array" ref="R184">IF(COUNTIF($B$19:$E$19, R$2)&gt;0, _xlfn.IFS(COUNTIF($B$19:$C$19, R$2)&gt;0, VLOOKUP($J184,'Gear Values'!$A$2:$E$13, IF(COUNTBLANK('Attributes &amp; Prefixes'!$B$19:$C$19)&gt;0, "2", "3"), 0), COUNTIF($D$19:$E$19, R$2)&gt;0, VLOOKUP($J184,'Gear Values'!$A$2:$E$13, IF(COUNTBLANK('Attributes &amp; Prefixes'!$B$19:$C$19)&gt;0, "4", "5"), 0)), "")</f>
        <v/>
      </c>
      <c r="S184" s="138" t="str" cm="1">
        <f t="array" ref="S184">IF(COUNTIF($B$19:$E$19, S$2)&gt;0, _xlfn.IFS(COUNTIF($B$19:$C$19, S$2)&gt;0, VLOOKUP($J184,'Gear Values'!$A$2:$E$13, IF(COUNTBLANK('Attributes &amp; Prefixes'!$B$19:$C$19)&gt;0, "2", "3"), 0), COUNTIF($D$19:$E$19, S$2)&gt;0, VLOOKUP($J184,'Gear Values'!$A$2:$E$13, IF(COUNTBLANK('Attributes &amp; Prefixes'!$B$19:$C$19)&gt;0, "4", "5"), 0)), "")</f>
        <v/>
      </c>
      <c r="V184" s="112"/>
      <c r="W184" s="113"/>
    </row>
    <row r="185" spans="6:23">
      <c r="H185" s="130" t="str">
        <f>_xlfn.CONCAT(I$183,J185)</f>
        <v>DireHead</v>
      </c>
      <c r="I185" s="520"/>
      <c r="J185" s="144" t="s">
        <v>40</v>
      </c>
      <c r="K185" s="136" t="str" cm="1">
        <f t="array" ref="K185">IF(COUNTIF($B$19:$E$19, K$2)&gt;0, _xlfn.IFS(COUNTIF($B$19:$C$19, K$2)&gt;0, VLOOKUP($J185,'Gear Values'!$A$2:$E$13, IF(COUNTBLANK('Attributes &amp; Prefixes'!$B$19:$C$19)&gt;0, "2", "3"), 0), COUNTIF($D$19:$E$19, K$2)&gt;0, VLOOKUP($J185,'Gear Values'!$A$2:$E$13, IF(COUNTBLANK('Attributes &amp; Prefixes'!$B$19:$C$19)&gt;0, "4", "5"), 0)), "")</f>
        <v/>
      </c>
      <c r="L185" s="137" t="str" cm="1">
        <f t="array" ref="L185">IF(COUNTIF($B$19:$E$19, L$2)&gt;0, _xlfn.IFS(COUNTIF($B$19:$C$19, L$2)&gt;0, VLOOKUP($J185,'Gear Values'!$A$2:$E$13, IF(COUNTBLANK('Attributes &amp; Prefixes'!$B$19:$C$19)&gt;0, "2", "3"), 0), COUNTIF($D$19:$E$19, L$2)&gt;0, VLOOKUP($J185,'Gear Values'!$A$2:$E$13, IF(COUNTBLANK('Attributes &amp; Prefixes'!$B$19:$C$19)&gt;0, "4", "5"), 0)), "")</f>
        <v/>
      </c>
      <c r="M185" s="137" cm="1">
        <f t="array" ref="M185">IF(COUNTIF($B$19:$E$19, M$2)&gt;0, _xlfn.IFS(COUNTIF($B$19:$C$19, M$2)&gt;0, VLOOKUP($J185,'Gear Values'!$A$2:$E$13, IF(COUNTBLANK('Attributes &amp; Prefixes'!$B$19:$C$19)&gt;0, "2", "3"), 0), COUNTIF($D$19:$E$19, M$2)&gt;0, VLOOKUP($J185,'Gear Values'!$A$2:$E$13, IF(COUNTBLANK('Attributes &amp; Prefixes'!$B$19:$C$19)&gt;0, "4", "5"), 0)), "")</f>
        <v>43</v>
      </c>
      <c r="N185" s="137" cm="1">
        <f t="array" ref="N185">IF(COUNTIF($B$19:$E$19, N$2)&gt;0, _xlfn.IFS(COUNTIF($B$19:$C$19, N$2)&gt;0, VLOOKUP($J185,'Gear Values'!$A$2:$E$13, IF(COUNTBLANK('Attributes &amp; Prefixes'!$B$19:$C$19)&gt;0, "2", "3"), 0), COUNTIF($D$19:$E$19, N$2)&gt;0, VLOOKUP($J185,'Gear Values'!$A$2:$E$13, IF(COUNTBLANK('Attributes &amp; Prefixes'!$B$19:$C$19)&gt;0, "4", "5"), 0)), "")</f>
        <v>43</v>
      </c>
      <c r="O185" s="137" t="str" cm="1">
        <f t="array" ref="O185">IF(COUNTIF($B$19:$E$19, O$2)&gt;0, _xlfn.IFS(COUNTIF($B$19:$C$19, O$2)&gt;0, VLOOKUP($J185,'Gear Values'!$A$2:$E$13, IF(COUNTBLANK('Attributes &amp; Prefixes'!$B$19:$C$19)&gt;0, "2", "3"), 0), COUNTIF($D$19:$E$19, O$2)&gt;0, VLOOKUP($J185,'Gear Values'!$A$2:$E$13, IF(COUNTBLANK('Attributes &amp; Prefixes'!$B$19:$C$19)&gt;0, "4", "5"), 0)), "")</f>
        <v/>
      </c>
      <c r="P185" s="137" cm="1">
        <f t="array" ref="P185">IF(COUNTIF($B$19:$E$19, P$2)&gt;0, _xlfn.IFS(COUNTIF($B$19:$C$19, P$2)&gt;0, VLOOKUP($J185,'Gear Values'!$A$2:$E$13, IF(COUNTBLANK('Attributes &amp; Prefixes'!$B$19:$C$19)&gt;0, "2", "3"), 0), COUNTIF($D$19:$E$19, P$2)&gt;0, VLOOKUP($J185,'Gear Values'!$A$2:$E$13, IF(COUNTBLANK('Attributes &amp; Prefixes'!$B$19:$C$19)&gt;0, "4", "5"), 0)), "")</f>
        <v>60</v>
      </c>
      <c r="Q185" s="137" t="str" cm="1">
        <f t="array" ref="Q185">IF(COUNTIF($B$19:$E$19, Q$2)&gt;0, _xlfn.IFS(COUNTIF($B$19:$C$19, Q$2)&gt;0, VLOOKUP($J185,'Gear Values'!$A$2:$E$13, IF(COUNTBLANK('Attributes &amp; Prefixes'!$B$19:$C$19)&gt;0, "2", "3"), 0), COUNTIF($D$19:$E$19, Q$2)&gt;0, VLOOKUP($J185,'Gear Values'!$A$2:$E$13, IF(COUNTBLANK('Attributes &amp; Prefixes'!$B$19:$C$19)&gt;0, "4", "5"), 0)), "")</f>
        <v/>
      </c>
      <c r="R185" s="137" t="str" cm="1">
        <f t="array" ref="R185">IF(COUNTIF($B$19:$E$19, R$2)&gt;0, _xlfn.IFS(COUNTIF($B$19:$C$19, R$2)&gt;0, VLOOKUP($J185,'Gear Values'!$A$2:$E$13, IF(COUNTBLANK('Attributes &amp; Prefixes'!$B$19:$C$19)&gt;0, "2", "3"), 0), COUNTIF($D$19:$E$19, R$2)&gt;0, VLOOKUP($J185,'Gear Values'!$A$2:$E$13, IF(COUNTBLANK('Attributes &amp; Prefixes'!$B$19:$C$19)&gt;0, "4", "5"), 0)), "")</f>
        <v/>
      </c>
      <c r="S185" s="138" t="str" cm="1">
        <f t="array" ref="S185">IF(COUNTIF($B$19:$E$19, S$2)&gt;0, _xlfn.IFS(COUNTIF($B$19:$C$19, S$2)&gt;0, VLOOKUP($J185,'Gear Values'!$A$2:$E$13, IF(COUNTBLANK('Attributes &amp; Prefixes'!$B$19:$C$19)&gt;0, "2", "3"), 0), COUNTIF($D$19:$E$19, S$2)&gt;0, VLOOKUP($J185,'Gear Values'!$A$2:$E$13, IF(COUNTBLANK('Attributes &amp; Prefixes'!$B$19:$C$19)&gt;0, "4", "5"), 0)), "")</f>
        <v/>
      </c>
      <c r="V185" s="112"/>
      <c r="W185" s="113"/>
    </row>
    <row r="186" spans="6:23">
      <c r="H186" s="130" t="str">
        <f>_xlfn.CONCAT(I$183,J186)</f>
        <v>DireShoulders</v>
      </c>
      <c r="I186" s="520"/>
      <c r="J186" s="144" t="s">
        <v>42</v>
      </c>
      <c r="K186" s="136" t="str" cm="1">
        <f t="array" ref="K186">IF(COUNTIF($B$19:$E$19, K$2)&gt;0, _xlfn.IFS(COUNTIF($B$19:$C$19, K$2)&gt;0, VLOOKUP($J186,'Gear Values'!$A$2:$E$13, IF(COUNTBLANK('Attributes &amp; Prefixes'!$B$19:$C$19)&gt;0, "2", "3"), 0), COUNTIF($D$19:$E$19, K$2)&gt;0, VLOOKUP($J186,'Gear Values'!$A$2:$E$13, IF(COUNTBLANK('Attributes &amp; Prefixes'!$B$19:$C$19)&gt;0, "4", "5"), 0)), "")</f>
        <v/>
      </c>
      <c r="L186" s="137" t="str" cm="1">
        <f t="array" ref="L186">IF(COUNTIF($B$19:$E$19, L$2)&gt;0, _xlfn.IFS(COUNTIF($B$19:$C$19, L$2)&gt;0, VLOOKUP($J186,'Gear Values'!$A$2:$E$13, IF(COUNTBLANK('Attributes &amp; Prefixes'!$B$19:$C$19)&gt;0, "2", "3"), 0), COUNTIF($D$19:$E$19, L$2)&gt;0, VLOOKUP($J186,'Gear Values'!$A$2:$E$13, IF(COUNTBLANK('Attributes &amp; Prefixes'!$B$19:$C$19)&gt;0, "4", "5"), 0)), "")</f>
        <v/>
      </c>
      <c r="M186" s="137" cm="1">
        <f t="array" ref="M186">IF(COUNTIF($B$19:$E$19, M$2)&gt;0, _xlfn.IFS(COUNTIF($B$19:$C$19, M$2)&gt;0, VLOOKUP($J186,'Gear Values'!$A$2:$E$13, IF(COUNTBLANK('Attributes &amp; Prefixes'!$B$19:$C$19)&gt;0, "2", "3"), 0), COUNTIF($D$19:$E$19, M$2)&gt;0, VLOOKUP($J186,'Gear Values'!$A$2:$E$13, IF(COUNTBLANK('Attributes &amp; Prefixes'!$B$19:$C$19)&gt;0, "4", "5"), 0)), "")</f>
        <v>32</v>
      </c>
      <c r="N186" s="137" cm="1">
        <f t="array" ref="N186">IF(COUNTIF($B$19:$E$19, N$2)&gt;0, _xlfn.IFS(COUNTIF($B$19:$C$19, N$2)&gt;0, VLOOKUP($J186,'Gear Values'!$A$2:$E$13, IF(COUNTBLANK('Attributes &amp; Prefixes'!$B$19:$C$19)&gt;0, "2", "3"), 0), COUNTIF($D$19:$E$19, N$2)&gt;0, VLOOKUP($J186,'Gear Values'!$A$2:$E$13, IF(COUNTBLANK('Attributes &amp; Prefixes'!$B$19:$C$19)&gt;0, "4", "5"), 0)), "")</f>
        <v>32</v>
      </c>
      <c r="O186" s="137" t="str" cm="1">
        <f t="array" ref="O186">IF(COUNTIF($B$19:$E$19, O$2)&gt;0, _xlfn.IFS(COUNTIF($B$19:$C$19, O$2)&gt;0, VLOOKUP($J186,'Gear Values'!$A$2:$E$13, IF(COUNTBLANK('Attributes &amp; Prefixes'!$B$19:$C$19)&gt;0, "2", "3"), 0), COUNTIF($D$19:$E$19, O$2)&gt;0, VLOOKUP($J186,'Gear Values'!$A$2:$E$13, IF(COUNTBLANK('Attributes &amp; Prefixes'!$B$19:$C$19)&gt;0, "4", "5"), 0)), "")</f>
        <v/>
      </c>
      <c r="P186" s="137" cm="1">
        <f t="array" ref="P186">IF(COUNTIF($B$19:$E$19, P$2)&gt;0, _xlfn.IFS(COUNTIF($B$19:$C$19, P$2)&gt;0, VLOOKUP($J186,'Gear Values'!$A$2:$E$13, IF(COUNTBLANK('Attributes &amp; Prefixes'!$B$19:$C$19)&gt;0, "2", "3"), 0), COUNTIF($D$19:$E$19, P$2)&gt;0, VLOOKUP($J186,'Gear Values'!$A$2:$E$13, IF(COUNTBLANK('Attributes &amp; Prefixes'!$B$19:$C$19)&gt;0, "4", "5"), 0)), "")</f>
        <v>45</v>
      </c>
      <c r="Q186" s="137" t="str" cm="1">
        <f t="array" ref="Q186">IF(COUNTIF($B$19:$E$19, Q$2)&gt;0, _xlfn.IFS(COUNTIF($B$19:$C$19, Q$2)&gt;0, VLOOKUP($J186,'Gear Values'!$A$2:$E$13, IF(COUNTBLANK('Attributes &amp; Prefixes'!$B$19:$C$19)&gt;0, "2", "3"), 0), COUNTIF($D$19:$E$19, Q$2)&gt;0, VLOOKUP($J186,'Gear Values'!$A$2:$E$13, IF(COUNTBLANK('Attributes &amp; Prefixes'!$B$19:$C$19)&gt;0, "4", "5"), 0)), "")</f>
        <v/>
      </c>
      <c r="R186" s="137" t="str" cm="1">
        <f t="array" ref="R186">IF(COUNTIF($B$19:$E$19, R$2)&gt;0, _xlfn.IFS(COUNTIF($B$19:$C$19, R$2)&gt;0, VLOOKUP($J186,'Gear Values'!$A$2:$E$13, IF(COUNTBLANK('Attributes &amp; Prefixes'!$B$19:$C$19)&gt;0, "2", "3"), 0), COUNTIF($D$19:$E$19, R$2)&gt;0, VLOOKUP($J186,'Gear Values'!$A$2:$E$13, IF(COUNTBLANK('Attributes &amp; Prefixes'!$B$19:$C$19)&gt;0, "4", "5"), 0)), "")</f>
        <v/>
      </c>
      <c r="S186" s="138" t="str" cm="1">
        <f t="array" ref="S186">IF(COUNTIF($B$19:$E$19, S$2)&gt;0, _xlfn.IFS(COUNTIF($B$19:$C$19, S$2)&gt;0, VLOOKUP($J186,'Gear Values'!$A$2:$E$13, IF(COUNTBLANK('Attributes &amp; Prefixes'!$B$19:$C$19)&gt;0, "2", "3"), 0), COUNTIF($D$19:$E$19, S$2)&gt;0, VLOOKUP($J186,'Gear Values'!$A$2:$E$13, IF(COUNTBLANK('Attributes &amp; Prefixes'!$B$19:$C$19)&gt;0, "4", "5"), 0)), "")</f>
        <v/>
      </c>
      <c r="V186" s="112"/>
      <c r="W186" s="113"/>
    </row>
    <row r="187" spans="6:23">
      <c r="H187" s="130" t="str">
        <f>_xlfn.CONCAT(I$183,J187)</f>
        <v>DireChest</v>
      </c>
      <c r="I187" s="520"/>
      <c r="J187" s="144" t="s">
        <v>44</v>
      </c>
      <c r="K187" s="136" t="str" cm="1">
        <f t="array" ref="K187">IF(COUNTIF($B$19:$E$19, K$2)&gt;0, _xlfn.IFS(COUNTIF($B$19:$C$19, K$2)&gt;0, VLOOKUP($J187,'Gear Values'!$A$2:$E$13, IF(COUNTBLANK('Attributes &amp; Prefixes'!$B$19:$C$19)&gt;0, "2", "3"), 0), COUNTIF($D$19:$E$19, K$2)&gt;0, VLOOKUP($J187,'Gear Values'!$A$2:$E$13, IF(COUNTBLANK('Attributes &amp; Prefixes'!$B$19:$C$19)&gt;0, "4", "5"), 0)), "")</f>
        <v/>
      </c>
      <c r="L187" s="137" t="str" cm="1">
        <f t="array" ref="L187">IF(COUNTIF($B$19:$E$19, L$2)&gt;0, _xlfn.IFS(COUNTIF($B$19:$C$19, L$2)&gt;0, VLOOKUP($J187,'Gear Values'!$A$2:$E$13, IF(COUNTBLANK('Attributes &amp; Prefixes'!$B$19:$C$19)&gt;0, "2", "3"), 0), COUNTIF($D$19:$E$19, L$2)&gt;0, VLOOKUP($J187,'Gear Values'!$A$2:$E$13, IF(COUNTBLANK('Attributes &amp; Prefixes'!$B$19:$C$19)&gt;0, "4", "5"), 0)), "")</f>
        <v/>
      </c>
      <c r="M187" s="137" cm="1">
        <f t="array" ref="M187">IF(COUNTIF($B$19:$E$19, M$2)&gt;0, _xlfn.IFS(COUNTIF($B$19:$C$19, M$2)&gt;0, VLOOKUP($J187,'Gear Values'!$A$2:$E$13, IF(COUNTBLANK('Attributes &amp; Prefixes'!$B$19:$C$19)&gt;0, "2", "3"), 0), COUNTIF($D$19:$E$19, M$2)&gt;0, VLOOKUP($J187,'Gear Values'!$A$2:$E$13, IF(COUNTBLANK('Attributes &amp; Prefixes'!$B$19:$C$19)&gt;0, "4", "5"), 0)), "")</f>
        <v>96</v>
      </c>
      <c r="N187" s="137" cm="1">
        <f t="array" ref="N187">IF(COUNTIF($B$19:$E$19, N$2)&gt;0, _xlfn.IFS(COUNTIF($B$19:$C$19, N$2)&gt;0, VLOOKUP($J187,'Gear Values'!$A$2:$E$13, IF(COUNTBLANK('Attributes &amp; Prefixes'!$B$19:$C$19)&gt;0, "2", "3"), 0), COUNTIF($D$19:$E$19, N$2)&gt;0, VLOOKUP($J187,'Gear Values'!$A$2:$E$13, IF(COUNTBLANK('Attributes &amp; Prefixes'!$B$19:$C$19)&gt;0, "4", "5"), 0)), "")</f>
        <v>96</v>
      </c>
      <c r="O187" s="137" t="str" cm="1">
        <f t="array" ref="O187">IF(COUNTIF($B$19:$E$19, O$2)&gt;0, _xlfn.IFS(COUNTIF($B$19:$C$19, O$2)&gt;0, VLOOKUP($J187,'Gear Values'!$A$2:$E$13, IF(COUNTBLANK('Attributes &amp; Prefixes'!$B$19:$C$19)&gt;0, "2", "3"), 0), COUNTIF($D$19:$E$19, O$2)&gt;0, VLOOKUP($J187,'Gear Values'!$A$2:$E$13, IF(COUNTBLANK('Attributes &amp; Prefixes'!$B$19:$C$19)&gt;0, "4", "5"), 0)), "")</f>
        <v/>
      </c>
      <c r="P187" s="137" cm="1">
        <f t="array" ref="P187">IF(COUNTIF($B$19:$E$19, P$2)&gt;0, _xlfn.IFS(COUNTIF($B$19:$C$19, P$2)&gt;0, VLOOKUP($J187,'Gear Values'!$A$2:$E$13, IF(COUNTBLANK('Attributes &amp; Prefixes'!$B$19:$C$19)&gt;0, "2", "3"), 0), COUNTIF($D$19:$E$19, P$2)&gt;0, VLOOKUP($J187,'Gear Values'!$A$2:$E$13, IF(COUNTBLANK('Attributes &amp; Prefixes'!$B$19:$C$19)&gt;0, "4", "5"), 0)), "")</f>
        <v>134</v>
      </c>
      <c r="Q187" s="137" t="str" cm="1">
        <f t="array" ref="Q187">IF(COUNTIF($B$19:$E$19, Q$2)&gt;0, _xlfn.IFS(COUNTIF($B$19:$C$19, Q$2)&gt;0, VLOOKUP($J187,'Gear Values'!$A$2:$E$13, IF(COUNTBLANK('Attributes &amp; Prefixes'!$B$19:$C$19)&gt;0, "2", "3"), 0), COUNTIF($D$19:$E$19, Q$2)&gt;0, VLOOKUP($J187,'Gear Values'!$A$2:$E$13, IF(COUNTBLANK('Attributes &amp; Prefixes'!$B$19:$C$19)&gt;0, "4", "5"), 0)), "")</f>
        <v/>
      </c>
      <c r="R187" s="137" t="str" cm="1">
        <f t="array" ref="R187">IF(COUNTIF($B$19:$E$19, R$2)&gt;0, _xlfn.IFS(COUNTIF($B$19:$C$19, R$2)&gt;0, VLOOKUP($J187,'Gear Values'!$A$2:$E$13, IF(COUNTBLANK('Attributes &amp; Prefixes'!$B$19:$C$19)&gt;0, "2", "3"), 0), COUNTIF($D$19:$E$19, R$2)&gt;0, VLOOKUP($J187,'Gear Values'!$A$2:$E$13, IF(COUNTBLANK('Attributes &amp; Prefixes'!$B$19:$C$19)&gt;0, "4", "5"), 0)), "")</f>
        <v/>
      </c>
      <c r="S187" s="138" t="str" cm="1">
        <f t="array" ref="S187">IF(COUNTIF($B$19:$E$19, S$2)&gt;0, _xlfn.IFS(COUNTIF($B$19:$C$19, S$2)&gt;0, VLOOKUP($J187,'Gear Values'!$A$2:$E$13, IF(COUNTBLANK('Attributes &amp; Prefixes'!$B$19:$C$19)&gt;0, "2", "3"), 0), COUNTIF($D$19:$E$19, S$2)&gt;0, VLOOKUP($J187,'Gear Values'!$A$2:$E$13, IF(COUNTBLANK('Attributes &amp; Prefixes'!$B$19:$C$19)&gt;0, "4", "5"), 0)), "")</f>
        <v/>
      </c>
      <c r="V187" s="112"/>
      <c r="W187" s="113"/>
    </row>
    <row r="188" spans="6:23">
      <c r="H188" s="130" t="str">
        <f>_xlfn.CONCAT(I$183,J188)</f>
        <v>DireHands</v>
      </c>
      <c r="I188" s="520"/>
      <c r="J188" s="144" t="s">
        <v>45</v>
      </c>
      <c r="K188" s="136" t="str" cm="1">
        <f t="array" ref="K188">IF(COUNTIF($B$19:$E$19, K$2)&gt;0, _xlfn.IFS(COUNTIF($B$19:$C$19, K$2)&gt;0, VLOOKUP($J188,'Gear Values'!$A$2:$E$13, IF(COUNTBLANK('Attributes &amp; Prefixes'!$B$19:$C$19)&gt;0, "2", "3"), 0), COUNTIF($D$19:$E$19, K$2)&gt;0, VLOOKUP($J188,'Gear Values'!$A$2:$E$13, IF(COUNTBLANK('Attributes &amp; Prefixes'!$B$19:$C$19)&gt;0, "4", "5"), 0)), "")</f>
        <v/>
      </c>
      <c r="L188" s="137" t="str" cm="1">
        <f t="array" ref="L188">IF(COUNTIF($B$19:$E$19, L$2)&gt;0, _xlfn.IFS(COUNTIF($B$19:$C$19, L$2)&gt;0, VLOOKUP($J188,'Gear Values'!$A$2:$E$13, IF(COUNTBLANK('Attributes &amp; Prefixes'!$B$19:$C$19)&gt;0, "2", "3"), 0), COUNTIF($D$19:$E$19, L$2)&gt;0, VLOOKUP($J188,'Gear Values'!$A$2:$E$13, IF(COUNTBLANK('Attributes &amp; Prefixes'!$B$19:$C$19)&gt;0, "4", "5"), 0)), "")</f>
        <v/>
      </c>
      <c r="M188" s="137" cm="1">
        <f t="array" ref="M188">IF(COUNTIF($B$19:$E$19, M$2)&gt;0, _xlfn.IFS(COUNTIF($B$19:$C$19, M$2)&gt;0, VLOOKUP($J188,'Gear Values'!$A$2:$E$13, IF(COUNTBLANK('Attributes &amp; Prefixes'!$B$19:$C$19)&gt;0, "2", "3"), 0), COUNTIF($D$19:$E$19, M$2)&gt;0, VLOOKUP($J188,'Gear Values'!$A$2:$E$13, IF(COUNTBLANK('Attributes &amp; Prefixes'!$B$19:$C$19)&gt;0, "4", "5"), 0)), "")</f>
        <v>32</v>
      </c>
      <c r="N188" s="137" cm="1">
        <f t="array" ref="N188">IF(COUNTIF($B$19:$E$19, N$2)&gt;0, _xlfn.IFS(COUNTIF($B$19:$C$19, N$2)&gt;0, VLOOKUP($J188,'Gear Values'!$A$2:$E$13, IF(COUNTBLANK('Attributes &amp; Prefixes'!$B$19:$C$19)&gt;0, "2", "3"), 0), COUNTIF($D$19:$E$19, N$2)&gt;0, VLOOKUP($J188,'Gear Values'!$A$2:$E$13, IF(COUNTBLANK('Attributes &amp; Prefixes'!$B$19:$C$19)&gt;0, "4", "5"), 0)), "")</f>
        <v>32</v>
      </c>
      <c r="O188" s="137" t="str" cm="1">
        <f t="array" ref="O188">IF(COUNTIF($B$19:$E$19, O$2)&gt;0, _xlfn.IFS(COUNTIF($B$19:$C$19, O$2)&gt;0, VLOOKUP($J188,'Gear Values'!$A$2:$E$13, IF(COUNTBLANK('Attributes &amp; Prefixes'!$B$19:$C$19)&gt;0, "2", "3"), 0), COUNTIF($D$19:$E$19, O$2)&gt;0, VLOOKUP($J188,'Gear Values'!$A$2:$E$13, IF(COUNTBLANK('Attributes &amp; Prefixes'!$B$19:$C$19)&gt;0, "4", "5"), 0)), "")</f>
        <v/>
      </c>
      <c r="P188" s="137" cm="1">
        <f t="array" ref="P188">IF(COUNTIF($B$19:$E$19, P$2)&gt;0, _xlfn.IFS(COUNTIF($B$19:$C$19, P$2)&gt;0, VLOOKUP($J188,'Gear Values'!$A$2:$E$13, IF(COUNTBLANK('Attributes &amp; Prefixes'!$B$19:$C$19)&gt;0, "2", "3"), 0), COUNTIF($D$19:$E$19, P$2)&gt;0, VLOOKUP($J188,'Gear Values'!$A$2:$E$13, IF(COUNTBLANK('Attributes &amp; Prefixes'!$B$19:$C$19)&gt;0, "4", "5"), 0)), "")</f>
        <v>45</v>
      </c>
      <c r="Q188" s="137" t="str" cm="1">
        <f t="array" ref="Q188">IF(COUNTIF($B$19:$E$19, Q$2)&gt;0, _xlfn.IFS(COUNTIF($B$19:$C$19, Q$2)&gt;0, VLOOKUP($J188,'Gear Values'!$A$2:$E$13, IF(COUNTBLANK('Attributes &amp; Prefixes'!$B$19:$C$19)&gt;0, "2", "3"), 0), COUNTIF($D$19:$E$19, Q$2)&gt;0, VLOOKUP($J188,'Gear Values'!$A$2:$E$13, IF(COUNTBLANK('Attributes &amp; Prefixes'!$B$19:$C$19)&gt;0, "4", "5"), 0)), "")</f>
        <v/>
      </c>
      <c r="R188" s="137" t="str" cm="1">
        <f t="array" ref="R188">IF(COUNTIF($B$19:$E$19, R$2)&gt;0, _xlfn.IFS(COUNTIF($B$19:$C$19, R$2)&gt;0, VLOOKUP($J188,'Gear Values'!$A$2:$E$13, IF(COUNTBLANK('Attributes &amp; Prefixes'!$B$19:$C$19)&gt;0, "2", "3"), 0), COUNTIF($D$19:$E$19, R$2)&gt;0, VLOOKUP($J188,'Gear Values'!$A$2:$E$13, IF(COUNTBLANK('Attributes &amp; Prefixes'!$B$19:$C$19)&gt;0, "4", "5"), 0)), "")</f>
        <v/>
      </c>
      <c r="S188" s="138" t="str" cm="1">
        <f t="array" ref="S188">IF(COUNTIF($B$19:$E$19, S$2)&gt;0, _xlfn.IFS(COUNTIF($B$19:$C$19, S$2)&gt;0, VLOOKUP($J188,'Gear Values'!$A$2:$E$13, IF(COUNTBLANK('Attributes &amp; Prefixes'!$B$19:$C$19)&gt;0, "2", "3"), 0), COUNTIF($D$19:$E$19, S$2)&gt;0, VLOOKUP($J188,'Gear Values'!$A$2:$E$13, IF(COUNTBLANK('Attributes &amp; Prefixes'!$B$19:$C$19)&gt;0, "4", "5"), 0)), "")</f>
        <v/>
      </c>
      <c r="V188" s="112"/>
      <c r="W188" s="113"/>
    </row>
    <row r="189" spans="6:23">
      <c r="H189" s="130" t="str">
        <f>_xlfn.CONCAT(I$183,J189)</f>
        <v>DireLegs</v>
      </c>
      <c r="I189" s="520"/>
      <c r="J189" s="144" t="s">
        <v>47</v>
      </c>
      <c r="K189" s="136" t="str" cm="1">
        <f t="array" ref="K189">IF(COUNTIF($B$19:$E$19, K$2)&gt;0, _xlfn.IFS(COUNTIF($B$19:$C$19, K$2)&gt;0, VLOOKUP($J189,'Gear Values'!$A$2:$E$13, IF(COUNTBLANK('Attributes &amp; Prefixes'!$B$19:$C$19)&gt;0, "2", "3"), 0), COUNTIF($D$19:$E$19, K$2)&gt;0, VLOOKUP($J189,'Gear Values'!$A$2:$E$13, IF(COUNTBLANK('Attributes &amp; Prefixes'!$B$19:$C$19)&gt;0, "4", "5"), 0)), "")</f>
        <v/>
      </c>
      <c r="L189" s="137" t="str" cm="1">
        <f t="array" ref="L189">IF(COUNTIF($B$19:$E$19, L$2)&gt;0, _xlfn.IFS(COUNTIF($B$19:$C$19, L$2)&gt;0, VLOOKUP($J189,'Gear Values'!$A$2:$E$13, IF(COUNTBLANK('Attributes &amp; Prefixes'!$B$19:$C$19)&gt;0, "2", "3"), 0), COUNTIF($D$19:$E$19, L$2)&gt;0, VLOOKUP($J189,'Gear Values'!$A$2:$E$13, IF(COUNTBLANK('Attributes &amp; Prefixes'!$B$19:$C$19)&gt;0, "4", "5"), 0)), "")</f>
        <v/>
      </c>
      <c r="M189" s="137" cm="1">
        <f t="array" ref="M189">IF(COUNTIF($B$19:$E$19, M$2)&gt;0, _xlfn.IFS(COUNTIF($B$19:$C$19, M$2)&gt;0, VLOOKUP($J189,'Gear Values'!$A$2:$E$13, IF(COUNTBLANK('Attributes &amp; Prefixes'!$B$19:$C$19)&gt;0, "2", "3"), 0), COUNTIF($D$19:$E$19, M$2)&gt;0, VLOOKUP($J189,'Gear Values'!$A$2:$E$13, IF(COUNTBLANK('Attributes &amp; Prefixes'!$B$19:$C$19)&gt;0, "4", "5"), 0)), "")</f>
        <v>64</v>
      </c>
      <c r="N189" s="137" cm="1">
        <f t="array" ref="N189">IF(COUNTIF($B$19:$E$19, N$2)&gt;0, _xlfn.IFS(COUNTIF($B$19:$C$19, N$2)&gt;0, VLOOKUP($J189,'Gear Values'!$A$2:$E$13, IF(COUNTBLANK('Attributes &amp; Prefixes'!$B$19:$C$19)&gt;0, "2", "3"), 0), COUNTIF($D$19:$E$19, N$2)&gt;0, VLOOKUP($J189,'Gear Values'!$A$2:$E$13, IF(COUNTBLANK('Attributes &amp; Prefixes'!$B$19:$C$19)&gt;0, "4", "5"), 0)), "")</f>
        <v>64</v>
      </c>
      <c r="O189" s="137" t="str" cm="1">
        <f t="array" ref="O189">IF(COUNTIF($B$19:$E$19, O$2)&gt;0, _xlfn.IFS(COUNTIF($B$19:$C$19, O$2)&gt;0, VLOOKUP($J189,'Gear Values'!$A$2:$E$13, IF(COUNTBLANK('Attributes &amp; Prefixes'!$B$19:$C$19)&gt;0, "2", "3"), 0), COUNTIF($D$19:$E$19, O$2)&gt;0, VLOOKUP($J189,'Gear Values'!$A$2:$E$13, IF(COUNTBLANK('Attributes &amp; Prefixes'!$B$19:$C$19)&gt;0, "4", "5"), 0)), "")</f>
        <v/>
      </c>
      <c r="P189" s="137" cm="1">
        <f t="array" ref="P189">IF(COUNTIF($B$19:$E$19, P$2)&gt;0, _xlfn.IFS(COUNTIF($B$19:$C$19, P$2)&gt;0, VLOOKUP($J189,'Gear Values'!$A$2:$E$13, IF(COUNTBLANK('Attributes &amp; Prefixes'!$B$19:$C$19)&gt;0, "2", "3"), 0), COUNTIF($D$19:$E$19, P$2)&gt;0, VLOOKUP($J189,'Gear Values'!$A$2:$E$13, IF(COUNTBLANK('Attributes &amp; Prefixes'!$B$19:$C$19)&gt;0, "4", "5"), 0)), "")</f>
        <v>90</v>
      </c>
      <c r="Q189" s="137" t="str" cm="1">
        <f t="array" ref="Q189">IF(COUNTIF($B$19:$E$19, Q$2)&gt;0, _xlfn.IFS(COUNTIF($B$19:$C$19, Q$2)&gt;0, VLOOKUP($J189,'Gear Values'!$A$2:$E$13, IF(COUNTBLANK('Attributes &amp; Prefixes'!$B$19:$C$19)&gt;0, "2", "3"), 0), COUNTIF($D$19:$E$19, Q$2)&gt;0, VLOOKUP($J189,'Gear Values'!$A$2:$E$13, IF(COUNTBLANK('Attributes &amp; Prefixes'!$B$19:$C$19)&gt;0, "4", "5"), 0)), "")</f>
        <v/>
      </c>
      <c r="R189" s="137" t="str" cm="1">
        <f t="array" ref="R189">IF(COUNTIF($B$19:$E$19, R$2)&gt;0, _xlfn.IFS(COUNTIF($B$19:$C$19, R$2)&gt;0, VLOOKUP($J189,'Gear Values'!$A$2:$E$13, IF(COUNTBLANK('Attributes &amp; Prefixes'!$B$19:$C$19)&gt;0, "2", "3"), 0), COUNTIF($D$19:$E$19, R$2)&gt;0, VLOOKUP($J189,'Gear Values'!$A$2:$E$13, IF(COUNTBLANK('Attributes &amp; Prefixes'!$B$19:$C$19)&gt;0, "4", "5"), 0)), "")</f>
        <v/>
      </c>
      <c r="S189" s="138" t="str" cm="1">
        <f t="array" ref="S189">IF(COUNTIF($B$19:$E$19, S$2)&gt;0, _xlfn.IFS(COUNTIF($B$19:$C$19, S$2)&gt;0, VLOOKUP($J189,'Gear Values'!$A$2:$E$13, IF(COUNTBLANK('Attributes &amp; Prefixes'!$B$19:$C$19)&gt;0, "2", "3"), 0), COUNTIF($D$19:$E$19, S$2)&gt;0, VLOOKUP($J189,'Gear Values'!$A$2:$E$13, IF(COUNTBLANK('Attributes &amp; Prefixes'!$B$19:$C$19)&gt;0, "4", "5"), 0)), "")</f>
        <v/>
      </c>
      <c r="V189" s="112"/>
      <c r="W189" s="113"/>
    </row>
    <row r="190" spans="6:23">
      <c r="H190" s="130" t="str">
        <f>_xlfn.CONCAT(I$183,J190)</f>
        <v>DireFeet</v>
      </c>
      <c r="I190" s="520"/>
      <c r="J190" s="144" t="s">
        <v>48</v>
      </c>
      <c r="K190" s="136" t="str" cm="1">
        <f t="array" ref="K190">IF(COUNTIF($B$19:$E$19, K$2)&gt;0, _xlfn.IFS(COUNTIF($B$19:$C$19, K$2)&gt;0, VLOOKUP($J190,'Gear Values'!$A$2:$E$13, IF(COUNTBLANK('Attributes &amp; Prefixes'!$B$19:$C$19)&gt;0, "2", "3"), 0), COUNTIF($D$19:$E$19, K$2)&gt;0, VLOOKUP($J190,'Gear Values'!$A$2:$E$13, IF(COUNTBLANK('Attributes &amp; Prefixes'!$B$19:$C$19)&gt;0, "4", "5"), 0)), "")</f>
        <v/>
      </c>
      <c r="L190" s="137" t="str" cm="1">
        <f t="array" ref="L190">IF(COUNTIF($B$19:$E$19, L$2)&gt;0, _xlfn.IFS(COUNTIF($B$19:$C$19, L$2)&gt;0, VLOOKUP($J190,'Gear Values'!$A$2:$E$13, IF(COUNTBLANK('Attributes &amp; Prefixes'!$B$19:$C$19)&gt;0, "2", "3"), 0), COUNTIF($D$19:$E$19, L$2)&gt;0, VLOOKUP($J190,'Gear Values'!$A$2:$E$13, IF(COUNTBLANK('Attributes &amp; Prefixes'!$B$19:$C$19)&gt;0, "4", "5"), 0)), "")</f>
        <v/>
      </c>
      <c r="M190" s="137" cm="1">
        <f t="array" ref="M190">IF(COUNTIF($B$19:$E$19, M$2)&gt;0, _xlfn.IFS(COUNTIF($B$19:$C$19, M$2)&gt;0, VLOOKUP($J190,'Gear Values'!$A$2:$E$13, IF(COUNTBLANK('Attributes &amp; Prefixes'!$B$19:$C$19)&gt;0, "2", "3"), 0), COUNTIF($D$19:$E$19, M$2)&gt;0, VLOOKUP($J190,'Gear Values'!$A$2:$E$13, IF(COUNTBLANK('Attributes &amp; Prefixes'!$B$19:$C$19)&gt;0, "4", "5"), 0)), "")</f>
        <v>32</v>
      </c>
      <c r="N190" s="137" cm="1">
        <f t="array" ref="N190">IF(COUNTIF($B$19:$E$19, N$2)&gt;0, _xlfn.IFS(COUNTIF($B$19:$C$19, N$2)&gt;0, VLOOKUP($J190,'Gear Values'!$A$2:$E$13, IF(COUNTBLANK('Attributes &amp; Prefixes'!$B$19:$C$19)&gt;0, "2", "3"), 0), COUNTIF($D$19:$E$19, N$2)&gt;0, VLOOKUP($J190,'Gear Values'!$A$2:$E$13, IF(COUNTBLANK('Attributes &amp; Prefixes'!$B$19:$C$19)&gt;0, "4", "5"), 0)), "")</f>
        <v>32</v>
      </c>
      <c r="O190" s="137" t="str" cm="1">
        <f t="array" ref="O190">IF(COUNTIF($B$19:$E$19, O$2)&gt;0, _xlfn.IFS(COUNTIF($B$19:$C$19, O$2)&gt;0, VLOOKUP($J190,'Gear Values'!$A$2:$E$13, IF(COUNTBLANK('Attributes &amp; Prefixes'!$B$19:$C$19)&gt;0, "2", "3"), 0), COUNTIF($D$19:$E$19, O$2)&gt;0, VLOOKUP($J190,'Gear Values'!$A$2:$E$13, IF(COUNTBLANK('Attributes &amp; Prefixes'!$B$19:$C$19)&gt;0, "4", "5"), 0)), "")</f>
        <v/>
      </c>
      <c r="P190" s="137" cm="1">
        <f t="array" ref="P190">IF(COUNTIF($B$19:$E$19, P$2)&gt;0, _xlfn.IFS(COUNTIF($B$19:$C$19, P$2)&gt;0, VLOOKUP($J190,'Gear Values'!$A$2:$E$13, IF(COUNTBLANK('Attributes &amp; Prefixes'!$B$19:$C$19)&gt;0, "2", "3"), 0), COUNTIF($D$19:$E$19, P$2)&gt;0, VLOOKUP($J190,'Gear Values'!$A$2:$E$13, IF(COUNTBLANK('Attributes &amp; Prefixes'!$B$19:$C$19)&gt;0, "4", "5"), 0)), "")</f>
        <v>45</v>
      </c>
      <c r="Q190" s="137" t="str" cm="1">
        <f t="array" ref="Q190">IF(COUNTIF($B$19:$E$19, Q$2)&gt;0, _xlfn.IFS(COUNTIF($B$19:$C$19, Q$2)&gt;0, VLOOKUP($J190,'Gear Values'!$A$2:$E$13, IF(COUNTBLANK('Attributes &amp; Prefixes'!$B$19:$C$19)&gt;0, "2", "3"), 0), COUNTIF($D$19:$E$19, Q$2)&gt;0, VLOOKUP($J190,'Gear Values'!$A$2:$E$13, IF(COUNTBLANK('Attributes &amp; Prefixes'!$B$19:$C$19)&gt;0, "4", "5"), 0)), "")</f>
        <v/>
      </c>
      <c r="R190" s="137" t="str" cm="1">
        <f t="array" ref="R190">IF(COUNTIF($B$19:$E$19, R$2)&gt;0, _xlfn.IFS(COUNTIF($B$19:$C$19, R$2)&gt;0, VLOOKUP($J190,'Gear Values'!$A$2:$E$13, IF(COUNTBLANK('Attributes &amp; Prefixes'!$B$19:$C$19)&gt;0, "2", "3"), 0), COUNTIF($D$19:$E$19, R$2)&gt;0, VLOOKUP($J190,'Gear Values'!$A$2:$E$13, IF(COUNTBLANK('Attributes &amp; Prefixes'!$B$19:$C$19)&gt;0, "4", "5"), 0)), "")</f>
        <v/>
      </c>
      <c r="S190" s="138" t="str" cm="1">
        <f t="array" ref="S190">IF(COUNTIF($B$19:$E$19, S$2)&gt;0, _xlfn.IFS(COUNTIF($B$19:$C$19, S$2)&gt;0, VLOOKUP($J190,'Gear Values'!$A$2:$E$13, IF(COUNTBLANK('Attributes &amp; Prefixes'!$B$19:$C$19)&gt;0, "2", "3"), 0), COUNTIF($D$19:$E$19, S$2)&gt;0, VLOOKUP($J190,'Gear Values'!$A$2:$E$13, IF(COUNTBLANK('Attributes &amp; Prefixes'!$B$19:$C$19)&gt;0, "4", "5"), 0)), "")</f>
        <v/>
      </c>
      <c r="V190" s="112"/>
      <c r="W190" s="113"/>
    </row>
    <row r="191" spans="6:23">
      <c r="H191" s="130" t="str">
        <f>_xlfn.CONCAT(I$183,J191)</f>
        <v>DireEar</v>
      </c>
      <c r="I191" s="520"/>
      <c r="J191" s="144" t="s">
        <v>49</v>
      </c>
      <c r="K191" s="136" t="str" cm="1">
        <f t="array" ref="K191">IF(COUNTIF($B$19:$E$19, K$2)&gt;0, _xlfn.IFS(COUNTIF($B$19:$C$19, K$2)&gt;0, VLOOKUP($J191,'Gear Values'!$A$2:$E$13, IF(COUNTBLANK('Attributes &amp; Prefixes'!$B$19:$C$19)&gt;0, "2", "3"), 0), COUNTIF($D$19:$E$19, K$2)&gt;0, VLOOKUP($J191,'Gear Values'!$A$2:$E$13, IF(COUNTBLANK('Attributes &amp; Prefixes'!$B$19:$C$19)&gt;0, "4", "5"), 0)), "")</f>
        <v/>
      </c>
      <c r="L191" s="137" t="str" cm="1">
        <f t="array" ref="L191">IF(COUNTIF($B$19:$E$19, L$2)&gt;0, _xlfn.IFS(COUNTIF($B$19:$C$19, L$2)&gt;0, VLOOKUP($J191,'Gear Values'!$A$2:$E$13, IF(COUNTBLANK('Attributes &amp; Prefixes'!$B$19:$C$19)&gt;0, "2", "3"), 0), COUNTIF($D$19:$E$19, L$2)&gt;0, VLOOKUP($J191,'Gear Values'!$A$2:$E$13, IF(COUNTBLANK('Attributes &amp; Prefixes'!$B$19:$C$19)&gt;0, "4", "5"), 0)), "")</f>
        <v/>
      </c>
      <c r="M191" s="137" cm="1">
        <f t="array" ref="M191">IF(COUNTIF($B$19:$E$19, M$2)&gt;0, _xlfn.IFS(COUNTIF($B$19:$C$19, M$2)&gt;0, VLOOKUP($J191,'Gear Values'!$A$2:$E$13, IF(COUNTBLANK('Attributes &amp; Prefixes'!$B$19:$C$19)&gt;0, "2", "3"), 0), COUNTIF($D$19:$E$19, M$2)&gt;0, VLOOKUP($J191,'Gear Values'!$A$2:$E$13, IF(COUNTBLANK('Attributes &amp; Prefixes'!$B$19:$C$19)&gt;0, "4", "5"), 0)), "")</f>
        <v>53</v>
      </c>
      <c r="N191" s="137" cm="1">
        <f t="array" ref="N191">IF(COUNTIF($B$19:$E$19, N$2)&gt;0, _xlfn.IFS(COUNTIF($B$19:$C$19, N$2)&gt;0, VLOOKUP($J191,'Gear Values'!$A$2:$E$13, IF(COUNTBLANK('Attributes &amp; Prefixes'!$B$19:$C$19)&gt;0, "2", "3"), 0), COUNTIF($D$19:$E$19, N$2)&gt;0, VLOOKUP($J191,'Gear Values'!$A$2:$E$13, IF(COUNTBLANK('Attributes &amp; Prefixes'!$B$19:$C$19)&gt;0, "4", "5"), 0)), "")</f>
        <v>53</v>
      </c>
      <c r="O191" s="137" t="str" cm="1">
        <f t="array" ref="O191">IF(COUNTIF($B$19:$E$19, O$2)&gt;0, _xlfn.IFS(COUNTIF($B$19:$C$19, O$2)&gt;0, VLOOKUP($J191,'Gear Values'!$A$2:$E$13, IF(COUNTBLANK('Attributes &amp; Prefixes'!$B$19:$C$19)&gt;0, "2", "3"), 0), COUNTIF($D$19:$E$19, O$2)&gt;0, VLOOKUP($J191,'Gear Values'!$A$2:$E$13, IF(COUNTBLANK('Attributes &amp; Prefixes'!$B$19:$C$19)&gt;0, "4", "5"), 0)), "")</f>
        <v/>
      </c>
      <c r="P191" s="137" cm="1">
        <f t="array" ref="P191">IF(COUNTIF($B$19:$E$19, P$2)&gt;0, _xlfn.IFS(COUNTIF($B$19:$C$19, P$2)&gt;0, VLOOKUP($J191,'Gear Values'!$A$2:$E$13, IF(COUNTBLANK('Attributes &amp; Prefixes'!$B$19:$C$19)&gt;0, "2", "3"), 0), COUNTIF($D$19:$E$19, P$2)&gt;0, VLOOKUP($J191,'Gear Values'!$A$2:$E$13, IF(COUNTBLANK('Attributes &amp; Prefixes'!$B$19:$C$19)&gt;0, "4", "5"), 0)), "")</f>
        <v>75</v>
      </c>
      <c r="Q191" s="137" t="str" cm="1">
        <f t="array" ref="Q191">IF(COUNTIF($B$19:$E$19, Q$2)&gt;0, _xlfn.IFS(COUNTIF($B$19:$C$19, Q$2)&gt;0, VLOOKUP($J191,'Gear Values'!$A$2:$E$13, IF(COUNTBLANK('Attributes &amp; Prefixes'!$B$19:$C$19)&gt;0, "2", "3"), 0), COUNTIF($D$19:$E$19, Q$2)&gt;0, VLOOKUP($J191,'Gear Values'!$A$2:$E$13, IF(COUNTBLANK('Attributes &amp; Prefixes'!$B$19:$C$19)&gt;0, "4", "5"), 0)), "")</f>
        <v/>
      </c>
      <c r="R191" s="137" t="str" cm="1">
        <f t="array" ref="R191">IF(COUNTIF($B$19:$E$19, R$2)&gt;0, _xlfn.IFS(COUNTIF($B$19:$C$19, R$2)&gt;0, VLOOKUP($J191,'Gear Values'!$A$2:$E$13, IF(COUNTBLANK('Attributes &amp; Prefixes'!$B$19:$C$19)&gt;0, "2", "3"), 0), COUNTIF($D$19:$E$19, R$2)&gt;0, VLOOKUP($J191,'Gear Values'!$A$2:$E$13, IF(COUNTBLANK('Attributes &amp; Prefixes'!$B$19:$C$19)&gt;0, "4", "5"), 0)), "")</f>
        <v/>
      </c>
      <c r="S191" s="138" t="str" cm="1">
        <f t="array" ref="S191">IF(COUNTIF($B$19:$E$19, S$2)&gt;0, _xlfn.IFS(COUNTIF($B$19:$C$19, S$2)&gt;0, VLOOKUP($J191,'Gear Values'!$A$2:$E$13, IF(COUNTBLANK('Attributes &amp; Prefixes'!$B$19:$C$19)&gt;0, "2", "3"), 0), COUNTIF($D$19:$E$19, S$2)&gt;0, VLOOKUP($J191,'Gear Values'!$A$2:$E$13, IF(COUNTBLANK('Attributes &amp; Prefixes'!$B$19:$C$19)&gt;0, "4", "5"), 0)), "")</f>
        <v/>
      </c>
      <c r="V191" s="112"/>
      <c r="W191" s="113"/>
    </row>
    <row r="192" spans="6:23">
      <c r="H192" s="130" t="str">
        <f>_xlfn.CONCAT(I$183,J192)</f>
        <v>DireFinger</v>
      </c>
      <c r="I192" s="520"/>
      <c r="J192" s="144" t="s">
        <v>51</v>
      </c>
      <c r="K192" s="136" t="str" cm="1">
        <f t="array" ref="K192">IF(COUNTIF($B$19:$E$19, K$2)&gt;0, _xlfn.IFS(COUNTIF($B$19:$C$19, K$2)&gt;0, VLOOKUP($J192,'Gear Values'!$A$2:$E$13, IF(COUNTBLANK('Attributes &amp; Prefixes'!$B$19:$C$19)&gt;0, "2", "3"), 0), COUNTIF($D$19:$E$19, K$2)&gt;0, VLOOKUP($J192,'Gear Values'!$A$2:$E$13, IF(COUNTBLANK('Attributes &amp; Prefixes'!$B$19:$C$19)&gt;0, "4", "5"), 0)), "")</f>
        <v/>
      </c>
      <c r="L192" s="137" t="str" cm="1">
        <f t="array" ref="L192">IF(COUNTIF($B$19:$E$19, L$2)&gt;0, _xlfn.IFS(COUNTIF($B$19:$C$19, L$2)&gt;0, VLOOKUP($J192,'Gear Values'!$A$2:$E$13, IF(COUNTBLANK('Attributes &amp; Prefixes'!$B$19:$C$19)&gt;0, "2", "3"), 0), COUNTIF($D$19:$E$19, L$2)&gt;0, VLOOKUP($J192,'Gear Values'!$A$2:$E$13, IF(COUNTBLANK('Attributes &amp; Prefixes'!$B$19:$C$19)&gt;0, "4", "5"), 0)), "")</f>
        <v/>
      </c>
      <c r="M192" s="137" cm="1">
        <f t="array" ref="M192">IF(COUNTIF($B$19:$E$19, M$2)&gt;0, _xlfn.IFS(COUNTIF($B$19:$C$19, M$2)&gt;0, VLOOKUP($J192,'Gear Values'!$A$2:$E$13, IF(COUNTBLANK('Attributes &amp; Prefixes'!$B$19:$C$19)&gt;0, "2", "3"), 0), COUNTIF($D$19:$E$19, M$2)&gt;0, VLOOKUP($J192,'Gear Values'!$A$2:$E$13, IF(COUNTBLANK('Attributes &amp; Prefixes'!$B$19:$C$19)&gt;0, "4", "5"), 0)), "")</f>
        <v>64</v>
      </c>
      <c r="N192" s="137" cm="1">
        <f t="array" ref="N192">IF(COUNTIF($B$19:$E$19, N$2)&gt;0, _xlfn.IFS(COUNTIF($B$19:$C$19, N$2)&gt;0, VLOOKUP($J192,'Gear Values'!$A$2:$E$13, IF(COUNTBLANK('Attributes &amp; Prefixes'!$B$19:$C$19)&gt;0, "2", "3"), 0), COUNTIF($D$19:$E$19, N$2)&gt;0, VLOOKUP($J192,'Gear Values'!$A$2:$E$13, IF(COUNTBLANK('Attributes &amp; Prefixes'!$B$19:$C$19)&gt;0, "4", "5"), 0)), "")</f>
        <v>64</v>
      </c>
      <c r="O192" s="137" t="str" cm="1">
        <f t="array" ref="O192">IF(COUNTIF($B$19:$E$19, O$2)&gt;0, _xlfn.IFS(COUNTIF($B$19:$C$19, O$2)&gt;0, VLOOKUP($J192,'Gear Values'!$A$2:$E$13, IF(COUNTBLANK('Attributes &amp; Prefixes'!$B$19:$C$19)&gt;0, "2", "3"), 0), COUNTIF($D$19:$E$19, O$2)&gt;0, VLOOKUP($J192,'Gear Values'!$A$2:$E$13, IF(COUNTBLANK('Attributes &amp; Prefixes'!$B$19:$C$19)&gt;0, "4", "5"), 0)), "")</f>
        <v/>
      </c>
      <c r="P192" s="137" cm="1">
        <f t="array" ref="P192">IF(COUNTIF($B$19:$E$19, P$2)&gt;0, _xlfn.IFS(COUNTIF($B$19:$C$19, P$2)&gt;0, VLOOKUP($J192,'Gear Values'!$A$2:$E$13, IF(COUNTBLANK('Attributes &amp; Prefixes'!$B$19:$C$19)&gt;0, "2", "3"), 0), COUNTIF($D$19:$E$19, P$2)&gt;0, VLOOKUP($J192,'Gear Values'!$A$2:$E$13, IF(COUNTBLANK('Attributes &amp; Prefixes'!$B$19:$C$19)&gt;0, "4", "5"), 0)), "")</f>
        <v>90</v>
      </c>
      <c r="Q192" s="137" t="str" cm="1">
        <f t="array" ref="Q192">IF(COUNTIF($B$19:$E$19, Q$2)&gt;0, _xlfn.IFS(COUNTIF($B$19:$C$19, Q$2)&gt;0, VLOOKUP($J192,'Gear Values'!$A$2:$E$13, IF(COUNTBLANK('Attributes &amp; Prefixes'!$B$19:$C$19)&gt;0, "2", "3"), 0), COUNTIF($D$19:$E$19, Q$2)&gt;0, VLOOKUP($J192,'Gear Values'!$A$2:$E$13, IF(COUNTBLANK('Attributes &amp; Prefixes'!$B$19:$C$19)&gt;0, "4", "5"), 0)), "")</f>
        <v/>
      </c>
      <c r="R192" s="137" t="str" cm="1">
        <f t="array" ref="R192">IF(COUNTIF($B$19:$E$19, R$2)&gt;0, _xlfn.IFS(COUNTIF($B$19:$C$19, R$2)&gt;0, VLOOKUP($J192,'Gear Values'!$A$2:$E$13, IF(COUNTBLANK('Attributes &amp; Prefixes'!$B$19:$C$19)&gt;0, "2", "3"), 0), COUNTIF($D$19:$E$19, R$2)&gt;0, VLOOKUP($J192,'Gear Values'!$A$2:$E$13, IF(COUNTBLANK('Attributes &amp; Prefixes'!$B$19:$C$19)&gt;0, "4", "5"), 0)), "")</f>
        <v/>
      </c>
      <c r="S192" s="138" t="str" cm="1">
        <f t="array" ref="S192">IF(COUNTIF($B$19:$E$19, S$2)&gt;0, _xlfn.IFS(COUNTIF($B$19:$C$19, S$2)&gt;0, VLOOKUP($J192,'Gear Values'!$A$2:$E$13, IF(COUNTBLANK('Attributes &amp; Prefixes'!$B$19:$C$19)&gt;0, "2", "3"), 0), COUNTIF($D$19:$E$19, S$2)&gt;0, VLOOKUP($J192,'Gear Values'!$A$2:$E$13, IF(COUNTBLANK('Attributes &amp; Prefixes'!$B$19:$C$19)&gt;0, "4", "5"), 0)), "")</f>
        <v/>
      </c>
      <c r="V192" s="112"/>
      <c r="W192" s="113"/>
    </row>
    <row r="193" spans="6:23">
      <c r="H193" s="130" t="str">
        <f>_xlfn.CONCAT(I$183,J193)</f>
        <v>DireNeck</v>
      </c>
      <c r="I193" s="520"/>
      <c r="J193" s="144" t="s">
        <v>52</v>
      </c>
      <c r="K193" s="136" t="str" cm="1">
        <f t="array" ref="K193">IF(COUNTIF($B$19:$E$19, K$2)&gt;0, _xlfn.IFS(COUNTIF($B$19:$C$19, K$2)&gt;0, VLOOKUP($J193,'Gear Values'!$A$2:$E$13, IF(COUNTBLANK('Attributes &amp; Prefixes'!$B$19:$C$19)&gt;0, "2", "3"), 0), COUNTIF($D$19:$E$19, K$2)&gt;0, VLOOKUP($J193,'Gear Values'!$A$2:$E$13, IF(COUNTBLANK('Attributes &amp; Prefixes'!$B$19:$C$19)&gt;0, "4", "5"), 0)), "")</f>
        <v/>
      </c>
      <c r="L193" s="137" t="str" cm="1">
        <f t="array" ref="L193">IF(COUNTIF($B$19:$E$19, L$2)&gt;0, _xlfn.IFS(COUNTIF($B$19:$C$19, L$2)&gt;0, VLOOKUP($J193,'Gear Values'!$A$2:$E$13, IF(COUNTBLANK('Attributes &amp; Prefixes'!$B$19:$C$19)&gt;0, "2", "3"), 0), COUNTIF($D$19:$E$19, L$2)&gt;0, VLOOKUP($J193,'Gear Values'!$A$2:$E$13, IF(COUNTBLANK('Attributes &amp; Prefixes'!$B$19:$C$19)&gt;0, "4", "5"), 0)), "")</f>
        <v/>
      </c>
      <c r="M193" s="137" cm="1">
        <f t="array" ref="M193">IF(COUNTIF($B$19:$E$19, M$2)&gt;0, _xlfn.IFS(COUNTIF($B$19:$C$19, M$2)&gt;0, VLOOKUP($J193,'Gear Values'!$A$2:$E$13, IF(COUNTBLANK('Attributes &amp; Prefixes'!$B$19:$C$19)&gt;0, "2", "3"), 0), COUNTIF($D$19:$E$19, M$2)&gt;0, VLOOKUP($J193,'Gear Values'!$A$2:$E$13, IF(COUNTBLANK('Attributes &amp; Prefixes'!$B$19:$C$19)&gt;0, "4", "5"), 0)), "")</f>
        <v>85</v>
      </c>
      <c r="N193" s="137" cm="1">
        <f t="array" ref="N193">IF(COUNTIF($B$19:$E$19, N$2)&gt;0, _xlfn.IFS(COUNTIF($B$19:$C$19, N$2)&gt;0, VLOOKUP($J193,'Gear Values'!$A$2:$E$13, IF(COUNTBLANK('Attributes &amp; Prefixes'!$B$19:$C$19)&gt;0, "2", "3"), 0), COUNTIF($D$19:$E$19, N$2)&gt;0, VLOOKUP($J193,'Gear Values'!$A$2:$E$13, IF(COUNTBLANK('Attributes &amp; Prefixes'!$B$19:$C$19)&gt;0, "4", "5"), 0)), "")</f>
        <v>85</v>
      </c>
      <c r="O193" s="137" t="str" cm="1">
        <f t="array" ref="O193">IF(COUNTIF($B$19:$E$19, O$2)&gt;0, _xlfn.IFS(COUNTIF($B$19:$C$19, O$2)&gt;0, VLOOKUP($J193,'Gear Values'!$A$2:$E$13, IF(COUNTBLANK('Attributes &amp; Prefixes'!$B$19:$C$19)&gt;0, "2", "3"), 0), COUNTIF($D$19:$E$19, O$2)&gt;0, VLOOKUP($J193,'Gear Values'!$A$2:$E$13, IF(COUNTBLANK('Attributes &amp; Prefixes'!$B$19:$C$19)&gt;0, "4", "5"), 0)), "")</f>
        <v/>
      </c>
      <c r="P193" s="137" cm="1">
        <f t="array" ref="P193">IF(COUNTIF($B$19:$E$19, P$2)&gt;0, _xlfn.IFS(COUNTIF($B$19:$C$19, P$2)&gt;0, VLOOKUP($J193,'Gear Values'!$A$2:$E$13, IF(COUNTBLANK('Attributes &amp; Prefixes'!$B$19:$C$19)&gt;0, "2", "3"), 0), COUNTIF($D$19:$E$19, P$2)&gt;0, VLOOKUP($J193,'Gear Values'!$A$2:$E$13, IF(COUNTBLANK('Attributes &amp; Prefixes'!$B$19:$C$19)&gt;0, "4", "5"), 0)), "")</f>
        <v>120</v>
      </c>
      <c r="Q193" s="137" t="str" cm="1">
        <f t="array" ref="Q193">IF(COUNTIF($B$19:$E$19, Q$2)&gt;0, _xlfn.IFS(COUNTIF($B$19:$C$19, Q$2)&gt;0, VLOOKUP($J193,'Gear Values'!$A$2:$E$13, IF(COUNTBLANK('Attributes &amp; Prefixes'!$B$19:$C$19)&gt;0, "2", "3"), 0), COUNTIF($D$19:$E$19, Q$2)&gt;0, VLOOKUP($J193,'Gear Values'!$A$2:$E$13, IF(COUNTBLANK('Attributes &amp; Prefixes'!$B$19:$C$19)&gt;0, "4", "5"), 0)), "")</f>
        <v/>
      </c>
      <c r="R193" s="137" t="str" cm="1">
        <f t="array" ref="R193">IF(COUNTIF($B$19:$E$19, R$2)&gt;0, _xlfn.IFS(COUNTIF($B$19:$C$19, R$2)&gt;0, VLOOKUP($J193,'Gear Values'!$A$2:$E$13, IF(COUNTBLANK('Attributes &amp; Prefixes'!$B$19:$C$19)&gt;0, "2", "3"), 0), COUNTIF($D$19:$E$19, R$2)&gt;0, VLOOKUP($J193,'Gear Values'!$A$2:$E$13, IF(COUNTBLANK('Attributes &amp; Prefixes'!$B$19:$C$19)&gt;0, "4", "5"), 0)), "")</f>
        <v/>
      </c>
      <c r="S193" s="138" t="str" cm="1">
        <f t="array" ref="S193">IF(COUNTIF($B$19:$E$19, S$2)&gt;0, _xlfn.IFS(COUNTIF($B$19:$C$19, S$2)&gt;0, VLOOKUP($J193,'Gear Values'!$A$2:$E$13, IF(COUNTBLANK('Attributes &amp; Prefixes'!$B$19:$C$19)&gt;0, "2", "3"), 0), COUNTIF($D$19:$E$19, S$2)&gt;0, VLOOKUP($J193,'Gear Values'!$A$2:$E$13, IF(COUNTBLANK('Attributes &amp; Prefixes'!$B$19:$C$19)&gt;0, "4", "5"), 0)), "")</f>
        <v/>
      </c>
      <c r="V193" s="112"/>
      <c r="W193" s="113"/>
    </row>
    <row r="194" spans="6:23">
      <c r="H194" s="130" t="str">
        <f>_xlfn.CONCAT(I$183,J194)</f>
        <v>DireBack</v>
      </c>
      <c r="I194" s="521"/>
      <c r="J194" s="146" t="s">
        <v>53</v>
      </c>
      <c r="K194" s="147" t="str" cm="1">
        <f t="array" ref="K194">IF(COUNTIF($B$19:$E$19, K$2)&gt;0, _xlfn.IFS(COUNTIF($B$19:$C$19, K$2)&gt;0, VLOOKUP($J194,'Gear Values'!$A$2:$E$13, IF(COUNTBLANK('Attributes &amp; Prefixes'!$B$19:$C$19)&gt;0, "2", "3"), 0), COUNTIF($D$19:$E$19, K$2)&gt;0, VLOOKUP($J194,'Gear Values'!$A$2:$E$13, IF(COUNTBLANK('Attributes &amp; Prefixes'!$B$19:$C$19)&gt;0, "4", "5"), 0)), "")</f>
        <v/>
      </c>
      <c r="L194" s="148" t="str" cm="1">
        <f t="array" ref="L194">IF(COUNTIF($B$19:$E$19, L$2)&gt;0, _xlfn.IFS(COUNTIF($B$19:$C$19, L$2)&gt;0, VLOOKUP($J194,'Gear Values'!$A$2:$E$13, IF(COUNTBLANK('Attributes &amp; Prefixes'!$B$19:$C$19)&gt;0, "2", "3"), 0), COUNTIF($D$19:$E$19, L$2)&gt;0, VLOOKUP($J194,'Gear Values'!$A$2:$E$13, IF(COUNTBLANK('Attributes &amp; Prefixes'!$B$19:$C$19)&gt;0, "4", "5"), 0)), "")</f>
        <v/>
      </c>
      <c r="M194" s="148" cm="1">
        <f t="array" ref="M194">IF(COUNTIF($B$19:$E$19, M$2)&gt;0, _xlfn.IFS(COUNTIF($B$19:$C$19, M$2)&gt;0, VLOOKUP($J194,'Gear Values'!$A$2:$E$13, IF(COUNTBLANK('Attributes &amp; Prefixes'!$B$19:$C$19)&gt;0, "2", "3"), 0), COUNTIF($D$19:$E$19, M$2)&gt;0, VLOOKUP($J194,'Gear Values'!$A$2:$E$13, IF(COUNTBLANK('Attributes &amp; Prefixes'!$B$19:$C$19)&gt;0, "4", "5"), 0)), "")</f>
        <v>18</v>
      </c>
      <c r="N194" s="148" cm="1">
        <f t="array" ref="N194">IF(COUNTIF($B$19:$E$19, N$2)&gt;0, _xlfn.IFS(COUNTIF($B$19:$C$19, N$2)&gt;0, VLOOKUP($J194,'Gear Values'!$A$2:$E$13, IF(COUNTBLANK('Attributes &amp; Prefixes'!$B$19:$C$19)&gt;0, "2", "3"), 0), COUNTIF($D$19:$E$19, N$2)&gt;0, VLOOKUP($J194,'Gear Values'!$A$2:$E$13, IF(COUNTBLANK('Attributes &amp; Prefixes'!$B$19:$C$19)&gt;0, "4", "5"), 0)), "")</f>
        <v>18</v>
      </c>
      <c r="O194" s="148" t="str" cm="1">
        <f t="array" ref="O194">IF(COUNTIF($B$19:$E$19, O$2)&gt;0, _xlfn.IFS(COUNTIF($B$19:$C$19, O$2)&gt;0, VLOOKUP($J194,'Gear Values'!$A$2:$E$13, IF(COUNTBLANK('Attributes &amp; Prefixes'!$B$19:$C$19)&gt;0, "2", "3"), 0), COUNTIF($D$19:$E$19, O$2)&gt;0, VLOOKUP($J194,'Gear Values'!$A$2:$E$13, IF(COUNTBLANK('Attributes &amp; Prefixes'!$B$19:$C$19)&gt;0, "4", "5"), 0)), "")</f>
        <v/>
      </c>
      <c r="P194" s="148" cm="1">
        <f t="array" ref="P194">IF(COUNTIF($B$19:$E$19, P$2)&gt;0, _xlfn.IFS(COUNTIF($B$19:$C$19, P$2)&gt;0, VLOOKUP($J194,'Gear Values'!$A$2:$E$13, IF(COUNTBLANK('Attributes &amp; Prefixes'!$B$19:$C$19)&gt;0, "2", "3"), 0), COUNTIF($D$19:$E$19, P$2)&gt;0, VLOOKUP($J194,'Gear Values'!$A$2:$E$13, IF(COUNTBLANK('Attributes &amp; Prefixes'!$B$19:$C$19)&gt;0, "4", "5"), 0)), "")</f>
        <v>32</v>
      </c>
      <c r="Q194" s="148" t="str" cm="1">
        <f t="array" ref="Q194">IF(COUNTIF($B$19:$E$19, Q$2)&gt;0, _xlfn.IFS(COUNTIF($B$19:$C$19, Q$2)&gt;0, VLOOKUP($J194,'Gear Values'!$A$2:$E$13, IF(COUNTBLANK('Attributes &amp; Prefixes'!$B$19:$C$19)&gt;0, "2", "3"), 0), COUNTIF($D$19:$E$19, Q$2)&gt;0, VLOOKUP($J194,'Gear Values'!$A$2:$E$13, IF(COUNTBLANK('Attributes &amp; Prefixes'!$B$19:$C$19)&gt;0, "4", "5"), 0)), "")</f>
        <v/>
      </c>
      <c r="R194" s="148" t="str" cm="1">
        <f t="array" ref="R194">IF(COUNTIF($B$19:$E$19, R$2)&gt;0, _xlfn.IFS(COUNTIF($B$19:$C$19, R$2)&gt;0, VLOOKUP($J194,'Gear Values'!$A$2:$E$13, IF(COUNTBLANK('Attributes &amp; Prefixes'!$B$19:$C$19)&gt;0, "2", "3"), 0), COUNTIF($D$19:$E$19, R$2)&gt;0, VLOOKUP($J194,'Gear Values'!$A$2:$E$13, IF(COUNTBLANK('Attributes &amp; Prefixes'!$B$19:$C$19)&gt;0, "4", "5"), 0)), "")</f>
        <v/>
      </c>
      <c r="S194" s="150" t="str" cm="1">
        <f t="array" ref="S194">IF(COUNTIF($B$19:$E$19, S$2)&gt;0, _xlfn.IFS(COUNTIF($B$19:$C$19, S$2)&gt;0, VLOOKUP($J194,'Gear Values'!$A$2:$E$13, IF(COUNTBLANK('Attributes &amp; Prefixes'!$B$19:$C$19)&gt;0, "2", "3"), 0), COUNTIF($D$19:$E$19, S$2)&gt;0, VLOOKUP($J194,'Gear Values'!$A$2:$E$13, IF(COUNTBLANK('Attributes &amp; Prefixes'!$B$19:$C$19)&gt;0, "4", "5"), 0)), "")</f>
        <v/>
      </c>
      <c r="V194" s="112"/>
      <c r="W194" s="113"/>
    </row>
    <row r="195" spans="6:23">
      <c r="H195" s="130" t="str">
        <f>_xlfn.CONCAT(I$195,J195)</f>
        <v>DivinerWeapon (1H)</v>
      </c>
      <c r="I195" s="519" t="str">
        <f>A20</f>
        <v>Diviner</v>
      </c>
      <c r="J195" s="145" t="s">
        <v>37</v>
      </c>
      <c r="K195" s="133" cm="1">
        <f t="array" ref="K195">IF(COUNTIF($B$20:$E$20, K$2)&gt;0, _xlfn.IFS(COUNTIF($B$20:$C$20, K$2)&gt;0, VLOOKUP($J195,'Gear Values'!$A$2:$E$13, IF(COUNTBLANK('Attributes &amp; Prefixes'!$B$20:$C$20)&gt;0, "2", "3"), 0), COUNTIF($D$20:$E$20, K$2)&gt;0, VLOOKUP($J195,'Gear Values'!$A$2:$E$13, IF(COUNTBLANK('Attributes &amp; Prefixes'!$B$20:$C$20)&gt;0, "4", "5"), 0)), "")</f>
        <v>102</v>
      </c>
      <c r="L195" s="134" cm="1">
        <f t="array" ref="L195">IF(COUNTIF($B$20:$E$20, L$2)&gt;0, _xlfn.IFS(COUNTIF($B$20:$C$20, L$2)&gt;0, VLOOKUP($J195,'Gear Values'!$A$2:$E$13, IF(COUNTBLANK('Attributes &amp; Prefixes'!$B$20:$C$20)&gt;0, "2", "3"), 0), COUNTIF($D$20:$E$20, L$2)&gt;0, VLOOKUP($J195,'Gear Values'!$A$2:$E$13, IF(COUNTBLANK('Attributes &amp; Prefixes'!$B$20:$C$20)&gt;0, "4", "5"), 0)), "")</f>
        <v>56</v>
      </c>
      <c r="M195" s="134" t="str" cm="1">
        <f t="array" ref="M195">IF(COUNTIF($B$20:$E$20, M$2)&gt;0, _xlfn.IFS(COUNTIF($B$20:$C$20, M$2)&gt;0, VLOOKUP($J195,'Gear Values'!$A$2:$E$13, IF(COUNTBLANK('Attributes &amp; Prefixes'!$B$20:$C$20)&gt;0, "2", "3"), 0), COUNTIF($D$20:$E$20, M$2)&gt;0, VLOOKUP($J195,'Gear Values'!$A$2:$E$13, IF(COUNTBLANK('Attributes &amp; Prefixes'!$B$20:$C$20)&gt;0, "4", "5"), 0)), "")</f>
        <v/>
      </c>
      <c r="N195" s="134" t="str" cm="1">
        <f t="array" ref="N195">IF(COUNTIF($B$20:$E$20, N$2)&gt;0, _xlfn.IFS(COUNTIF($B$20:$C$20, N$2)&gt;0, VLOOKUP($J195,'Gear Values'!$A$2:$E$13, IF(COUNTBLANK('Attributes &amp; Prefixes'!$B$20:$C$20)&gt;0, "2", "3"), 0), COUNTIF($D$20:$E$20, N$2)&gt;0, VLOOKUP($J195,'Gear Values'!$A$2:$E$13, IF(COUNTBLANK('Attributes &amp; Prefixes'!$B$20:$C$20)&gt;0, "4", "5"), 0)), "")</f>
        <v/>
      </c>
      <c r="O195" s="134" cm="1">
        <f t="array" ref="O195">IF(COUNTIF($B$20:$E$20, O$2)&gt;0, _xlfn.IFS(COUNTIF($B$20:$C$20, O$2)&gt;0, VLOOKUP($J195,'Gear Values'!$A$2:$E$13, IF(COUNTBLANK('Attributes &amp; Prefixes'!$B$20:$C$20)&gt;0, "2", "3"), 0), COUNTIF($D$20:$E$20, O$2)&gt;0, VLOOKUP($J195,'Gear Values'!$A$2:$E$13, IF(COUNTBLANK('Attributes &amp; Prefixes'!$B$20:$C$20)&gt;0, "4", "5"), 0)), "")</f>
        <v>102</v>
      </c>
      <c r="P195" s="134" t="str" cm="1">
        <f t="array" ref="P195">IF(COUNTIF($B$20:$E$20, P$2)&gt;0, _xlfn.IFS(COUNTIF($B$20:$C$20, P$2)&gt;0, VLOOKUP($J195,'Gear Values'!$A$2:$E$13, IF(COUNTBLANK('Attributes &amp; Prefixes'!$B$20:$C$20)&gt;0, "2", "3"), 0), COUNTIF($D$20:$E$20, P$2)&gt;0, VLOOKUP($J195,'Gear Values'!$A$2:$E$13, IF(COUNTBLANK('Attributes &amp; Prefixes'!$B$20:$C$20)&gt;0, "4", "5"), 0)), "")</f>
        <v/>
      </c>
      <c r="Q195" s="134" t="str" cm="1">
        <f t="array" ref="Q195">IF(COUNTIF($B$20:$E$20, Q$2)&gt;0, _xlfn.IFS(COUNTIF($B$20:$C$20, Q$2)&gt;0, VLOOKUP($J195,'Gear Values'!$A$2:$E$13, IF(COUNTBLANK('Attributes &amp; Prefixes'!$B$20:$C$20)&gt;0, "2", "3"), 0), COUNTIF($D$20:$E$20, Q$2)&gt;0, VLOOKUP($J195,'Gear Values'!$A$2:$E$13, IF(COUNTBLANK('Attributes &amp; Prefixes'!$B$20:$C$20)&gt;0, "4", "5"), 0)), "")</f>
        <v/>
      </c>
      <c r="R195" s="134" cm="1">
        <f t="array" ref="R195">IF(COUNTIF($B$20:$E$20, R$2)&gt;0, _xlfn.IFS(COUNTIF($B$20:$C$20, R$2)&gt;0, VLOOKUP($J195,'Gear Values'!$A$2:$E$13, IF(COUNTBLANK('Attributes &amp; Prefixes'!$B$20:$C$20)&gt;0, "2", "3"), 0), COUNTIF($D$20:$E$20, R$2)&gt;0, VLOOKUP($J195,'Gear Values'!$A$2:$E$13, IF(COUNTBLANK('Attributes &amp; Prefixes'!$B$20:$C$20)&gt;0, "4", "5"), 0)), "")</f>
        <v>56</v>
      </c>
      <c r="S195" s="135" t="str" cm="1">
        <f t="array" ref="S195">IF(COUNTIF($B$20:$E$20, S$2)&gt;0, _xlfn.IFS(COUNTIF($B$20:$C$20, S$2)&gt;0, VLOOKUP($J195,'Gear Values'!$A$2:$E$13, IF(COUNTBLANK('Attributes &amp; Prefixes'!$B$20:$C$20)&gt;0, "2", "3"), 0), COUNTIF($D$20:$E$20, S$2)&gt;0, VLOOKUP($J195,'Gear Values'!$A$2:$E$13, IF(COUNTBLANK('Attributes &amp; Prefixes'!$B$20:$C$20)&gt;0, "4", "5"), 0)), "")</f>
        <v/>
      </c>
      <c r="V195" s="112"/>
      <c r="W195" s="113"/>
    </row>
    <row r="196" spans="6:23">
      <c r="H196" s="130" t="str">
        <f>_xlfn.CONCAT(I$195,J196)</f>
        <v>DivinerWeapon (2H)</v>
      </c>
      <c r="I196" s="520"/>
      <c r="J196" s="144" t="s">
        <v>39</v>
      </c>
      <c r="K196" s="136" cm="1">
        <f t="array" ref="K196">IF(COUNTIF($B$20:$E$20, K$2)&gt;0, _xlfn.IFS(COUNTIF($B$20:$C$20, K$2)&gt;0, VLOOKUP($J196,'Gear Values'!$A$2:$E$13, IF(COUNTBLANK('Attributes &amp; Prefixes'!$B$20:$C$20)&gt;0, "2", "3"), 0), COUNTIF($D$20:$E$20, K$2)&gt;0, VLOOKUP($J196,'Gear Values'!$A$2:$E$13, IF(COUNTBLANK('Attributes &amp; Prefixes'!$B$20:$C$20)&gt;0, "4", "5"), 0)), "")</f>
        <v>205</v>
      </c>
      <c r="L196" s="137" cm="1">
        <f t="array" ref="L196">IF(COUNTIF($B$20:$E$20, L$2)&gt;0, _xlfn.IFS(COUNTIF($B$20:$C$20, L$2)&gt;0, VLOOKUP($J196,'Gear Values'!$A$2:$E$13, IF(COUNTBLANK('Attributes &amp; Prefixes'!$B$20:$C$20)&gt;0, "2", "3"), 0), COUNTIF($D$20:$E$20, L$2)&gt;0, VLOOKUP($J196,'Gear Values'!$A$2:$E$13, IF(COUNTBLANK('Attributes &amp; Prefixes'!$B$20:$C$20)&gt;0, "4", "5"), 0)), "")</f>
        <v>113</v>
      </c>
      <c r="M196" s="137" t="str" cm="1">
        <f t="array" ref="M196">IF(COUNTIF($B$20:$E$20, M$2)&gt;0, _xlfn.IFS(COUNTIF($B$20:$C$20, M$2)&gt;0, VLOOKUP($J196,'Gear Values'!$A$2:$E$13, IF(COUNTBLANK('Attributes &amp; Prefixes'!$B$20:$C$20)&gt;0, "2", "3"), 0), COUNTIF($D$20:$E$20, M$2)&gt;0, VLOOKUP($J196,'Gear Values'!$A$2:$E$13, IF(COUNTBLANK('Attributes &amp; Prefixes'!$B$20:$C$20)&gt;0, "4", "5"), 0)), "")</f>
        <v/>
      </c>
      <c r="N196" s="137" t="str" cm="1">
        <f t="array" ref="N196">IF(COUNTIF($B$20:$E$20, N$2)&gt;0, _xlfn.IFS(COUNTIF($B$20:$C$20, N$2)&gt;0, VLOOKUP($J196,'Gear Values'!$A$2:$E$13, IF(COUNTBLANK('Attributes &amp; Prefixes'!$B$20:$C$20)&gt;0, "2", "3"), 0), COUNTIF($D$20:$E$20, N$2)&gt;0, VLOOKUP($J196,'Gear Values'!$A$2:$E$13, IF(COUNTBLANK('Attributes &amp; Prefixes'!$B$20:$C$20)&gt;0, "4", "5"), 0)), "")</f>
        <v/>
      </c>
      <c r="O196" s="137" cm="1">
        <f t="array" ref="O196">IF(COUNTIF($B$20:$E$20, O$2)&gt;0, _xlfn.IFS(COUNTIF($B$20:$C$20, O$2)&gt;0, VLOOKUP($J196,'Gear Values'!$A$2:$E$13, IF(COUNTBLANK('Attributes &amp; Prefixes'!$B$20:$C$20)&gt;0, "2", "3"), 0), COUNTIF($D$20:$E$20, O$2)&gt;0, VLOOKUP($J196,'Gear Values'!$A$2:$E$13, IF(COUNTBLANK('Attributes &amp; Prefixes'!$B$20:$C$20)&gt;0, "4", "5"), 0)), "")</f>
        <v>205</v>
      </c>
      <c r="P196" s="137" t="str" cm="1">
        <f t="array" ref="P196">IF(COUNTIF($B$20:$E$20, P$2)&gt;0, _xlfn.IFS(COUNTIF($B$20:$C$20, P$2)&gt;0, VLOOKUP($J196,'Gear Values'!$A$2:$E$13, IF(COUNTBLANK('Attributes &amp; Prefixes'!$B$20:$C$20)&gt;0, "2", "3"), 0), COUNTIF($D$20:$E$20, P$2)&gt;0, VLOOKUP($J196,'Gear Values'!$A$2:$E$13, IF(COUNTBLANK('Attributes &amp; Prefixes'!$B$20:$C$20)&gt;0, "4", "5"), 0)), "")</f>
        <v/>
      </c>
      <c r="Q196" s="137" t="str" cm="1">
        <f t="array" ref="Q196">IF(COUNTIF($B$20:$E$20, Q$2)&gt;0, _xlfn.IFS(COUNTIF($B$20:$C$20, Q$2)&gt;0, VLOOKUP($J196,'Gear Values'!$A$2:$E$13, IF(COUNTBLANK('Attributes &amp; Prefixes'!$B$20:$C$20)&gt;0, "2", "3"), 0), COUNTIF($D$20:$E$20, Q$2)&gt;0, VLOOKUP($J196,'Gear Values'!$A$2:$E$13, IF(COUNTBLANK('Attributes &amp; Prefixes'!$B$20:$C$20)&gt;0, "4", "5"), 0)), "")</f>
        <v/>
      </c>
      <c r="R196" s="137" cm="1">
        <f t="array" ref="R196">IF(COUNTIF($B$20:$E$20, R$2)&gt;0, _xlfn.IFS(COUNTIF($B$20:$C$20, R$2)&gt;0, VLOOKUP($J196,'Gear Values'!$A$2:$E$13, IF(COUNTBLANK('Attributes &amp; Prefixes'!$B$20:$C$20)&gt;0, "2", "3"), 0), COUNTIF($D$20:$E$20, R$2)&gt;0, VLOOKUP($J196,'Gear Values'!$A$2:$E$13, IF(COUNTBLANK('Attributes &amp; Prefixes'!$B$20:$C$20)&gt;0, "4", "5"), 0)), "")</f>
        <v>113</v>
      </c>
      <c r="S196" s="138" t="str" cm="1">
        <f t="array" ref="S196">IF(COUNTIF($B$20:$E$20, S$2)&gt;0, _xlfn.IFS(COUNTIF($B$20:$C$20, S$2)&gt;0, VLOOKUP($J196,'Gear Values'!$A$2:$E$13, IF(COUNTBLANK('Attributes &amp; Prefixes'!$B$20:$C$20)&gt;0, "2", "3"), 0), COUNTIF($D$20:$E$20, S$2)&gt;0, VLOOKUP($J196,'Gear Values'!$A$2:$E$13, IF(COUNTBLANK('Attributes &amp; Prefixes'!$B$20:$C$20)&gt;0, "4", "5"), 0)), "")</f>
        <v/>
      </c>
      <c r="V196" s="112"/>
      <c r="W196" s="113"/>
    </row>
    <row r="197" spans="6:23">
      <c r="H197" s="130" t="str">
        <f>_xlfn.CONCAT(I$195,J197)</f>
        <v>DivinerHead</v>
      </c>
      <c r="I197" s="520"/>
      <c r="J197" s="144" t="s">
        <v>40</v>
      </c>
      <c r="K197" s="136" cm="1">
        <f t="array" ref="K197">IF(COUNTIF($B$20:$E$20, K$2)&gt;0, _xlfn.IFS(COUNTIF($B$20:$C$20, K$2)&gt;0, VLOOKUP($J197,'Gear Values'!$A$2:$E$13, IF(COUNTBLANK('Attributes &amp; Prefixes'!$B$20:$C$20)&gt;0, "2", "3"), 0), COUNTIF($D$20:$E$20, K$2)&gt;0, VLOOKUP($J197,'Gear Values'!$A$2:$E$13, IF(COUNTBLANK('Attributes &amp; Prefixes'!$B$20:$C$20)&gt;0, "4", "5"), 0)), "")</f>
        <v>51</v>
      </c>
      <c r="L197" s="137" cm="1">
        <f t="array" ref="L197">IF(COUNTIF($B$20:$E$20, L$2)&gt;0, _xlfn.IFS(COUNTIF($B$20:$C$20, L$2)&gt;0, VLOOKUP($J197,'Gear Values'!$A$2:$E$13, IF(COUNTBLANK('Attributes &amp; Prefixes'!$B$20:$C$20)&gt;0, "2", "3"), 0), COUNTIF($D$20:$E$20, L$2)&gt;0, VLOOKUP($J197,'Gear Values'!$A$2:$E$13, IF(COUNTBLANK('Attributes &amp; Prefixes'!$B$20:$C$20)&gt;0, "4", "5"), 0)), "")</f>
        <v>28</v>
      </c>
      <c r="M197" s="137" t="str" cm="1">
        <f t="array" ref="M197">IF(COUNTIF($B$20:$E$20, M$2)&gt;0, _xlfn.IFS(COUNTIF($B$20:$C$20, M$2)&gt;0, VLOOKUP($J197,'Gear Values'!$A$2:$E$13, IF(COUNTBLANK('Attributes &amp; Prefixes'!$B$20:$C$20)&gt;0, "2", "3"), 0), COUNTIF($D$20:$E$20, M$2)&gt;0, VLOOKUP($J197,'Gear Values'!$A$2:$E$13, IF(COUNTBLANK('Attributes &amp; Prefixes'!$B$20:$C$20)&gt;0, "4", "5"), 0)), "")</f>
        <v/>
      </c>
      <c r="N197" s="137" t="str" cm="1">
        <f t="array" ref="N197">IF(COUNTIF($B$20:$E$20, N$2)&gt;0, _xlfn.IFS(COUNTIF($B$20:$C$20, N$2)&gt;0, VLOOKUP($J197,'Gear Values'!$A$2:$E$13, IF(COUNTBLANK('Attributes &amp; Prefixes'!$B$20:$C$20)&gt;0, "2", "3"), 0), COUNTIF($D$20:$E$20, N$2)&gt;0, VLOOKUP($J197,'Gear Values'!$A$2:$E$13, IF(COUNTBLANK('Attributes &amp; Prefixes'!$B$20:$C$20)&gt;0, "4", "5"), 0)), "")</f>
        <v/>
      </c>
      <c r="O197" s="137" cm="1">
        <f t="array" ref="O197">IF(COUNTIF($B$20:$E$20, O$2)&gt;0, _xlfn.IFS(COUNTIF($B$20:$C$20, O$2)&gt;0, VLOOKUP($J197,'Gear Values'!$A$2:$E$13, IF(COUNTBLANK('Attributes &amp; Prefixes'!$B$20:$C$20)&gt;0, "2", "3"), 0), COUNTIF($D$20:$E$20, O$2)&gt;0, VLOOKUP($J197,'Gear Values'!$A$2:$E$13, IF(COUNTBLANK('Attributes &amp; Prefixes'!$B$20:$C$20)&gt;0, "4", "5"), 0)), "")</f>
        <v>51</v>
      </c>
      <c r="P197" s="137" t="str" cm="1">
        <f t="array" ref="P197">IF(COUNTIF($B$20:$E$20, P$2)&gt;0, _xlfn.IFS(COUNTIF($B$20:$C$20, P$2)&gt;0, VLOOKUP($J197,'Gear Values'!$A$2:$E$13, IF(COUNTBLANK('Attributes &amp; Prefixes'!$B$20:$C$20)&gt;0, "2", "3"), 0), COUNTIF($D$20:$E$20, P$2)&gt;0, VLOOKUP($J197,'Gear Values'!$A$2:$E$13, IF(COUNTBLANK('Attributes &amp; Prefixes'!$B$20:$C$20)&gt;0, "4", "5"), 0)), "")</f>
        <v/>
      </c>
      <c r="Q197" s="137" t="str" cm="1">
        <f t="array" ref="Q197">IF(COUNTIF($B$20:$E$20, Q$2)&gt;0, _xlfn.IFS(COUNTIF($B$20:$C$20, Q$2)&gt;0, VLOOKUP($J197,'Gear Values'!$A$2:$E$13, IF(COUNTBLANK('Attributes &amp; Prefixes'!$B$20:$C$20)&gt;0, "2", "3"), 0), COUNTIF($D$20:$E$20, Q$2)&gt;0, VLOOKUP($J197,'Gear Values'!$A$2:$E$13, IF(COUNTBLANK('Attributes &amp; Prefixes'!$B$20:$C$20)&gt;0, "4", "5"), 0)), "")</f>
        <v/>
      </c>
      <c r="R197" s="137" cm="1">
        <f t="array" ref="R197">IF(COUNTIF($B$20:$E$20, R$2)&gt;0, _xlfn.IFS(COUNTIF($B$20:$C$20, R$2)&gt;0, VLOOKUP($J197,'Gear Values'!$A$2:$E$13, IF(COUNTBLANK('Attributes &amp; Prefixes'!$B$20:$C$20)&gt;0, "2", "3"), 0), COUNTIF($D$20:$E$20, R$2)&gt;0, VLOOKUP($J197,'Gear Values'!$A$2:$E$13, IF(COUNTBLANK('Attributes &amp; Prefixes'!$B$20:$C$20)&gt;0, "4", "5"), 0)), "")</f>
        <v>28</v>
      </c>
      <c r="S197" s="138" t="str" cm="1">
        <f t="array" ref="S197">IF(COUNTIF($B$20:$E$20, S$2)&gt;0, _xlfn.IFS(COUNTIF($B$20:$C$20, S$2)&gt;0, VLOOKUP($J197,'Gear Values'!$A$2:$E$13, IF(COUNTBLANK('Attributes &amp; Prefixes'!$B$20:$C$20)&gt;0, "2", "3"), 0), COUNTIF($D$20:$E$20, S$2)&gt;0, VLOOKUP($J197,'Gear Values'!$A$2:$E$13, IF(COUNTBLANK('Attributes &amp; Prefixes'!$B$20:$C$20)&gt;0, "4", "5"), 0)), "")</f>
        <v/>
      </c>
      <c r="V197" s="112"/>
      <c r="W197" s="113"/>
    </row>
    <row r="198" spans="6:23">
      <c r="H198" s="130" t="str">
        <f>_xlfn.CONCAT(I$195,J198)</f>
        <v>DivinerShoulders</v>
      </c>
      <c r="I198" s="520"/>
      <c r="J198" s="144" t="s">
        <v>42</v>
      </c>
      <c r="K198" s="136" cm="1">
        <f t="array" ref="K198">IF(COUNTIF($B$20:$E$20, K$2)&gt;0, _xlfn.IFS(COUNTIF($B$20:$C$20, K$2)&gt;0, VLOOKUP($J198,'Gear Values'!$A$2:$E$13, IF(COUNTBLANK('Attributes &amp; Prefixes'!$B$20:$C$20)&gt;0, "2", "3"), 0), COUNTIF($D$20:$E$20, K$2)&gt;0, VLOOKUP($J198,'Gear Values'!$A$2:$E$13, IF(COUNTBLANK('Attributes &amp; Prefixes'!$B$20:$C$20)&gt;0, "4", "5"), 0)), "")</f>
        <v>38</v>
      </c>
      <c r="L198" s="137" cm="1">
        <f t="array" ref="L198">IF(COUNTIF($B$20:$E$20, L$2)&gt;0, _xlfn.IFS(COUNTIF($B$20:$C$20, L$2)&gt;0, VLOOKUP($J198,'Gear Values'!$A$2:$E$13, IF(COUNTBLANK('Attributes &amp; Prefixes'!$B$20:$C$20)&gt;0, "2", "3"), 0), COUNTIF($D$20:$E$20, L$2)&gt;0, VLOOKUP($J198,'Gear Values'!$A$2:$E$13, IF(COUNTBLANK('Attributes &amp; Prefixes'!$B$20:$C$20)&gt;0, "4", "5"), 0)), "")</f>
        <v>21</v>
      </c>
      <c r="M198" s="137" t="str" cm="1">
        <f t="array" ref="M198">IF(COUNTIF($B$20:$E$20, M$2)&gt;0, _xlfn.IFS(COUNTIF($B$20:$C$20, M$2)&gt;0, VLOOKUP($J198,'Gear Values'!$A$2:$E$13, IF(COUNTBLANK('Attributes &amp; Prefixes'!$B$20:$C$20)&gt;0, "2", "3"), 0), COUNTIF($D$20:$E$20, M$2)&gt;0, VLOOKUP($J198,'Gear Values'!$A$2:$E$13, IF(COUNTBLANK('Attributes &amp; Prefixes'!$B$20:$C$20)&gt;0, "4", "5"), 0)), "")</f>
        <v/>
      </c>
      <c r="N198" s="137" t="str" cm="1">
        <f t="array" ref="N198">IF(COUNTIF($B$20:$E$20, N$2)&gt;0, _xlfn.IFS(COUNTIF($B$20:$C$20, N$2)&gt;0, VLOOKUP($J198,'Gear Values'!$A$2:$E$13, IF(COUNTBLANK('Attributes &amp; Prefixes'!$B$20:$C$20)&gt;0, "2", "3"), 0), COUNTIF($D$20:$E$20, N$2)&gt;0, VLOOKUP($J198,'Gear Values'!$A$2:$E$13, IF(COUNTBLANK('Attributes &amp; Prefixes'!$B$20:$C$20)&gt;0, "4", "5"), 0)), "")</f>
        <v/>
      </c>
      <c r="O198" s="137" cm="1">
        <f t="array" ref="O198">IF(COUNTIF($B$20:$E$20, O$2)&gt;0, _xlfn.IFS(COUNTIF($B$20:$C$20, O$2)&gt;0, VLOOKUP($J198,'Gear Values'!$A$2:$E$13, IF(COUNTBLANK('Attributes &amp; Prefixes'!$B$20:$C$20)&gt;0, "2", "3"), 0), COUNTIF($D$20:$E$20, O$2)&gt;0, VLOOKUP($J198,'Gear Values'!$A$2:$E$13, IF(COUNTBLANK('Attributes &amp; Prefixes'!$B$20:$C$20)&gt;0, "4", "5"), 0)), "")</f>
        <v>38</v>
      </c>
      <c r="P198" s="137" t="str" cm="1">
        <f t="array" ref="P198">IF(COUNTIF($B$20:$E$20, P$2)&gt;0, _xlfn.IFS(COUNTIF($B$20:$C$20, P$2)&gt;0, VLOOKUP($J198,'Gear Values'!$A$2:$E$13, IF(COUNTBLANK('Attributes &amp; Prefixes'!$B$20:$C$20)&gt;0, "2", "3"), 0), COUNTIF($D$20:$E$20, P$2)&gt;0, VLOOKUP($J198,'Gear Values'!$A$2:$E$13, IF(COUNTBLANK('Attributes &amp; Prefixes'!$B$20:$C$20)&gt;0, "4", "5"), 0)), "")</f>
        <v/>
      </c>
      <c r="Q198" s="137" t="str" cm="1">
        <f t="array" ref="Q198">IF(COUNTIF($B$20:$E$20, Q$2)&gt;0, _xlfn.IFS(COUNTIF($B$20:$C$20, Q$2)&gt;0, VLOOKUP($J198,'Gear Values'!$A$2:$E$13, IF(COUNTBLANK('Attributes &amp; Prefixes'!$B$20:$C$20)&gt;0, "2", "3"), 0), COUNTIF($D$20:$E$20, Q$2)&gt;0, VLOOKUP($J198,'Gear Values'!$A$2:$E$13, IF(COUNTBLANK('Attributes &amp; Prefixes'!$B$20:$C$20)&gt;0, "4", "5"), 0)), "")</f>
        <v/>
      </c>
      <c r="R198" s="137" cm="1">
        <f t="array" ref="R198">IF(COUNTIF($B$20:$E$20, R$2)&gt;0, _xlfn.IFS(COUNTIF($B$20:$C$20, R$2)&gt;0, VLOOKUP($J198,'Gear Values'!$A$2:$E$13, IF(COUNTBLANK('Attributes &amp; Prefixes'!$B$20:$C$20)&gt;0, "2", "3"), 0), COUNTIF($D$20:$E$20, R$2)&gt;0, VLOOKUP($J198,'Gear Values'!$A$2:$E$13, IF(COUNTBLANK('Attributes &amp; Prefixes'!$B$20:$C$20)&gt;0, "4", "5"), 0)), "")</f>
        <v>21</v>
      </c>
      <c r="S198" s="138" t="str" cm="1">
        <f t="array" ref="S198">IF(COUNTIF($B$20:$E$20, S$2)&gt;0, _xlfn.IFS(COUNTIF($B$20:$C$20, S$2)&gt;0, VLOOKUP($J198,'Gear Values'!$A$2:$E$13, IF(COUNTBLANK('Attributes &amp; Prefixes'!$B$20:$C$20)&gt;0, "2", "3"), 0), COUNTIF($D$20:$E$20, S$2)&gt;0, VLOOKUP($J198,'Gear Values'!$A$2:$E$13, IF(COUNTBLANK('Attributes &amp; Prefixes'!$B$20:$C$20)&gt;0, "4", "5"), 0)), "")</f>
        <v/>
      </c>
      <c r="V198" s="112"/>
      <c r="W198" s="113"/>
    </row>
    <row r="199" spans="6:23">
      <c r="H199" s="130" t="str">
        <f>_xlfn.CONCAT(I$195,J199)</f>
        <v>DivinerChest</v>
      </c>
      <c r="I199" s="520"/>
      <c r="J199" s="144" t="s">
        <v>44</v>
      </c>
      <c r="K199" s="136" cm="1">
        <f t="array" ref="K199">IF(COUNTIF($B$20:$E$20, K$2)&gt;0, _xlfn.IFS(COUNTIF($B$20:$C$20, K$2)&gt;0, VLOOKUP($J199,'Gear Values'!$A$2:$E$13, IF(COUNTBLANK('Attributes &amp; Prefixes'!$B$20:$C$20)&gt;0, "2", "3"), 0), COUNTIF($D$20:$E$20, K$2)&gt;0, VLOOKUP($J199,'Gear Values'!$A$2:$E$13, IF(COUNTBLANK('Attributes &amp; Prefixes'!$B$20:$C$20)&gt;0, "4", "5"), 0)), "")</f>
        <v>115</v>
      </c>
      <c r="L199" s="137" cm="1">
        <f t="array" ref="L199">IF(COUNTIF($B$20:$E$20, L$2)&gt;0, _xlfn.IFS(COUNTIF($B$20:$C$20, L$2)&gt;0, VLOOKUP($J199,'Gear Values'!$A$2:$E$13, IF(COUNTBLANK('Attributes &amp; Prefixes'!$B$20:$C$20)&gt;0, "2", "3"), 0), COUNTIF($D$20:$E$20, L$2)&gt;0, VLOOKUP($J199,'Gear Values'!$A$2:$E$13, IF(COUNTBLANK('Attributes &amp; Prefixes'!$B$20:$C$20)&gt;0, "4", "5"), 0)), "")</f>
        <v>63</v>
      </c>
      <c r="M199" s="137" t="str" cm="1">
        <f t="array" ref="M199">IF(COUNTIF($B$20:$E$20, M$2)&gt;0, _xlfn.IFS(COUNTIF($B$20:$C$20, M$2)&gt;0, VLOOKUP($J199,'Gear Values'!$A$2:$E$13, IF(COUNTBLANK('Attributes &amp; Prefixes'!$B$20:$C$20)&gt;0, "2", "3"), 0), COUNTIF($D$20:$E$20, M$2)&gt;0, VLOOKUP($J199,'Gear Values'!$A$2:$E$13, IF(COUNTBLANK('Attributes &amp; Prefixes'!$B$20:$C$20)&gt;0, "4", "5"), 0)), "")</f>
        <v/>
      </c>
      <c r="N199" s="137" t="str" cm="1">
        <f t="array" ref="N199">IF(COUNTIF($B$20:$E$20, N$2)&gt;0, _xlfn.IFS(COUNTIF($B$20:$C$20, N$2)&gt;0, VLOOKUP($J199,'Gear Values'!$A$2:$E$13, IF(COUNTBLANK('Attributes &amp; Prefixes'!$B$20:$C$20)&gt;0, "2", "3"), 0), COUNTIF($D$20:$E$20, N$2)&gt;0, VLOOKUP($J199,'Gear Values'!$A$2:$E$13, IF(COUNTBLANK('Attributes &amp; Prefixes'!$B$20:$C$20)&gt;0, "4", "5"), 0)), "")</f>
        <v/>
      </c>
      <c r="O199" s="137" cm="1">
        <f t="array" ref="O199">IF(COUNTIF($B$20:$E$20, O$2)&gt;0, _xlfn.IFS(COUNTIF($B$20:$C$20, O$2)&gt;0, VLOOKUP($J199,'Gear Values'!$A$2:$E$13, IF(COUNTBLANK('Attributes &amp; Prefixes'!$B$20:$C$20)&gt;0, "2", "3"), 0), COUNTIF($D$20:$E$20, O$2)&gt;0, VLOOKUP($J199,'Gear Values'!$A$2:$E$13, IF(COUNTBLANK('Attributes &amp; Prefixes'!$B$20:$C$20)&gt;0, "4", "5"), 0)), "")</f>
        <v>115</v>
      </c>
      <c r="P199" s="137" t="str" cm="1">
        <f t="array" ref="P199">IF(COUNTIF($B$20:$E$20, P$2)&gt;0, _xlfn.IFS(COUNTIF($B$20:$C$20, P$2)&gt;0, VLOOKUP($J199,'Gear Values'!$A$2:$E$13, IF(COUNTBLANK('Attributes &amp; Prefixes'!$B$20:$C$20)&gt;0, "2", "3"), 0), COUNTIF($D$20:$E$20, P$2)&gt;0, VLOOKUP($J199,'Gear Values'!$A$2:$E$13, IF(COUNTBLANK('Attributes &amp; Prefixes'!$B$20:$C$20)&gt;0, "4", "5"), 0)), "")</f>
        <v/>
      </c>
      <c r="Q199" s="137" t="str" cm="1">
        <f t="array" ref="Q199">IF(COUNTIF($B$20:$E$20, Q$2)&gt;0, _xlfn.IFS(COUNTIF($B$20:$C$20, Q$2)&gt;0, VLOOKUP($J199,'Gear Values'!$A$2:$E$13, IF(COUNTBLANK('Attributes &amp; Prefixes'!$B$20:$C$20)&gt;0, "2", "3"), 0), COUNTIF($D$20:$E$20, Q$2)&gt;0, VLOOKUP($J199,'Gear Values'!$A$2:$E$13, IF(COUNTBLANK('Attributes &amp; Prefixes'!$B$20:$C$20)&gt;0, "4", "5"), 0)), "")</f>
        <v/>
      </c>
      <c r="R199" s="137" cm="1">
        <f t="array" ref="R199">IF(COUNTIF($B$20:$E$20, R$2)&gt;0, _xlfn.IFS(COUNTIF($B$20:$C$20, R$2)&gt;0, VLOOKUP($J199,'Gear Values'!$A$2:$E$13, IF(COUNTBLANK('Attributes &amp; Prefixes'!$B$20:$C$20)&gt;0, "2", "3"), 0), COUNTIF($D$20:$E$20, R$2)&gt;0, VLOOKUP($J199,'Gear Values'!$A$2:$E$13, IF(COUNTBLANK('Attributes &amp; Prefixes'!$B$20:$C$20)&gt;0, "4", "5"), 0)), "")</f>
        <v>63</v>
      </c>
      <c r="S199" s="138" t="str" cm="1">
        <f t="array" ref="S199">IF(COUNTIF($B$20:$E$20, S$2)&gt;0, _xlfn.IFS(COUNTIF($B$20:$C$20, S$2)&gt;0, VLOOKUP($J199,'Gear Values'!$A$2:$E$13, IF(COUNTBLANK('Attributes &amp; Prefixes'!$B$20:$C$20)&gt;0, "2", "3"), 0), COUNTIF($D$20:$E$20, S$2)&gt;0, VLOOKUP($J199,'Gear Values'!$A$2:$E$13, IF(COUNTBLANK('Attributes &amp; Prefixes'!$B$20:$C$20)&gt;0, "4", "5"), 0)), "")</f>
        <v/>
      </c>
      <c r="V199" s="112"/>
      <c r="W199" s="113"/>
    </row>
    <row r="200" spans="6:23">
      <c r="H200" s="130" t="str">
        <f>_xlfn.CONCAT(I$195,J200)</f>
        <v>DivinerHands</v>
      </c>
      <c r="I200" s="520"/>
      <c r="J200" s="144" t="s">
        <v>45</v>
      </c>
      <c r="K200" s="136" cm="1">
        <f t="array" ref="K200">IF(COUNTIF($B$20:$E$20, K$2)&gt;0, _xlfn.IFS(COUNTIF($B$20:$C$20, K$2)&gt;0, VLOOKUP($J200,'Gear Values'!$A$2:$E$13, IF(COUNTBLANK('Attributes &amp; Prefixes'!$B$20:$C$20)&gt;0, "2", "3"), 0), COUNTIF($D$20:$E$20, K$2)&gt;0, VLOOKUP($J200,'Gear Values'!$A$2:$E$13, IF(COUNTBLANK('Attributes &amp; Prefixes'!$B$20:$C$20)&gt;0, "4", "5"), 0)), "")</f>
        <v>38</v>
      </c>
      <c r="L200" s="137" cm="1">
        <f t="array" ref="L200">IF(COUNTIF($B$20:$E$20, L$2)&gt;0, _xlfn.IFS(COUNTIF($B$20:$C$20, L$2)&gt;0, VLOOKUP($J200,'Gear Values'!$A$2:$E$13, IF(COUNTBLANK('Attributes &amp; Prefixes'!$B$20:$C$20)&gt;0, "2", "3"), 0), COUNTIF($D$20:$E$20, L$2)&gt;0, VLOOKUP($J200,'Gear Values'!$A$2:$E$13, IF(COUNTBLANK('Attributes &amp; Prefixes'!$B$20:$C$20)&gt;0, "4", "5"), 0)), "")</f>
        <v>21</v>
      </c>
      <c r="M200" s="137" t="str" cm="1">
        <f t="array" ref="M200">IF(COUNTIF($B$20:$E$20, M$2)&gt;0, _xlfn.IFS(COUNTIF($B$20:$C$20, M$2)&gt;0, VLOOKUP($J200,'Gear Values'!$A$2:$E$13, IF(COUNTBLANK('Attributes &amp; Prefixes'!$B$20:$C$20)&gt;0, "2", "3"), 0), COUNTIF($D$20:$E$20, M$2)&gt;0, VLOOKUP($J200,'Gear Values'!$A$2:$E$13, IF(COUNTBLANK('Attributes &amp; Prefixes'!$B$20:$C$20)&gt;0, "4", "5"), 0)), "")</f>
        <v/>
      </c>
      <c r="N200" s="137" t="str" cm="1">
        <f t="array" ref="N200">IF(COUNTIF($B$20:$E$20, N$2)&gt;0, _xlfn.IFS(COUNTIF($B$20:$C$20, N$2)&gt;0, VLOOKUP($J200,'Gear Values'!$A$2:$E$13, IF(COUNTBLANK('Attributes &amp; Prefixes'!$B$20:$C$20)&gt;0, "2", "3"), 0), COUNTIF($D$20:$E$20, N$2)&gt;0, VLOOKUP($J200,'Gear Values'!$A$2:$E$13, IF(COUNTBLANK('Attributes &amp; Prefixes'!$B$20:$C$20)&gt;0, "4", "5"), 0)), "")</f>
        <v/>
      </c>
      <c r="O200" s="137" cm="1">
        <f t="array" ref="O200">IF(COUNTIF($B$20:$E$20, O$2)&gt;0, _xlfn.IFS(COUNTIF($B$20:$C$20, O$2)&gt;0, VLOOKUP($J200,'Gear Values'!$A$2:$E$13, IF(COUNTBLANK('Attributes &amp; Prefixes'!$B$20:$C$20)&gt;0, "2", "3"), 0), COUNTIF($D$20:$E$20, O$2)&gt;0, VLOOKUP($J200,'Gear Values'!$A$2:$E$13, IF(COUNTBLANK('Attributes &amp; Prefixes'!$B$20:$C$20)&gt;0, "4", "5"), 0)), "")</f>
        <v>38</v>
      </c>
      <c r="P200" s="137" t="str" cm="1">
        <f t="array" ref="P200">IF(COUNTIF($B$20:$E$20, P$2)&gt;0, _xlfn.IFS(COUNTIF($B$20:$C$20, P$2)&gt;0, VLOOKUP($J200,'Gear Values'!$A$2:$E$13, IF(COUNTBLANK('Attributes &amp; Prefixes'!$B$20:$C$20)&gt;0, "2", "3"), 0), COUNTIF($D$20:$E$20, P$2)&gt;0, VLOOKUP($J200,'Gear Values'!$A$2:$E$13, IF(COUNTBLANK('Attributes &amp; Prefixes'!$B$20:$C$20)&gt;0, "4", "5"), 0)), "")</f>
        <v/>
      </c>
      <c r="Q200" s="137" t="str" cm="1">
        <f t="array" ref="Q200">IF(COUNTIF($B$20:$E$20, Q$2)&gt;0, _xlfn.IFS(COUNTIF($B$20:$C$20, Q$2)&gt;0, VLOOKUP($J200,'Gear Values'!$A$2:$E$13, IF(COUNTBLANK('Attributes &amp; Prefixes'!$B$20:$C$20)&gt;0, "2", "3"), 0), COUNTIF($D$20:$E$20, Q$2)&gt;0, VLOOKUP($J200,'Gear Values'!$A$2:$E$13, IF(COUNTBLANK('Attributes &amp; Prefixes'!$B$20:$C$20)&gt;0, "4", "5"), 0)), "")</f>
        <v/>
      </c>
      <c r="R200" s="137" cm="1">
        <f t="array" ref="R200">IF(COUNTIF($B$20:$E$20, R$2)&gt;0, _xlfn.IFS(COUNTIF($B$20:$C$20, R$2)&gt;0, VLOOKUP($J200,'Gear Values'!$A$2:$E$13, IF(COUNTBLANK('Attributes &amp; Prefixes'!$B$20:$C$20)&gt;0, "2", "3"), 0), COUNTIF($D$20:$E$20, R$2)&gt;0, VLOOKUP($J200,'Gear Values'!$A$2:$E$13, IF(COUNTBLANK('Attributes &amp; Prefixes'!$B$20:$C$20)&gt;0, "4", "5"), 0)), "")</f>
        <v>21</v>
      </c>
      <c r="S200" s="138" t="str" cm="1">
        <f t="array" ref="S200">IF(COUNTIF($B$20:$E$20, S$2)&gt;0, _xlfn.IFS(COUNTIF($B$20:$C$20, S$2)&gt;0, VLOOKUP($J200,'Gear Values'!$A$2:$E$13, IF(COUNTBLANK('Attributes &amp; Prefixes'!$B$20:$C$20)&gt;0, "2", "3"), 0), COUNTIF($D$20:$E$20, S$2)&gt;0, VLOOKUP($J200,'Gear Values'!$A$2:$E$13, IF(COUNTBLANK('Attributes &amp; Prefixes'!$B$20:$C$20)&gt;0, "4", "5"), 0)), "")</f>
        <v/>
      </c>
      <c r="V200" s="112"/>
      <c r="W200" s="113"/>
    </row>
    <row r="201" spans="6:23">
      <c r="H201" s="130" t="str">
        <f>_xlfn.CONCAT(I$195,J201)</f>
        <v>DivinerLegs</v>
      </c>
      <c r="I201" s="520"/>
      <c r="J201" s="144" t="s">
        <v>47</v>
      </c>
      <c r="K201" s="136" cm="1">
        <f t="array" ref="K201">IF(COUNTIF($B$20:$E$20, K$2)&gt;0, _xlfn.IFS(COUNTIF($B$20:$C$20, K$2)&gt;0, VLOOKUP($J201,'Gear Values'!$A$2:$E$13, IF(COUNTBLANK('Attributes &amp; Prefixes'!$B$20:$C$20)&gt;0, "2", "3"), 0), COUNTIF($D$20:$E$20, K$2)&gt;0, VLOOKUP($J201,'Gear Values'!$A$2:$E$13, IF(COUNTBLANK('Attributes &amp; Prefixes'!$B$20:$C$20)&gt;0, "4", "5"), 0)), "")</f>
        <v>77</v>
      </c>
      <c r="L201" s="137" cm="1">
        <f t="array" ref="L201">IF(COUNTIF($B$20:$E$20, L$2)&gt;0, _xlfn.IFS(COUNTIF($B$20:$C$20, L$2)&gt;0, VLOOKUP($J201,'Gear Values'!$A$2:$E$13, IF(COUNTBLANK('Attributes &amp; Prefixes'!$B$20:$C$20)&gt;0, "2", "3"), 0), COUNTIF($D$20:$E$20, L$2)&gt;0, VLOOKUP($J201,'Gear Values'!$A$2:$E$13, IF(COUNTBLANK('Attributes &amp; Prefixes'!$B$20:$C$20)&gt;0, "4", "5"), 0)), "")</f>
        <v>42</v>
      </c>
      <c r="M201" s="137" t="str" cm="1">
        <f t="array" ref="M201">IF(COUNTIF($B$20:$E$20, M$2)&gt;0, _xlfn.IFS(COUNTIF($B$20:$C$20, M$2)&gt;0, VLOOKUP($J201,'Gear Values'!$A$2:$E$13, IF(COUNTBLANK('Attributes &amp; Prefixes'!$B$20:$C$20)&gt;0, "2", "3"), 0), COUNTIF($D$20:$E$20, M$2)&gt;0, VLOOKUP($J201,'Gear Values'!$A$2:$E$13, IF(COUNTBLANK('Attributes &amp; Prefixes'!$B$20:$C$20)&gt;0, "4", "5"), 0)), "")</f>
        <v/>
      </c>
      <c r="N201" s="137" t="str" cm="1">
        <f t="array" ref="N201">IF(COUNTIF($B$20:$E$20, N$2)&gt;0, _xlfn.IFS(COUNTIF($B$20:$C$20, N$2)&gt;0, VLOOKUP($J201,'Gear Values'!$A$2:$E$13, IF(COUNTBLANK('Attributes &amp; Prefixes'!$B$20:$C$20)&gt;0, "2", "3"), 0), COUNTIF($D$20:$E$20, N$2)&gt;0, VLOOKUP($J201,'Gear Values'!$A$2:$E$13, IF(COUNTBLANK('Attributes &amp; Prefixes'!$B$20:$C$20)&gt;0, "4", "5"), 0)), "")</f>
        <v/>
      </c>
      <c r="O201" s="137" cm="1">
        <f t="array" ref="O201">IF(COUNTIF($B$20:$E$20, O$2)&gt;0, _xlfn.IFS(COUNTIF($B$20:$C$20, O$2)&gt;0, VLOOKUP($J201,'Gear Values'!$A$2:$E$13, IF(COUNTBLANK('Attributes &amp; Prefixes'!$B$20:$C$20)&gt;0, "2", "3"), 0), COUNTIF($D$20:$E$20, O$2)&gt;0, VLOOKUP($J201,'Gear Values'!$A$2:$E$13, IF(COUNTBLANK('Attributes &amp; Prefixes'!$B$20:$C$20)&gt;0, "4", "5"), 0)), "")</f>
        <v>77</v>
      </c>
      <c r="P201" s="137" t="str" cm="1">
        <f t="array" ref="P201">IF(COUNTIF($B$20:$E$20, P$2)&gt;0, _xlfn.IFS(COUNTIF($B$20:$C$20, P$2)&gt;0, VLOOKUP($J201,'Gear Values'!$A$2:$E$13, IF(COUNTBLANK('Attributes &amp; Prefixes'!$B$20:$C$20)&gt;0, "2", "3"), 0), COUNTIF($D$20:$E$20, P$2)&gt;0, VLOOKUP($J201,'Gear Values'!$A$2:$E$13, IF(COUNTBLANK('Attributes &amp; Prefixes'!$B$20:$C$20)&gt;0, "4", "5"), 0)), "")</f>
        <v/>
      </c>
      <c r="Q201" s="137" t="str" cm="1">
        <f t="array" ref="Q201">IF(COUNTIF($B$20:$E$20, Q$2)&gt;0, _xlfn.IFS(COUNTIF($B$20:$C$20, Q$2)&gt;0, VLOOKUP($J201,'Gear Values'!$A$2:$E$13, IF(COUNTBLANK('Attributes &amp; Prefixes'!$B$20:$C$20)&gt;0, "2", "3"), 0), COUNTIF($D$20:$E$20, Q$2)&gt;0, VLOOKUP($J201,'Gear Values'!$A$2:$E$13, IF(COUNTBLANK('Attributes &amp; Prefixes'!$B$20:$C$20)&gt;0, "4", "5"), 0)), "")</f>
        <v/>
      </c>
      <c r="R201" s="137" cm="1">
        <f t="array" ref="R201">IF(COUNTIF($B$20:$E$20, R$2)&gt;0, _xlfn.IFS(COUNTIF($B$20:$C$20, R$2)&gt;0, VLOOKUP($J201,'Gear Values'!$A$2:$E$13, IF(COUNTBLANK('Attributes &amp; Prefixes'!$B$20:$C$20)&gt;0, "2", "3"), 0), COUNTIF($D$20:$E$20, R$2)&gt;0, VLOOKUP($J201,'Gear Values'!$A$2:$E$13, IF(COUNTBLANK('Attributes &amp; Prefixes'!$B$20:$C$20)&gt;0, "4", "5"), 0)), "")</f>
        <v>42</v>
      </c>
      <c r="S201" s="138" t="str" cm="1">
        <f t="array" ref="S201">IF(COUNTIF($B$20:$E$20, S$2)&gt;0, _xlfn.IFS(COUNTIF($B$20:$C$20, S$2)&gt;0, VLOOKUP($J201,'Gear Values'!$A$2:$E$13, IF(COUNTBLANK('Attributes &amp; Prefixes'!$B$20:$C$20)&gt;0, "2", "3"), 0), COUNTIF($D$20:$E$20, S$2)&gt;0, VLOOKUP($J201,'Gear Values'!$A$2:$E$13, IF(COUNTBLANK('Attributes &amp; Prefixes'!$B$20:$C$20)&gt;0, "4", "5"), 0)), "")</f>
        <v/>
      </c>
      <c r="V201" s="112"/>
      <c r="W201" s="113"/>
    </row>
    <row r="202" spans="6:23">
      <c r="F202" s="114"/>
      <c r="G202" s="114"/>
      <c r="H202" s="130" t="str">
        <f>_xlfn.CONCAT(I$195,J202)</f>
        <v>DivinerFeet</v>
      </c>
      <c r="I202" s="520"/>
      <c r="J202" s="144" t="s">
        <v>48</v>
      </c>
      <c r="K202" s="136" cm="1">
        <f t="array" ref="K202">IF(COUNTIF($B$20:$E$20, K$2)&gt;0, _xlfn.IFS(COUNTIF($B$20:$C$20, K$2)&gt;0, VLOOKUP($J202,'Gear Values'!$A$2:$E$13, IF(COUNTBLANK('Attributes &amp; Prefixes'!$B$20:$C$20)&gt;0, "2", "3"), 0), COUNTIF($D$20:$E$20, K$2)&gt;0, VLOOKUP($J202,'Gear Values'!$A$2:$E$13, IF(COUNTBLANK('Attributes &amp; Prefixes'!$B$20:$C$20)&gt;0, "4", "5"), 0)), "")</f>
        <v>38</v>
      </c>
      <c r="L202" s="137" cm="1">
        <f t="array" ref="L202">IF(COUNTIF($B$20:$E$20, L$2)&gt;0, _xlfn.IFS(COUNTIF($B$20:$C$20, L$2)&gt;0, VLOOKUP($J202,'Gear Values'!$A$2:$E$13, IF(COUNTBLANK('Attributes &amp; Prefixes'!$B$20:$C$20)&gt;0, "2", "3"), 0), COUNTIF($D$20:$E$20, L$2)&gt;0, VLOOKUP($J202,'Gear Values'!$A$2:$E$13, IF(COUNTBLANK('Attributes &amp; Prefixes'!$B$20:$C$20)&gt;0, "4", "5"), 0)), "")</f>
        <v>21</v>
      </c>
      <c r="M202" s="137" t="str" cm="1">
        <f t="array" ref="M202">IF(COUNTIF($B$20:$E$20, M$2)&gt;0, _xlfn.IFS(COUNTIF($B$20:$C$20, M$2)&gt;0, VLOOKUP($J202,'Gear Values'!$A$2:$E$13, IF(COUNTBLANK('Attributes &amp; Prefixes'!$B$20:$C$20)&gt;0, "2", "3"), 0), COUNTIF($D$20:$E$20, M$2)&gt;0, VLOOKUP($J202,'Gear Values'!$A$2:$E$13, IF(COUNTBLANK('Attributes &amp; Prefixes'!$B$20:$C$20)&gt;0, "4", "5"), 0)), "")</f>
        <v/>
      </c>
      <c r="N202" s="137" t="str" cm="1">
        <f t="array" ref="N202">IF(COUNTIF($B$20:$E$20, N$2)&gt;0, _xlfn.IFS(COUNTIF($B$20:$C$20, N$2)&gt;0, VLOOKUP($J202,'Gear Values'!$A$2:$E$13, IF(COUNTBLANK('Attributes &amp; Prefixes'!$B$20:$C$20)&gt;0, "2", "3"), 0), COUNTIF($D$20:$E$20, N$2)&gt;0, VLOOKUP($J202,'Gear Values'!$A$2:$E$13, IF(COUNTBLANK('Attributes &amp; Prefixes'!$B$20:$C$20)&gt;0, "4", "5"), 0)), "")</f>
        <v/>
      </c>
      <c r="O202" s="137" cm="1">
        <f t="array" ref="O202">IF(COUNTIF($B$20:$E$20, O$2)&gt;0, _xlfn.IFS(COUNTIF($B$20:$C$20, O$2)&gt;0, VLOOKUP($J202,'Gear Values'!$A$2:$E$13, IF(COUNTBLANK('Attributes &amp; Prefixes'!$B$20:$C$20)&gt;0, "2", "3"), 0), COUNTIF($D$20:$E$20, O$2)&gt;0, VLOOKUP($J202,'Gear Values'!$A$2:$E$13, IF(COUNTBLANK('Attributes &amp; Prefixes'!$B$20:$C$20)&gt;0, "4", "5"), 0)), "")</f>
        <v>38</v>
      </c>
      <c r="P202" s="137" t="str" cm="1">
        <f t="array" ref="P202">IF(COUNTIF($B$20:$E$20, P$2)&gt;0, _xlfn.IFS(COUNTIF($B$20:$C$20, P$2)&gt;0, VLOOKUP($J202,'Gear Values'!$A$2:$E$13, IF(COUNTBLANK('Attributes &amp; Prefixes'!$B$20:$C$20)&gt;0, "2", "3"), 0), COUNTIF($D$20:$E$20, P$2)&gt;0, VLOOKUP($J202,'Gear Values'!$A$2:$E$13, IF(COUNTBLANK('Attributes &amp; Prefixes'!$B$20:$C$20)&gt;0, "4", "5"), 0)), "")</f>
        <v/>
      </c>
      <c r="Q202" s="137" t="str" cm="1">
        <f t="array" ref="Q202">IF(COUNTIF($B$20:$E$20, Q$2)&gt;0, _xlfn.IFS(COUNTIF($B$20:$C$20, Q$2)&gt;0, VLOOKUP($J202,'Gear Values'!$A$2:$E$13, IF(COUNTBLANK('Attributes &amp; Prefixes'!$B$20:$C$20)&gt;0, "2", "3"), 0), COUNTIF($D$20:$E$20, Q$2)&gt;0, VLOOKUP($J202,'Gear Values'!$A$2:$E$13, IF(COUNTBLANK('Attributes &amp; Prefixes'!$B$20:$C$20)&gt;0, "4", "5"), 0)), "")</f>
        <v/>
      </c>
      <c r="R202" s="137" cm="1">
        <f t="array" ref="R202">IF(COUNTIF($B$20:$E$20, R$2)&gt;0, _xlfn.IFS(COUNTIF($B$20:$C$20, R$2)&gt;0, VLOOKUP($J202,'Gear Values'!$A$2:$E$13, IF(COUNTBLANK('Attributes &amp; Prefixes'!$B$20:$C$20)&gt;0, "2", "3"), 0), COUNTIF($D$20:$E$20, R$2)&gt;0, VLOOKUP($J202,'Gear Values'!$A$2:$E$13, IF(COUNTBLANK('Attributes &amp; Prefixes'!$B$20:$C$20)&gt;0, "4", "5"), 0)), "")</f>
        <v>21</v>
      </c>
      <c r="S202" s="138" t="str" cm="1">
        <f t="array" ref="S202">IF(COUNTIF($B$20:$E$20, S$2)&gt;0, _xlfn.IFS(COUNTIF($B$20:$C$20, S$2)&gt;0, VLOOKUP($J202,'Gear Values'!$A$2:$E$13, IF(COUNTBLANK('Attributes &amp; Prefixes'!$B$20:$C$20)&gt;0, "2", "3"), 0), COUNTIF($D$20:$E$20, S$2)&gt;0, VLOOKUP($J202,'Gear Values'!$A$2:$E$13, IF(COUNTBLANK('Attributes &amp; Prefixes'!$B$20:$C$20)&gt;0, "4", "5"), 0)), "")</f>
        <v/>
      </c>
      <c r="V202" s="112"/>
      <c r="W202" s="113"/>
    </row>
    <row r="203" spans="6:23">
      <c r="F203" s="114"/>
      <c r="G203" s="114"/>
      <c r="H203" s="130" t="str">
        <f>_xlfn.CONCAT(A$79,J203)</f>
        <v>SerpentiteEar</v>
      </c>
      <c r="I203" s="520"/>
      <c r="J203" s="144" t="s">
        <v>49</v>
      </c>
      <c r="K203" s="136" cm="1">
        <f t="array" ref="K203">IF(COUNTIF($B$20:$E$20, K$2)&gt;0, _xlfn.IFS(COUNTIF($B$20:$C$20, K$2)&gt;0, VLOOKUP($J203,'Gear Values'!$A$2:$E$13, IF(COUNTBLANK('Attributes &amp; Prefixes'!$B$20:$C$20)&gt;0, "2", "3"), 0), COUNTIF($D$20:$E$20, K$2)&gt;0, VLOOKUP($J203,'Gear Values'!$A$2:$E$13, IF(COUNTBLANK('Attributes &amp; Prefixes'!$B$20:$C$20)&gt;0, "4", "5"), 0)), "")</f>
        <v>64</v>
      </c>
      <c r="L203" s="137" cm="1">
        <f t="array" ref="L203">IF(COUNTIF($B$20:$E$20, L$2)&gt;0, _xlfn.IFS(COUNTIF($B$20:$C$20, L$2)&gt;0, VLOOKUP($J203,'Gear Values'!$A$2:$E$13, IF(COUNTBLANK('Attributes &amp; Prefixes'!$B$20:$C$20)&gt;0, "2", "3"), 0), COUNTIF($D$20:$E$20, L$2)&gt;0, VLOOKUP($J203,'Gear Values'!$A$2:$E$13, IF(COUNTBLANK('Attributes &amp; Prefixes'!$B$20:$C$20)&gt;0, "4", "5"), 0)), "")</f>
        <v>35</v>
      </c>
      <c r="M203" s="137" t="str" cm="1">
        <f t="array" ref="M203">IF(COUNTIF($B$20:$E$20, M$2)&gt;0, _xlfn.IFS(COUNTIF($B$20:$C$20, M$2)&gt;0, VLOOKUP($J203,'Gear Values'!$A$2:$E$13, IF(COUNTBLANK('Attributes &amp; Prefixes'!$B$20:$C$20)&gt;0, "2", "3"), 0), COUNTIF($D$20:$E$20, M$2)&gt;0, VLOOKUP($J203,'Gear Values'!$A$2:$E$13, IF(COUNTBLANK('Attributes &amp; Prefixes'!$B$20:$C$20)&gt;0, "4", "5"), 0)), "")</f>
        <v/>
      </c>
      <c r="N203" s="137" t="str" cm="1">
        <f t="array" ref="N203">IF(COUNTIF($B$20:$E$20, N$2)&gt;0, _xlfn.IFS(COUNTIF($B$20:$C$20, N$2)&gt;0, VLOOKUP($J203,'Gear Values'!$A$2:$E$13, IF(COUNTBLANK('Attributes &amp; Prefixes'!$B$20:$C$20)&gt;0, "2", "3"), 0), COUNTIF($D$20:$E$20, N$2)&gt;0, VLOOKUP($J203,'Gear Values'!$A$2:$E$13, IF(COUNTBLANK('Attributes &amp; Prefixes'!$B$20:$C$20)&gt;0, "4", "5"), 0)), "")</f>
        <v/>
      </c>
      <c r="O203" s="137" cm="1">
        <f t="array" ref="O203">IF(COUNTIF($B$20:$E$20, O$2)&gt;0, _xlfn.IFS(COUNTIF($B$20:$C$20, O$2)&gt;0, VLOOKUP($J203,'Gear Values'!$A$2:$E$13, IF(COUNTBLANK('Attributes &amp; Prefixes'!$B$20:$C$20)&gt;0, "2", "3"), 0), COUNTIF($D$20:$E$20, O$2)&gt;0, VLOOKUP($J203,'Gear Values'!$A$2:$E$13, IF(COUNTBLANK('Attributes &amp; Prefixes'!$B$20:$C$20)&gt;0, "4", "5"), 0)), "")</f>
        <v>64</v>
      </c>
      <c r="P203" s="137" t="str" cm="1">
        <f t="array" ref="P203">IF(COUNTIF($B$20:$E$20, P$2)&gt;0, _xlfn.IFS(COUNTIF($B$20:$C$20, P$2)&gt;0, VLOOKUP($J203,'Gear Values'!$A$2:$E$13, IF(COUNTBLANK('Attributes &amp; Prefixes'!$B$20:$C$20)&gt;0, "2", "3"), 0), COUNTIF($D$20:$E$20, P$2)&gt;0, VLOOKUP($J203,'Gear Values'!$A$2:$E$13, IF(COUNTBLANK('Attributes &amp; Prefixes'!$B$20:$C$20)&gt;0, "4", "5"), 0)), "")</f>
        <v/>
      </c>
      <c r="Q203" s="137" t="str" cm="1">
        <f t="array" ref="Q203">IF(COUNTIF($B$20:$E$20, Q$2)&gt;0, _xlfn.IFS(COUNTIF($B$20:$C$20, Q$2)&gt;0, VLOOKUP($J203,'Gear Values'!$A$2:$E$13, IF(COUNTBLANK('Attributes &amp; Prefixes'!$B$20:$C$20)&gt;0, "2", "3"), 0), COUNTIF($D$20:$E$20, Q$2)&gt;0, VLOOKUP($J203,'Gear Values'!$A$2:$E$13, IF(COUNTBLANK('Attributes &amp; Prefixes'!$B$20:$C$20)&gt;0, "4", "5"), 0)), "")</f>
        <v/>
      </c>
      <c r="R203" s="137" cm="1">
        <f t="array" ref="R203">IF(COUNTIF($B$20:$E$20, R$2)&gt;0, _xlfn.IFS(COUNTIF($B$20:$C$20, R$2)&gt;0, VLOOKUP($J203,'Gear Values'!$A$2:$E$13, IF(COUNTBLANK('Attributes &amp; Prefixes'!$B$20:$C$20)&gt;0, "2", "3"), 0), COUNTIF($D$20:$E$20, R$2)&gt;0, VLOOKUP($J203,'Gear Values'!$A$2:$E$13, IF(COUNTBLANK('Attributes &amp; Prefixes'!$B$20:$C$20)&gt;0, "4", "5"), 0)), "")</f>
        <v>35</v>
      </c>
      <c r="S203" s="138" t="str" cm="1">
        <f t="array" ref="S203">IF(COUNTIF($B$20:$E$20, S$2)&gt;0, _xlfn.IFS(COUNTIF($B$20:$C$20, S$2)&gt;0, VLOOKUP($J203,'Gear Values'!$A$2:$E$13, IF(COUNTBLANK('Attributes &amp; Prefixes'!$B$20:$C$20)&gt;0, "2", "3"), 0), COUNTIF($D$20:$E$20, S$2)&gt;0, VLOOKUP($J203,'Gear Values'!$A$2:$E$13, IF(COUNTBLANK('Attributes &amp; Prefixes'!$B$20:$C$20)&gt;0, "4", "5"), 0)), "")</f>
        <v/>
      </c>
      <c r="V203" s="112"/>
      <c r="W203" s="113"/>
    </row>
    <row r="204" spans="6:23">
      <c r="F204" s="114"/>
      <c r="G204" s="114"/>
      <c r="H204" s="130" t="str">
        <f>_xlfn.CONCAT(A$79,J204)</f>
        <v>SerpentiteFinger</v>
      </c>
      <c r="I204" s="520"/>
      <c r="J204" s="144" t="s">
        <v>51</v>
      </c>
      <c r="K204" s="136" cm="1">
        <f t="array" ref="K204">IF(COUNTIF($B$20:$E$20, K$2)&gt;0, _xlfn.IFS(COUNTIF($B$20:$C$20, K$2)&gt;0, VLOOKUP($J204,'Gear Values'!$A$2:$E$13, IF(COUNTBLANK('Attributes &amp; Prefixes'!$B$20:$C$20)&gt;0, "2", "3"), 0), COUNTIF($D$20:$E$20, K$2)&gt;0, VLOOKUP($J204,'Gear Values'!$A$2:$E$13, IF(COUNTBLANK('Attributes &amp; Prefixes'!$B$20:$C$20)&gt;0, "4", "5"), 0)), "")</f>
        <v>77</v>
      </c>
      <c r="L204" s="137" cm="1">
        <f t="array" ref="L204">IF(COUNTIF($B$20:$E$20, L$2)&gt;0, _xlfn.IFS(COUNTIF($B$20:$C$20, L$2)&gt;0, VLOOKUP($J204,'Gear Values'!$A$2:$E$13, IF(COUNTBLANK('Attributes &amp; Prefixes'!$B$20:$C$20)&gt;0, "2", "3"), 0), COUNTIF($D$20:$E$20, L$2)&gt;0, VLOOKUP($J204,'Gear Values'!$A$2:$E$13, IF(COUNTBLANK('Attributes &amp; Prefixes'!$B$20:$C$20)&gt;0, "4", "5"), 0)), "")</f>
        <v>42</v>
      </c>
      <c r="M204" s="137" t="str" cm="1">
        <f t="array" ref="M204">IF(COUNTIF($B$20:$E$20, M$2)&gt;0, _xlfn.IFS(COUNTIF($B$20:$C$20, M$2)&gt;0, VLOOKUP($J204,'Gear Values'!$A$2:$E$13, IF(COUNTBLANK('Attributes &amp; Prefixes'!$B$20:$C$20)&gt;0, "2", "3"), 0), COUNTIF($D$20:$E$20, M$2)&gt;0, VLOOKUP($J204,'Gear Values'!$A$2:$E$13, IF(COUNTBLANK('Attributes &amp; Prefixes'!$B$20:$C$20)&gt;0, "4", "5"), 0)), "")</f>
        <v/>
      </c>
      <c r="N204" s="137" t="str" cm="1">
        <f t="array" ref="N204">IF(COUNTIF($B$20:$E$20, N$2)&gt;0, _xlfn.IFS(COUNTIF($B$20:$C$20, N$2)&gt;0, VLOOKUP($J204,'Gear Values'!$A$2:$E$13, IF(COUNTBLANK('Attributes &amp; Prefixes'!$B$20:$C$20)&gt;0, "2", "3"), 0), COUNTIF($D$20:$E$20, N$2)&gt;0, VLOOKUP($J204,'Gear Values'!$A$2:$E$13, IF(COUNTBLANK('Attributes &amp; Prefixes'!$B$20:$C$20)&gt;0, "4", "5"), 0)), "")</f>
        <v/>
      </c>
      <c r="O204" s="137" cm="1">
        <f t="array" ref="O204">IF(COUNTIF($B$20:$E$20, O$2)&gt;0, _xlfn.IFS(COUNTIF($B$20:$C$20, O$2)&gt;0, VLOOKUP($J204,'Gear Values'!$A$2:$E$13, IF(COUNTBLANK('Attributes &amp; Prefixes'!$B$20:$C$20)&gt;0, "2", "3"), 0), COUNTIF($D$20:$E$20, O$2)&gt;0, VLOOKUP($J204,'Gear Values'!$A$2:$E$13, IF(COUNTBLANK('Attributes &amp; Prefixes'!$B$20:$C$20)&gt;0, "4", "5"), 0)), "")</f>
        <v>77</v>
      </c>
      <c r="P204" s="137" t="str" cm="1">
        <f t="array" ref="P204">IF(COUNTIF($B$20:$E$20, P$2)&gt;0, _xlfn.IFS(COUNTIF($B$20:$C$20, P$2)&gt;0, VLOOKUP($J204,'Gear Values'!$A$2:$E$13, IF(COUNTBLANK('Attributes &amp; Prefixes'!$B$20:$C$20)&gt;0, "2", "3"), 0), COUNTIF($D$20:$E$20, P$2)&gt;0, VLOOKUP($J204,'Gear Values'!$A$2:$E$13, IF(COUNTBLANK('Attributes &amp; Prefixes'!$B$20:$C$20)&gt;0, "4", "5"), 0)), "")</f>
        <v/>
      </c>
      <c r="Q204" s="137" t="str" cm="1">
        <f t="array" ref="Q204">IF(COUNTIF($B$20:$E$20, Q$2)&gt;0, _xlfn.IFS(COUNTIF($B$20:$C$20, Q$2)&gt;0, VLOOKUP($J204,'Gear Values'!$A$2:$E$13, IF(COUNTBLANK('Attributes &amp; Prefixes'!$B$20:$C$20)&gt;0, "2", "3"), 0), COUNTIF($D$20:$E$20, Q$2)&gt;0, VLOOKUP($J204,'Gear Values'!$A$2:$E$13, IF(COUNTBLANK('Attributes &amp; Prefixes'!$B$20:$C$20)&gt;0, "4", "5"), 0)), "")</f>
        <v/>
      </c>
      <c r="R204" s="137" cm="1">
        <f t="array" ref="R204">IF(COUNTIF($B$20:$E$20, R$2)&gt;0, _xlfn.IFS(COUNTIF($B$20:$C$20, R$2)&gt;0, VLOOKUP($J204,'Gear Values'!$A$2:$E$13, IF(COUNTBLANK('Attributes &amp; Prefixes'!$B$20:$C$20)&gt;0, "2", "3"), 0), COUNTIF($D$20:$E$20, R$2)&gt;0, VLOOKUP($J204,'Gear Values'!$A$2:$E$13, IF(COUNTBLANK('Attributes &amp; Prefixes'!$B$20:$C$20)&gt;0, "4", "5"), 0)), "")</f>
        <v>42</v>
      </c>
      <c r="S204" s="138" t="str" cm="1">
        <f t="array" ref="S204">IF(COUNTIF($B$20:$E$20, S$2)&gt;0, _xlfn.IFS(COUNTIF($B$20:$C$20, S$2)&gt;0, VLOOKUP($J204,'Gear Values'!$A$2:$E$13, IF(COUNTBLANK('Attributes &amp; Prefixes'!$B$20:$C$20)&gt;0, "2", "3"), 0), COUNTIF($D$20:$E$20, S$2)&gt;0, VLOOKUP($J204,'Gear Values'!$A$2:$E$13, IF(COUNTBLANK('Attributes &amp; Prefixes'!$B$20:$C$20)&gt;0, "4", "5"), 0)), "")</f>
        <v/>
      </c>
      <c r="V204" s="112"/>
      <c r="W204" s="113"/>
    </row>
    <row r="205" spans="6:23">
      <c r="F205" s="114"/>
      <c r="G205" s="114"/>
      <c r="H205" s="130" t="str">
        <f>_xlfn.CONCAT(A$79,J205)</f>
        <v>SerpentiteNeck</v>
      </c>
      <c r="I205" s="520"/>
      <c r="J205" s="144" t="s">
        <v>52</v>
      </c>
      <c r="K205" s="136" cm="1">
        <f t="array" ref="K205">IF(COUNTIF($B$20:$E$20, K$2)&gt;0, _xlfn.IFS(COUNTIF($B$20:$C$20, K$2)&gt;0, VLOOKUP($J205,'Gear Values'!$A$2:$E$13, IF(COUNTBLANK('Attributes &amp; Prefixes'!$B$20:$C$20)&gt;0, "2", "3"), 0), COUNTIF($D$20:$E$20, K$2)&gt;0, VLOOKUP($J205,'Gear Values'!$A$2:$E$13, IF(COUNTBLANK('Attributes &amp; Prefixes'!$B$20:$C$20)&gt;0, "4", "5"), 0)), "")</f>
        <v>102</v>
      </c>
      <c r="L205" s="137" cm="1">
        <f t="array" ref="L205">IF(COUNTIF($B$20:$E$20, L$2)&gt;0, _xlfn.IFS(COUNTIF($B$20:$C$20, L$2)&gt;0, VLOOKUP($J205,'Gear Values'!$A$2:$E$13, IF(COUNTBLANK('Attributes &amp; Prefixes'!$B$20:$C$20)&gt;0, "2", "3"), 0), COUNTIF($D$20:$E$20, L$2)&gt;0, VLOOKUP($J205,'Gear Values'!$A$2:$E$13, IF(COUNTBLANK('Attributes &amp; Prefixes'!$B$20:$C$20)&gt;0, "4", "5"), 0)), "")</f>
        <v>56</v>
      </c>
      <c r="M205" s="137" t="str" cm="1">
        <f t="array" ref="M205">IF(COUNTIF($B$20:$E$20, M$2)&gt;0, _xlfn.IFS(COUNTIF($B$20:$C$20, M$2)&gt;0, VLOOKUP($J205,'Gear Values'!$A$2:$E$13, IF(COUNTBLANK('Attributes &amp; Prefixes'!$B$20:$C$20)&gt;0, "2", "3"), 0), COUNTIF($D$20:$E$20, M$2)&gt;0, VLOOKUP($J205,'Gear Values'!$A$2:$E$13, IF(COUNTBLANK('Attributes &amp; Prefixes'!$B$20:$C$20)&gt;0, "4", "5"), 0)), "")</f>
        <v/>
      </c>
      <c r="N205" s="137" t="str" cm="1">
        <f t="array" ref="N205">IF(COUNTIF($B$20:$E$20, N$2)&gt;0, _xlfn.IFS(COUNTIF($B$20:$C$20, N$2)&gt;0, VLOOKUP($J205,'Gear Values'!$A$2:$E$13, IF(COUNTBLANK('Attributes &amp; Prefixes'!$B$20:$C$20)&gt;0, "2", "3"), 0), COUNTIF($D$20:$E$20, N$2)&gt;0, VLOOKUP($J205,'Gear Values'!$A$2:$E$13, IF(COUNTBLANK('Attributes &amp; Prefixes'!$B$20:$C$20)&gt;0, "4", "5"), 0)), "")</f>
        <v/>
      </c>
      <c r="O205" s="137" cm="1">
        <f t="array" ref="O205">IF(COUNTIF($B$20:$E$20, O$2)&gt;0, _xlfn.IFS(COUNTIF($B$20:$C$20, O$2)&gt;0, VLOOKUP($J205,'Gear Values'!$A$2:$E$13, IF(COUNTBLANK('Attributes &amp; Prefixes'!$B$20:$C$20)&gt;0, "2", "3"), 0), COUNTIF($D$20:$E$20, O$2)&gt;0, VLOOKUP($J205,'Gear Values'!$A$2:$E$13, IF(COUNTBLANK('Attributes &amp; Prefixes'!$B$20:$C$20)&gt;0, "4", "5"), 0)), "")</f>
        <v>102</v>
      </c>
      <c r="P205" s="137" t="str" cm="1">
        <f t="array" ref="P205">IF(COUNTIF($B$20:$E$20, P$2)&gt;0, _xlfn.IFS(COUNTIF($B$20:$C$20, P$2)&gt;0, VLOOKUP($J205,'Gear Values'!$A$2:$E$13, IF(COUNTBLANK('Attributes &amp; Prefixes'!$B$20:$C$20)&gt;0, "2", "3"), 0), COUNTIF($D$20:$E$20, P$2)&gt;0, VLOOKUP($J205,'Gear Values'!$A$2:$E$13, IF(COUNTBLANK('Attributes &amp; Prefixes'!$B$20:$C$20)&gt;0, "4", "5"), 0)), "")</f>
        <v/>
      </c>
      <c r="Q205" s="137" t="str" cm="1">
        <f t="array" ref="Q205">IF(COUNTIF($B$20:$E$20, Q$2)&gt;0, _xlfn.IFS(COUNTIF($B$20:$C$20, Q$2)&gt;0, VLOOKUP($J205,'Gear Values'!$A$2:$E$13, IF(COUNTBLANK('Attributes &amp; Prefixes'!$B$20:$C$20)&gt;0, "2", "3"), 0), COUNTIF($D$20:$E$20, Q$2)&gt;0, VLOOKUP($J205,'Gear Values'!$A$2:$E$13, IF(COUNTBLANK('Attributes &amp; Prefixes'!$B$20:$C$20)&gt;0, "4", "5"), 0)), "")</f>
        <v/>
      </c>
      <c r="R205" s="137" cm="1">
        <f t="array" ref="R205">IF(COUNTIF($B$20:$E$20, R$2)&gt;0, _xlfn.IFS(COUNTIF($B$20:$C$20, R$2)&gt;0, VLOOKUP($J205,'Gear Values'!$A$2:$E$13, IF(COUNTBLANK('Attributes &amp; Prefixes'!$B$20:$C$20)&gt;0, "2", "3"), 0), COUNTIF($D$20:$E$20, R$2)&gt;0, VLOOKUP($J205,'Gear Values'!$A$2:$E$13, IF(COUNTBLANK('Attributes &amp; Prefixes'!$B$20:$C$20)&gt;0, "4", "5"), 0)), "")</f>
        <v>56</v>
      </c>
      <c r="S205" s="138" t="str" cm="1">
        <f t="array" ref="S205">IF(COUNTIF($B$20:$E$20, S$2)&gt;0, _xlfn.IFS(COUNTIF($B$20:$C$20, S$2)&gt;0, VLOOKUP($J205,'Gear Values'!$A$2:$E$13, IF(COUNTBLANK('Attributes &amp; Prefixes'!$B$20:$C$20)&gt;0, "2", "3"), 0), COUNTIF($D$20:$E$20, S$2)&gt;0, VLOOKUP($J205,'Gear Values'!$A$2:$E$13, IF(COUNTBLANK('Attributes &amp; Prefixes'!$B$20:$C$20)&gt;0, "4", "5"), 0)), "")</f>
        <v/>
      </c>
      <c r="V205" s="112"/>
      <c r="W205" s="113"/>
    </row>
    <row r="206" spans="6:23">
      <c r="F206" s="114"/>
      <c r="G206" s="114"/>
      <c r="H206" s="130" t="str">
        <f>_xlfn.CONCAT(I$195,J206)</f>
        <v>DivinerBack</v>
      </c>
      <c r="I206" s="521"/>
      <c r="J206" s="146" t="s">
        <v>53</v>
      </c>
      <c r="K206" s="147" t="str" cm="1">
        <f t="array" ref="K206">IF(COUNTIF($B$20:$E$20, K$2)&gt;0, _xlfn.IFS(COUNTIF($B$20:$C$20, K$2)&gt;0, VLOOKUP($J206,'Gear Values'!$A$2:$E$13, IF(COUNTBLANK('Attributes &amp; Prefixes'!$B$20:$C$20)&gt;0, "2", "3"), 0), COUNTIF($D$20:$E$20, K$2)&gt;0, VLOOKUP($J206,'Gear Values'!$A$2:$E$13, IF(COUNTBLANK('Attributes &amp; Prefixes'!$B$20:$C$20)&gt;0, "4", "5"), 0)), "")</f>
        <v>N/A</v>
      </c>
      <c r="L206" s="148" t="str" cm="1">
        <f t="array" ref="L206">IF(COUNTIF($B$20:$E$20, L$2)&gt;0, _xlfn.IFS(COUNTIF($B$20:$C$20, L$2)&gt;0, VLOOKUP($J206,'Gear Values'!$A$2:$E$13, IF(COUNTBLANK('Attributes &amp; Prefixes'!$B$20:$C$20)&gt;0, "2", "3"), 0), COUNTIF($D$20:$E$20, L$2)&gt;0, VLOOKUP($J206,'Gear Values'!$A$2:$E$13, IF(COUNTBLANK('Attributes &amp; Prefixes'!$B$20:$C$20)&gt;0, "4", "5"), 0)), "")</f>
        <v>N/A</v>
      </c>
      <c r="M206" s="148" t="str" cm="1">
        <f t="array" ref="M206">IF(COUNTIF($B$20:$E$20, M$2)&gt;0, _xlfn.IFS(COUNTIF($B$20:$C$20, M$2)&gt;0, VLOOKUP($J206,'Gear Values'!$A$2:$E$13, IF(COUNTBLANK('Attributes &amp; Prefixes'!$B$20:$C$20)&gt;0, "2", "3"), 0), COUNTIF($D$20:$E$20, M$2)&gt;0, VLOOKUP($J206,'Gear Values'!$A$2:$E$13, IF(COUNTBLANK('Attributes &amp; Prefixes'!$B$20:$C$20)&gt;0, "4", "5"), 0)), "")</f>
        <v/>
      </c>
      <c r="N206" s="148" t="str" cm="1">
        <f t="array" ref="N206">IF(COUNTIF($B$20:$E$20, N$2)&gt;0, _xlfn.IFS(COUNTIF($B$20:$C$20, N$2)&gt;0, VLOOKUP($J206,'Gear Values'!$A$2:$E$13, IF(COUNTBLANK('Attributes &amp; Prefixes'!$B$20:$C$20)&gt;0, "2", "3"), 0), COUNTIF($D$20:$E$20, N$2)&gt;0, VLOOKUP($J206,'Gear Values'!$A$2:$E$13, IF(COUNTBLANK('Attributes &amp; Prefixes'!$B$20:$C$20)&gt;0, "4", "5"), 0)), "")</f>
        <v/>
      </c>
      <c r="O206" s="148" t="str" cm="1">
        <f t="array" ref="O206">IF(COUNTIF($B$20:$E$20, O$2)&gt;0, _xlfn.IFS(COUNTIF($B$20:$C$20, O$2)&gt;0, VLOOKUP($J206,'Gear Values'!$A$2:$E$13, IF(COUNTBLANK('Attributes &amp; Prefixes'!$B$20:$C$20)&gt;0, "2", "3"), 0), COUNTIF($D$20:$E$20, O$2)&gt;0, VLOOKUP($J206,'Gear Values'!$A$2:$E$13, IF(COUNTBLANK('Attributes &amp; Prefixes'!$B$20:$C$20)&gt;0, "4", "5"), 0)), "")</f>
        <v>N/A</v>
      </c>
      <c r="P206" s="148" t="str" cm="1">
        <f t="array" ref="P206">IF(COUNTIF($B$20:$E$20, P$2)&gt;0, _xlfn.IFS(COUNTIF($B$20:$C$20, P$2)&gt;0, VLOOKUP($J206,'Gear Values'!$A$2:$E$13, IF(COUNTBLANK('Attributes &amp; Prefixes'!$B$20:$C$20)&gt;0, "2", "3"), 0), COUNTIF($D$20:$E$20, P$2)&gt;0, VLOOKUP($J206,'Gear Values'!$A$2:$E$13, IF(COUNTBLANK('Attributes &amp; Prefixes'!$B$20:$C$20)&gt;0, "4", "5"), 0)), "")</f>
        <v/>
      </c>
      <c r="Q206" s="148" t="str" cm="1">
        <f t="array" ref="Q206">IF(COUNTIF($B$20:$E$20, Q$2)&gt;0, _xlfn.IFS(COUNTIF($B$20:$C$20, Q$2)&gt;0, VLOOKUP($J206,'Gear Values'!$A$2:$E$13, IF(COUNTBLANK('Attributes &amp; Prefixes'!$B$20:$C$20)&gt;0, "2", "3"), 0), COUNTIF($D$20:$E$20, Q$2)&gt;0, VLOOKUP($J206,'Gear Values'!$A$2:$E$13, IF(COUNTBLANK('Attributes &amp; Prefixes'!$B$20:$C$20)&gt;0, "4", "5"), 0)), "")</f>
        <v/>
      </c>
      <c r="R206" s="148" t="str" cm="1">
        <f t="array" ref="R206">IF(COUNTIF($B$20:$E$20, R$2)&gt;0, _xlfn.IFS(COUNTIF($B$20:$C$20, R$2)&gt;0, VLOOKUP($J206,'Gear Values'!$A$2:$E$13, IF(COUNTBLANK('Attributes &amp; Prefixes'!$B$20:$C$20)&gt;0, "2", "3"), 0), COUNTIF($D$20:$E$20, R$2)&gt;0, VLOOKUP($J206,'Gear Values'!$A$2:$E$13, IF(COUNTBLANK('Attributes &amp; Prefixes'!$B$20:$C$20)&gt;0, "4", "5"), 0)), "")</f>
        <v>N/A</v>
      </c>
      <c r="S206" s="150" t="str" cm="1">
        <f t="array" ref="S206">IF(COUNTIF($B$20:$E$20, S$2)&gt;0, _xlfn.IFS(COUNTIF($B$20:$C$20, S$2)&gt;0, VLOOKUP($J206,'Gear Values'!$A$2:$E$13, IF(COUNTBLANK('Attributes &amp; Prefixes'!$B$20:$C$20)&gt;0, "2", "3"), 0), COUNTIF($D$20:$E$20, S$2)&gt;0, VLOOKUP($J206,'Gear Values'!$A$2:$E$13, IF(COUNTBLANK('Attributes &amp; Prefixes'!$B$20:$C$20)&gt;0, "4", "5"), 0)), "")</f>
        <v/>
      </c>
      <c r="V206" s="112"/>
      <c r="W206" s="113"/>
    </row>
    <row r="207" spans="6:23">
      <c r="F207" s="114"/>
      <c r="G207" s="114"/>
      <c r="H207" s="130" t="str">
        <f>_xlfn.CONCAT(I$207,J207)</f>
        <v>DragonWeapon (1H)</v>
      </c>
      <c r="I207" s="519" t="str">
        <f>A21</f>
        <v>Dragon</v>
      </c>
      <c r="J207" s="145" t="s">
        <v>37</v>
      </c>
      <c r="K207" s="133" cm="1">
        <f t="array" ref="K207">IF(COUNTIF($B$21:$E$21, K$2)&gt;0, _xlfn.IFS(COUNTIF($B$21:$C$21, K$2)&gt;0, VLOOKUP($J207,'Gear Values'!$A$2:$E$13, IF(COUNTBLANK('Attributes &amp; Prefixes'!$B$21:$C$21)&gt;0, "2", "3"), 0), COUNTIF($D$21:$E$21, K$2)&gt;0, VLOOKUP($J207,'Gear Values'!$A$2:$E$13, IF(COUNTBLANK('Attributes &amp; Prefixes'!$B$21:$C$21)&gt;0, "4", "5"), 0)), "")</f>
        <v>102</v>
      </c>
      <c r="L207" s="134" cm="1">
        <f t="array" ref="L207">IF(COUNTIF($B$21:$E$21, L$2)&gt;0, _xlfn.IFS(COUNTIF($B$21:$C$21, L$2)&gt;0, VLOOKUP($J207,'Gear Values'!$A$2:$E$13, IF(COUNTBLANK('Attributes &amp; Prefixes'!$B$21:$C$21)&gt;0, "2", "3"), 0), COUNTIF($D$21:$E$21, L$2)&gt;0, VLOOKUP($J207,'Gear Values'!$A$2:$E$13, IF(COUNTBLANK('Attributes &amp; Prefixes'!$B$21:$C$21)&gt;0, "4", "5"), 0)), "")</f>
        <v>56</v>
      </c>
      <c r="M207" s="134" t="str" cm="1">
        <f t="array" ref="M207">IF(COUNTIF($B$21:$E$21, M$2)&gt;0, _xlfn.IFS(COUNTIF($B$21:$C$21, M$2)&gt;0, VLOOKUP($J207,'Gear Values'!$A$2:$E$13, IF(COUNTBLANK('Attributes &amp; Prefixes'!$B$21:$C$21)&gt;0, "2", "3"), 0), COUNTIF($D$21:$E$21, M$2)&gt;0, VLOOKUP($J207,'Gear Values'!$A$2:$E$13, IF(COUNTBLANK('Attributes &amp; Prefixes'!$B$21:$C$21)&gt;0, "4", "5"), 0)), "")</f>
        <v/>
      </c>
      <c r="N207" s="134" cm="1">
        <f t="array" ref="N207">IF(COUNTIF($B$21:$E$21, N$2)&gt;0, _xlfn.IFS(COUNTIF($B$21:$C$21, N$2)&gt;0, VLOOKUP($J207,'Gear Values'!$A$2:$E$13, IF(COUNTBLANK('Attributes &amp; Prefixes'!$B$21:$C$21)&gt;0, "2", "3"), 0), COUNTIF($D$21:$E$21, N$2)&gt;0, VLOOKUP($J207,'Gear Values'!$A$2:$E$13, IF(COUNTBLANK('Attributes &amp; Prefixes'!$B$21:$C$21)&gt;0, "4", "5"), 0)), "")</f>
        <v>56</v>
      </c>
      <c r="O207" s="134" t="str" cm="1">
        <f t="array" ref="O207">IF(COUNTIF($B$21:$E$21, O$2)&gt;0, _xlfn.IFS(COUNTIF($B$21:$C$21, O$2)&gt;0, VLOOKUP($J207,'Gear Values'!$A$2:$E$13, IF(COUNTBLANK('Attributes &amp; Prefixes'!$B$21:$C$21)&gt;0, "2", "3"), 0), COUNTIF($D$21:$E$21, O$2)&gt;0, VLOOKUP($J207,'Gear Values'!$A$2:$E$13, IF(COUNTBLANK('Attributes &amp; Prefixes'!$B$21:$C$21)&gt;0, "4", "5"), 0)), "")</f>
        <v/>
      </c>
      <c r="P207" s="134" t="str" cm="1">
        <f t="array" ref="P207">IF(COUNTIF($B$21:$E$21, P$2)&gt;0, _xlfn.IFS(COUNTIF($B$21:$C$21, P$2)&gt;0, VLOOKUP($J207,'Gear Values'!$A$2:$E$13, IF(COUNTBLANK('Attributes &amp; Prefixes'!$B$21:$C$21)&gt;0, "2", "3"), 0), COUNTIF($D$21:$E$21, P$2)&gt;0, VLOOKUP($J207,'Gear Values'!$A$2:$E$13, IF(COUNTBLANK('Attributes &amp; Prefixes'!$B$21:$C$21)&gt;0, "4", "5"), 0)), "")</f>
        <v/>
      </c>
      <c r="Q207" s="134" t="str" cm="1">
        <f t="array" ref="Q207">IF(COUNTIF($B$21:$E$21, Q$2)&gt;0, _xlfn.IFS(COUNTIF($B$21:$C$21, Q$2)&gt;0, VLOOKUP($J207,'Gear Values'!$A$2:$E$13, IF(COUNTBLANK('Attributes &amp; Prefixes'!$B$21:$C$21)&gt;0, "2", "3"), 0), COUNTIF($D$21:$E$21, Q$2)&gt;0, VLOOKUP($J207,'Gear Values'!$A$2:$E$13, IF(COUNTBLANK('Attributes &amp; Prefixes'!$B$21:$C$21)&gt;0, "4", "5"), 0)), "")</f>
        <v/>
      </c>
      <c r="R207" s="134" cm="1">
        <f t="array" ref="R207">IF(COUNTIF($B$21:$E$21, R$2)&gt;0, _xlfn.IFS(COUNTIF($B$21:$C$21, R$2)&gt;0, VLOOKUP($J207,'Gear Values'!$A$2:$E$13, IF(COUNTBLANK('Attributes &amp; Prefixes'!$B$21:$C$21)&gt;0, "2", "3"), 0), COUNTIF($D$21:$E$21, R$2)&gt;0, VLOOKUP($J207,'Gear Values'!$A$2:$E$13, IF(COUNTBLANK('Attributes &amp; Prefixes'!$B$21:$C$21)&gt;0, "4", "5"), 0)), "")</f>
        <v>102</v>
      </c>
      <c r="S207" s="135" t="str" cm="1">
        <f t="array" ref="S207">IF(COUNTIF($B$21:$E$21, S$2)&gt;0, _xlfn.IFS(COUNTIF($B$21:$C$21, S$2)&gt;0, VLOOKUP($J207,'Gear Values'!$A$2:$E$13, IF(COUNTBLANK('Attributes &amp; Prefixes'!$B$21:$C$21)&gt;0, "2", "3"), 0), COUNTIF($D$21:$E$21, S$2)&gt;0, VLOOKUP($J207,'Gear Values'!$A$2:$E$13, IF(COUNTBLANK('Attributes &amp; Prefixes'!$B$21:$C$21)&gt;0, "4", "5"), 0)), "")</f>
        <v/>
      </c>
      <c r="V207" s="112"/>
      <c r="W207" s="113"/>
    </row>
    <row r="208" spans="6:23">
      <c r="F208" s="114"/>
      <c r="G208" s="114"/>
      <c r="H208" s="130" t="str">
        <f>_xlfn.CONCAT(I$207,J208)</f>
        <v>DragonWeapon (2H)</v>
      </c>
      <c r="I208" s="520"/>
      <c r="J208" s="144" t="s">
        <v>39</v>
      </c>
      <c r="K208" s="136" cm="1">
        <f t="array" ref="K208">IF(COUNTIF($B$21:$E$21, K$2)&gt;0, _xlfn.IFS(COUNTIF($B$21:$C$21, K$2)&gt;0, VLOOKUP($J208,'Gear Values'!$A$2:$E$13, IF(COUNTBLANK('Attributes &amp; Prefixes'!$B$21:$C$21)&gt;0, "2", "3"), 0), COUNTIF($D$21:$E$21, K$2)&gt;0, VLOOKUP($J208,'Gear Values'!$A$2:$E$13, IF(COUNTBLANK('Attributes &amp; Prefixes'!$B$21:$C$21)&gt;0, "4", "5"), 0)), "")</f>
        <v>205</v>
      </c>
      <c r="L208" s="137" cm="1">
        <f t="array" ref="L208">IF(COUNTIF($B$21:$E$21, L$2)&gt;0, _xlfn.IFS(COUNTIF($B$21:$C$21, L$2)&gt;0, VLOOKUP($J208,'Gear Values'!$A$2:$E$13, IF(COUNTBLANK('Attributes &amp; Prefixes'!$B$21:$C$21)&gt;0, "2", "3"), 0), COUNTIF($D$21:$E$21, L$2)&gt;0, VLOOKUP($J208,'Gear Values'!$A$2:$E$13, IF(COUNTBLANK('Attributes &amp; Prefixes'!$B$21:$C$21)&gt;0, "4", "5"), 0)), "")</f>
        <v>113</v>
      </c>
      <c r="M208" s="137" t="str" cm="1">
        <f t="array" ref="M208">IF(COUNTIF($B$21:$E$21, M$2)&gt;0, _xlfn.IFS(COUNTIF($B$21:$C$21, M$2)&gt;0, VLOOKUP($J208,'Gear Values'!$A$2:$E$13, IF(COUNTBLANK('Attributes &amp; Prefixes'!$B$21:$C$21)&gt;0, "2", "3"), 0), COUNTIF($D$21:$E$21, M$2)&gt;0, VLOOKUP($J208,'Gear Values'!$A$2:$E$13, IF(COUNTBLANK('Attributes &amp; Prefixes'!$B$21:$C$21)&gt;0, "4", "5"), 0)), "")</f>
        <v/>
      </c>
      <c r="N208" s="137" cm="1">
        <f t="array" ref="N208">IF(COUNTIF($B$21:$E$21, N$2)&gt;0, _xlfn.IFS(COUNTIF($B$21:$C$21, N$2)&gt;0, VLOOKUP($J208,'Gear Values'!$A$2:$E$13, IF(COUNTBLANK('Attributes &amp; Prefixes'!$B$21:$C$21)&gt;0, "2", "3"), 0), COUNTIF($D$21:$E$21, N$2)&gt;0, VLOOKUP($J208,'Gear Values'!$A$2:$E$13, IF(COUNTBLANK('Attributes &amp; Prefixes'!$B$21:$C$21)&gt;0, "4", "5"), 0)), "")</f>
        <v>113</v>
      </c>
      <c r="O208" s="137" t="str" cm="1">
        <f t="array" ref="O208">IF(COUNTIF($B$21:$E$21, O$2)&gt;0, _xlfn.IFS(COUNTIF($B$21:$C$21, O$2)&gt;0, VLOOKUP($J208,'Gear Values'!$A$2:$E$13, IF(COUNTBLANK('Attributes &amp; Prefixes'!$B$21:$C$21)&gt;0, "2", "3"), 0), COUNTIF($D$21:$E$21, O$2)&gt;0, VLOOKUP($J208,'Gear Values'!$A$2:$E$13, IF(COUNTBLANK('Attributes &amp; Prefixes'!$B$21:$C$21)&gt;0, "4", "5"), 0)), "")</f>
        <v/>
      </c>
      <c r="P208" s="137" t="str" cm="1">
        <f t="array" ref="P208">IF(COUNTIF($B$21:$E$21, P$2)&gt;0, _xlfn.IFS(COUNTIF($B$21:$C$21, P$2)&gt;0, VLOOKUP($J208,'Gear Values'!$A$2:$E$13, IF(COUNTBLANK('Attributes &amp; Prefixes'!$B$21:$C$21)&gt;0, "2", "3"), 0), COUNTIF($D$21:$E$21, P$2)&gt;0, VLOOKUP($J208,'Gear Values'!$A$2:$E$13, IF(COUNTBLANK('Attributes &amp; Prefixes'!$B$21:$C$21)&gt;0, "4", "5"), 0)), "")</f>
        <v/>
      </c>
      <c r="Q208" s="137" t="str" cm="1">
        <f t="array" ref="Q208">IF(COUNTIF($B$21:$E$21, Q$2)&gt;0, _xlfn.IFS(COUNTIF($B$21:$C$21, Q$2)&gt;0, VLOOKUP($J208,'Gear Values'!$A$2:$E$13, IF(COUNTBLANK('Attributes &amp; Prefixes'!$B$21:$C$21)&gt;0, "2", "3"), 0), COUNTIF($D$21:$E$21, Q$2)&gt;0, VLOOKUP($J208,'Gear Values'!$A$2:$E$13, IF(COUNTBLANK('Attributes &amp; Prefixes'!$B$21:$C$21)&gt;0, "4", "5"), 0)), "")</f>
        <v/>
      </c>
      <c r="R208" s="137" cm="1">
        <f t="array" ref="R208">IF(COUNTIF($B$21:$E$21, R$2)&gt;0, _xlfn.IFS(COUNTIF($B$21:$C$21, R$2)&gt;0, VLOOKUP($J208,'Gear Values'!$A$2:$E$13, IF(COUNTBLANK('Attributes &amp; Prefixes'!$B$21:$C$21)&gt;0, "2", "3"), 0), COUNTIF($D$21:$E$21, R$2)&gt;0, VLOOKUP($J208,'Gear Values'!$A$2:$E$13, IF(COUNTBLANK('Attributes &amp; Prefixes'!$B$21:$C$21)&gt;0, "4", "5"), 0)), "")</f>
        <v>205</v>
      </c>
      <c r="S208" s="138" t="str" cm="1">
        <f t="array" ref="S208">IF(COUNTIF($B$21:$E$21, S$2)&gt;0, _xlfn.IFS(COUNTIF($B$21:$C$21, S$2)&gt;0, VLOOKUP($J208,'Gear Values'!$A$2:$E$13, IF(COUNTBLANK('Attributes &amp; Prefixes'!$B$21:$C$21)&gt;0, "2", "3"), 0), COUNTIF($D$21:$E$21, S$2)&gt;0, VLOOKUP($J208,'Gear Values'!$A$2:$E$13, IF(COUNTBLANK('Attributes &amp; Prefixes'!$B$21:$C$21)&gt;0, "4", "5"), 0)), "")</f>
        <v/>
      </c>
      <c r="V208" s="112"/>
      <c r="W208" s="113"/>
    </row>
    <row r="209" spans="6:23">
      <c r="F209" s="114"/>
      <c r="G209" s="114"/>
      <c r="H209" s="130" t="str">
        <f>_xlfn.CONCAT(I$207,J209)</f>
        <v>DragonHead</v>
      </c>
      <c r="I209" s="520"/>
      <c r="J209" s="144" t="s">
        <v>40</v>
      </c>
      <c r="K209" s="136" cm="1">
        <f t="array" ref="K209">IF(COUNTIF($B$21:$E$21, K$2)&gt;0, _xlfn.IFS(COUNTIF($B$21:$C$21, K$2)&gt;0, VLOOKUP($J209,'Gear Values'!$A$2:$E$13, IF(COUNTBLANK('Attributes &amp; Prefixes'!$B$21:$C$21)&gt;0, "2", "3"), 0), COUNTIF($D$21:$E$21, K$2)&gt;0, VLOOKUP($J209,'Gear Values'!$A$2:$E$13, IF(COUNTBLANK('Attributes &amp; Prefixes'!$B$21:$C$21)&gt;0, "4", "5"), 0)), "")</f>
        <v>51</v>
      </c>
      <c r="L209" s="137" cm="1">
        <f t="array" ref="L209">IF(COUNTIF($B$21:$E$21, L$2)&gt;0, _xlfn.IFS(COUNTIF($B$21:$C$21, L$2)&gt;0, VLOOKUP($J209,'Gear Values'!$A$2:$E$13, IF(COUNTBLANK('Attributes &amp; Prefixes'!$B$21:$C$21)&gt;0, "2", "3"), 0), COUNTIF($D$21:$E$21, L$2)&gt;0, VLOOKUP($J209,'Gear Values'!$A$2:$E$13, IF(COUNTBLANK('Attributes &amp; Prefixes'!$B$21:$C$21)&gt;0, "4", "5"), 0)), "")</f>
        <v>28</v>
      </c>
      <c r="M209" s="137" t="str" cm="1">
        <f t="array" ref="M209">IF(COUNTIF($B$21:$E$21, M$2)&gt;0, _xlfn.IFS(COUNTIF($B$21:$C$21, M$2)&gt;0, VLOOKUP($J209,'Gear Values'!$A$2:$E$13, IF(COUNTBLANK('Attributes &amp; Prefixes'!$B$21:$C$21)&gt;0, "2", "3"), 0), COUNTIF($D$21:$E$21, M$2)&gt;0, VLOOKUP($J209,'Gear Values'!$A$2:$E$13, IF(COUNTBLANK('Attributes &amp; Prefixes'!$B$21:$C$21)&gt;0, "4", "5"), 0)), "")</f>
        <v/>
      </c>
      <c r="N209" s="137" cm="1">
        <f t="array" ref="N209">IF(COUNTIF($B$21:$E$21, N$2)&gt;0, _xlfn.IFS(COUNTIF($B$21:$C$21, N$2)&gt;0, VLOOKUP($J209,'Gear Values'!$A$2:$E$13, IF(COUNTBLANK('Attributes &amp; Prefixes'!$B$21:$C$21)&gt;0, "2", "3"), 0), COUNTIF($D$21:$E$21, N$2)&gt;0, VLOOKUP($J209,'Gear Values'!$A$2:$E$13, IF(COUNTBLANK('Attributes &amp; Prefixes'!$B$21:$C$21)&gt;0, "4", "5"), 0)), "")</f>
        <v>28</v>
      </c>
      <c r="O209" s="137" t="str" cm="1">
        <f t="array" ref="O209">IF(COUNTIF($B$21:$E$21, O$2)&gt;0, _xlfn.IFS(COUNTIF($B$21:$C$21, O$2)&gt;0, VLOOKUP($J209,'Gear Values'!$A$2:$E$13, IF(COUNTBLANK('Attributes &amp; Prefixes'!$B$21:$C$21)&gt;0, "2", "3"), 0), COUNTIF($D$21:$E$21, O$2)&gt;0, VLOOKUP($J209,'Gear Values'!$A$2:$E$13, IF(COUNTBLANK('Attributes &amp; Prefixes'!$B$21:$C$21)&gt;0, "4", "5"), 0)), "")</f>
        <v/>
      </c>
      <c r="P209" s="137" t="str" cm="1">
        <f t="array" ref="P209">IF(COUNTIF($B$21:$E$21, P$2)&gt;0, _xlfn.IFS(COUNTIF($B$21:$C$21, P$2)&gt;0, VLOOKUP($J209,'Gear Values'!$A$2:$E$13, IF(COUNTBLANK('Attributes &amp; Prefixes'!$B$21:$C$21)&gt;0, "2", "3"), 0), COUNTIF($D$21:$E$21, P$2)&gt;0, VLOOKUP($J209,'Gear Values'!$A$2:$E$13, IF(COUNTBLANK('Attributes &amp; Prefixes'!$B$21:$C$21)&gt;0, "4", "5"), 0)), "")</f>
        <v/>
      </c>
      <c r="Q209" s="137" t="str" cm="1">
        <f t="array" ref="Q209">IF(COUNTIF($B$21:$E$21, Q$2)&gt;0, _xlfn.IFS(COUNTIF($B$21:$C$21, Q$2)&gt;0, VLOOKUP($J209,'Gear Values'!$A$2:$E$13, IF(COUNTBLANK('Attributes &amp; Prefixes'!$B$21:$C$21)&gt;0, "2", "3"), 0), COUNTIF($D$21:$E$21, Q$2)&gt;0, VLOOKUP($J209,'Gear Values'!$A$2:$E$13, IF(COUNTBLANK('Attributes &amp; Prefixes'!$B$21:$C$21)&gt;0, "4", "5"), 0)), "")</f>
        <v/>
      </c>
      <c r="R209" s="137" cm="1">
        <f t="array" ref="R209">IF(COUNTIF($B$21:$E$21, R$2)&gt;0, _xlfn.IFS(COUNTIF($B$21:$C$21, R$2)&gt;0, VLOOKUP($J209,'Gear Values'!$A$2:$E$13, IF(COUNTBLANK('Attributes &amp; Prefixes'!$B$21:$C$21)&gt;0, "2", "3"), 0), COUNTIF($D$21:$E$21, R$2)&gt;0, VLOOKUP($J209,'Gear Values'!$A$2:$E$13, IF(COUNTBLANK('Attributes &amp; Prefixes'!$B$21:$C$21)&gt;0, "4", "5"), 0)), "")</f>
        <v>51</v>
      </c>
      <c r="S209" s="138" t="str" cm="1">
        <f t="array" ref="S209">IF(COUNTIF($B$21:$E$21, S$2)&gt;0, _xlfn.IFS(COUNTIF($B$21:$C$21, S$2)&gt;0, VLOOKUP($J209,'Gear Values'!$A$2:$E$13, IF(COUNTBLANK('Attributes &amp; Prefixes'!$B$21:$C$21)&gt;0, "2", "3"), 0), COUNTIF($D$21:$E$21, S$2)&gt;0, VLOOKUP($J209,'Gear Values'!$A$2:$E$13, IF(COUNTBLANK('Attributes &amp; Prefixes'!$B$21:$C$21)&gt;0, "4", "5"), 0)), "")</f>
        <v/>
      </c>
      <c r="V209" s="112"/>
      <c r="W209" s="113"/>
    </row>
    <row r="210" spans="6:23">
      <c r="F210" s="114"/>
      <c r="G210" s="114"/>
      <c r="H210" s="130" t="str">
        <f>_xlfn.CONCAT(I$207,J210)</f>
        <v>DragonShoulders</v>
      </c>
      <c r="I210" s="520"/>
      <c r="J210" s="144" t="s">
        <v>42</v>
      </c>
      <c r="K210" s="136" cm="1">
        <f t="array" ref="K210">IF(COUNTIF($B$21:$E$21, K$2)&gt;0, _xlfn.IFS(COUNTIF($B$21:$C$21, K$2)&gt;0, VLOOKUP($J210,'Gear Values'!$A$2:$E$13, IF(COUNTBLANK('Attributes &amp; Prefixes'!$B$21:$C$21)&gt;0, "2", "3"), 0), COUNTIF($D$21:$E$21, K$2)&gt;0, VLOOKUP($J210,'Gear Values'!$A$2:$E$13, IF(COUNTBLANK('Attributes &amp; Prefixes'!$B$21:$C$21)&gt;0, "4", "5"), 0)), "")</f>
        <v>38</v>
      </c>
      <c r="L210" s="137" cm="1">
        <f t="array" ref="L210">IF(COUNTIF($B$21:$E$21, L$2)&gt;0, _xlfn.IFS(COUNTIF($B$21:$C$21, L$2)&gt;0, VLOOKUP($J210,'Gear Values'!$A$2:$E$13, IF(COUNTBLANK('Attributes &amp; Prefixes'!$B$21:$C$21)&gt;0, "2", "3"), 0), COUNTIF($D$21:$E$21, L$2)&gt;0, VLOOKUP($J210,'Gear Values'!$A$2:$E$13, IF(COUNTBLANK('Attributes &amp; Prefixes'!$B$21:$C$21)&gt;0, "4", "5"), 0)), "")</f>
        <v>21</v>
      </c>
      <c r="M210" s="137" t="str" cm="1">
        <f t="array" ref="M210">IF(COUNTIF($B$21:$E$21, M$2)&gt;0, _xlfn.IFS(COUNTIF($B$21:$C$21, M$2)&gt;0, VLOOKUP($J210,'Gear Values'!$A$2:$E$13, IF(COUNTBLANK('Attributes &amp; Prefixes'!$B$21:$C$21)&gt;0, "2", "3"), 0), COUNTIF($D$21:$E$21, M$2)&gt;0, VLOOKUP($J210,'Gear Values'!$A$2:$E$13, IF(COUNTBLANK('Attributes &amp; Prefixes'!$B$21:$C$21)&gt;0, "4", "5"), 0)), "")</f>
        <v/>
      </c>
      <c r="N210" s="137" cm="1">
        <f t="array" ref="N210">IF(COUNTIF($B$21:$E$21, N$2)&gt;0, _xlfn.IFS(COUNTIF($B$21:$C$21, N$2)&gt;0, VLOOKUP($J210,'Gear Values'!$A$2:$E$13, IF(COUNTBLANK('Attributes &amp; Prefixes'!$B$21:$C$21)&gt;0, "2", "3"), 0), COUNTIF($D$21:$E$21, N$2)&gt;0, VLOOKUP($J210,'Gear Values'!$A$2:$E$13, IF(COUNTBLANK('Attributes &amp; Prefixes'!$B$21:$C$21)&gt;0, "4", "5"), 0)), "")</f>
        <v>21</v>
      </c>
      <c r="O210" s="137" t="str" cm="1">
        <f t="array" ref="O210">IF(COUNTIF($B$21:$E$21, O$2)&gt;0, _xlfn.IFS(COUNTIF($B$21:$C$21, O$2)&gt;0, VLOOKUP($J210,'Gear Values'!$A$2:$E$13, IF(COUNTBLANK('Attributes &amp; Prefixes'!$B$21:$C$21)&gt;0, "2", "3"), 0), COUNTIF($D$21:$E$21, O$2)&gt;0, VLOOKUP($J210,'Gear Values'!$A$2:$E$13, IF(COUNTBLANK('Attributes &amp; Prefixes'!$B$21:$C$21)&gt;0, "4", "5"), 0)), "")</f>
        <v/>
      </c>
      <c r="P210" s="137" t="str" cm="1">
        <f t="array" ref="P210">IF(COUNTIF($B$21:$E$21, P$2)&gt;0, _xlfn.IFS(COUNTIF($B$21:$C$21, P$2)&gt;0, VLOOKUP($J210,'Gear Values'!$A$2:$E$13, IF(COUNTBLANK('Attributes &amp; Prefixes'!$B$21:$C$21)&gt;0, "2", "3"), 0), COUNTIF($D$21:$E$21, P$2)&gt;0, VLOOKUP($J210,'Gear Values'!$A$2:$E$13, IF(COUNTBLANK('Attributes &amp; Prefixes'!$B$21:$C$21)&gt;0, "4", "5"), 0)), "")</f>
        <v/>
      </c>
      <c r="Q210" s="137" t="str" cm="1">
        <f t="array" ref="Q210">IF(COUNTIF($B$21:$E$21, Q$2)&gt;0, _xlfn.IFS(COUNTIF($B$21:$C$21, Q$2)&gt;0, VLOOKUP($J210,'Gear Values'!$A$2:$E$13, IF(COUNTBLANK('Attributes &amp; Prefixes'!$B$21:$C$21)&gt;0, "2", "3"), 0), COUNTIF($D$21:$E$21, Q$2)&gt;0, VLOOKUP($J210,'Gear Values'!$A$2:$E$13, IF(COUNTBLANK('Attributes &amp; Prefixes'!$B$21:$C$21)&gt;0, "4", "5"), 0)), "")</f>
        <v/>
      </c>
      <c r="R210" s="137" cm="1">
        <f t="array" ref="R210">IF(COUNTIF($B$21:$E$21, R$2)&gt;0, _xlfn.IFS(COUNTIF($B$21:$C$21, R$2)&gt;0, VLOOKUP($J210,'Gear Values'!$A$2:$E$13, IF(COUNTBLANK('Attributes &amp; Prefixes'!$B$21:$C$21)&gt;0, "2", "3"), 0), COUNTIF($D$21:$E$21, R$2)&gt;0, VLOOKUP($J210,'Gear Values'!$A$2:$E$13, IF(COUNTBLANK('Attributes &amp; Prefixes'!$B$21:$C$21)&gt;0, "4", "5"), 0)), "")</f>
        <v>38</v>
      </c>
      <c r="S210" s="138" t="str" cm="1">
        <f t="array" ref="S210">IF(COUNTIF($B$21:$E$21, S$2)&gt;0, _xlfn.IFS(COUNTIF($B$21:$C$21, S$2)&gt;0, VLOOKUP($J210,'Gear Values'!$A$2:$E$13, IF(COUNTBLANK('Attributes &amp; Prefixes'!$B$21:$C$21)&gt;0, "2", "3"), 0), COUNTIF($D$21:$E$21, S$2)&gt;0, VLOOKUP($J210,'Gear Values'!$A$2:$E$13, IF(COUNTBLANK('Attributes &amp; Prefixes'!$B$21:$C$21)&gt;0, "4", "5"), 0)), "")</f>
        <v/>
      </c>
      <c r="V210" s="112"/>
      <c r="W210" s="113"/>
    </row>
    <row r="211" spans="6:23">
      <c r="F211" s="114"/>
      <c r="G211" s="114"/>
      <c r="H211" s="130" t="str">
        <f>_xlfn.CONCAT(I$207,J211)</f>
        <v>DragonChest</v>
      </c>
      <c r="I211" s="520"/>
      <c r="J211" s="144" t="s">
        <v>44</v>
      </c>
      <c r="K211" s="136" cm="1">
        <f t="array" ref="K211">IF(COUNTIF($B$21:$E$21, K$2)&gt;0, _xlfn.IFS(COUNTIF($B$21:$C$21, K$2)&gt;0, VLOOKUP($J211,'Gear Values'!$A$2:$E$13, IF(COUNTBLANK('Attributes &amp; Prefixes'!$B$21:$C$21)&gt;0, "2", "3"), 0), COUNTIF($D$21:$E$21, K$2)&gt;0, VLOOKUP($J211,'Gear Values'!$A$2:$E$13, IF(COUNTBLANK('Attributes &amp; Prefixes'!$B$21:$C$21)&gt;0, "4", "5"), 0)), "")</f>
        <v>115</v>
      </c>
      <c r="L211" s="137" cm="1">
        <f t="array" ref="L211">IF(COUNTIF($B$21:$E$21, L$2)&gt;0, _xlfn.IFS(COUNTIF($B$21:$C$21, L$2)&gt;0, VLOOKUP($J211,'Gear Values'!$A$2:$E$13, IF(COUNTBLANK('Attributes &amp; Prefixes'!$B$21:$C$21)&gt;0, "2", "3"), 0), COUNTIF($D$21:$E$21, L$2)&gt;0, VLOOKUP($J211,'Gear Values'!$A$2:$E$13, IF(COUNTBLANK('Attributes &amp; Prefixes'!$B$21:$C$21)&gt;0, "4", "5"), 0)), "")</f>
        <v>63</v>
      </c>
      <c r="M211" s="137" t="str" cm="1">
        <f t="array" ref="M211">IF(COUNTIF($B$21:$E$21, M$2)&gt;0, _xlfn.IFS(COUNTIF($B$21:$C$21, M$2)&gt;0, VLOOKUP($J211,'Gear Values'!$A$2:$E$13, IF(COUNTBLANK('Attributes &amp; Prefixes'!$B$21:$C$21)&gt;0, "2", "3"), 0), COUNTIF($D$21:$E$21, M$2)&gt;0, VLOOKUP($J211,'Gear Values'!$A$2:$E$13, IF(COUNTBLANK('Attributes &amp; Prefixes'!$B$21:$C$21)&gt;0, "4", "5"), 0)), "")</f>
        <v/>
      </c>
      <c r="N211" s="137" cm="1">
        <f t="array" ref="N211">IF(COUNTIF($B$21:$E$21, N$2)&gt;0, _xlfn.IFS(COUNTIF($B$21:$C$21, N$2)&gt;0, VLOOKUP($J211,'Gear Values'!$A$2:$E$13, IF(COUNTBLANK('Attributes &amp; Prefixes'!$B$21:$C$21)&gt;0, "2", "3"), 0), COUNTIF($D$21:$E$21, N$2)&gt;0, VLOOKUP($J211,'Gear Values'!$A$2:$E$13, IF(COUNTBLANK('Attributes &amp; Prefixes'!$B$21:$C$21)&gt;0, "4", "5"), 0)), "")</f>
        <v>63</v>
      </c>
      <c r="O211" s="137" t="str" cm="1">
        <f t="array" ref="O211">IF(COUNTIF($B$21:$E$21, O$2)&gt;0, _xlfn.IFS(COUNTIF($B$21:$C$21, O$2)&gt;0, VLOOKUP($J211,'Gear Values'!$A$2:$E$13, IF(COUNTBLANK('Attributes &amp; Prefixes'!$B$21:$C$21)&gt;0, "2", "3"), 0), COUNTIF($D$21:$E$21, O$2)&gt;0, VLOOKUP($J211,'Gear Values'!$A$2:$E$13, IF(COUNTBLANK('Attributes &amp; Prefixes'!$B$21:$C$21)&gt;0, "4", "5"), 0)), "")</f>
        <v/>
      </c>
      <c r="P211" s="137" t="str" cm="1">
        <f t="array" ref="P211">IF(COUNTIF($B$21:$E$21, P$2)&gt;0, _xlfn.IFS(COUNTIF($B$21:$C$21, P$2)&gt;0, VLOOKUP($J211,'Gear Values'!$A$2:$E$13, IF(COUNTBLANK('Attributes &amp; Prefixes'!$B$21:$C$21)&gt;0, "2", "3"), 0), COUNTIF($D$21:$E$21, P$2)&gt;0, VLOOKUP($J211,'Gear Values'!$A$2:$E$13, IF(COUNTBLANK('Attributes &amp; Prefixes'!$B$21:$C$21)&gt;0, "4", "5"), 0)), "")</f>
        <v/>
      </c>
      <c r="Q211" s="137" t="str" cm="1">
        <f t="array" ref="Q211">IF(COUNTIF($B$21:$E$21, Q$2)&gt;0, _xlfn.IFS(COUNTIF($B$21:$C$21, Q$2)&gt;0, VLOOKUP($J211,'Gear Values'!$A$2:$E$13, IF(COUNTBLANK('Attributes &amp; Prefixes'!$B$21:$C$21)&gt;0, "2", "3"), 0), COUNTIF($D$21:$E$21, Q$2)&gt;0, VLOOKUP($J211,'Gear Values'!$A$2:$E$13, IF(COUNTBLANK('Attributes &amp; Prefixes'!$B$21:$C$21)&gt;0, "4", "5"), 0)), "")</f>
        <v/>
      </c>
      <c r="R211" s="137" cm="1">
        <f t="array" ref="R211">IF(COUNTIF($B$21:$E$21, R$2)&gt;0, _xlfn.IFS(COUNTIF($B$21:$C$21, R$2)&gt;0, VLOOKUP($J211,'Gear Values'!$A$2:$E$13, IF(COUNTBLANK('Attributes &amp; Prefixes'!$B$21:$C$21)&gt;0, "2", "3"), 0), COUNTIF($D$21:$E$21, R$2)&gt;0, VLOOKUP($J211,'Gear Values'!$A$2:$E$13, IF(COUNTBLANK('Attributes &amp; Prefixes'!$B$21:$C$21)&gt;0, "4", "5"), 0)), "")</f>
        <v>115</v>
      </c>
      <c r="S211" s="138" t="str" cm="1">
        <f t="array" ref="S211">IF(COUNTIF($B$21:$E$21, S$2)&gt;0, _xlfn.IFS(COUNTIF($B$21:$C$21, S$2)&gt;0, VLOOKUP($J211,'Gear Values'!$A$2:$E$13, IF(COUNTBLANK('Attributes &amp; Prefixes'!$B$21:$C$21)&gt;0, "2", "3"), 0), COUNTIF($D$21:$E$21, S$2)&gt;0, VLOOKUP($J211,'Gear Values'!$A$2:$E$13, IF(COUNTBLANK('Attributes &amp; Prefixes'!$B$21:$C$21)&gt;0, "4", "5"), 0)), "")</f>
        <v/>
      </c>
      <c r="V211" s="112"/>
      <c r="W211" s="113"/>
    </row>
    <row r="212" spans="6:23">
      <c r="F212" s="114"/>
      <c r="G212" s="114"/>
      <c r="H212" s="130" t="str">
        <f>_xlfn.CONCAT(I$207,J212)</f>
        <v>DragonHands</v>
      </c>
      <c r="I212" s="520"/>
      <c r="J212" s="144" t="s">
        <v>45</v>
      </c>
      <c r="K212" s="136" cm="1">
        <f t="array" ref="K212">IF(COUNTIF($B$21:$E$21, K$2)&gt;0, _xlfn.IFS(COUNTIF($B$21:$C$21, K$2)&gt;0, VLOOKUP($J212,'Gear Values'!$A$2:$E$13, IF(COUNTBLANK('Attributes &amp; Prefixes'!$B$21:$C$21)&gt;0, "2", "3"), 0), COUNTIF($D$21:$E$21, K$2)&gt;0, VLOOKUP($J212,'Gear Values'!$A$2:$E$13, IF(COUNTBLANK('Attributes &amp; Prefixes'!$B$21:$C$21)&gt;0, "4", "5"), 0)), "")</f>
        <v>38</v>
      </c>
      <c r="L212" s="137" cm="1">
        <f t="array" ref="L212">IF(COUNTIF($B$21:$E$21, L$2)&gt;0, _xlfn.IFS(COUNTIF($B$21:$C$21, L$2)&gt;0, VLOOKUP($J212,'Gear Values'!$A$2:$E$13, IF(COUNTBLANK('Attributes &amp; Prefixes'!$B$21:$C$21)&gt;0, "2", "3"), 0), COUNTIF($D$21:$E$21, L$2)&gt;0, VLOOKUP($J212,'Gear Values'!$A$2:$E$13, IF(COUNTBLANK('Attributes &amp; Prefixes'!$B$21:$C$21)&gt;0, "4", "5"), 0)), "")</f>
        <v>21</v>
      </c>
      <c r="M212" s="137" t="str" cm="1">
        <f t="array" ref="M212">IF(COUNTIF($B$21:$E$21, M$2)&gt;0, _xlfn.IFS(COUNTIF($B$21:$C$21, M$2)&gt;0, VLOOKUP($J212,'Gear Values'!$A$2:$E$13, IF(COUNTBLANK('Attributes &amp; Prefixes'!$B$21:$C$21)&gt;0, "2", "3"), 0), COUNTIF($D$21:$E$21, M$2)&gt;0, VLOOKUP($J212,'Gear Values'!$A$2:$E$13, IF(COUNTBLANK('Attributes &amp; Prefixes'!$B$21:$C$21)&gt;0, "4", "5"), 0)), "")</f>
        <v/>
      </c>
      <c r="N212" s="137" cm="1">
        <f t="array" ref="N212">IF(COUNTIF($B$21:$E$21, N$2)&gt;0, _xlfn.IFS(COUNTIF($B$21:$C$21, N$2)&gt;0, VLOOKUP($J212,'Gear Values'!$A$2:$E$13, IF(COUNTBLANK('Attributes &amp; Prefixes'!$B$21:$C$21)&gt;0, "2", "3"), 0), COUNTIF($D$21:$E$21, N$2)&gt;0, VLOOKUP($J212,'Gear Values'!$A$2:$E$13, IF(COUNTBLANK('Attributes &amp; Prefixes'!$B$21:$C$21)&gt;0, "4", "5"), 0)), "")</f>
        <v>21</v>
      </c>
      <c r="O212" s="137" t="str" cm="1">
        <f t="array" ref="O212">IF(COUNTIF($B$21:$E$21, O$2)&gt;0, _xlfn.IFS(COUNTIF($B$21:$C$21, O$2)&gt;0, VLOOKUP($J212,'Gear Values'!$A$2:$E$13, IF(COUNTBLANK('Attributes &amp; Prefixes'!$B$21:$C$21)&gt;0, "2", "3"), 0), COUNTIF($D$21:$E$21, O$2)&gt;0, VLOOKUP($J212,'Gear Values'!$A$2:$E$13, IF(COUNTBLANK('Attributes &amp; Prefixes'!$B$21:$C$21)&gt;0, "4", "5"), 0)), "")</f>
        <v/>
      </c>
      <c r="P212" s="137" t="str" cm="1">
        <f t="array" ref="P212">IF(COUNTIF($B$21:$E$21, P$2)&gt;0, _xlfn.IFS(COUNTIF($B$21:$C$21, P$2)&gt;0, VLOOKUP($J212,'Gear Values'!$A$2:$E$13, IF(COUNTBLANK('Attributes &amp; Prefixes'!$B$21:$C$21)&gt;0, "2", "3"), 0), COUNTIF($D$21:$E$21, P$2)&gt;0, VLOOKUP($J212,'Gear Values'!$A$2:$E$13, IF(COUNTBLANK('Attributes &amp; Prefixes'!$B$21:$C$21)&gt;0, "4", "5"), 0)), "")</f>
        <v/>
      </c>
      <c r="Q212" s="137" t="str" cm="1">
        <f t="array" ref="Q212">IF(COUNTIF($B$21:$E$21, Q$2)&gt;0, _xlfn.IFS(COUNTIF($B$21:$C$21, Q$2)&gt;0, VLOOKUP($J212,'Gear Values'!$A$2:$E$13, IF(COUNTBLANK('Attributes &amp; Prefixes'!$B$21:$C$21)&gt;0, "2", "3"), 0), COUNTIF($D$21:$E$21, Q$2)&gt;0, VLOOKUP($J212,'Gear Values'!$A$2:$E$13, IF(COUNTBLANK('Attributes &amp; Prefixes'!$B$21:$C$21)&gt;0, "4", "5"), 0)), "")</f>
        <v/>
      </c>
      <c r="R212" s="137" cm="1">
        <f t="array" ref="R212">IF(COUNTIF($B$21:$E$21, R$2)&gt;0, _xlfn.IFS(COUNTIF($B$21:$C$21, R$2)&gt;0, VLOOKUP($J212,'Gear Values'!$A$2:$E$13, IF(COUNTBLANK('Attributes &amp; Prefixes'!$B$21:$C$21)&gt;0, "2", "3"), 0), COUNTIF($D$21:$E$21, R$2)&gt;0, VLOOKUP($J212,'Gear Values'!$A$2:$E$13, IF(COUNTBLANK('Attributes &amp; Prefixes'!$B$21:$C$21)&gt;0, "4", "5"), 0)), "")</f>
        <v>38</v>
      </c>
      <c r="S212" s="138" t="str" cm="1">
        <f t="array" ref="S212">IF(COUNTIF($B$21:$E$21, S$2)&gt;0, _xlfn.IFS(COUNTIF($B$21:$C$21, S$2)&gt;0, VLOOKUP($J212,'Gear Values'!$A$2:$E$13, IF(COUNTBLANK('Attributes &amp; Prefixes'!$B$21:$C$21)&gt;0, "2", "3"), 0), COUNTIF($D$21:$E$21, S$2)&gt;0, VLOOKUP($J212,'Gear Values'!$A$2:$E$13, IF(COUNTBLANK('Attributes &amp; Prefixes'!$B$21:$C$21)&gt;0, "4", "5"), 0)), "")</f>
        <v/>
      </c>
      <c r="V212" s="112"/>
      <c r="W212" s="113"/>
    </row>
    <row r="213" spans="6:23">
      <c r="F213" s="114"/>
      <c r="G213" s="114"/>
      <c r="H213" s="130" t="str">
        <f>_xlfn.CONCAT(I$207,J213)</f>
        <v>DragonLegs</v>
      </c>
      <c r="I213" s="520"/>
      <c r="J213" s="144" t="s">
        <v>47</v>
      </c>
      <c r="K213" s="136" cm="1">
        <f t="array" ref="K213">IF(COUNTIF($B$21:$E$21, K$2)&gt;0, _xlfn.IFS(COUNTIF($B$21:$C$21, K$2)&gt;0, VLOOKUP($J213,'Gear Values'!$A$2:$E$13, IF(COUNTBLANK('Attributes &amp; Prefixes'!$B$21:$C$21)&gt;0, "2", "3"), 0), COUNTIF($D$21:$E$21, K$2)&gt;0, VLOOKUP($J213,'Gear Values'!$A$2:$E$13, IF(COUNTBLANK('Attributes &amp; Prefixes'!$B$21:$C$21)&gt;0, "4", "5"), 0)), "")</f>
        <v>77</v>
      </c>
      <c r="L213" s="137" cm="1">
        <f t="array" ref="L213">IF(COUNTIF($B$21:$E$21, L$2)&gt;0, _xlfn.IFS(COUNTIF($B$21:$C$21, L$2)&gt;0, VLOOKUP($J213,'Gear Values'!$A$2:$E$13, IF(COUNTBLANK('Attributes &amp; Prefixes'!$B$21:$C$21)&gt;0, "2", "3"), 0), COUNTIF($D$21:$E$21, L$2)&gt;0, VLOOKUP($J213,'Gear Values'!$A$2:$E$13, IF(COUNTBLANK('Attributes &amp; Prefixes'!$B$21:$C$21)&gt;0, "4", "5"), 0)), "")</f>
        <v>42</v>
      </c>
      <c r="M213" s="137" t="str" cm="1">
        <f t="array" ref="M213">IF(COUNTIF($B$21:$E$21, M$2)&gt;0, _xlfn.IFS(COUNTIF($B$21:$C$21, M$2)&gt;0, VLOOKUP($J213,'Gear Values'!$A$2:$E$13, IF(COUNTBLANK('Attributes &amp; Prefixes'!$B$21:$C$21)&gt;0, "2", "3"), 0), COUNTIF($D$21:$E$21, M$2)&gt;0, VLOOKUP($J213,'Gear Values'!$A$2:$E$13, IF(COUNTBLANK('Attributes &amp; Prefixes'!$B$21:$C$21)&gt;0, "4", "5"), 0)), "")</f>
        <v/>
      </c>
      <c r="N213" s="137" cm="1">
        <f t="array" ref="N213">IF(COUNTIF($B$21:$E$21, N$2)&gt;0, _xlfn.IFS(COUNTIF($B$21:$C$21, N$2)&gt;0, VLOOKUP($J213,'Gear Values'!$A$2:$E$13, IF(COUNTBLANK('Attributes &amp; Prefixes'!$B$21:$C$21)&gt;0, "2", "3"), 0), COUNTIF($D$21:$E$21, N$2)&gt;0, VLOOKUP($J213,'Gear Values'!$A$2:$E$13, IF(COUNTBLANK('Attributes &amp; Prefixes'!$B$21:$C$21)&gt;0, "4", "5"), 0)), "")</f>
        <v>42</v>
      </c>
      <c r="O213" s="137" t="str" cm="1">
        <f t="array" ref="O213">IF(COUNTIF($B$21:$E$21, O$2)&gt;0, _xlfn.IFS(COUNTIF($B$21:$C$21, O$2)&gt;0, VLOOKUP($J213,'Gear Values'!$A$2:$E$13, IF(COUNTBLANK('Attributes &amp; Prefixes'!$B$21:$C$21)&gt;0, "2", "3"), 0), COUNTIF($D$21:$E$21, O$2)&gt;0, VLOOKUP($J213,'Gear Values'!$A$2:$E$13, IF(COUNTBLANK('Attributes &amp; Prefixes'!$B$21:$C$21)&gt;0, "4", "5"), 0)), "")</f>
        <v/>
      </c>
      <c r="P213" s="137" t="str" cm="1">
        <f t="array" ref="P213">IF(COUNTIF($B$21:$E$21, P$2)&gt;0, _xlfn.IFS(COUNTIF($B$21:$C$21, P$2)&gt;0, VLOOKUP($J213,'Gear Values'!$A$2:$E$13, IF(COUNTBLANK('Attributes &amp; Prefixes'!$B$21:$C$21)&gt;0, "2", "3"), 0), COUNTIF($D$21:$E$21, P$2)&gt;0, VLOOKUP($J213,'Gear Values'!$A$2:$E$13, IF(COUNTBLANK('Attributes &amp; Prefixes'!$B$21:$C$21)&gt;0, "4", "5"), 0)), "")</f>
        <v/>
      </c>
      <c r="Q213" s="137" t="str" cm="1">
        <f t="array" ref="Q213">IF(COUNTIF($B$21:$E$21, Q$2)&gt;0, _xlfn.IFS(COUNTIF($B$21:$C$21, Q$2)&gt;0, VLOOKUP($J213,'Gear Values'!$A$2:$E$13, IF(COUNTBLANK('Attributes &amp; Prefixes'!$B$21:$C$21)&gt;0, "2", "3"), 0), COUNTIF($D$21:$E$21, Q$2)&gt;0, VLOOKUP($J213,'Gear Values'!$A$2:$E$13, IF(COUNTBLANK('Attributes &amp; Prefixes'!$B$21:$C$21)&gt;0, "4", "5"), 0)), "")</f>
        <v/>
      </c>
      <c r="R213" s="137" cm="1">
        <f t="array" ref="R213">IF(COUNTIF($B$21:$E$21, R$2)&gt;0, _xlfn.IFS(COUNTIF($B$21:$C$21, R$2)&gt;0, VLOOKUP($J213,'Gear Values'!$A$2:$E$13, IF(COUNTBLANK('Attributes &amp; Prefixes'!$B$21:$C$21)&gt;0, "2", "3"), 0), COUNTIF($D$21:$E$21, R$2)&gt;0, VLOOKUP($J213,'Gear Values'!$A$2:$E$13, IF(COUNTBLANK('Attributes &amp; Prefixes'!$B$21:$C$21)&gt;0, "4", "5"), 0)), "")</f>
        <v>77</v>
      </c>
      <c r="S213" s="138" t="str" cm="1">
        <f t="array" ref="S213">IF(COUNTIF($B$21:$E$21, S$2)&gt;0, _xlfn.IFS(COUNTIF($B$21:$C$21, S$2)&gt;0, VLOOKUP($J213,'Gear Values'!$A$2:$E$13, IF(COUNTBLANK('Attributes &amp; Prefixes'!$B$21:$C$21)&gt;0, "2", "3"), 0), COUNTIF($D$21:$E$21, S$2)&gt;0, VLOOKUP($J213,'Gear Values'!$A$2:$E$13, IF(COUNTBLANK('Attributes &amp; Prefixes'!$B$21:$C$21)&gt;0, "4", "5"), 0)), "")</f>
        <v/>
      </c>
      <c r="V213" s="112"/>
      <c r="W213" s="113"/>
    </row>
    <row r="214" spans="6:23">
      <c r="F214" s="114"/>
      <c r="G214" s="114"/>
      <c r="H214" s="130" t="str">
        <f>_xlfn.CONCAT(I$207,J214)</f>
        <v>DragonFeet</v>
      </c>
      <c r="I214" s="520"/>
      <c r="J214" s="144" t="s">
        <v>48</v>
      </c>
      <c r="K214" s="136" cm="1">
        <f t="array" ref="K214">IF(COUNTIF($B$21:$E$21, K$2)&gt;0, _xlfn.IFS(COUNTIF($B$21:$C$21, K$2)&gt;0, VLOOKUP($J214,'Gear Values'!$A$2:$E$13, IF(COUNTBLANK('Attributes &amp; Prefixes'!$B$21:$C$21)&gt;0, "2", "3"), 0), COUNTIF($D$21:$E$21, K$2)&gt;0, VLOOKUP($J214,'Gear Values'!$A$2:$E$13, IF(COUNTBLANK('Attributes &amp; Prefixes'!$B$21:$C$21)&gt;0, "4", "5"), 0)), "")</f>
        <v>38</v>
      </c>
      <c r="L214" s="137" cm="1">
        <f t="array" ref="L214">IF(COUNTIF($B$21:$E$21, L$2)&gt;0, _xlfn.IFS(COUNTIF($B$21:$C$21, L$2)&gt;0, VLOOKUP($J214,'Gear Values'!$A$2:$E$13, IF(COUNTBLANK('Attributes &amp; Prefixes'!$B$21:$C$21)&gt;0, "2", "3"), 0), COUNTIF($D$21:$E$21, L$2)&gt;0, VLOOKUP($J214,'Gear Values'!$A$2:$E$13, IF(COUNTBLANK('Attributes &amp; Prefixes'!$B$21:$C$21)&gt;0, "4", "5"), 0)), "")</f>
        <v>21</v>
      </c>
      <c r="M214" s="137" t="str" cm="1">
        <f t="array" ref="M214">IF(COUNTIF($B$21:$E$21, M$2)&gt;0, _xlfn.IFS(COUNTIF($B$21:$C$21, M$2)&gt;0, VLOOKUP($J214,'Gear Values'!$A$2:$E$13, IF(COUNTBLANK('Attributes &amp; Prefixes'!$B$21:$C$21)&gt;0, "2", "3"), 0), COUNTIF($D$21:$E$21, M$2)&gt;0, VLOOKUP($J214,'Gear Values'!$A$2:$E$13, IF(COUNTBLANK('Attributes &amp; Prefixes'!$B$21:$C$21)&gt;0, "4", "5"), 0)), "")</f>
        <v/>
      </c>
      <c r="N214" s="137" cm="1">
        <f t="array" ref="N214">IF(COUNTIF($B$21:$E$21, N$2)&gt;0, _xlfn.IFS(COUNTIF($B$21:$C$21, N$2)&gt;0, VLOOKUP($J214,'Gear Values'!$A$2:$E$13, IF(COUNTBLANK('Attributes &amp; Prefixes'!$B$21:$C$21)&gt;0, "2", "3"), 0), COUNTIF($D$21:$E$21, N$2)&gt;0, VLOOKUP($J214,'Gear Values'!$A$2:$E$13, IF(COUNTBLANK('Attributes &amp; Prefixes'!$B$21:$C$21)&gt;0, "4", "5"), 0)), "")</f>
        <v>21</v>
      </c>
      <c r="O214" s="137" t="str" cm="1">
        <f t="array" ref="O214">IF(COUNTIF($B$21:$E$21, O$2)&gt;0, _xlfn.IFS(COUNTIF($B$21:$C$21, O$2)&gt;0, VLOOKUP($J214,'Gear Values'!$A$2:$E$13, IF(COUNTBLANK('Attributes &amp; Prefixes'!$B$21:$C$21)&gt;0, "2", "3"), 0), COUNTIF($D$21:$E$21, O$2)&gt;0, VLOOKUP($J214,'Gear Values'!$A$2:$E$13, IF(COUNTBLANK('Attributes &amp; Prefixes'!$B$21:$C$21)&gt;0, "4", "5"), 0)), "")</f>
        <v/>
      </c>
      <c r="P214" s="137" t="str" cm="1">
        <f t="array" ref="P214">IF(COUNTIF($B$21:$E$21, P$2)&gt;0, _xlfn.IFS(COUNTIF($B$21:$C$21, P$2)&gt;0, VLOOKUP($J214,'Gear Values'!$A$2:$E$13, IF(COUNTBLANK('Attributes &amp; Prefixes'!$B$21:$C$21)&gt;0, "2", "3"), 0), COUNTIF($D$21:$E$21, P$2)&gt;0, VLOOKUP($J214,'Gear Values'!$A$2:$E$13, IF(COUNTBLANK('Attributes &amp; Prefixes'!$B$21:$C$21)&gt;0, "4", "5"), 0)), "")</f>
        <v/>
      </c>
      <c r="Q214" s="137" t="str" cm="1">
        <f t="array" ref="Q214">IF(COUNTIF($B$21:$E$21, Q$2)&gt;0, _xlfn.IFS(COUNTIF($B$21:$C$21, Q$2)&gt;0, VLOOKUP($J214,'Gear Values'!$A$2:$E$13, IF(COUNTBLANK('Attributes &amp; Prefixes'!$B$21:$C$21)&gt;0, "2", "3"), 0), COUNTIF($D$21:$E$21, Q$2)&gt;0, VLOOKUP($J214,'Gear Values'!$A$2:$E$13, IF(COUNTBLANK('Attributes &amp; Prefixes'!$B$21:$C$21)&gt;0, "4", "5"), 0)), "")</f>
        <v/>
      </c>
      <c r="R214" s="137" cm="1">
        <f t="array" ref="R214">IF(COUNTIF($B$21:$E$21, R$2)&gt;0, _xlfn.IFS(COUNTIF($B$21:$C$21, R$2)&gt;0, VLOOKUP($J214,'Gear Values'!$A$2:$E$13, IF(COUNTBLANK('Attributes &amp; Prefixes'!$B$21:$C$21)&gt;0, "2", "3"), 0), COUNTIF($D$21:$E$21, R$2)&gt;0, VLOOKUP($J214,'Gear Values'!$A$2:$E$13, IF(COUNTBLANK('Attributes &amp; Prefixes'!$B$21:$C$21)&gt;0, "4", "5"), 0)), "")</f>
        <v>38</v>
      </c>
      <c r="S214" s="138" t="str" cm="1">
        <f t="array" ref="S214">IF(COUNTIF($B$21:$E$21, S$2)&gt;0, _xlfn.IFS(COUNTIF($B$21:$C$21, S$2)&gt;0, VLOOKUP($J214,'Gear Values'!$A$2:$E$13, IF(COUNTBLANK('Attributes &amp; Prefixes'!$B$21:$C$21)&gt;0, "2", "3"), 0), COUNTIF($D$21:$E$21, S$2)&gt;0, VLOOKUP($J214,'Gear Values'!$A$2:$E$13, IF(COUNTBLANK('Attributes &amp; Prefixes'!$B$21:$C$21)&gt;0, "4", "5"), 0)), "")</f>
        <v/>
      </c>
      <c r="V214" s="112"/>
      <c r="W214" s="113"/>
    </row>
    <row r="215" spans="6:23">
      <c r="F215" s="114"/>
      <c r="G215" s="114"/>
      <c r="H215" s="130" t="str">
        <f>_xlfn.CONCAT(A$70,J215)</f>
        <v>Maguuma LilyEar</v>
      </c>
      <c r="I215" s="520"/>
      <c r="J215" s="144" t="s">
        <v>49</v>
      </c>
      <c r="K215" s="136" cm="1">
        <f t="array" ref="K215">IF(COUNTIF($B$21:$E$21, K$2)&gt;0, _xlfn.IFS(COUNTIF($B$21:$C$21, K$2)&gt;0, VLOOKUP($J215,'Gear Values'!$A$2:$E$13, IF(COUNTBLANK('Attributes &amp; Prefixes'!$B$21:$C$21)&gt;0, "2", "3"), 0), COUNTIF($D$21:$E$21, K$2)&gt;0, VLOOKUP($J215,'Gear Values'!$A$2:$E$13, IF(COUNTBLANK('Attributes &amp; Prefixes'!$B$21:$C$21)&gt;0, "4", "5"), 0)), "")</f>
        <v>64</v>
      </c>
      <c r="L215" s="137" cm="1">
        <f t="array" ref="L215">IF(COUNTIF($B$21:$E$21, L$2)&gt;0, _xlfn.IFS(COUNTIF($B$21:$C$21, L$2)&gt;0, VLOOKUP($J215,'Gear Values'!$A$2:$E$13, IF(COUNTBLANK('Attributes &amp; Prefixes'!$B$21:$C$21)&gt;0, "2", "3"), 0), COUNTIF($D$21:$E$21, L$2)&gt;0, VLOOKUP($J215,'Gear Values'!$A$2:$E$13, IF(COUNTBLANK('Attributes &amp; Prefixes'!$B$21:$C$21)&gt;0, "4", "5"), 0)), "")</f>
        <v>35</v>
      </c>
      <c r="M215" s="137" t="str" cm="1">
        <f t="array" ref="M215">IF(COUNTIF($B$21:$E$21, M$2)&gt;0, _xlfn.IFS(COUNTIF($B$21:$C$21, M$2)&gt;0, VLOOKUP($J215,'Gear Values'!$A$2:$E$13, IF(COUNTBLANK('Attributes &amp; Prefixes'!$B$21:$C$21)&gt;0, "2", "3"), 0), COUNTIF($D$21:$E$21, M$2)&gt;0, VLOOKUP($J215,'Gear Values'!$A$2:$E$13, IF(COUNTBLANK('Attributes &amp; Prefixes'!$B$21:$C$21)&gt;0, "4", "5"), 0)), "")</f>
        <v/>
      </c>
      <c r="N215" s="137" cm="1">
        <f t="array" ref="N215">IF(COUNTIF($B$21:$E$21, N$2)&gt;0, _xlfn.IFS(COUNTIF($B$21:$C$21, N$2)&gt;0, VLOOKUP($J215,'Gear Values'!$A$2:$E$13, IF(COUNTBLANK('Attributes &amp; Prefixes'!$B$21:$C$21)&gt;0, "2", "3"), 0), COUNTIF($D$21:$E$21, N$2)&gt;0, VLOOKUP($J215,'Gear Values'!$A$2:$E$13, IF(COUNTBLANK('Attributes &amp; Prefixes'!$B$21:$C$21)&gt;0, "4", "5"), 0)), "")</f>
        <v>35</v>
      </c>
      <c r="O215" s="137" t="str" cm="1">
        <f t="array" ref="O215">IF(COUNTIF($B$21:$E$21, O$2)&gt;0, _xlfn.IFS(COUNTIF($B$21:$C$21, O$2)&gt;0, VLOOKUP($J215,'Gear Values'!$A$2:$E$13, IF(COUNTBLANK('Attributes &amp; Prefixes'!$B$21:$C$21)&gt;0, "2", "3"), 0), COUNTIF($D$21:$E$21, O$2)&gt;0, VLOOKUP($J215,'Gear Values'!$A$2:$E$13, IF(COUNTBLANK('Attributes &amp; Prefixes'!$B$21:$C$21)&gt;0, "4", "5"), 0)), "")</f>
        <v/>
      </c>
      <c r="P215" s="137" t="str" cm="1">
        <f t="array" ref="P215">IF(COUNTIF($B$21:$E$21, P$2)&gt;0, _xlfn.IFS(COUNTIF($B$21:$C$21, P$2)&gt;0, VLOOKUP($J215,'Gear Values'!$A$2:$E$13, IF(COUNTBLANK('Attributes &amp; Prefixes'!$B$21:$C$21)&gt;0, "2", "3"), 0), COUNTIF($D$21:$E$21, P$2)&gt;0, VLOOKUP($J215,'Gear Values'!$A$2:$E$13, IF(COUNTBLANK('Attributes &amp; Prefixes'!$B$21:$C$21)&gt;0, "4", "5"), 0)), "")</f>
        <v/>
      </c>
      <c r="Q215" s="137" t="str" cm="1">
        <f t="array" ref="Q215">IF(COUNTIF($B$21:$E$21, Q$2)&gt;0, _xlfn.IFS(COUNTIF($B$21:$C$21, Q$2)&gt;0, VLOOKUP($J215,'Gear Values'!$A$2:$E$13, IF(COUNTBLANK('Attributes &amp; Prefixes'!$B$21:$C$21)&gt;0, "2", "3"), 0), COUNTIF($D$21:$E$21, Q$2)&gt;0, VLOOKUP($J215,'Gear Values'!$A$2:$E$13, IF(COUNTBLANK('Attributes &amp; Prefixes'!$B$21:$C$21)&gt;0, "4", "5"), 0)), "")</f>
        <v/>
      </c>
      <c r="R215" s="137" cm="1">
        <f t="array" ref="R215">IF(COUNTIF($B$21:$E$21, R$2)&gt;0, _xlfn.IFS(COUNTIF($B$21:$C$21, R$2)&gt;0, VLOOKUP($J215,'Gear Values'!$A$2:$E$13, IF(COUNTBLANK('Attributes &amp; Prefixes'!$B$21:$C$21)&gt;0, "2", "3"), 0), COUNTIF($D$21:$E$21, R$2)&gt;0, VLOOKUP($J215,'Gear Values'!$A$2:$E$13, IF(COUNTBLANK('Attributes &amp; Prefixes'!$B$21:$C$21)&gt;0, "4", "5"), 0)), "")</f>
        <v>64</v>
      </c>
      <c r="S215" s="138" t="str" cm="1">
        <f t="array" ref="S215">IF(COUNTIF($B$21:$E$21, S$2)&gt;0, _xlfn.IFS(COUNTIF($B$21:$C$21, S$2)&gt;0, VLOOKUP($J215,'Gear Values'!$A$2:$E$13, IF(COUNTBLANK('Attributes &amp; Prefixes'!$B$21:$C$21)&gt;0, "2", "3"), 0), COUNTIF($D$21:$E$21, S$2)&gt;0, VLOOKUP($J215,'Gear Values'!$A$2:$E$13, IF(COUNTBLANK('Attributes &amp; Prefixes'!$B$21:$C$21)&gt;0, "4", "5"), 0)), "")</f>
        <v/>
      </c>
      <c r="V215" s="112"/>
      <c r="W215" s="113"/>
    </row>
    <row r="216" spans="6:23">
      <c r="F216" s="114"/>
      <c r="G216" s="114"/>
      <c r="H216" s="130" t="str">
        <f>_xlfn.CONCAT(A$70,J216)</f>
        <v>Maguuma LilyFinger</v>
      </c>
      <c r="I216" s="520"/>
      <c r="J216" s="144" t="s">
        <v>51</v>
      </c>
      <c r="K216" s="136" cm="1">
        <f t="array" ref="K216">IF(COUNTIF($B$21:$E$21, K$2)&gt;0, _xlfn.IFS(COUNTIF($B$21:$C$21, K$2)&gt;0, VLOOKUP($J216,'Gear Values'!$A$2:$E$13, IF(COUNTBLANK('Attributes &amp; Prefixes'!$B$21:$C$21)&gt;0, "2", "3"), 0), COUNTIF($D$21:$E$21, K$2)&gt;0, VLOOKUP($J216,'Gear Values'!$A$2:$E$13, IF(COUNTBLANK('Attributes &amp; Prefixes'!$B$21:$C$21)&gt;0, "4", "5"), 0)), "")</f>
        <v>77</v>
      </c>
      <c r="L216" s="137" cm="1">
        <f t="array" ref="L216">IF(COUNTIF($B$21:$E$21, L$2)&gt;0, _xlfn.IFS(COUNTIF($B$21:$C$21, L$2)&gt;0, VLOOKUP($J216,'Gear Values'!$A$2:$E$13, IF(COUNTBLANK('Attributes &amp; Prefixes'!$B$21:$C$21)&gt;0, "2", "3"), 0), COUNTIF($D$21:$E$21, L$2)&gt;0, VLOOKUP($J216,'Gear Values'!$A$2:$E$13, IF(COUNTBLANK('Attributes &amp; Prefixes'!$B$21:$C$21)&gt;0, "4", "5"), 0)), "")</f>
        <v>42</v>
      </c>
      <c r="M216" s="137" t="str" cm="1">
        <f t="array" ref="M216">IF(COUNTIF($B$21:$E$21, M$2)&gt;0, _xlfn.IFS(COUNTIF($B$21:$C$21, M$2)&gt;0, VLOOKUP($J216,'Gear Values'!$A$2:$E$13, IF(COUNTBLANK('Attributes &amp; Prefixes'!$B$21:$C$21)&gt;0, "2", "3"), 0), COUNTIF($D$21:$E$21, M$2)&gt;0, VLOOKUP($J216,'Gear Values'!$A$2:$E$13, IF(COUNTBLANK('Attributes &amp; Prefixes'!$B$21:$C$21)&gt;0, "4", "5"), 0)), "")</f>
        <v/>
      </c>
      <c r="N216" s="137" cm="1">
        <f t="array" ref="N216">IF(COUNTIF($B$21:$E$21, N$2)&gt;0, _xlfn.IFS(COUNTIF($B$21:$C$21, N$2)&gt;0, VLOOKUP($J216,'Gear Values'!$A$2:$E$13, IF(COUNTBLANK('Attributes &amp; Prefixes'!$B$21:$C$21)&gt;0, "2", "3"), 0), COUNTIF($D$21:$E$21, N$2)&gt;0, VLOOKUP($J216,'Gear Values'!$A$2:$E$13, IF(COUNTBLANK('Attributes &amp; Prefixes'!$B$21:$C$21)&gt;0, "4", "5"), 0)), "")</f>
        <v>42</v>
      </c>
      <c r="O216" s="137" t="str" cm="1">
        <f t="array" ref="O216">IF(COUNTIF($B$21:$E$21, O$2)&gt;0, _xlfn.IFS(COUNTIF($B$21:$C$21, O$2)&gt;0, VLOOKUP($J216,'Gear Values'!$A$2:$E$13, IF(COUNTBLANK('Attributes &amp; Prefixes'!$B$21:$C$21)&gt;0, "2", "3"), 0), COUNTIF($D$21:$E$21, O$2)&gt;0, VLOOKUP($J216,'Gear Values'!$A$2:$E$13, IF(COUNTBLANK('Attributes &amp; Prefixes'!$B$21:$C$21)&gt;0, "4", "5"), 0)), "")</f>
        <v/>
      </c>
      <c r="P216" s="137" t="str" cm="1">
        <f t="array" ref="P216">IF(COUNTIF($B$21:$E$21, P$2)&gt;0, _xlfn.IFS(COUNTIF($B$21:$C$21, P$2)&gt;0, VLOOKUP($J216,'Gear Values'!$A$2:$E$13, IF(COUNTBLANK('Attributes &amp; Prefixes'!$B$21:$C$21)&gt;0, "2", "3"), 0), COUNTIF($D$21:$E$21, P$2)&gt;0, VLOOKUP($J216,'Gear Values'!$A$2:$E$13, IF(COUNTBLANK('Attributes &amp; Prefixes'!$B$21:$C$21)&gt;0, "4", "5"), 0)), "")</f>
        <v/>
      </c>
      <c r="Q216" s="137" t="str" cm="1">
        <f t="array" ref="Q216">IF(COUNTIF($B$21:$E$21, Q$2)&gt;0, _xlfn.IFS(COUNTIF($B$21:$C$21, Q$2)&gt;0, VLOOKUP($J216,'Gear Values'!$A$2:$E$13, IF(COUNTBLANK('Attributes &amp; Prefixes'!$B$21:$C$21)&gt;0, "2", "3"), 0), COUNTIF($D$21:$E$21, Q$2)&gt;0, VLOOKUP($J216,'Gear Values'!$A$2:$E$13, IF(COUNTBLANK('Attributes &amp; Prefixes'!$B$21:$C$21)&gt;0, "4", "5"), 0)), "")</f>
        <v/>
      </c>
      <c r="R216" s="137" cm="1">
        <f t="array" ref="R216">IF(COUNTIF($B$21:$E$21, R$2)&gt;0, _xlfn.IFS(COUNTIF($B$21:$C$21, R$2)&gt;0, VLOOKUP($J216,'Gear Values'!$A$2:$E$13, IF(COUNTBLANK('Attributes &amp; Prefixes'!$B$21:$C$21)&gt;0, "2", "3"), 0), COUNTIF($D$21:$E$21, R$2)&gt;0, VLOOKUP($J216,'Gear Values'!$A$2:$E$13, IF(COUNTBLANK('Attributes &amp; Prefixes'!$B$21:$C$21)&gt;0, "4", "5"), 0)), "")</f>
        <v>77</v>
      </c>
      <c r="S216" s="138" t="str" cm="1">
        <f t="array" ref="S216">IF(COUNTIF($B$21:$E$21, S$2)&gt;0, _xlfn.IFS(COUNTIF($B$21:$C$21, S$2)&gt;0, VLOOKUP($J216,'Gear Values'!$A$2:$E$13, IF(COUNTBLANK('Attributes &amp; Prefixes'!$B$21:$C$21)&gt;0, "2", "3"), 0), COUNTIF($D$21:$E$21, S$2)&gt;0, VLOOKUP($J216,'Gear Values'!$A$2:$E$13, IF(COUNTBLANK('Attributes &amp; Prefixes'!$B$21:$C$21)&gt;0, "4", "5"), 0)), "")</f>
        <v/>
      </c>
      <c r="V216" s="112"/>
      <c r="W216" s="113"/>
    </row>
    <row r="217" spans="6:23">
      <c r="F217" s="114"/>
      <c r="G217" s="114"/>
      <c r="H217" s="130" t="str">
        <f>_xlfn.CONCAT(A$70,J217)</f>
        <v>Maguuma LilyNeck</v>
      </c>
      <c r="I217" s="520"/>
      <c r="J217" s="144" t="s">
        <v>52</v>
      </c>
      <c r="K217" s="136" cm="1">
        <f t="array" ref="K217">IF(COUNTIF($B$21:$E$21, K$2)&gt;0, _xlfn.IFS(COUNTIF($B$21:$C$21, K$2)&gt;0, VLOOKUP($J217,'Gear Values'!$A$2:$E$13, IF(COUNTBLANK('Attributes &amp; Prefixes'!$B$21:$C$21)&gt;0, "2", "3"), 0), COUNTIF($D$21:$E$21, K$2)&gt;0, VLOOKUP($J217,'Gear Values'!$A$2:$E$13, IF(COUNTBLANK('Attributes &amp; Prefixes'!$B$21:$C$21)&gt;0, "4", "5"), 0)), "")</f>
        <v>102</v>
      </c>
      <c r="L217" s="137" cm="1">
        <f t="array" ref="L217">IF(COUNTIF($B$21:$E$21, L$2)&gt;0, _xlfn.IFS(COUNTIF($B$21:$C$21, L$2)&gt;0, VLOOKUP($J217,'Gear Values'!$A$2:$E$13, IF(COUNTBLANK('Attributes &amp; Prefixes'!$B$21:$C$21)&gt;0, "2", "3"), 0), COUNTIF($D$21:$E$21, L$2)&gt;0, VLOOKUP($J217,'Gear Values'!$A$2:$E$13, IF(COUNTBLANK('Attributes &amp; Prefixes'!$B$21:$C$21)&gt;0, "4", "5"), 0)), "")</f>
        <v>56</v>
      </c>
      <c r="M217" s="137" t="str" cm="1">
        <f t="array" ref="M217">IF(COUNTIF($B$21:$E$21, M$2)&gt;0, _xlfn.IFS(COUNTIF($B$21:$C$21, M$2)&gt;0, VLOOKUP($J217,'Gear Values'!$A$2:$E$13, IF(COUNTBLANK('Attributes &amp; Prefixes'!$B$21:$C$21)&gt;0, "2", "3"), 0), COUNTIF($D$21:$E$21, M$2)&gt;0, VLOOKUP($J217,'Gear Values'!$A$2:$E$13, IF(COUNTBLANK('Attributes &amp; Prefixes'!$B$21:$C$21)&gt;0, "4", "5"), 0)), "")</f>
        <v/>
      </c>
      <c r="N217" s="137" cm="1">
        <f t="array" ref="N217">IF(COUNTIF($B$21:$E$21, N$2)&gt;0, _xlfn.IFS(COUNTIF($B$21:$C$21, N$2)&gt;0, VLOOKUP($J217,'Gear Values'!$A$2:$E$13, IF(COUNTBLANK('Attributes &amp; Prefixes'!$B$21:$C$21)&gt;0, "2", "3"), 0), COUNTIF($D$21:$E$21, N$2)&gt;0, VLOOKUP($J217,'Gear Values'!$A$2:$E$13, IF(COUNTBLANK('Attributes &amp; Prefixes'!$B$21:$C$21)&gt;0, "4", "5"), 0)), "")</f>
        <v>56</v>
      </c>
      <c r="O217" s="137" t="str" cm="1">
        <f t="array" ref="O217">IF(COUNTIF($B$21:$E$21, O$2)&gt;0, _xlfn.IFS(COUNTIF($B$21:$C$21, O$2)&gt;0, VLOOKUP($J217,'Gear Values'!$A$2:$E$13, IF(COUNTBLANK('Attributes &amp; Prefixes'!$B$21:$C$21)&gt;0, "2", "3"), 0), COUNTIF($D$21:$E$21, O$2)&gt;0, VLOOKUP($J217,'Gear Values'!$A$2:$E$13, IF(COUNTBLANK('Attributes &amp; Prefixes'!$B$21:$C$21)&gt;0, "4", "5"), 0)), "")</f>
        <v/>
      </c>
      <c r="P217" s="137" t="str" cm="1">
        <f t="array" ref="P217">IF(COUNTIF($B$21:$E$21, P$2)&gt;0, _xlfn.IFS(COUNTIF($B$21:$C$21, P$2)&gt;0, VLOOKUP($J217,'Gear Values'!$A$2:$E$13, IF(COUNTBLANK('Attributes &amp; Prefixes'!$B$21:$C$21)&gt;0, "2", "3"), 0), COUNTIF($D$21:$E$21, P$2)&gt;0, VLOOKUP($J217,'Gear Values'!$A$2:$E$13, IF(COUNTBLANK('Attributes &amp; Prefixes'!$B$21:$C$21)&gt;0, "4", "5"), 0)), "")</f>
        <v/>
      </c>
      <c r="Q217" s="137" t="str" cm="1">
        <f t="array" ref="Q217">IF(COUNTIF($B$21:$E$21, Q$2)&gt;0, _xlfn.IFS(COUNTIF($B$21:$C$21, Q$2)&gt;0, VLOOKUP($J217,'Gear Values'!$A$2:$E$13, IF(COUNTBLANK('Attributes &amp; Prefixes'!$B$21:$C$21)&gt;0, "2", "3"), 0), COUNTIF($D$21:$E$21, Q$2)&gt;0, VLOOKUP($J217,'Gear Values'!$A$2:$E$13, IF(COUNTBLANK('Attributes &amp; Prefixes'!$B$21:$C$21)&gt;0, "4", "5"), 0)), "")</f>
        <v/>
      </c>
      <c r="R217" s="137" cm="1">
        <f t="array" ref="R217">IF(COUNTIF($B$21:$E$21, R$2)&gt;0, _xlfn.IFS(COUNTIF($B$21:$C$21, R$2)&gt;0, VLOOKUP($J217,'Gear Values'!$A$2:$E$13, IF(COUNTBLANK('Attributes &amp; Prefixes'!$B$21:$C$21)&gt;0, "2", "3"), 0), COUNTIF($D$21:$E$21, R$2)&gt;0, VLOOKUP($J217,'Gear Values'!$A$2:$E$13, IF(COUNTBLANK('Attributes &amp; Prefixes'!$B$21:$C$21)&gt;0, "4", "5"), 0)), "")</f>
        <v>102</v>
      </c>
      <c r="S217" s="138" t="str" cm="1">
        <f t="array" ref="S217">IF(COUNTIF($B$21:$E$21, S$2)&gt;0, _xlfn.IFS(COUNTIF($B$21:$C$21, S$2)&gt;0, VLOOKUP($J217,'Gear Values'!$A$2:$E$13, IF(COUNTBLANK('Attributes &amp; Prefixes'!$B$21:$C$21)&gt;0, "2", "3"), 0), COUNTIF($D$21:$E$21, S$2)&gt;0, VLOOKUP($J217,'Gear Values'!$A$2:$E$13, IF(COUNTBLANK('Attributes &amp; Prefixes'!$B$21:$C$21)&gt;0, "4", "5"), 0)), "")</f>
        <v/>
      </c>
      <c r="V217" s="112"/>
      <c r="W217" s="113"/>
    </row>
    <row r="218" spans="6:23">
      <c r="F218" s="114"/>
      <c r="G218" s="114"/>
      <c r="H218" s="130" t="str">
        <f>_xlfn.CONCAT(I$207,J218)</f>
        <v>DragonBack</v>
      </c>
      <c r="I218" s="521"/>
      <c r="J218" s="146" t="s">
        <v>53</v>
      </c>
      <c r="K218" s="147" t="str" cm="1">
        <f t="array" ref="K218">IF(COUNTIF($B$21:$E$21, K$2)&gt;0, _xlfn.IFS(COUNTIF($B$21:$C$21, K$2)&gt;0, VLOOKUP($J218,'Gear Values'!$A$2:$E$13, IF(COUNTBLANK('Attributes &amp; Prefixes'!$B$21:$C$21)&gt;0, "2", "3"), 0), COUNTIF($D$21:$E$21, K$2)&gt;0, VLOOKUP($J218,'Gear Values'!$A$2:$E$13, IF(COUNTBLANK('Attributes &amp; Prefixes'!$B$21:$C$21)&gt;0, "4", "5"), 0)), "")</f>
        <v>N/A</v>
      </c>
      <c r="L218" s="148" t="str" cm="1">
        <f t="array" ref="L218">IF(COUNTIF($B$21:$E$21, L$2)&gt;0, _xlfn.IFS(COUNTIF($B$21:$C$21, L$2)&gt;0, VLOOKUP($J218,'Gear Values'!$A$2:$E$13, IF(COUNTBLANK('Attributes &amp; Prefixes'!$B$21:$C$21)&gt;0, "2", "3"), 0), COUNTIF($D$21:$E$21, L$2)&gt;0, VLOOKUP($J218,'Gear Values'!$A$2:$E$13, IF(COUNTBLANK('Attributes &amp; Prefixes'!$B$21:$C$21)&gt;0, "4", "5"), 0)), "")</f>
        <v>N/A</v>
      </c>
      <c r="M218" s="148" t="str" cm="1">
        <f t="array" ref="M218">IF(COUNTIF($B$21:$E$21, M$2)&gt;0, _xlfn.IFS(COUNTIF($B$21:$C$21, M$2)&gt;0, VLOOKUP($J218,'Gear Values'!$A$2:$E$13, IF(COUNTBLANK('Attributes &amp; Prefixes'!$B$21:$C$21)&gt;0, "2", "3"), 0), COUNTIF($D$21:$E$21, M$2)&gt;0, VLOOKUP($J218,'Gear Values'!$A$2:$E$13, IF(COUNTBLANK('Attributes &amp; Prefixes'!$B$21:$C$21)&gt;0, "4", "5"), 0)), "")</f>
        <v/>
      </c>
      <c r="N218" s="148" t="str" cm="1">
        <f t="array" ref="N218">IF(COUNTIF($B$21:$E$21, N$2)&gt;0, _xlfn.IFS(COUNTIF($B$21:$C$21, N$2)&gt;0, VLOOKUP($J218,'Gear Values'!$A$2:$E$13, IF(COUNTBLANK('Attributes &amp; Prefixes'!$B$21:$C$21)&gt;0, "2", "3"), 0), COUNTIF($D$21:$E$21, N$2)&gt;0, VLOOKUP($J218,'Gear Values'!$A$2:$E$13, IF(COUNTBLANK('Attributes &amp; Prefixes'!$B$21:$C$21)&gt;0, "4", "5"), 0)), "")</f>
        <v>N/A</v>
      </c>
      <c r="O218" s="148" t="str" cm="1">
        <f t="array" ref="O218">IF(COUNTIF($B$21:$E$21, O$2)&gt;0, _xlfn.IFS(COUNTIF($B$21:$C$21, O$2)&gt;0, VLOOKUP($J218,'Gear Values'!$A$2:$E$13, IF(COUNTBLANK('Attributes &amp; Prefixes'!$B$21:$C$21)&gt;0, "2", "3"), 0), COUNTIF($D$21:$E$21, O$2)&gt;0, VLOOKUP($J218,'Gear Values'!$A$2:$E$13, IF(COUNTBLANK('Attributes &amp; Prefixes'!$B$21:$C$21)&gt;0, "4", "5"), 0)), "")</f>
        <v/>
      </c>
      <c r="P218" s="148" t="str" cm="1">
        <f t="array" ref="P218">IF(COUNTIF($B$21:$E$21, P$2)&gt;0, _xlfn.IFS(COUNTIF($B$21:$C$21, P$2)&gt;0, VLOOKUP($J218,'Gear Values'!$A$2:$E$13, IF(COUNTBLANK('Attributes &amp; Prefixes'!$B$21:$C$21)&gt;0, "2", "3"), 0), COUNTIF($D$21:$E$21, P$2)&gt;0, VLOOKUP($J218,'Gear Values'!$A$2:$E$13, IF(COUNTBLANK('Attributes &amp; Prefixes'!$B$21:$C$21)&gt;0, "4", "5"), 0)), "")</f>
        <v/>
      </c>
      <c r="Q218" s="148" t="str" cm="1">
        <f t="array" ref="Q218">IF(COUNTIF($B$21:$E$21, Q$2)&gt;0, _xlfn.IFS(COUNTIF($B$21:$C$21, Q$2)&gt;0, VLOOKUP($J218,'Gear Values'!$A$2:$E$13, IF(COUNTBLANK('Attributes &amp; Prefixes'!$B$21:$C$21)&gt;0, "2", "3"), 0), COUNTIF($D$21:$E$21, Q$2)&gt;0, VLOOKUP($J218,'Gear Values'!$A$2:$E$13, IF(COUNTBLANK('Attributes &amp; Prefixes'!$B$21:$C$21)&gt;0, "4", "5"), 0)), "")</f>
        <v/>
      </c>
      <c r="R218" s="148" t="str" cm="1">
        <f t="array" ref="R218">IF(COUNTIF($B$21:$E$21, R$2)&gt;0, _xlfn.IFS(COUNTIF($B$21:$C$21, R$2)&gt;0, VLOOKUP($J218,'Gear Values'!$A$2:$E$13, IF(COUNTBLANK('Attributes &amp; Prefixes'!$B$21:$C$21)&gt;0, "2", "3"), 0), COUNTIF($D$21:$E$21, R$2)&gt;0, VLOOKUP($J218,'Gear Values'!$A$2:$E$13, IF(COUNTBLANK('Attributes &amp; Prefixes'!$B$21:$C$21)&gt;0, "4", "5"), 0)), "")</f>
        <v>N/A</v>
      </c>
      <c r="S218" s="150" t="str" cm="1">
        <f t="array" ref="S218">IF(COUNTIF($B$21:$E$21, S$2)&gt;0, _xlfn.IFS(COUNTIF($B$21:$C$21, S$2)&gt;0, VLOOKUP($J218,'Gear Values'!$A$2:$E$13, IF(COUNTBLANK('Attributes &amp; Prefixes'!$B$21:$C$21)&gt;0, "2", "3"), 0), COUNTIF($D$21:$E$21, S$2)&gt;0, VLOOKUP($J218,'Gear Values'!$A$2:$E$13, IF(COUNTBLANK('Attributes &amp; Prefixes'!$B$21:$C$21)&gt;0, "4", "5"), 0)), "")</f>
        <v/>
      </c>
      <c r="V218" s="112"/>
      <c r="W218" s="113"/>
    </row>
    <row r="219" spans="6:23">
      <c r="F219" s="114"/>
      <c r="G219" s="114"/>
      <c r="H219" s="130" t="str">
        <f>_xlfn.CONCAT(I$219,J219)</f>
        <v>ForsakenWeapon (1H)</v>
      </c>
      <c r="I219" s="519" t="str">
        <f>A22</f>
        <v>Forsaken</v>
      </c>
      <c r="J219" s="145" t="s">
        <v>37</v>
      </c>
      <c r="K219" s="133" cm="1">
        <f t="array" ref="K219">IF(COUNTIF($B$22:$E$22, K$2)&gt;0, _xlfn.IFS(COUNTIF($B$22:$C$22, K$2)&gt;0, VLOOKUP($J219,'Gear Values'!$A$2:$E$13, IF(COUNTBLANK('Attributes &amp; Prefixes'!$B$22:$C$22)&gt;0, "2", "3"), 0), COUNTIF($D$22:$E$22, K$2)&gt;0, VLOOKUP($J219,'Gear Values'!$A$2:$E$13, IF(COUNTBLANK('Attributes &amp; Prefixes'!$B$22:$C$22)&gt;0, "4", "5"), 0)), "")</f>
        <v>120</v>
      </c>
      <c r="L219" s="134" t="str" cm="1">
        <f t="array" ref="L219">IF(COUNTIF($B$22:$E$22, L$2)&gt;0, _xlfn.IFS(COUNTIF($B$22:$C$22, L$2)&gt;0, VLOOKUP($J219,'Gear Values'!$A$2:$E$13, IF(COUNTBLANK('Attributes &amp; Prefixes'!$B$22:$C$22)&gt;0, "2", "3"), 0), COUNTIF($D$22:$E$22, L$2)&gt;0, VLOOKUP($J219,'Gear Values'!$A$2:$E$13, IF(COUNTBLANK('Attributes &amp; Prefixes'!$B$22:$C$22)&gt;0, "4", "5"), 0)), "")</f>
        <v/>
      </c>
      <c r="M219" s="134" cm="1">
        <f t="array" ref="M219">IF(COUNTIF($B$22:$E$22, M$2)&gt;0, _xlfn.IFS(COUNTIF($B$22:$C$22, M$2)&gt;0, VLOOKUP($J219,'Gear Values'!$A$2:$E$13, IF(COUNTBLANK('Attributes &amp; Prefixes'!$B$22:$C$22)&gt;0, "2", "3"), 0), COUNTIF($D$22:$E$22, M$2)&gt;0, VLOOKUP($J219,'Gear Values'!$A$2:$E$13, IF(COUNTBLANK('Attributes &amp; Prefixes'!$B$22:$C$22)&gt;0, "4", "5"), 0)), "")</f>
        <v>85</v>
      </c>
      <c r="N219" s="134" t="str" cm="1">
        <f t="array" ref="N219">IF(COUNTIF($B$22:$E$22, N$2)&gt;0, _xlfn.IFS(COUNTIF($B$22:$C$22, N$2)&gt;0, VLOOKUP($J219,'Gear Values'!$A$2:$E$13, IF(COUNTBLANK('Attributes &amp; Prefixes'!$B$22:$C$22)&gt;0, "2", "3"), 0), COUNTIF($D$22:$E$22, N$2)&gt;0, VLOOKUP($J219,'Gear Values'!$A$2:$E$13, IF(COUNTBLANK('Attributes &amp; Prefixes'!$B$22:$C$22)&gt;0, "4", "5"), 0)), "")</f>
        <v/>
      </c>
      <c r="O219" s="134" t="str" cm="1">
        <f t="array" ref="O219">IF(COUNTIF($B$22:$E$22, O$2)&gt;0, _xlfn.IFS(COUNTIF($B$22:$C$22, O$2)&gt;0, VLOOKUP($J219,'Gear Values'!$A$2:$E$13, IF(COUNTBLANK('Attributes &amp; Prefixes'!$B$22:$C$22)&gt;0, "2", "3"), 0), COUNTIF($D$22:$E$22, O$2)&gt;0, VLOOKUP($J219,'Gear Values'!$A$2:$E$13, IF(COUNTBLANK('Attributes &amp; Prefixes'!$B$22:$C$22)&gt;0, "4", "5"), 0)), "")</f>
        <v/>
      </c>
      <c r="P219" s="134" t="str" cm="1">
        <f t="array" ref="P219">IF(COUNTIF($B$22:$E$22, P$2)&gt;0, _xlfn.IFS(COUNTIF($B$22:$C$22, P$2)&gt;0, VLOOKUP($J219,'Gear Values'!$A$2:$E$13, IF(COUNTBLANK('Attributes &amp; Prefixes'!$B$22:$C$22)&gt;0, "2", "3"), 0), COUNTIF($D$22:$E$22, P$2)&gt;0, VLOOKUP($J219,'Gear Values'!$A$2:$E$13, IF(COUNTBLANK('Attributes &amp; Prefixes'!$B$22:$C$22)&gt;0, "4", "5"), 0)), "")</f>
        <v/>
      </c>
      <c r="Q219" s="134" t="str" cm="1">
        <f t="array" ref="Q219">IF(COUNTIF($B$22:$E$22, Q$2)&gt;0, _xlfn.IFS(COUNTIF($B$22:$C$22, Q$2)&gt;0, VLOOKUP($J219,'Gear Values'!$A$2:$E$13, IF(COUNTBLANK('Attributes &amp; Prefixes'!$B$22:$C$22)&gt;0, "2", "3"), 0), COUNTIF($D$22:$E$22, Q$2)&gt;0, VLOOKUP($J219,'Gear Values'!$A$2:$E$13, IF(COUNTBLANK('Attributes &amp; Prefixes'!$B$22:$C$22)&gt;0, "4", "5"), 0)), "")</f>
        <v/>
      </c>
      <c r="R219" s="134" t="str" cm="1">
        <f t="array" ref="R219">IF(COUNTIF($B$22:$E$22, R$2)&gt;0, _xlfn.IFS(COUNTIF($B$22:$C$22, R$2)&gt;0, VLOOKUP($J219,'Gear Values'!$A$2:$E$13, IF(COUNTBLANK('Attributes &amp; Prefixes'!$B$22:$C$22)&gt;0, "2", "3"), 0), COUNTIF($D$22:$E$22, R$2)&gt;0, VLOOKUP($J219,'Gear Values'!$A$2:$E$13, IF(COUNTBLANK('Attributes &amp; Prefixes'!$B$22:$C$22)&gt;0, "4", "5"), 0)), "")</f>
        <v/>
      </c>
      <c r="S219" s="135" cm="1">
        <f t="array" ref="S219">IF(COUNTIF($B$22:$E$22, S$2)&gt;0, _xlfn.IFS(COUNTIF($B$22:$C$22, S$2)&gt;0, VLOOKUP($J219,'Gear Values'!$A$2:$E$13, IF(COUNTBLANK('Attributes &amp; Prefixes'!$B$22:$C$22)&gt;0, "2", "3"), 0), COUNTIF($D$22:$E$22, S$2)&gt;0, VLOOKUP($J219,'Gear Values'!$A$2:$E$13, IF(COUNTBLANK('Attributes &amp; Prefixes'!$B$22:$C$22)&gt;0, "4", "5"), 0)), "")</f>
        <v>85</v>
      </c>
      <c r="V219" s="112"/>
      <c r="W219" s="113"/>
    </row>
    <row r="220" spans="6:23">
      <c r="F220" s="114"/>
      <c r="G220" s="114"/>
      <c r="H220" s="130" t="str">
        <f>_xlfn.CONCAT(I$219,J220)</f>
        <v>ForsakenWeapon (2H)</v>
      </c>
      <c r="I220" s="520"/>
      <c r="J220" s="144" t="s">
        <v>39</v>
      </c>
      <c r="K220" s="136" cm="1">
        <f t="array" ref="K220">IF(COUNTIF($B$22:$E$22, K$2)&gt;0, _xlfn.IFS(COUNTIF($B$22:$C$22, K$2)&gt;0, VLOOKUP($J220,'Gear Values'!$A$2:$E$13, IF(COUNTBLANK('Attributes &amp; Prefixes'!$B$22:$C$22)&gt;0, "2", "3"), 0), COUNTIF($D$22:$E$22, K$2)&gt;0, VLOOKUP($J220,'Gear Values'!$A$2:$E$13, IF(COUNTBLANK('Attributes &amp; Prefixes'!$B$22:$C$22)&gt;0, "4", "5"), 0)), "")</f>
        <v>239</v>
      </c>
      <c r="L220" s="137" t="str" cm="1">
        <f t="array" ref="L220">IF(COUNTIF($B$22:$E$22, L$2)&gt;0, _xlfn.IFS(COUNTIF($B$22:$C$22, L$2)&gt;0, VLOOKUP($J220,'Gear Values'!$A$2:$E$13, IF(COUNTBLANK('Attributes &amp; Prefixes'!$B$22:$C$22)&gt;0, "2", "3"), 0), COUNTIF($D$22:$E$22, L$2)&gt;0, VLOOKUP($J220,'Gear Values'!$A$2:$E$13, IF(COUNTBLANK('Attributes &amp; Prefixes'!$B$22:$C$22)&gt;0, "4", "5"), 0)), "")</f>
        <v/>
      </c>
      <c r="M220" s="137" cm="1">
        <f t="array" ref="M220">IF(COUNTIF($B$22:$E$22, M$2)&gt;0, _xlfn.IFS(COUNTIF($B$22:$C$22, M$2)&gt;0, VLOOKUP($J220,'Gear Values'!$A$2:$E$13, IF(COUNTBLANK('Attributes &amp; Prefixes'!$B$22:$C$22)&gt;0, "2", "3"), 0), COUNTIF($D$22:$E$22, M$2)&gt;0, VLOOKUP($J220,'Gear Values'!$A$2:$E$13, IF(COUNTBLANK('Attributes &amp; Prefixes'!$B$22:$C$22)&gt;0, "4", "5"), 0)), "")</f>
        <v>171</v>
      </c>
      <c r="N220" s="137" t="str" cm="1">
        <f t="array" ref="N220">IF(COUNTIF($B$22:$E$22, N$2)&gt;0, _xlfn.IFS(COUNTIF($B$22:$C$22, N$2)&gt;0, VLOOKUP($J220,'Gear Values'!$A$2:$E$13, IF(COUNTBLANK('Attributes &amp; Prefixes'!$B$22:$C$22)&gt;0, "2", "3"), 0), COUNTIF($D$22:$E$22, N$2)&gt;0, VLOOKUP($J220,'Gear Values'!$A$2:$E$13, IF(COUNTBLANK('Attributes &amp; Prefixes'!$B$22:$C$22)&gt;0, "4", "5"), 0)), "")</f>
        <v/>
      </c>
      <c r="O220" s="137" t="str" cm="1">
        <f t="array" ref="O220">IF(COUNTIF($B$22:$E$22, O$2)&gt;0, _xlfn.IFS(COUNTIF($B$22:$C$22, O$2)&gt;0, VLOOKUP($J220,'Gear Values'!$A$2:$E$13, IF(COUNTBLANK('Attributes &amp; Prefixes'!$B$22:$C$22)&gt;0, "2", "3"), 0), COUNTIF($D$22:$E$22, O$2)&gt;0, VLOOKUP($J220,'Gear Values'!$A$2:$E$13, IF(COUNTBLANK('Attributes &amp; Prefixes'!$B$22:$C$22)&gt;0, "4", "5"), 0)), "")</f>
        <v/>
      </c>
      <c r="P220" s="137" t="str" cm="1">
        <f t="array" ref="P220">IF(COUNTIF($B$22:$E$22, P$2)&gt;0, _xlfn.IFS(COUNTIF($B$22:$C$22, P$2)&gt;0, VLOOKUP($J220,'Gear Values'!$A$2:$E$13, IF(COUNTBLANK('Attributes &amp; Prefixes'!$B$22:$C$22)&gt;0, "2", "3"), 0), COUNTIF($D$22:$E$22, P$2)&gt;0, VLOOKUP($J220,'Gear Values'!$A$2:$E$13, IF(COUNTBLANK('Attributes &amp; Prefixes'!$B$22:$C$22)&gt;0, "4", "5"), 0)), "")</f>
        <v/>
      </c>
      <c r="Q220" s="137" t="str" cm="1">
        <f t="array" ref="Q220">IF(COUNTIF($B$22:$E$22, Q$2)&gt;0, _xlfn.IFS(COUNTIF($B$22:$C$22, Q$2)&gt;0, VLOOKUP($J220,'Gear Values'!$A$2:$E$13, IF(COUNTBLANK('Attributes &amp; Prefixes'!$B$22:$C$22)&gt;0, "2", "3"), 0), COUNTIF($D$22:$E$22, Q$2)&gt;0, VLOOKUP($J220,'Gear Values'!$A$2:$E$13, IF(COUNTBLANK('Attributes &amp; Prefixes'!$B$22:$C$22)&gt;0, "4", "5"), 0)), "")</f>
        <v/>
      </c>
      <c r="R220" s="137" t="str" cm="1">
        <f t="array" ref="R220">IF(COUNTIF($B$22:$E$22, R$2)&gt;0, _xlfn.IFS(COUNTIF($B$22:$C$22, R$2)&gt;0, VLOOKUP($J220,'Gear Values'!$A$2:$E$13, IF(COUNTBLANK('Attributes &amp; Prefixes'!$B$22:$C$22)&gt;0, "2", "3"), 0), COUNTIF($D$22:$E$22, R$2)&gt;0, VLOOKUP($J220,'Gear Values'!$A$2:$E$13, IF(COUNTBLANK('Attributes &amp; Prefixes'!$B$22:$C$22)&gt;0, "4", "5"), 0)), "")</f>
        <v/>
      </c>
      <c r="S220" s="138" cm="1">
        <f t="array" ref="S220">IF(COUNTIF($B$22:$E$22, S$2)&gt;0, _xlfn.IFS(COUNTIF($B$22:$C$22, S$2)&gt;0, VLOOKUP($J220,'Gear Values'!$A$2:$E$13, IF(COUNTBLANK('Attributes &amp; Prefixes'!$B$22:$C$22)&gt;0, "2", "3"), 0), COUNTIF($D$22:$E$22, S$2)&gt;0, VLOOKUP($J220,'Gear Values'!$A$2:$E$13, IF(COUNTBLANK('Attributes &amp; Prefixes'!$B$22:$C$22)&gt;0, "4", "5"), 0)), "")</f>
        <v>171</v>
      </c>
      <c r="V220" s="112"/>
      <c r="W220" s="113"/>
    </row>
    <row r="221" spans="6:23">
      <c r="F221" s="114"/>
      <c r="G221" s="114"/>
      <c r="H221" s="130" t="str">
        <f>_xlfn.CONCAT(I$219,J221)</f>
        <v>ForsakenHead</v>
      </c>
      <c r="I221" s="520"/>
      <c r="J221" s="144" t="s">
        <v>40</v>
      </c>
      <c r="K221" s="136" cm="1">
        <f t="array" ref="K221">IF(COUNTIF($B$22:$E$22, K$2)&gt;0, _xlfn.IFS(COUNTIF($B$22:$C$22, K$2)&gt;0, VLOOKUP($J221,'Gear Values'!$A$2:$E$13, IF(COUNTBLANK('Attributes &amp; Prefixes'!$B$22:$C$22)&gt;0, "2", "3"), 0), COUNTIF($D$22:$E$22, K$2)&gt;0, VLOOKUP($J221,'Gear Values'!$A$2:$E$13, IF(COUNTBLANK('Attributes &amp; Prefixes'!$B$22:$C$22)&gt;0, "4", "5"), 0)), "")</f>
        <v>60</v>
      </c>
      <c r="L221" s="137" t="str" cm="1">
        <f t="array" ref="L221">IF(COUNTIF($B$22:$E$22, L$2)&gt;0, _xlfn.IFS(COUNTIF($B$22:$C$22, L$2)&gt;0, VLOOKUP($J221,'Gear Values'!$A$2:$E$13, IF(COUNTBLANK('Attributes &amp; Prefixes'!$B$22:$C$22)&gt;0, "2", "3"), 0), COUNTIF($D$22:$E$22, L$2)&gt;0, VLOOKUP($J221,'Gear Values'!$A$2:$E$13, IF(COUNTBLANK('Attributes &amp; Prefixes'!$B$22:$C$22)&gt;0, "4", "5"), 0)), "")</f>
        <v/>
      </c>
      <c r="M221" s="137" cm="1">
        <f t="array" ref="M221">IF(COUNTIF($B$22:$E$22, M$2)&gt;0, _xlfn.IFS(COUNTIF($B$22:$C$22, M$2)&gt;0, VLOOKUP($J221,'Gear Values'!$A$2:$E$13, IF(COUNTBLANK('Attributes &amp; Prefixes'!$B$22:$C$22)&gt;0, "2", "3"), 0), COUNTIF($D$22:$E$22, M$2)&gt;0, VLOOKUP($J221,'Gear Values'!$A$2:$E$13, IF(COUNTBLANK('Attributes &amp; Prefixes'!$B$22:$C$22)&gt;0, "4", "5"), 0)), "")</f>
        <v>43</v>
      </c>
      <c r="N221" s="137" t="str" cm="1">
        <f t="array" ref="N221">IF(COUNTIF($B$22:$E$22, N$2)&gt;0, _xlfn.IFS(COUNTIF($B$22:$C$22, N$2)&gt;0, VLOOKUP($J221,'Gear Values'!$A$2:$E$13, IF(COUNTBLANK('Attributes &amp; Prefixes'!$B$22:$C$22)&gt;0, "2", "3"), 0), COUNTIF($D$22:$E$22, N$2)&gt;0, VLOOKUP($J221,'Gear Values'!$A$2:$E$13, IF(COUNTBLANK('Attributes &amp; Prefixes'!$B$22:$C$22)&gt;0, "4", "5"), 0)), "")</f>
        <v/>
      </c>
      <c r="O221" s="137" t="str" cm="1">
        <f t="array" ref="O221">IF(COUNTIF($B$22:$E$22, O$2)&gt;0, _xlfn.IFS(COUNTIF($B$22:$C$22, O$2)&gt;0, VLOOKUP($J221,'Gear Values'!$A$2:$E$13, IF(COUNTBLANK('Attributes &amp; Prefixes'!$B$22:$C$22)&gt;0, "2", "3"), 0), COUNTIF($D$22:$E$22, O$2)&gt;0, VLOOKUP($J221,'Gear Values'!$A$2:$E$13, IF(COUNTBLANK('Attributes &amp; Prefixes'!$B$22:$C$22)&gt;0, "4", "5"), 0)), "")</f>
        <v/>
      </c>
      <c r="P221" s="137" t="str" cm="1">
        <f t="array" ref="P221">IF(COUNTIF($B$22:$E$22, P$2)&gt;0, _xlfn.IFS(COUNTIF($B$22:$C$22, P$2)&gt;0, VLOOKUP($J221,'Gear Values'!$A$2:$E$13, IF(COUNTBLANK('Attributes &amp; Prefixes'!$B$22:$C$22)&gt;0, "2", "3"), 0), COUNTIF($D$22:$E$22, P$2)&gt;0, VLOOKUP($J221,'Gear Values'!$A$2:$E$13, IF(COUNTBLANK('Attributes &amp; Prefixes'!$B$22:$C$22)&gt;0, "4", "5"), 0)), "")</f>
        <v/>
      </c>
      <c r="Q221" s="137" t="str" cm="1">
        <f t="array" ref="Q221">IF(COUNTIF($B$22:$E$22, Q$2)&gt;0, _xlfn.IFS(COUNTIF($B$22:$C$22, Q$2)&gt;0, VLOOKUP($J221,'Gear Values'!$A$2:$E$13, IF(COUNTBLANK('Attributes &amp; Prefixes'!$B$22:$C$22)&gt;0, "2", "3"), 0), COUNTIF($D$22:$E$22, Q$2)&gt;0, VLOOKUP($J221,'Gear Values'!$A$2:$E$13, IF(COUNTBLANK('Attributes &amp; Prefixes'!$B$22:$C$22)&gt;0, "4", "5"), 0)), "")</f>
        <v/>
      </c>
      <c r="R221" s="137" t="str" cm="1">
        <f t="array" ref="R221">IF(COUNTIF($B$22:$E$22, R$2)&gt;0, _xlfn.IFS(COUNTIF($B$22:$C$22, R$2)&gt;0, VLOOKUP($J221,'Gear Values'!$A$2:$E$13, IF(COUNTBLANK('Attributes &amp; Prefixes'!$B$22:$C$22)&gt;0, "2", "3"), 0), COUNTIF($D$22:$E$22, R$2)&gt;0, VLOOKUP($J221,'Gear Values'!$A$2:$E$13, IF(COUNTBLANK('Attributes &amp; Prefixes'!$B$22:$C$22)&gt;0, "4", "5"), 0)), "")</f>
        <v/>
      </c>
      <c r="S221" s="138" cm="1">
        <f t="array" ref="S221">IF(COUNTIF($B$22:$E$22, S$2)&gt;0, _xlfn.IFS(COUNTIF($B$22:$C$22, S$2)&gt;0, VLOOKUP($J221,'Gear Values'!$A$2:$E$13, IF(COUNTBLANK('Attributes &amp; Prefixes'!$B$22:$C$22)&gt;0, "2", "3"), 0), COUNTIF($D$22:$E$22, S$2)&gt;0, VLOOKUP($J221,'Gear Values'!$A$2:$E$13, IF(COUNTBLANK('Attributes &amp; Prefixes'!$B$22:$C$22)&gt;0, "4", "5"), 0)), "")</f>
        <v>43</v>
      </c>
      <c r="V221" s="112"/>
      <c r="W221" s="113"/>
    </row>
    <row r="222" spans="6:23">
      <c r="F222" s="114"/>
      <c r="G222" s="114"/>
      <c r="H222" s="130" t="str">
        <f>_xlfn.CONCAT(I$219,J222)</f>
        <v>ForsakenShoulders</v>
      </c>
      <c r="I222" s="520"/>
      <c r="J222" s="144" t="s">
        <v>42</v>
      </c>
      <c r="K222" s="136" cm="1">
        <f t="array" ref="K222">IF(COUNTIF($B$22:$E$22, K$2)&gt;0, _xlfn.IFS(COUNTIF($B$22:$C$22, K$2)&gt;0, VLOOKUP($J222,'Gear Values'!$A$2:$E$13, IF(COUNTBLANK('Attributes &amp; Prefixes'!$B$22:$C$22)&gt;0, "2", "3"), 0), COUNTIF($D$22:$E$22, K$2)&gt;0, VLOOKUP($J222,'Gear Values'!$A$2:$E$13, IF(COUNTBLANK('Attributes &amp; Prefixes'!$B$22:$C$22)&gt;0, "4", "5"), 0)), "")</f>
        <v>45</v>
      </c>
      <c r="L222" s="137" t="str" cm="1">
        <f t="array" ref="L222">IF(COUNTIF($B$22:$E$22, L$2)&gt;0, _xlfn.IFS(COUNTIF($B$22:$C$22, L$2)&gt;0, VLOOKUP($J222,'Gear Values'!$A$2:$E$13, IF(COUNTBLANK('Attributes &amp; Prefixes'!$B$22:$C$22)&gt;0, "2", "3"), 0), COUNTIF($D$22:$E$22, L$2)&gt;0, VLOOKUP($J222,'Gear Values'!$A$2:$E$13, IF(COUNTBLANK('Attributes &amp; Prefixes'!$B$22:$C$22)&gt;0, "4", "5"), 0)), "")</f>
        <v/>
      </c>
      <c r="M222" s="137" cm="1">
        <f t="array" ref="M222">IF(COUNTIF($B$22:$E$22, M$2)&gt;0, _xlfn.IFS(COUNTIF($B$22:$C$22, M$2)&gt;0, VLOOKUP($J222,'Gear Values'!$A$2:$E$13, IF(COUNTBLANK('Attributes &amp; Prefixes'!$B$22:$C$22)&gt;0, "2", "3"), 0), COUNTIF($D$22:$E$22, M$2)&gt;0, VLOOKUP($J222,'Gear Values'!$A$2:$E$13, IF(COUNTBLANK('Attributes &amp; Prefixes'!$B$22:$C$22)&gt;0, "4", "5"), 0)), "")</f>
        <v>32</v>
      </c>
      <c r="N222" s="137" t="str" cm="1">
        <f t="array" ref="N222">IF(COUNTIF($B$22:$E$22, N$2)&gt;0, _xlfn.IFS(COUNTIF($B$22:$C$22, N$2)&gt;0, VLOOKUP($J222,'Gear Values'!$A$2:$E$13, IF(COUNTBLANK('Attributes &amp; Prefixes'!$B$22:$C$22)&gt;0, "2", "3"), 0), COUNTIF($D$22:$E$22, N$2)&gt;0, VLOOKUP($J222,'Gear Values'!$A$2:$E$13, IF(COUNTBLANK('Attributes &amp; Prefixes'!$B$22:$C$22)&gt;0, "4", "5"), 0)), "")</f>
        <v/>
      </c>
      <c r="O222" s="137" t="str" cm="1">
        <f t="array" ref="O222">IF(COUNTIF($B$22:$E$22, O$2)&gt;0, _xlfn.IFS(COUNTIF($B$22:$C$22, O$2)&gt;0, VLOOKUP($J222,'Gear Values'!$A$2:$E$13, IF(COUNTBLANK('Attributes &amp; Prefixes'!$B$22:$C$22)&gt;0, "2", "3"), 0), COUNTIF($D$22:$E$22, O$2)&gt;0, VLOOKUP($J222,'Gear Values'!$A$2:$E$13, IF(COUNTBLANK('Attributes &amp; Prefixes'!$B$22:$C$22)&gt;0, "4", "5"), 0)), "")</f>
        <v/>
      </c>
      <c r="P222" s="137" t="str" cm="1">
        <f t="array" ref="P222">IF(COUNTIF($B$22:$E$22, P$2)&gt;0, _xlfn.IFS(COUNTIF($B$22:$C$22, P$2)&gt;0, VLOOKUP($J222,'Gear Values'!$A$2:$E$13, IF(COUNTBLANK('Attributes &amp; Prefixes'!$B$22:$C$22)&gt;0, "2", "3"), 0), COUNTIF($D$22:$E$22, P$2)&gt;0, VLOOKUP($J222,'Gear Values'!$A$2:$E$13, IF(COUNTBLANK('Attributes &amp; Prefixes'!$B$22:$C$22)&gt;0, "4", "5"), 0)), "")</f>
        <v/>
      </c>
      <c r="Q222" s="137" t="str" cm="1">
        <f t="array" ref="Q222">IF(COUNTIF($B$22:$E$22, Q$2)&gt;0, _xlfn.IFS(COUNTIF($B$22:$C$22, Q$2)&gt;0, VLOOKUP($J222,'Gear Values'!$A$2:$E$13, IF(COUNTBLANK('Attributes &amp; Prefixes'!$B$22:$C$22)&gt;0, "2", "3"), 0), COUNTIF($D$22:$E$22, Q$2)&gt;0, VLOOKUP($J222,'Gear Values'!$A$2:$E$13, IF(COUNTBLANK('Attributes &amp; Prefixes'!$B$22:$C$22)&gt;0, "4", "5"), 0)), "")</f>
        <v/>
      </c>
      <c r="R222" s="137" t="str" cm="1">
        <f t="array" ref="R222">IF(COUNTIF($B$22:$E$22, R$2)&gt;0, _xlfn.IFS(COUNTIF($B$22:$C$22, R$2)&gt;0, VLOOKUP($J222,'Gear Values'!$A$2:$E$13, IF(COUNTBLANK('Attributes &amp; Prefixes'!$B$22:$C$22)&gt;0, "2", "3"), 0), COUNTIF($D$22:$E$22, R$2)&gt;0, VLOOKUP($J222,'Gear Values'!$A$2:$E$13, IF(COUNTBLANK('Attributes &amp; Prefixes'!$B$22:$C$22)&gt;0, "4", "5"), 0)), "")</f>
        <v/>
      </c>
      <c r="S222" s="138" cm="1">
        <f t="array" ref="S222">IF(COUNTIF($B$22:$E$22, S$2)&gt;0, _xlfn.IFS(COUNTIF($B$22:$C$22, S$2)&gt;0, VLOOKUP($J222,'Gear Values'!$A$2:$E$13, IF(COUNTBLANK('Attributes &amp; Prefixes'!$B$22:$C$22)&gt;0, "2", "3"), 0), COUNTIF($D$22:$E$22, S$2)&gt;0, VLOOKUP($J222,'Gear Values'!$A$2:$E$13, IF(COUNTBLANK('Attributes &amp; Prefixes'!$B$22:$C$22)&gt;0, "4", "5"), 0)), "")</f>
        <v>32</v>
      </c>
      <c r="V222" s="112"/>
      <c r="W222" s="113"/>
    </row>
    <row r="223" spans="6:23">
      <c r="F223" s="114"/>
      <c r="G223" s="114"/>
      <c r="H223" s="130" t="str">
        <f>_xlfn.CONCAT(I$219,J223)</f>
        <v>ForsakenChest</v>
      </c>
      <c r="I223" s="520"/>
      <c r="J223" s="144" t="s">
        <v>44</v>
      </c>
      <c r="K223" s="136" cm="1">
        <f t="array" ref="K223">IF(COUNTIF($B$22:$E$22, K$2)&gt;0, _xlfn.IFS(COUNTIF($B$22:$C$22, K$2)&gt;0, VLOOKUP($J223,'Gear Values'!$A$2:$E$13, IF(COUNTBLANK('Attributes &amp; Prefixes'!$B$22:$C$22)&gt;0, "2", "3"), 0), COUNTIF($D$22:$E$22, K$2)&gt;0, VLOOKUP($J223,'Gear Values'!$A$2:$E$13, IF(COUNTBLANK('Attributes &amp; Prefixes'!$B$22:$C$22)&gt;0, "4", "5"), 0)), "")</f>
        <v>134</v>
      </c>
      <c r="L223" s="137" t="str" cm="1">
        <f t="array" ref="L223">IF(COUNTIF($B$22:$E$22, L$2)&gt;0, _xlfn.IFS(COUNTIF($B$22:$C$22, L$2)&gt;0, VLOOKUP($J223,'Gear Values'!$A$2:$E$13, IF(COUNTBLANK('Attributes &amp; Prefixes'!$B$22:$C$22)&gt;0, "2", "3"), 0), COUNTIF($D$22:$E$22, L$2)&gt;0, VLOOKUP($J223,'Gear Values'!$A$2:$E$13, IF(COUNTBLANK('Attributes &amp; Prefixes'!$B$22:$C$22)&gt;0, "4", "5"), 0)), "")</f>
        <v/>
      </c>
      <c r="M223" s="137" cm="1">
        <f t="array" ref="M223">IF(COUNTIF($B$22:$E$22, M$2)&gt;0, _xlfn.IFS(COUNTIF($B$22:$C$22, M$2)&gt;0, VLOOKUP($J223,'Gear Values'!$A$2:$E$13, IF(COUNTBLANK('Attributes &amp; Prefixes'!$B$22:$C$22)&gt;0, "2", "3"), 0), COUNTIF($D$22:$E$22, M$2)&gt;0, VLOOKUP($J223,'Gear Values'!$A$2:$E$13, IF(COUNTBLANK('Attributes &amp; Prefixes'!$B$22:$C$22)&gt;0, "4", "5"), 0)), "")</f>
        <v>96</v>
      </c>
      <c r="N223" s="137" t="str" cm="1">
        <f t="array" ref="N223">IF(COUNTIF($B$22:$E$22, N$2)&gt;0, _xlfn.IFS(COUNTIF($B$22:$C$22, N$2)&gt;0, VLOOKUP($J223,'Gear Values'!$A$2:$E$13, IF(COUNTBLANK('Attributes &amp; Prefixes'!$B$22:$C$22)&gt;0, "2", "3"), 0), COUNTIF($D$22:$E$22, N$2)&gt;0, VLOOKUP($J223,'Gear Values'!$A$2:$E$13, IF(COUNTBLANK('Attributes &amp; Prefixes'!$B$22:$C$22)&gt;0, "4", "5"), 0)), "")</f>
        <v/>
      </c>
      <c r="O223" s="137" t="str" cm="1">
        <f t="array" ref="O223">IF(COUNTIF($B$22:$E$22, O$2)&gt;0, _xlfn.IFS(COUNTIF($B$22:$C$22, O$2)&gt;0, VLOOKUP($J223,'Gear Values'!$A$2:$E$13, IF(COUNTBLANK('Attributes &amp; Prefixes'!$B$22:$C$22)&gt;0, "2", "3"), 0), COUNTIF($D$22:$E$22, O$2)&gt;0, VLOOKUP($J223,'Gear Values'!$A$2:$E$13, IF(COUNTBLANK('Attributes &amp; Prefixes'!$B$22:$C$22)&gt;0, "4", "5"), 0)), "")</f>
        <v/>
      </c>
      <c r="P223" s="137" t="str" cm="1">
        <f t="array" ref="P223">IF(COUNTIF($B$22:$E$22, P$2)&gt;0, _xlfn.IFS(COUNTIF($B$22:$C$22, P$2)&gt;0, VLOOKUP($J223,'Gear Values'!$A$2:$E$13, IF(COUNTBLANK('Attributes &amp; Prefixes'!$B$22:$C$22)&gt;0, "2", "3"), 0), COUNTIF($D$22:$E$22, P$2)&gt;0, VLOOKUP($J223,'Gear Values'!$A$2:$E$13, IF(COUNTBLANK('Attributes &amp; Prefixes'!$B$22:$C$22)&gt;0, "4", "5"), 0)), "")</f>
        <v/>
      </c>
      <c r="Q223" s="137" t="str" cm="1">
        <f t="array" ref="Q223">IF(COUNTIF($B$22:$E$22, Q$2)&gt;0, _xlfn.IFS(COUNTIF($B$22:$C$22, Q$2)&gt;0, VLOOKUP($J223,'Gear Values'!$A$2:$E$13, IF(COUNTBLANK('Attributes &amp; Prefixes'!$B$22:$C$22)&gt;0, "2", "3"), 0), COUNTIF($D$22:$E$22, Q$2)&gt;0, VLOOKUP($J223,'Gear Values'!$A$2:$E$13, IF(COUNTBLANK('Attributes &amp; Prefixes'!$B$22:$C$22)&gt;0, "4", "5"), 0)), "")</f>
        <v/>
      </c>
      <c r="R223" s="137" t="str" cm="1">
        <f t="array" ref="R223">IF(COUNTIF($B$22:$E$22, R$2)&gt;0, _xlfn.IFS(COUNTIF($B$22:$C$22, R$2)&gt;0, VLOOKUP($J223,'Gear Values'!$A$2:$E$13, IF(COUNTBLANK('Attributes &amp; Prefixes'!$B$22:$C$22)&gt;0, "2", "3"), 0), COUNTIF($D$22:$E$22, R$2)&gt;0, VLOOKUP($J223,'Gear Values'!$A$2:$E$13, IF(COUNTBLANK('Attributes &amp; Prefixes'!$B$22:$C$22)&gt;0, "4", "5"), 0)), "")</f>
        <v/>
      </c>
      <c r="S223" s="138" cm="1">
        <f t="array" ref="S223">IF(COUNTIF($B$22:$E$22, S$2)&gt;0, _xlfn.IFS(COUNTIF($B$22:$C$22, S$2)&gt;0, VLOOKUP($J223,'Gear Values'!$A$2:$E$13, IF(COUNTBLANK('Attributes &amp; Prefixes'!$B$22:$C$22)&gt;0, "2", "3"), 0), COUNTIF($D$22:$E$22, S$2)&gt;0, VLOOKUP($J223,'Gear Values'!$A$2:$E$13, IF(COUNTBLANK('Attributes &amp; Prefixes'!$B$22:$C$22)&gt;0, "4", "5"), 0)), "")</f>
        <v>96</v>
      </c>
      <c r="V223" s="112"/>
      <c r="W223" s="113"/>
    </row>
    <row r="224" spans="6:23">
      <c r="F224" s="114"/>
      <c r="G224" s="114"/>
      <c r="H224" s="130" t="str">
        <f>_xlfn.CONCAT(I$219,J224)</f>
        <v>ForsakenHands</v>
      </c>
      <c r="I224" s="520"/>
      <c r="J224" s="144" t="s">
        <v>45</v>
      </c>
      <c r="K224" s="136" cm="1">
        <f t="array" ref="K224">IF(COUNTIF($B$22:$E$22, K$2)&gt;0, _xlfn.IFS(COUNTIF($B$22:$C$22, K$2)&gt;0, VLOOKUP($J224,'Gear Values'!$A$2:$E$13, IF(COUNTBLANK('Attributes &amp; Prefixes'!$B$22:$C$22)&gt;0, "2", "3"), 0), COUNTIF($D$22:$E$22, K$2)&gt;0, VLOOKUP($J224,'Gear Values'!$A$2:$E$13, IF(COUNTBLANK('Attributes &amp; Prefixes'!$B$22:$C$22)&gt;0, "4", "5"), 0)), "")</f>
        <v>45</v>
      </c>
      <c r="L224" s="137" t="str" cm="1">
        <f t="array" ref="L224">IF(COUNTIF($B$22:$E$22, L$2)&gt;0, _xlfn.IFS(COUNTIF($B$22:$C$22, L$2)&gt;0, VLOOKUP($J224,'Gear Values'!$A$2:$E$13, IF(COUNTBLANK('Attributes &amp; Prefixes'!$B$22:$C$22)&gt;0, "2", "3"), 0), COUNTIF($D$22:$E$22, L$2)&gt;0, VLOOKUP($J224,'Gear Values'!$A$2:$E$13, IF(COUNTBLANK('Attributes &amp; Prefixes'!$B$22:$C$22)&gt;0, "4", "5"), 0)), "")</f>
        <v/>
      </c>
      <c r="M224" s="137" cm="1">
        <f t="array" ref="M224">IF(COUNTIF($B$22:$E$22, M$2)&gt;0, _xlfn.IFS(COUNTIF($B$22:$C$22, M$2)&gt;0, VLOOKUP($J224,'Gear Values'!$A$2:$E$13, IF(COUNTBLANK('Attributes &amp; Prefixes'!$B$22:$C$22)&gt;0, "2", "3"), 0), COUNTIF($D$22:$E$22, M$2)&gt;0, VLOOKUP($J224,'Gear Values'!$A$2:$E$13, IF(COUNTBLANK('Attributes &amp; Prefixes'!$B$22:$C$22)&gt;0, "4", "5"), 0)), "")</f>
        <v>32</v>
      </c>
      <c r="N224" s="137" t="str" cm="1">
        <f t="array" ref="N224">IF(COUNTIF($B$22:$E$22, N$2)&gt;0, _xlfn.IFS(COUNTIF($B$22:$C$22, N$2)&gt;0, VLOOKUP($J224,'Gear Values'!$A$2:$E$13, IF(COUNTBLANK('Attributes &amp; Prefixes'!$B$22:$C$22)&gt;0, "2", "3"), 0), COUNTIF($D$22:$E$22, N$2)&gt;0, VLOOKUP($J224,'Gear Values'!$A$2:$E$13, IF(COUNTBLANK('Attributes &amp; Prefixes'!$B$22:$C$22)&gt;0, "4", "5"), 0)), "")</f>
        <v/>
      </c>
      <c r="O224" s="137" t="str" cm="1">
        <f t="array" ref="O224">IF(COUNTIF($B$22:$E$22, O$2)&gt;0, _xlfn.IFS(COUNTIF($B$22:$C$22, O$2)&gt;0, VLOOKUP($J224,'Gear Values'!$A$2:$E$13, IF(COUNTBLANK('Attributes &amp; Prefixes'!$B$22:$C$22)&gt;0, "2", "3"), 0), COUNTIF($D$22:$E$22, O$2)&gt;0, VLOOKUP($J224,'Gear Values'!$A$2:$E$13, IF(COUNTBLANK('Attributes &amp; Prefixes'!$B$22:$C$22)&gt;0, "4", "5"), 0)), "")</f>
        <v/>
      </c>
      <c r="P224" s="137" t="str" cm="1">
        <f t="array" ref="P224">IF(COUNTIF($B$22:$E$22, P$2)&gt;0, _xlfn.IFS(COUNTIF($B$22:$C$22, P$2)&gt;0, VLOOKUP($J224,'Gear Values'!$A$2:$E$13, IF(COUNTBLANK('Attributes &amp; Prefixes'!$B$22:$C$22)&gt;0, "2", "3"), 0), COUNTIF($D$22:$E$22, P$2)&gt;0, VLOOKUP($J224,'Gear Values'!$A$2:$E$13, IF(COUNTBLANK('Attributes &amp; Prefixes'!$B$22:$C$22)&gt;0, "4", "5"), 0)), "")</f>
        <v/>
      </c>
      <c r="Q224" s="137" t="str" cm="1">
        <f t="array" ref="Q224">IF(COUNTIF($B$22:$E$22, Q$2)&gt;0, _xlfn.IFS(COUNTIF($B$22:$C$22, Q$2)&gt;0, VLOOKUP($J224,'Gear Values'!$A$2:$E$13, IF(COUNTBLANK('Attributes &amp; Prefixes'!$B$22:$C$22)&gt;0, "2", "3"), 0), COUNTIF($D$22:$E$22, Q$2)&gt;0, VLOOKUP($J224,'Gear Values'!$A$2:$E$13, IF(COUNTBLANK('Attributes &amp; Prefixes'!$B$22:$C$22)&gt;0, "4", "5"), 0)), "")</f>
        <v/>
      </c>
      <c r="R224" s="137" t="str" cm="1">
        <f t="array" ref="R224">IF(COUNTIF($B$22:$E$22, R$2)&gt;0, _xlfn.IFS(COUNTIF($B$22:$C$22, R$2)&gt;0, VLOOKUP($J224,'Gear Values'!$A$2:$E$13, IF(COUNTBLANK('Attributes &amp; Prefixes'!$B$22:$C$22)&gt;0, "2", "3"), 0), COUNTIF($D$22:$E$22, R$2)&gt;0, VLOOKUP($J224,'Gear Values'!$A$2:$E$13, IF(COUNTBLANK('Attributes &amp; Prefixes'!$B$22:$C$22)&gt;0, "4", "5"), 0)), "")</f>
        <v/>
      </c>
      <c r="S224" s="138" cm="1">
        <f t="array" ref="S224">IF(COUNTIF($B$22:$E$22, S$2)&gt;0, _xlfn.IFS(COUNTIF($B$22:$C$22, S$2)&gt;0, VLOOKUP($J224,'Gear Values'!$A$2:$E$13, IF(COUNTBLANK('Attributes &amp; Prefixes'!$B$22:$C$22)&gt;0, "2", "3"), 0), COUNTIF($D$22:$E$22, S$2)&gt;0, VLOOKUP($J224,'Gear Values'!$A$2:$E$13, IF(COUNTBLANK('Attributes &amp; Prefixes'!$B$22:$C$22)&gt;0, "4", "5"), 0)), "")</f>
        <v>32</v>
      </c>
      <c r="V224" s="112"/>
      <c r="W224" s="113"/>
    </row>
    <row r="225" spans="6:23">
      <c r="F225" s="114"/>
      <c r="G225" s="114"/>
      <c r="H225" s="130" t="str">
        <f>_xlfn.CONCAT(I$219,J225)</f>
        <v>ForsakenLegs</v>
      </c>
      <c r="I225" s="520"/>
      <c r="J225" s="144" t="s">
        <v>47</v>
      </c>
      <c r="K225" s="136" cm="1">
        <f t="array" ref="K225">IF(COUNTIF($B$22:$E$22, K$2)&gt;0, _xlfn.IFS(COUNTIF($B$22:$C$22, K$2)&gt;0, VLOOKUP($J225,'Gear Values'!$A$2:$E$13, IF(COUNTBLANK('Attributes &amp; Prefixes'!$B$22:$C$22)&gt;0, "2", "3"), 0), COUNTIF($D$22:$E$22, K$2)&gt;0, VLOOKUP($J225,'Gear Values'!$A$2:$E$13, IF(COUNTBLANK('Attributes &amp; Prefixes'!$B$22:$C$22)&gt;0, "4", "5"), 0)), "")</f>
        <v>90</v>
      </c>
      <c r="L225" s="137" t="str" cm="1">
        <f t="array" ref="L225">IF(COUNTIF($B$22:$E$22, L$2)&gt;0, _xlfn.IFS(COUNTIF($B$22:$C$22, L$2)&gt;0, VLOOKUP($J225,'Gear Values'!$A$2:$E$13, IF(COUNTBLANK('Attributes &amp; Prefixes'!$B$22:$C$22)&gt;0, "2", "3"), 0), COUNTIF($D$22:$E$22, L$2)&gt;0, VLOOKUP($J225,'Gear Values'!$A$2:$E$13, IF(COUNTBLANK('Attributes &amp; Prefixes'!$B$22:$C$22)&gt;0, "4", "5"), 0)), "")</f>
        <v/>
      </c>
      <c r="M225" s="137" cm="1">
        <f t="array" ref="M225">IF(COUNTIF($B$22:$E$22, M$2)&gt;0, _xlfn.IFS(COUNTIF($B$22:$C$22, M$2)&gt;0, VLOOKUP($J225,'Gear Values'!$A$2:$E$13, IF(COUNTBLANK('Attributes &amp; Prefixes'!$B$22:$C$22)&gt;0, "2", "3"), 0), COUNTIF($D$22:$E$22, M$2)&gt;0, VLOOKUP($J225,'Gear Values'!$A$2:$E$13, IF(COUNTBLANK('Attributes &amp; Prefixes'!$B$22:$C$22)&gt;0, "4", "5"), 0)), "")</f>
        <v>64</v>
      </c>
      <c r="N225" s="137" t="str" cm="1">
        <f t="array" ref="N225">IF(COUNTIF($B$22:$E$22, N$2)&gt;0, _xlfn.IFS(COUNTIF($B$22:$C$22, N$2)&gt;0, VLOOKUP($J225,'Gear Values'!$A$2:$E$13, IF(COUNTBLANK('Attributes &amp; Prefixes'!$B$22:$C$22)&gt;0, "2", "3"), 0), COUNTIF($D$22:$E$22, N$2)&gt;0, VLOOKUP($J225,'Gear Values'!$A$2:$E$13, IF(COUNTBLANK('Attributes &amp; Prefixes'!$B$22:$C$22)&gt;0, "4", "5"), 0)), "")</f>
        <v/>
      </c>
      <c r="O225" s="137" t="str" cm="1">
        <f t="array" ref="O225">IF(COUNTIF($B$22:$E$22, O$2)&gt;0, _xlfn.IFS(COUNTIF($B$22:$C$22, O$2)&gt;0, VLOOKUP($J225,'Gear Values'!$A$2:$E$13, IF(COUNTBLANK('Attributes &amp; Prefixes'!$B$22:$C$22)&gt;0, "2", "3"), 0), COUNTIF($D$22:$E$22, O$2)&gt;0, VLOOKUP($J225,'Gear Values'!$A$2:$E$13, IF(COUNTBLANK('Attributes &amp; Prefixes'!$B$22:$C$22)&gt;0, "4", "5"), 0)), "")</f>
        <v/>
      </c>
      <c r="P225" s="137" t="str" cm="1">
        <f t="array" ref="P225">IF(COUNTIF($B$22:$E$22, P$2)&gt;0, _xlfn.IFS(COUNTIF($B$22:$C$22, P$2)&gt;0, VLOOKUP($J225,'Gear Values'!$A$2:$E$13, IF(COUNTBLANK('Attributes &amp; Prefixes'!$B$22:$C$22)&gt;0, "2", "3"), 0), COUNTIF($D$22:$E$22, P$2)&gt;0, VLOOKUP($J225,'Gear Values'!$A$2:$E$13, IF(COUNTBLANK('Attributes &amp; Prefixes'!$B$22:$C$22)&gt;0, "4", "5"), 0)), "")</f>
        <v/>
      </c>
      <c r="Q225" s="137" t="str" cm="1">
        <f t="array" ref="Q225">IF(COUNTIF($B$22:$E$22, Q$2)&gt;0, _xlfn.IFS(COUNTIF($B$22:$C$22, Q$2)&gt;0, VLOOKUP($J225,'Gear Values'!$A$2:$E$13, IF(COUNTBLANK('Attributes &amp; Prefixes'!$B$22:$C$22)&gt;0, "2", "3"), 0), COUNTIF($D$22:$E$22, Q$2)&gt;0, VLOOKUP($J225,'Gear Values'!$A$2:$E$13, IF(COUNTBLANK('Attributes &amp; Prefixes'!$B$22:$C$22)&gt;0, "4", "5"), 0)), "")</f>
        <v/>
      </c>
      <c r="R225" s="137" t="str" cm="1">
        <f t="array" ref="R225">IF(COUNTIF($B$22:$E$22, R$2)&gt;0, _xlfn.IFS(COUNTIF($B$22:$C$22, R$2)&gt;0, VLOOKUP($J225,'Gear Values'!$A$2:$E$13, IF(COUNTBLANK('Attributes &amp; Prefixes'!$B$22:$C$22)&gt;0, "2", "3"), 0), COUNTIF($D$22:$E$22, R$2)&gt;0, VLOOKUP($J225,'Gear Values'!$A$2:$E$13, IF(COUNTBLANK('Attributes &amp; Prefixes'!$B$22:$C$22)&gt;0, "4", "5"), 0)), "")</f>
        <v/>
      </c>
      <c r="S225" s="138" cm="1">
        <f t="array" ref="S225">IF(COUNTIF($B$22:$E$22, S$2)&gt;0, _xlfn.IFS(COUNTIF($B$22:$C$22, S$2)&gt;0, VLOOKUP($J225,'Gear Values'!$A$2:$E$13, IF(COUNTBLANK('Attributes &amp; Prefixes'!$B$22:$C$22)&gt;0, "2", "3"), 0), COUNTIF($D$22:$E$22, S$2)&gt;0, VLOOKUP($J225,'Gear Values'!$A$2:$E$13, IF(COUNTBLANK('Attributes &amp; Prefixes'!$B$22:$C$22)&gt;0, "4", "5"), 0)), "")</f>
        <v>64</v>
      </c>
      <c r="V225" s="112"/>
      <c r="W225" s="113"/>
    </row>
    <row r="226" spans="6:23">
      <c r="F226" s="114"/>
      <c r="G226" s="114"/>
      <c r="H226" s="130" t="str">
        <f>_xlfn.CONCAT(I$219,J226)</f>
        <v>ForsakenFeet</v>
      </c>
      <c r="I226" s="520"/>
      <c r="J226" s="144" t="s">
        <v>48</v>
      </c>
      <c r="K226" s="136" cm="1">
        <f t="array" ref="K226">IF(COUNTIF($B$22:$E$22, K$2)&gt;0, _xlfn.IFS(COUNTIF($B$22:$C$22, K$2)&gt;0, VLOOKUP($J226,'Gear Values'!$A$2:$E$13, IF(COUNTBLANK('Attributes &amp; Prefixes'!$B$22:$C$22)&gt;0, "2", "3"), 0), COUNTIF($D$22:$E$22, K$2)&gt;0, VLOOKUP($J226,'Gear Values'!$A$2:$E$13, IF(COUNTBLANK('Attributes &amp; Prefixes'!$B$22:$C$22)&gt;0, "4", "5"), 0)), "")</f>
        <v>45</v>
      </c>
      <c r="L226" s="137" t="str" cm="1">
        <f t="array" ref="L226">IF(COUNTIF($B$22:$E$22, L$2)&gt;0, _xlfn.IFS(COUNTIF($B$22:$C$22, L$2)&gt;0, VLOOKUP($J226,'Gear Values'!$A$2:$E$13, IF(COUNTBLANK('Attributes &amp; Prefixes'!$B$22:$C$22)&gt;0, "2", "3"), 0), COUNTIF($D$22:$E$22, L$2)&gt;0, VLOOKUP($J226,'Gear Values'!$A$2:$E$13, IF(COUNTBLANK('Attributes &amp; Prefixes'!$B$22:$C$22)&gt;0, "4", "5"), 0)), "")</f>
        <v/>
      </c>
      <c r="M226" s="137" cm="1">
        <f t="array" ref="M226">IF(COUNTIF($B$22:$E$22, M$2)&gt;0, _xlfn.IFS(COUNTIF($B$22:$C$22, M$2)&gt;0, VLOOKUP($J226,'Gear Values'!$A$2:$E$13, IF(COUNTBLANK('Attributes &amp; Prefixes'!$B$22:$C$22)&gt;0, "2", "3"), 0), COUNTIF($D$22:$E$22, M$2)&gt;0, VLOOKUP($J226,'Gear Values'!$A$2:$E$13, IF(COUNTBLANK('Attributes &amp; Prefixes'!$B$22:$C$22)&gt;0, "4", "5"), 0)), "")</f>
        <v>32</v>
      </c>
      <c r="N226" s="137" t="str" cm="1">
        <f t="array" ref="N226">IF(COUNTIF($B$22:$E$22, N$2)&gt;0, _xlfn.IFS(COUNTIF($B$22:$C$22, N$2)&gt;0, VLOOKUP($J226,'Gear Values'!$A$2:$E$13, IF(COUNTBLANK('Attributes &amp; Prefixes'!$B$22:$C$22)&gt;0, "2", "3"), 0), COUNTIF($D$22:$E$22, N$2)&gt;0, VLOOKUP($J226,'Gear Values'!$A$2:$E$13, IF(COUNTBLANK('Attributes &amp; Prefixes'!$B$22:$C$22)&gt;0, "4", "5"), 0)), "")</f>
        <v/>
      </c>
      <c r="O226" s="137" t="str" cm="1">
        <f t="array" ref="O226">IF(COUNTIF($B$22:$E$22, O$2)&gt;0, _xlfn.IFS(COUNTIF($B$22:$C$22, O$2)&gt;0, VLOOKUP($J226,'Gear Values'!$A$2:$E$13, IF(COUNTBLANK('Attributes &amp; Prefixes'!$B$22:$C$22)&gt;0, "2", "3"), 0), COUNTIF($D$22:$E$22, O$2)&gt;0, VLOOKUP($J226,'Gear Values'!$A$2:$E$13, IF(COUNTBLANK('Attributes &amp; Prefixes'!$B$22:$C$22)&gt;0, "4", "5"), 0)), "")</f>
        <v/>
      </c>
      <c r="P226" s="137" t="str" cm="1">
        <f t="array" ref="P226">IF(COUNTIF($B$22:$E$22, P$2)&gt;0, _xlfn.IFS(COUNTIF($B$22:$C$22, P$2)&gt;0, VLOOKUP($J226,'Gear Values'!$A$2:$E$13, IF(COUNTBLANK('Attributes &amp; Prefixes'!$B$22:$C$22)&gt;0, "2", "3"), 0), COUNTIF($D$22:$E$22, P$2)&gt;0, VLOOKUP($J226,'Gear Values'!$A$2:$E$13, IF(COUNTBLANK('Attributes &amp; Prefixes'!$B$22:$C$22)&gt;0, "4", "5"), 0)), "")</f>
        <v/>
      </c>
      <c r="Q226" s="137" t="str" cm="1">
        <f t="array" ref="Q226">IF(COUNTIF($B$22:$E$22, Q$2)&gt;0, _xlfn.IFS(COUNTIF($B$22:$C$22, Q$2)&gt;0, VLOOKUP($J226,'Gear Values'!$A$2:$E$13, IF(COUNTBLANK('Attributes &amp; Prefixes'!$B$22:$C$22)&gt;0, "2", "3"), 0), COUNTIF($D$22:$E$22, Q$2)&gt;0, VLOOKUP($J226,'Gear Values'!$A$2:$E$13, IF(COUNTBLANK('Attributes &amp; Prefixes'!$B$22:$C$22)&gt;0, "4", "5"), 0)), "")</f>
        <v/>
      </c>
      <c r="R226" s="137" t="str" cm="1">
        <f t="array" ref="R226">IF(COUNTIF($B$22:$E$22, R$2)&gt;0, _xlfn.IFS(COUNTIF($B$22:$C$22, R$2)&gt;0, VLOOKUP($J226,'Gear Values'!$A$2:$E$13, IF(COUNTBLANK('Attributes &amp; Prefixes'!$B$22:$C$22)&gt;0, "2", "3"), 0), COUNTIF($D$22:$E$22, R$2)&gt;0, VLOOKUP($J226,'Gear Values'!$A$2:$E$13, IF(COUNTBLANK('Attributes &amp; Prefixes'!$B$22:$C$22)&gt;0, "4", "5"), 0)), "")</f>
        <v/>
      </c>
      <c r="S226" s="138" cm="1">
        <f t="array" ref="S226">IF(COUNTIF($B$22:$E$22, S$2)&gt;0, _xlfn.IFS(COUNTIF($B$22:$C$22, S$2)&gt;0, VLOOKUP($J226,'Gear Values'!$A$2:$E$13, IF(COUNTBLANK('Attributes &amp; Prefixes'!$B$22:$C$22)&gt;0, "2", "3"), 0), COUNTIF($D$22:$E$22, S$2)&gt;0, VLOOKUP($J226,'Gear Values'!$A$2:$E$13, IF(COUNTBLANK('Attributes &amp; Prefixes'!$B$22:$C$22)&gt;0, "4", "5"), 0)), "")</f>
        <v>32</v>
      </c>
      <c r="V226" s="112"/>
      <c r="W226" s="113"/>
    </row>
    <row r="227" spans="6:23">
      <c r="F227" s="114"/>
      <c r="G227" s="114"/>
      <c r="H227" s="130" t="str">
        <f>_xlfn.CONCAT(I$219,J227)</f>
        <v>ForsakenEar</v>
      </c>
      <c r="I227" s="520"/>
      <c r="J227" s="144" t="s">
        <v>49</v>
      </c>
      <c r="K227" s="136" cm="1">
        <f t="array" ref="K227">IF(COUNTIF($B$22:$E$22, K$2)&gt;0, _xlfn.IFS(COUNTIF($B$22:$C$22, K$2)&gt;0, VLOOKUP($J227,'Gear Values'!$A$2:$E$13, IF(COUNTBLANK('Attributes &amp; Prefixes'!$B$22:$C$22)&gt;0, "2", "3"), 0), COUNTIF($D$22:$E$22, K$2)&gt;0, VLOOKUP($J227,'Gear Values'!$A$2:$E$13, IF(COUNTBLANK('Attributes &amp; Prefixes'!$B$22:$C$22)&gt;0, "4", "5"), 0)), "")</f>
        <v>75</v>
      </c>
      <c r="L227" s="137" t="str" cm="1">
        <f t="array" ref="L227">IF(COUNTIF($B$22:$E$22, L$2)&gt;0, _xlfn.IFS(COUNTIF($B$22:$C$22, L$2)&gt;0, VLOOKUP($J227,'Gear Values'!$A$2:$E$13, IF(COUNTBLANK('Attributes &amp; Prefixes'!$B$22:$C$22)&gt;0, "2", "3"), 0), COUNTIF($D$22:$E$22, L$2)&gt;0, VLOOKUP($J227,'Gear Values'!$A$2:$E$13, IF(COUNTBLANK('Attributes &amp; Prefixes'!$B$22:$C$22)&gt;0, "4", "5"), 0)), "")</f>
        <v/>
      </c>
      <c r="M227" s="137" cm="1">
        <f t="array" ref="M227">IF(COUNTIF($B$22:$E$22, M$2)&gt;0, _xlfn.IFS(COUNTIF($B$22:$C$22, M$2)&gt;0, VLOOKUP($J227,'Gear Values'!$A$2:$E$13, IF(COUNTBLANK('Attributes &amp; Prefixes'!$B$22:$C$22)&gt;0, "2", "3"), 0), COUNTIF($D$22:$E$22, M$2)&gt;0, VLOOKUP($J227,'Gear Values'!$A$2:$E$13, IF(COUNTBLANK('Attributes &amp; Prefixes'!$B$22:$C$22)&gt;0, "4", "5"), 0)), "")</f>
        <v>53</v>
      </c>
      <c r="N227" s="137" t="str" cm="1">
        <f t="array" ref="N227">IF(COUNTIF($B$22:$E$22, N$2)&gt;0, _xlfn.IFS(COUNTIF($B$22:$C$22, N$2)&gt;0, VLOOKUP($J227,'Gear Values'!$A$2:$E$13, IF(COUNTBLANK('Attributes &amp; Prefixes'!$B$22:$C$22)&gt;0, "2", "3"), 0), COUNTIF($D$22:$E$22, N$2)&gt;0, VLOOKUP($J227,'Gear Values'!$A$2:$E$13, IF(COUNTBLANK('Attributes &amp; Prefixes'!$B$22:$C$22)&gt;0, "4", "5"), 0)), "")</f>
        <v/>
      </c>
      <c r="O227" s="137" t="str" cm="1">
        <f t="array" ref="O227">IF(COUNTIF($B$22:$E$22, O$2)&gt;0, _xlfn.IFS(COUNTIF($B$22:$C$22, O$2)&gt;0, VLOOKUP($J227,'Gear Values'!$A$2:$E$13, IF(COUNTBLANK('Attributes &amp; Prefixes'!$B$22:$C$22)&gt;0, "2", "3"), 0), COUNTIF($D$22:$E$22, O$2)&gt;0, VLOOKUP($J227,'Gear Values'!$A$2:$E$13, IF(COUNTBLANK('Attributes &amp; Prefixes'!$B$22:$C$22)&gt;0, "4", "5"), 0)), "")</f>
        <v/>
      </c>
      <c r="P227" s="137" t="str" cm="1">
        <f t="array" ref="P227">IF(COUNTIF($B$22:$E$22, P$2)&gt;0, _xlfn.IFS(COUNTIF($B$22:$C$22, P$2)&gt;0, VLOOKUP($J227,'Gear Values'!$A$2:$E$13, IF(COUNTBLANK('Attributes &amp; Prefixes'!$B$22:$C$22)&gt;0, "2", "3"), 0), COUNTIF($D$22:$E$22, P$2)&gt;0, VLOOKUP($J227,'Gear Values'!$A$2:$E$13, IF(COUNTBLANK('Attributes &amp; Prefixes'!$B$22:$C$22)&gt;0, "4", "5"), 0)), "")</f>
        <v/>
      </c>
      <c r="Q227" s="137" t="str" cm="1">
        <f t="array" ref="Q227">IF(COUNTIF($B$22:$E$22, Q$2)&gt;0, _xlfn.IFS(COUNTIF($B$22:$C$22, Q$2)&gt;0, VLOOKUP($J227,'Gear Values'!$A$2:$E$13, IF(COUNTBLANK('Attributes &amp; Prefixes'!$B$22:$C$22)&gt;0, "2", "3"), 0), COUNTIF($D$22:$E$22, Q$2)&gt;0, VLOOKUP($J227,'Gear Values'!$A$2:$E$13, IF(COUNTBLANK('Attributes &amp; Prefixes'!$B$22:$C$22)&gt;0, "4", "5"), 0)), "")</f>
        <v/>
      </c>
      <c r="R227" s="137" t="str" cm="1">
        <f t="array" ref="R227">IF(COUNTIF($B$22:$E$22, R$2)&gt;0, _xlfn.IFS(COUNTIF($B$22:$C$22, R$2)&gt;0, VLOOKUP($J227,'Gear Values'!$A$2:$E$13, IF(COUNTBLANK('Attributes &amp; Prefixes'!$B$22:$C$22)&gt;0, "2", "3"), 0), COUNTIF($D$22:$E$22, R$2)&gt;0, VLOOKUP($J227,'Gear Values'!$A$2:$E$13, IF(COUNTBLANK('Attributes &amp; Prefixes'!$B$22:$C$22)&gt;0, "4", "5"), 0)), "")</f>
        <v/>
      </c>
      <c r="S227" s="138" cm="1">
        <f t="array" ref="S227">IF(COUNTIF($B$22:$E$22, S$2)&gt;0, _xlfn.IFS(COUNTIF($B$22:$C$22, S$2)&gt;0, VLOOKUP($J227,'Gear Values'!$A$2:$E$13, IF(COUNTBLANK('Attributes &amp; Prefixes'!$B$22:$C$22)&gt;0, "2", "3"), 0), COUNTIF($D$22:$E$22, S$2)&gt;0, VLOOKUP($J227,'Gear Values'!$A$2:$E$13, IF(COUNTBLANK('Attributes &amp; Prefixes'!$B$22:$C$22)&gt;0, "4", "5"), 0)), "")</f>
        <v>53</v>
      </c>
      <c r="V227" s="112"/>
      <c r="W227" s="113"/>
    </row>
    <row r="228" spans="6:23">
      <c r="F228" s="114"/>
      <c r="G228" s="114"/>
      <c r="H228" s="130" t="str">
        <f>_xlfn.CONCAT(I$219,J228)</f>
        <v>ForsakenFinger</v>
      </c>
      <c r="I228" s="520"/>
      <c r="J228" s="144" t="s">
        <v>51</v>
      </c>
      <c r="K228" s="136" cm="1">
        <f t="array" ref="K228">IF(COUNTIF($B$22:$E$22, K$2)&gt;0, _xlfn.IFS(COUNTIF($B$22:$C$22, K$2)&gt;0, VLOOKUP($J228,'Gear Values'!$A$2:$E$13, IF(COUNTBLANK('Attributes &amp; Prefixes'!$B$22:$C$22)&gt;0, "2", "3"), 0), COUNTIF($D$22:$E$22, K$2)&gt;0, VLOOKUP($J228,'Gear Values'!$A$2:$E$13, IF(COUNTBLANK('Attributes &amp; Prefixes'!$B$22:$C$22)&gt;0, "4", "5"), 0)), "")</f>
        <v>90</v>
      </c>
      <c r="L228" s="137" t="str" cm="1">
        <f t="array" ref="L228">IF(COUNTIF($B$22:$E$22, L$2)&gt;0, _xlfn.IFS(COUNTIF($B$22:$C$22, L$2)&gt;0, VLOOKUP($J228,'Gear Values'!$A$2:$E$13, IF(COUNTBLANK('Attributes &amp; Prefixes'!$B$22:$C$22)&gt;0, "2", "3"), 0), COUNTIF($D$22:$E$22, L$2)&gt;0, VLOOKUP($J228,'Gear Values'!$A$2:$E$13, IF(COUNTBLANK('Attributes &amp; Prefixes'!$B$22:$C$22)&gt;0, "4", "5"), 0)), "")</f>
        <v/>
      </c>
      <c r="M228" s="137" cm="1">
        <f t="array" ref="M228">IF(COUNTIF($B$22:$E$22, M$2)&gt;0, _xlfn.IFS(COUNTIF($B$22:$C$22, M$2)&gt;0, VLOOKUP($J228,'Gear Values'!$A$2:$E$13, IF(COUNTBLANK('Attributes &amp; Prefixes'!$B$22:$C$22)&gt;0, "2", "3"), 0), COUNTIF($D$22:$E$22, M$2)&gt;0, VLOOKUP($J228,'Gear Values'!$A$2:$E$13, IF(COUNTBLANK('Attributes &amp; Prefixes'!$B$22:$C$22)&gt;0, "4", "5"), 0)), "")</f>
        <v>64</v>
      </c>
      <c r="N228" s="137" t="str" cm="1">
        <f t="array" ref="N228">IF(COUNTIF($B$22:$E$22, N$2)&gt;0, _xlfn.IFS(COUNTIF($B$22:$C$22, N$2)&gt;0, VLOOKUP($J228,'Gear Values'!$A$2:$E$13, IF(COUNTBLANK('Attributes &amp; Prefixes'!$B$22:$C$22)&gt;0, "2", "3"), 0), COUNTIF($D$22:$E$22, N$2)&gt;0, VLOOKUP($J228,'Gear Values'!$A$2:$E$13, IF(COUNTBLANK('Attributes &amp; Prefixes'!$B$22:$C$22)&gt;0, "4", "5"), 0)), "")</f>
        <v/>
      </c>
      <c r="O228" s="137" t="str" cm="1">
        <f t="array" ref="O228">IF(COUNTIF($B$22:$E$22, O$2)&gt;0, _xlfn.IFS(COUNTIF($B$22:$C$22, O$2)&gt;0, VLOOKUP($J228,'Gear Values'!$A$2:$E$13, IF(COUNTBLANK('Attributes &amp; Prefixes'!$B$22:$C$22)&gt;0, "2", "3"), 0), COUNTIF($D$22:$E$22, O$2)&gt;0, VLOOKUP($J228,'Gear Values'!$A$2:$E$13, IF(COUNTBLANK('Attributes &amp; Prefixes'!$B$22:$C$22)&gt;0, "4", "5"), 0)), "")</f>
        <v/>
      </c>
      <c r="P228" s="137" t="str" cm="1">
        <f t="array" ref="P228">IF(COUNTIF($B$22:$E$22, P$2)&gt;0, _xlfn.IFS(COUNTIF($B$22:$C$22, P$2)&gt;0, VLOOKUP($J228,'Gear Values'!$A$2:$E$13, IF(COUNTBLANK('Attributes &amp; Prefixes'!$B$22:$C$22)&gt;0, "2", "3"), 0), COUNTIF($D$22:$E$22, P$2)&gt;0, VLOOKUP($J228,'Gear Values'!$A$2:$E$13, IF(COUNTBLANK('Attributes &amp; Prefixes'!$B$22:$C$22)&gt;0, "4", "5"), 0)), "")</f>
        <v/>
      </c>
      <c r="Q228" s="137" t="str" cm="1">
        <f t="array" ref="Q228">IF(COUNTIF($B$22:$E$22, Q$2)&gt;0, _xlfn.IFS(COUNTIF($B$22:$C$22, Q$2)&gt;0, VLOOKUP($J228,'Gear Values'!$A$2:$E$13, IF(COUNTBLANK('Attributes &amp; Prefixes'!$B$22:$C$22)&gt;0, "2", "3"), 0), COUNTIF($D$22:$E$22, Q$2)&gt;0, VLOOKUP($J228,'Gear Values'!$A$2:$E$13, IF(COUNTBLANK('Attributes &amp; Prefixes'!$B$22:$C$22)&gt;0, "4", "5"), 0)), "")</f>
        <v/>
      </c>
      <c r="R228" s="137" t="str" cm="1">
        <f t="array" ref="R228">IF(COUNTIF($B$22:$E$22, R$2)&gt;0, _xlfn.IFS(COUNTIF($B$22:$C$22, R$2)&gt;0, VLOOKUP($J228,'Gear Values'!$A$2:$E$13, IF(COUNTBLANK('Attributes &amp; Prefixes'!$B$22:$C$22)&gt;0, "2", "3"), 0), COUNTIF($D$22:$E$22, R$2)&gt;0, VLOOKUP($J228,'Gear Values'!$A$2:$E$13, IF(COUNTBLANK('Attributes &amp; Prefixes'!$B$22:$C$22)&gt;0, "4", "5"), 0)), "")</f>
        <v/>
      </c>
      <c r="S228" s="138" cm="1">
        <f t="array" ref="S228">IF(COUNTIF($B$22:$E$22, S$2)&gt;0, _xlfn.IFS(COUNTIF($B$22:$C$22, S$2)&gt;0, VLOOKUP($J228,'Gear Values'!$A$2:$E$13, IF(COUNTBLANK('Attributes &amp; Prefixes'!$B$22:$C$22)&gt;0, "2", "3"), 0), COUNTIF($D$22:$E$22, S$2)&gt;0, VLOOKUP($J228,'Gear Values'!$A$2:$E$13, IF(COUNTBLANK('Attributes &amp; Prefixes'!$B$22:$C$22)&gt;0, "4", "5"), 0)), "")</f>
        <v>64</v>
      </c>
      <c r="V228" s="112"/>
      <c r="W228" s="113"/>
    </row>
    <row r="229" spans="6:23">
      <c r="F229" s="114"/>
      <c r="G229" s="114"/>
      <c r="H229" s="130" t="str">
        <f>_xlfn.CONCAT(I$219,J229)</f>
        <v>ForsakenNeck</v>
      </c>
      <c r="I229" s="520"/>
      <c r="J229" s="144" t="s">
        <v>52</v>
      </c>
      <c r="K229" s="136" cm="1">
        <f t="array" ref="K229">IF(COUNTIF($B$22:$E$22, K$2)&gt;0, _xlfn.IFS(COUNTIF($B$22:$C$22, K$2)&gt;0, VLOOKUP($J229,'Gear Values'!$A$2:$E$13, IF(COUNTBLANK('Attributes &amp; Prefixes'!$B$22:$C$22)&gt;0, "2", "3"), 0), COUNTIF($D$22:$E$22, K$2)&gt;0, VLOOKUP($J229,'Gear Values'!$A$2:$E$13, IF(COUNTBLANK('Attributes &amp; Prefixes'!$B$22:$C$22)&gt;0, "4", "5"), 0)), "")</f>
        <v>120</v>
      </c>
      <c r="L229" s="137" t="str" cm="1">
        <f t="array" ref="L229">IF(COUNTIF($B$22:$E$22, L$2)&gt;0, _xlfn.IFS(COUNTIF($B$22:$C$22, L$2)&gt;0, VLOOKUP($J229,'Gear Values'!$A$2:$E$13, IF(COUNTBLANK('Attributes &amp; Prefixes'!$B$22:$C$22)&gt;0, "2", "3"), 0), COUNTIF($D$22:$E$22, L$2)&gt;0, VLOOKUP($J229,'Gear Values'!$A$2:$E$13, IF(COUNTBLANK('Attributes &amp; Prefixes'!$B$22:$C$22)&gt;0, "4", "5"), 0)), "")</f>
        <v/>
      </c>
      <c r="M229" s="137" cm="1">
        <f t="array" ref="M229">IF(COUNTIF($B$22:$E$22, M$2)&gt;0, _xlfn.IFS(COUNTIF($B$22:$C$22, M$2)&gt;0, VLOOKUP($J229,'Gear Values'!$A$2:$E$13, IF(COUNTBLANK('Attributes &amp; Prefixes'!$B$22:$C$22)&gt;0, "2", "3"), 0), COUNTIF($D$22:$E$22, M$2)&gt;0, VLOOKUP($J229,'Gear Values'!$A$2:$E$13, IF(COUNTBLANK('Attributes &amp; Prefixes'!$B$22:$C$22)&gt;0, "4", "5"), 0)), "")</f>
        <v>85</v>
      </c>
      <c r="N229" s="137" t="str" cm="1">
        <f t="array" ref="N229">IF(COUNTIF($B$22:$E$22, N$2)&gt;0, _xlfn.IFS(COUNTIF($B$22:$C$22, N$2)&gt;0, VLOOKUP($J229,'Gear Values'!$A$2:$E$13, IF(COUNTBLANK('Attributes &amp; Prefixes'!$B$22:$C$22)&gt;0, "2", "3"), 0), COUNTIF($D$22:$E$22, N$2)&gt;0, VLOOKUP($J229,'Gear Values'!$A$2:$E$13, IF(COUNTBLANK('Attributes &amp; Prefixes'!$B$22:$C$22)&gt;0, "4", "5"), 0)), "")</f>
        <v/>
      </c>
      <c r="O229" s="137" t="str" cm="1">
        <f t="array" ref="O229">IF(COUNTIF($B$22:$E$22, O$2)&gt;0, _xlfn.IFS(COUNTIF($B$22:$C$22, O$2)&gt;0, VLOOKUP($J229,'Gear Values'!$A$2:$E$13, IF(COUNTBLANK('Attributes &amp; Prefixes'!$B$22:$C$22)&gt;0, "2", "3"), 0), COUNTIF($D$22:$E$22, O$2)&gt;0, VLOOKUP($J229,'Gear Values'!$A$2:$E$13, IF(COUNTBLANK('Attributes &amp; Prefixes'!$B$22:$C$22)&gt;0, "4", "5"), 0)), "")</f>
        <v/>
      </c>
      <c r="P229" s="137" t="str" cm="1">
        <f t="array" ref="P229">IF(COUNTIF($B$22:$E$22, P$2)&gt;0, _xlfn.IFS(COUNTIF($B$22:$C$22, P$2)&gt;0, VLOOKUP($J229,'Gear Values'!$A$2:$E$13, IF(COUNTBLANK('Attributes &amp; Prefixes'!$B$22:$C$22)&gt;0, "2", "3"), 0), COUNTIF($D$22:$E$22, P$2)&gt;0, VLOOKUP($J229,'Gear Values'!$A$2:$E$13, IF(COUNTBLANK('Attributes &amp; Prefixes'!$B$22:$C$22)&gt;0, "4", "5"), 0)), "")</f>
        <v/>
      </c>
      <c r="Q229" s="137" t="str" cm="1">
        <f t="array" ref="Q229">IF(COUNTIF($B$22:$E$22, Q$2)&gt;0, _xlfn.IFS(COUNTIF($B$22:$C$22, Q$2)&gt;0, VLOOKUP($J229,'Gear Values'!$A$2:$E$13, IF(COUNTBLANK('Attributes &amp; Prefixes'!$B$22:$C$22)&gt;0, "2", "3"), 0), COUNTIF($D$22:$E$22, Q$2)&gt;0, VLOOKUP($J229,'Gear Values'!$A$2:$E$13, IF(COUNTBLANK('Attributes &amp; Prefixes'!$B$22:$C$22)&gt;0, "4", "5"), 0)), "")</f>
        <v/>
      </c>
      <c r="R229" s="137" t="str" cm="1">
        <f t="array" ref="R229">IF(COUNTIF($B$22:$E$22, R$2)&gt;0, _xlfn.IFS(COUNTIF($B$22:$C$22, R$2)&gt;0, VLOOKUP($J229,'Gear Values'!$A$2:$E$13, IF(COUNTBLANK('Attributes &amp; Prefixes'!$B$22:$C$22)&gt;0, "2", "3"), 0), COUNTIF($D$22:$E$22, R$2)&gt;0, VLOOKUP($J229,'Gear Values'!$A$2:$E$13, IF(COUNTBLANK('Attributes &amp; Prefixes'!$B$22:$C$22)&gt;0, "4", "5"), 0)), "")</f>
        <v/>
      </c>
      <c r="S229" s="138" cm="1">
        <f t="array" ref="S229">IF(COUNTIF($B$22:$E$22, S$2)&gt;0, _xlfn.IFS(COUNTIF($B$22:$C$22, S$2)&gt;0, VLOOKUP($J229,'Gear Values'!$A$2:$E$13, IF(COUNTBLANK('Attributes &amp; Prefixes'!$B$22:$C$22)&gt;0, "2", "3"), 0), COUNTIF($D$22:$E$22, S$2)&gt;0, VLOOKUP($J229,'Gear Values'!$A$2:$E$13, IF(COUNTBLANK('Attributes &amp; Prefixes'!$B$22:$C$22)&gt;0, "4", "5"), 0)), "")</f>
        <v>85</v>
      </c>
      <c r="V229" s="112"/>
      <c r="W229" s="113"/>
    </row>
    <row r="230" spans="6:23">
      <c r="H230" s="130" t="str">
        <f>_xlfn.CONCAT(I$219,J230)</f>
        <v>ForsakenBack</v>
      </c>
      <c r="I230" s="521"/>
      <c r="J230" s="146" t="s">
        <v>53</v>
      </c>
      <c r="K230" s="147" cm="1">
        <f t="array" ref="K230">IF(COUNTIF($B$22:$E$22, K$2)&gt;0, _xlfn.IFS(COUNTIF($B$22:$C$22, K$2)&gt;0, VLOOKUP($J230,'Gear Values'!$A$2:$E$13, IF(COUNTBLANK('Attributes &amp; Prefixes'!$B$22:$C$22)&gt;0, "2", "3"), 0), COUNTIF($D$22:$E$22, K$2)&gt;0, VLOOKUP($J230,'Gear Values'!$A$2:$E$13, IF(COUNTBLANK('Attributes &amp; Prefixes'!$B$22:$C$22)&gt;0, "4", "5"), 0)), "")</f>
        <v>32</v>
      </c>
      <c r="L230" s="148" t="str" cm="1">
        <f t="array" ref="L230">IF(COUNTIF($B$22:$E$22, L$2)&gt;0, _xlfn.IFS(COUNTIF($B$22:$C$22, L$2)&gt;0, VLOOKUP($J230,'Gear Values'!$A$2:$E$13, IF(COUNTBLANK('Attributes &amp; Prefixes'!$B$22:$C$22)&gt;0, "2", "3"), 0), COUNTIF($D$22:$E$22, L$2)&gt;0, VLOOKUP($J230,'Gear Values'!$A$2:$E$13, IF(COUNTBLANK('Attributes &amp; Prefixes'!$B$22:$C$22)&gt;0, "4", "5"), 0)), "")</f>
        <v/>
      </c>
      <c r="M230" s="148" cm="1">
        <f t="array" ref="M230">IF(COUNTIF($B$22:$E$22, M$2)&gt;0, _xlfn.IFS(COUNTIF($B$22:$C$22, M$2)&gt;0, VLOOKUP($J230,'Gear Values'!$A$2:$E$13, IF(COUNTBLANK('Attributes &amp; Prefixes'!$B$22:$C$22)&gt;0, "2", "3"), 0), COUNTIF($D$22:$E$22, M$2)&gt;0, VLOOKUP($J230,'Gear Values'!$A$2:$E$13, IF(COUNTBLANK('Attributes &amp; Prefixes'!$B$22:$C$22)&gt;0, "4", "5"), 0)), "")</f>
        <v>18</v>
      </c>
      <c r="N230" s="148" t="str" cm="1">
        <f t="array" ref="N230">IF(COUNTIF($B$22:$E$22, N$2)&gt;0, _xlfn.IFS(COUNTIF($B$22:$C$22, N$2)&gt;0, VLOOKUP($J230,'Gear Values'!$A$2:$E$13, IF(COUNTBLANK('Attributes &amp; Prefixes'!$B$22:$C$22)&gt;0, "2", "3"), 0), COUNTIF($D$22:$E$22, N$2)&gt;0, VLOOKUP($J230,'Gear Values'!$A$2:$E$13, IF(COUNTBLANK('Attributes &amp; Prefixes'!$B$22:$C$22)&gt;0, "4", "5"), 0)), "")</f>
        <v/>
      </c>
      <c r="O230" s="148" t="str" cm="1">
        <f t="array" ref="O230">IF(COUNTIF($B$22:$E$22, O$2)&gt;0, _xlfn.IFS(COUNTIF($B$22:$C$22, O$2)&gt;0, VLOOKUP($J230,'Gear Values'!$A$2:$E$13, IF(COUNTBLANK('Attributes &amp; Prefixes'!$B$22:$C$22)&gt;0, "2", "3"), 0), COUNTIF($D$22:$E$22, O$2)&gt;0, VLOOKUP($J230,'Gear Values'!$A$2:$E$13, IF(COUNTBLANK('Attributes &amp; Prefixes'!$B$22:$C$22)&gt;0, "4", "5"), 0)), "")</f>
        <v/>
      </c>
      <c r="P230" s="148" t="str" cm="1">
        <f t="array" ref="P230">IF(COUNTIF($B$22:$E$22, P$2)&gt;0, _xlfn.IFS(COUNTIF($B$22:$C$22, P$2)&gt;0, VLOOKUP($J230,'Gear Values'!$A$2:$E$13, IF(COUNTBLANK('Attributes &amp; Prefixes'!$B$22:$C$22)&gt;0, "2", "3"), 0), COUNTIF($D$22:$E$22, P$2)&gt;0, VLOOKUP($J230,'Gear Values'!$A$2:$E$13, IF(COUNTBLANK('Attributes &amp; Prefixes'!$B$22:$C$22)&gt;0, "4", "5"), 0)), "")</f>
        <v/>
      </c>
      <c r="Q230" s="148" t="str" cm="1">
        <f t="array" ref="Q230">IF(COUNTIF($B$22:$E$22, Q$2)&gt;0, _xlfn.IFS(COUNTIF($B$22:$C$22, Q$2)&gt;0, VLOOKUP($J230,'Gear Values'!$A$2:$E$13, IF(COUNTBLANK('Attributes &amp; Prefixes'!$B$22:$C$22)&gt;0, "2", "3"), 0), COUNTIF($D$22:$E$22, Q$2)&gt;0, VLOOKUP($J230,'Gear Values'!$A$2:$E$13, IF(COUNTBLANK('Attributes &amp; Prefixes'!$B$22:$C$22)&gt;0, "4", "5"), 0)), "")</f>
        <v/>
      </c>
      <c r="R230" s="148" t="str" cm="1">
        <f t="array" ref="R230">IF(COUNTIF($B$22:$E$22, R$2)&gt;0, _xlfn.IFS(COUNTIF($B$22:$C$22, R$2)&gt;0, VLOOKUP($J230,'Gear Values'!$A$2:$E$13, IF(COUNTBLANK('Attributes &amp; Prefixes'!$B$22:$C$22)&gt;0, "2", "3"), 0), COUNTIF($D$22:$E$22, R$2)&gt;0, VLOOKUP($J230,'Gear Values'!$A$2:$E$13, IF(COUNTBLANK('Attributes &amp; Prefixes'!$B$22:$C$22)&gt;0, "4", "5"), 0)), "")</f>
        <v/>
      </c>
      <c r="S230" s="150" cm="1">
        <f t="array" ref="S230">IF(COUNTIF($B$22:$E$22, S$2)&gt;0, _xlfn.IFS(COUNTIF($B$22:$C$22, S$2)&gt;0, VLOOKUP($J230,'Gear Values'!$A$2:$E$13, IF(COUNTBLANK('Attributes &amp; Prefixes'!$B$22:$C$22)&gt;0, "2", "3"), 0), COUNTIF($D$22:$E$22, S$2)&gt;0, VLOOKUP($J230,'Gear Values'!$A$2:$E$13, IF(COUNTBLANK('Attributes &amp; Prefixes'!$B$22:$C$22)&gt;0, "4", "5"), 0)), "")</f>
        <v>18</v>
      </c>
      <c r="V230" s="112"/>
      <c r="W230" s="113"/>
    </row>
    <row r="231" spans="6:23">
      <c r="H231" s="130" t="str">
        <f>_xlfn.CONCAT(I$231,J231)</f>
        <v>GiverWeapon (1H)</v>
      </c>
      <c r="I231" s="519" t="str">
        <f>A23</f>
        <v>Giver</v>
      </c>
      <c r="J231" s="145" t="s">
        <v>37</v>
      </c>
      <c r="K231" s="133" t="str" cm="1">
        <f t="array" ref="K231">IF(COUNTIF($B$23:$E$23, K$2)&gt;0, _xlfn.IFS(COUNTIF($B$23:$C$23, K$2)&gt;0, VLOOKUP($J231,'Gear Values'!$A$2:$E$13, IF(COUNTBLANK('Attributes &amp; Prefixes'!$B$23:$C$23)&gt;0, "2", "3"), 0), COUNTIF($D$23:$E$23, K$2)&gt;0, VLOOKUP($J231,'Gear Values'!$A$2:$E$13, IF(COUNTBLANK('Attributes &amp; Prefixes'!$B$23:$C$23)&gt;0, "4", "5"), 0)), "")</f>
        <v/>
      </c>
      <c r="L231" s="134" t="str" cm="1">
        <f t="array" ref="L231">IF(COUNTIF($B$23:$E$23, L$2)&gt;0, _xlfn.IFS(COUNTIF($B$23:$C$23, L$2)&gt;0, VLOOKUP($J231,'Gear Values'!$A$2:$E$13, IF(COUNTBLANK('Attributes &amp; Prefixes'!$B$23:$C$23)&gt;0, "2", "3"), 0), COUNTIF($D$23:$E$23, L$2)&gt;0, VLOOKUP($J231,'Gear Values'!$A$2:$E$13, IF(COUNTBLANK('Attributes &amp; Prefixes'!$B$23:$C$23)&gt;0, "4", "5"), 0)), "")</f>
        <v/>
      </c>
      <c r="M231" s="134" cm="1">
        <f t="array" ref="M231">IF(COUNTIF($B$23:$E$23, M$2)&gt;0, _xlfn.IFS(COUNTIF($B$23:$C$23, M$2)&gt;0, VLOOKUP($J231,'Gear Values'!$A$2:$E$13, IF(COUNTBLANK('Attributes &amp; Prefixes'!$B$23:$C$23)&gt;0, "2", "3"), 0), COUNTIF($D$23:$E$23, M$2)&gt;0, VLOOKUP($J231,'Gear Values'!$A$2:$E$13, IF(COUNTBLANK('Attributes &amp; Prefixes'!$B$23:$C$23)&gt;0, "4", "5"), 0)), "")</f>
        <v>120</v>
      </c>
      <c r="N231" s="134" t="str" cm="1">
        <f t="array" ref="N231">IF(COUNTIF($B$23:$E$23, N$2)&gt;0, _xlfn.IFS(COUNTIF($B$23:$C$23, N$2)&gt;0, VLOOKUP($J231,'Gear Values'!$A$2:$E$13, IF(COUNTBLANK('Attributes &amp; Prefixes'!$B$23:$C$23)&gt;0, "2", "3"), 0), COUNTIF($D$23:$E$23, N$2)&gt;0, VLOOKUP($J231,'Gear Values'!$A$2:$E$13, IF(COUNTBLANK('Attributes &amp; Prefixes'!$B$23:$C$23)&gt;0, "4", "5"), 0)), "")</f>
        <v/>
      </c>
      <c r="O231" s="134" cm="1">
        <f t="array" ref="O231">IF(COUNTIF($B$23:$E$23, O$2)&gt;0, _xlfn.IFS(COUNTIF($B$23:$C$23, O$2)&gt;0, VLOOKUP($J231,'Gear Values'!$A$2:$E$13, IF(COUNTBLANK('Attributes &amp; Prefixes'!$B$23:$C$23)&gt;0, "2", "3"), 0), COUNTIF($D$23:$E$23, O$2)&gt;0, VLOOKUP($J231,'Gear Values'!$A$2:$E$13, IF(COUNTBLANK('Attributes &amp; Prefixes'!$B$23:$C$23)&gt;0, "4", "5"), 0)), "")</f>
        <v>85</v>
      </c>
      <c r="P231" s="134" t="str" cm="1">
        <f t="array" ref="P231">IF(COUNTIF($B$23:$E$23, P$2)&gt;0, _xlfn.IFS(COUNTIF($B$23:$C$23, P$2)&gt;0, VLOOKUP($J231,'Gear Values'!$A$2:$E$13, IF(COUNTBLANK('Attributes &amp; Prefixes'!$B$23:$C$23)&gt;0, "2", "3"), 0), COUNTIF($D$23:$E$23, P$2)&gt;0, VLOOKUP($J231,'Gear Values'!$A$2:$E$13, IF(COUNTBLANK('Attributes &amp; Prefixes'!$B$23:$C$23)&gt;0, "4", "5"), 0)), "")</f>
        <v/>
      </c>
      <c r="Q231" s="134" t="str" cm="1">
        <f t="array" ref="Q231">IF(COUNTIF($B$23:$E$23, Q$2)&gt;0, _xlfn.IFS(COUNTIF($B$23:$C$23, Q$2)&gt;0, VLOOKUP($J231,'Gear Values'!$A$2:$E$13, IF(COUNTBLANK('Attributes &amp; Prefixes'!$B$23:$C$23)&gt;0, "2", "3"), 0), COUNTIF($D$23:$E$23, Q$2)&gt;0, VLOOKUP($J231,'Gear Values'!$A$2:$E$13, IF(COUNTBLANK('Attributes &amp; Prefixes'!$B$23:$C$23)&gt;0, "4", "5"), 0)), "")</f>
        <v/>
      </c>
      <c r="R231" s="134" t="str" cm="1">
        <f t="array" ref="R231">IF(COUNTIF($B$23:$E$23, R$2)&gt;0, _xlfn.IFS(COUNTIF($B$23:$C$23, R$2)&gt;0, VLOOKUP($J231,'Gear Values'!$A$2:$E$13, IF(COUNTBLANK('Attributes &amp; Prefixes'!$B$23:$C$23)&gt;0, "2", "3"), 0), COUNTIF($D$23:$E$23, R$2)&gt;0, VLOOKUP($J231,'Gear Values'!$A$2:$E$13, IF(COUNTBLANK('Attributes &amp; Prefixes'!$B$23:$C$23)&gt;0, "4", "5"), 0)), "")</f>
        <v/>
      </c>
      <c r="S231" s="135" cm="1">
        <f t="array" ref="S231">IF(COUNTIF($B$23:$E$23, S$2)&gt;0, _xlfn.IFS(COUNTIF($B$23:$C$23, S$2)&gt;0, VLOOKUP($J231,'Gear Values'!$A$2:$E$13, IF(COUNTBLANK('Attributes &amp; Prefixes'!$B$23:$C$23)&gt;0, "2", "3"), 0), COUNTIF($D$23:$E$23, S$2)&gt;0, VLOOKUP($J231,'Gear Values'!$A$2:$E$13, IF(COUNTBLANK('Attributes &amp; Prefixes'!$B$23:$C$23)&gt;0, "4", "5"), 0)), "")</f>
        <v>85</v>
      </c>
      <c r="V231" s="112"/>
      <c r="W231" s="113"/>
    </row>
    <row r="232" spans="6:23">
      <c r="H232" s="130" t="str">
        <f>_xlfn.CONCAT(I$231,J232)</f>
        <v>GiverWeapon (2H)</v>
      </c>
      <c r="I232" s="520"/>
      <c r="J232" s="144" t="s">
        <v>39</v>
      </c>
      <c r="K232" s="136" t="str" cm="1">
        <f t="array" ref="K232">IF(COUNTIF($B$23:$E$23, K$2)&gt;0, _xlfn.IFS(COUNTIF($B$23:$C$23, K$2)&gt;0, VLOOKUP($J232,'Gear Values'!$A$2:$E$13, IF(COUNTBLANK('Attributes &amp; Prefixes'!$B$23:$C$23)&gt;0, "2", "3"), 0), COUNTIF($D$23:$E$23, K$2)&gt;0, VLOOKUP($J232,'Gear Values'!$A$2:$E$13, IF(COUNTBLANK('Attributes &amp; Prefixes'!$B$23:$C$23)&gt;0, "4", "5"), 0)), "")</f>
        <v/>
      </c>
      <c r="L232" s="137" t="str" cm="1">
        <f t="array" ref="L232">IF(COUNTIF($B$23:$E$23, L$2)&gt;0, _xlfn.IFS(COUNTIF($B$23:$C$23, L$2)&gt;0, VLOOKUP($J232,'Gear Values'!$A$2:$E$13, IF(COUNTBLANK('Attributes &amp; Prefixes'!$B$23:$C$23)&gt;0, "2", "3"), 0), COUNTIF($D$23:$E$23, L$2)&gt;0, VLOOKUP($J232,'Gear Values'!$A$2:$E$13, IF(COUNTBLANK('Attributes &amp; Prefixes'!$B$23:$C$23)&gt;0, "4", "5"), 0)), "")</f>
        <v/>
      </c>
      <c r="M232" s="137" cm="1">
        <f t="array" ref="M232">IF(COUNTIF($B$23:$E$23, M$2)&gt;0, _xlfn.IFS(COUNTIF($B$23:$C$23, M$2)&gt;0, VLOOKUP($J232,'Gear Values'!$A$2:$E$13, IF(COUNTBLANK('Attributes &amp; Prefixes'!$B$23:$C$23)&gt;0, "2", "3"), 0), COUNTIF($D$23:$E$23, M$2)&gt;0, VLOOKUP($J232,'Gear Values'!$A$2:$E$13, IF(COUNTBLANK('Attributes &amp; Prefixes'!$B$23:$C$23)&gt;0, "4", "5"), 0)), "")</f>
        <v>239</v>
      </c>
      <c r="N232" s="137" t="str" cm="1">
        <f t="array" ref="N232">IF(COUNTIF($B$23:$E$23, N$2)&gt;0, _xlfn.IFS(COUNTIF($B$23:$C$23, N$2)&gt;0, VLOOKUP($J232,'Gear Values'!$A$2:$E$13, IF(COUNTBLANK('Attributes &amp; Prefixes'!$B$23:$C$23)&gt;0, "2", "3"), 0), COUNTIF($D$23:$E$23, N$2)&gt;0, VLOOKUP($J232,'Gear Values'!$A$2:$E$13, IF(COUNTBLANK('Attributes &amp; Prefixes'!$B$23:$C$23)&gt;0, "4", "5"), 0)), "")</f>
        <v/>
      </c>
      <c r="O232" s="137" cm="1">
        <f t="array" ref="O232">IF(COUNTIF($B$23:$E$23, O$2)&gt;0, _xlfn.IFS(COUNTIF($B$23:$C$23, O$2)&gt;0, VLOOKUP($J232,'Gear Values'!$A$2:$E$13, IF(COUNTBLANK('Attributes &amp; Prefixes'!$B$23:$C$23)&gt;0, "2", "3"), 0), COUNTIF($D$23:$E$23, O$2)&gt;0, VLOOKUP($J232,'Gear Values'!$A$2:$E$13, IF(COUNTBLANK('Attributes &amp; Prefixes'!$B$23:$C$23)&gt;0, "4", "5"), 0)), "")</f>
        <v>171</v>
      </c>
      <c r="P232" s="137" t="str" cm="1">
        <f t="array" ref="P232">IF(COUNTIF($B$23:$E$23, P$2)&gt;0, _xlfn.IFS(COUNTIF($B$23:$C$23, P$2)&gt;0, VLOOKUP($J232,'Gear Values'!$A$2:$E$13, IF(COUNTBLANK('Attributes &amp; Prefixes'!$B$23:$C$23)&gt;0, "2", "3"), 0), COUNTIF($D$23:$E$23, P$2)&gt;0, VLOOKUP($J232,'Gear Values'!$A$2:$E$13, IF(COUNTBLANK('Attributes &amp; Prefixes'!$B$23:$C$23)&gt;0, "4", "5"), 0)), "")</f>
        <v/>
      </c>
      <c r="Q232" s="137" t="str" cm="1">
        <f t="array" ref="Q232">IF(COUNTIF($B$23:$E$23, Q$2)&gt;0, _xlfn.IFS(COUNTIF($B$23:$C$23, Q$2)&gt;0, VLOOKUP($J232,'Gear Values'!$A$2:$E$13, IF(COUNTBLANK('Attributes &amp; Prefixes'!$B$23:$C$23)&gt;0, "2", "3"), 0), COUNTIF($D$23:$E$23, Q$2)&gt;0, VLOOKUP($J232,'Gear Values'!$A$2:$E$13, IF(COUNTBLANK('Attributes &amp; Prefixes'!$B$23:$C$23)&gt;0, "4", "5"), 0)), "")</f>
        <v/>
      </c>
      <c r="R232" s="137" t="str" cm="1">
        <f t="array" ref="R232">IF(COUNTIF($B$23:$E$23, R$2)&gt;0, _xlfn.IFS(COUNTIF($B$23:$C$23, R$2)&gt;0, VLOOKUP($J232,'Gear Values'!$A$2:$E$13, IF(COUNTBLANK('Attributes &amp; Prefixes'!$B$23:$C$23)&gt;0, "2", "3"), 0), COUNTIF($D$23:$E$23, R$2)&gt;0, VLOOKUP($J232,'Gear Values'!$A$2:$E$13, IF(COUNTBLANK('Attributes &amp; Prefixes'!$B$23:$C$23)&gt;0, "4", "5"), 0)), "")</f>
        <v/>
      </c>
      <c r="S232" s="138" cm="1">
        <f t="array" ref="S232">IF(COUNTIF($B$23:$E$23, S$2)&gt;0, _xlfn.IFS(COUNTIF($B$23:$C$23, S$2)&gt;0, VLOOKUP($J232,'Gear Values'!$A$2:$E$13, IF(COUNTBLANK('Attributes &amp; Prefixes'!$B$23:$C$23)&gt;0, "2", "3"), 0), COUNTIF($D$23:$E$23, S$2)&gt;0, VLOOKUP($J232,'Gear Values'!$A$2:$E$13, IF(COUNTBLANK('Attributes &amp; Prefixes'!$B$23:$C$23)&gt;0, "4", "5"), 0)), "")</f>
        <v>171</v>
      </c>
      <c r="V232" s="112"/>
      <c r="W232" s="113"/>
    </row>
    <row r="233" spans="6:23">
      <c r="H233" s="130" t="str">
        <f>_xlfn.CONCAT(I$231,J233)</f>
        <v>GiverHead</v>
      </c>
      <c r="I233" s="520"/>
      <c r="J233" s="144" t="s">
        <v>40</v>
      </c>
      <c r="K233" s="136" t="str" cm="1">
        <f t="array" ref="K233">IF(COUNTIF($B$23:$E$23, K$2)&gt;0, _xlfn.IFS(COUNTIF($B$23:$C$23, K$2)&gt;0, VLOOKUP($J233,'Gear Values'!$A$2:$E$13, IF(COUNTBLANK('Attributes &amp; Prefixes'!$B$23:$C$23)&gt;0, "2", "3"), 0), COUNTIF($D$23:$E$23, K$2)&gt;0, VLOOKUP($J233,'Gear Values'!$A$2:$E$13, IF(COUNTBLANK('Attributes &amp; Prefixes'!$B$23:$C$23)&gt;0, "4", "5"), 0)), "")</f>
        <v/>
      </c>
      <c r="L233" s="137" t="str" cm="1">
        <f t="array" ref="L233">IF(COUNTIF($B$23:$E$23, L$2)&gt;0, _xlfn.IFS(COUNTIF($B$23:$C$23, L$2)&gt;0, VLOOKUP($J233,'Gear Values'!$A$2:$E$13, IF(COUNTBLANK('Attributes &amp; Prefixes'!$B$23:$C$23)&gt;0, "2", "3"), 0), COUNTIF($D$23:$E$23, L$2)&gt;0, VLOOKUP($J233,'Gear Values'!$A$2:$E$13, IF(COUNTBLANK('Attributes &amp; Prefixes'!$B$23:$C$23)&gt;0, "4", "5"), 0)), "")</f>
        <v/>
      </c>
      <c r="M233" s="137" cm="1">
        <f t="array" ref="M233">IF(COUNTIF($B$23:$E$23, M$2)&gt;0, _xlfn.IFS(COUNTIF($B$23:$C$23, M$2)&gt;0, VLOOKUP($J233,'Gear Values'!$A$2:$E$13, IF(COUNTBLANK('Attributes &amp; Prefixes'!$B$23:$C$23)&gt;0, "2", "3"), 0), COUNTIF($D$23:$E$23, M$2)&gt;0, VLOOKUP($J233,'Gear Values'!$A$2:$E$13, IF(COUNTBLANK('Attributes &amp; Prefixes'!$B$23:$C$23)&gt;0, "4", "5"), 0)), "")</f>
        <v>60</v>
      </c>
      <c r="N233" s="137" t="str" cm="1">
        <f t="array" ref="N233">IF(COUNTIF($B$23:$E$23, N$2)&gt;0, _xlfn.IFS(COUNTIF($B$23:$C$23, N$2)&gt;0, VLOOKUP($J233,'Gear Values'!$A$2:$E$13, IF(COUNTBLANK('Attributes &amp; Prefixes'!$B$23:$C$23)&gt;0, "2", "3"), 0), COUNTIF($D$23:$E$23, N$2)&gt;0, VLOOKUP($J233,'Gear Values'!$A$2:$E$13, IF(COUNTBLANK('Attributes &amp; Prefixes'!$B$23:$C$23)&gt;0, "4", "5"), 0)), "")</f>
        <v/>
      </c>
      <c r="O233" s="137" cm="1">
        <f t="array" ref="O233">IF(COUNTIF($B$23:$E$23, O$2)&gt;0, _xlfn.IFS(COUNTIF($B$23:$C$23, O$2)&gt;0, VLOOKUP($J233,'Gear Values'!$A$2:$E$13, IF(COUNTBLANK('Attributes &amp; Prefixes'!$B$23:$C$23)&gt;0, "2", "3"), 0), COUNTIF($D$23:$E$23, O$2)&gt;0, VLOOKUP($J233,'Gear Values'!$A$2:$E$13, IF(COUNTBLANK('Attributes &amp; Prefixes'!$B$23:$C$23)&gt;0, "4", "5"), 0)), "")</f>
        <v>43</v>
      </c>
      <c r="P233" s="137" t="str" cm="1">
        <f t="array" ref="P233">IF(COUNTIF($B$23:$E$23, P$2)&gt;0, _xlfn.IFS(COUNTIF($B$23:$C$23, P$2)&gt;0, VLOOKUP($J233,'Gear Values'!$A$2:$E$13, IF(COUNTBLANK('Attributes &amp; Prefixes'!$B$23:$C$23)&gt;0, "2", "3"), 0), COUNTIF($D$23:$E$23, P$2)&gt;0, VLOOKUP($J233,'Gear Values'!$A$2:$E$13, IF(COUNTBLANK('Attributes &amp; Prefixes'!$B$23:$C$23)&gt;0, "4", "5"), 0)), "")</f>
        <v/>
      </c>
      <c r="Q233" s="137" t="str" cm="1">
        <f t="array" ref="Q233">IF(COUNTIF($B$23:$E$23, Q$2)&gt;0, _xlfn.IFS(COUNTIF($B$23:$C$23, Q$2)&gt;0, VLOOKUP($J233,'Gear Values'!$A$2:$E$13, IF(COUNTBLANK('Attributes &amp; Prefixes'!$B$23:$C$23)&gt;0, "2", "3"), 0), COUNTIF($D$23:$E$23, Q$2)&gt;0, VLOOKUP($J233,'Gear Values'!$A$2:$E$13, IF(COUNTBLANK('Attributes &amp; Prefixes'!$B$23:$C$23)&gt;0, "4", "5"), 0)), "")</f>
        <v/>
      </c>
      <c r="R233" s="137" t="str" cm="1">
        <f t="array" ref="R233">IF(COUNTIF($B$23:$E$23, R$2)&gt;0, _xlfn.IFS(COUNTIF($B$23:$C$23, R$2)&gt;0, VLOOKUP($J233,'Gear Values'!$A$2:$E$13, IF(COUNTBLANK('Attributes &amp; Prefixes'!$B$23:$C$23)&gt;0, "2", "3"), 0), COUNTIF($D$23:$E$23, R$2)&gt;0, VLOOKUP($J233,'Gear Values'!$A$2:$E$13, IF(COUNTBLANK('Attributes &amp; Prefixes'!$B$23:$C$23)&gt;0, "4", "5"), 0)), "")</f>
        <v/>
      </c>
      <c r="S233" s="138" cm="1">
        <f t="array" ref="S233">IF(COUNTIF($B$23:$E$23, S$2)&gt;0, _xlfn.IFS(COUNTIF($B$23:$C$23, S$2)&gt;0, VLOOKUP($J233,'Gear Values'!$A$2:$E$13, IF(COUNTBLANK('Attributes &amp; Prefixes'!$B$23:$C$23)&gt;0, "2", "3"), 0), COUNTIF($D$23:$E$23, S$2)&gt;0, VLOOKUP($J233,'Gear Values'!$A$2:$E$13, IF(COUNTBLANK('Attributes &amp; Prefixes'!$B$23:$C$23)&gt;0, "4", "5"), 0)), "")</f>
        <v>43</v>
      </c>
      <c r="V233" s="112"/>
      <c r="W233" s="113"/>
    </row>
    <row r="234" spans="6:23">
      <c r="H234" s="130" t="str">
        <f>_xlfn.CONCAT(I$231,J234)</f>
        <v>GiverShoulders</v>
      </c>
      <c r="I234" s="520"/>
      <c r="J234" s="144" t="s">
        <v>42</v>
      </c>
      <c r="K234" s="136" t="str" cm="1">
        <f t="array" ref="K234">IF(COUNTIF($B$23:$E$23, K$2)&gt;0, _xlfn.IFS(COUNTIF($B$23:$C$23, K$2)&gt;0, VLOOKUP($J234,'Gear Values'!$A$2:$E$13, IF(COUNTBLANK('Attributes &amp; Prefixes'!$B$23:$C$23)&gt;0, "2", "3"), 0), COUNTIF($D$23:$E$23, K$2)&gt;0, VLOOKUP($J234,'Gear Values'!$A$2:$E$13, IF(COUNTBLANK('Attributes &amp; Prefixes'!$B$23:$C$23)&gt;0, "4", "5"), 0)), "")</f>
        <v/>
      </c>
      <c r="L234" s="137" t="str" cm="1">
        <f t="array" ref="L234">IF(COUNTIF($B$23:$E$23, L$2)&gt;0, _xlfn.IFS(COUNTIF($B$23:$C$23, L$2)&gt;0, VLOOKUP($J234,'Gear Values'!$A$2:$E$13, IF(COUNTBLANK('Attributes &amp; Prefixes'!$B$23:$C$23)&gt;0, "2", "3"), 0), COUNTIF($D$23:$E$23, L$2)&gt;0, VLOOKUP($J234,'Gear Values'!$A$2:$E$13, IF(COUNTBLANK('Attributes &amp; Prefixes'!$B$23:$C$23)&gt;0, "4", "5"), 0)), "")</f>
        <v/>
      </c>
      <c r="M234" s="137" cm="1">
        <f t="array" ref="M234">IF(COUNTIF($B$23:$E$23, M$2)&gt;0, _xlfn.IFS(COUNTIF($B$23:$C$23, M$2)&gt;0, VLOOKUP($J234,'Gear Values'!$A$2:$E$13, IF(COUNTBLANK('Attributes &amp; Prefixes'!$B$23:$C$23)&gt;0, "2", "3"), 0), COUNTIF($D$23:$E$23, M$2)&gt;0, VLOOKUP($J234,'Gear Values'!$A$2:$E$13, IF(COUNTBLANK('Attributes &amp; Prefixes'!$B$23:$C$23)&gt;0, "4", "5"), 0)), "")</f>
        <v>45</v>
      </c>
      <c r="N234" s="137" t="str" cm="1">
        <f t="array" ref="N234">IF(COUNTIF($B$23:$E$23, N$2)&gt;0, _xlfn.IFS(COUNTIF($B$23:$C$23, N$2)&gt;0, VLOOKUP($J234,'Gear Values'!$A$2:$E$13, IF(COUNTBLANK('Attributes &amp; Prefixes'!$B$23:$C$23)&gt;0, "2", "3"), 0), COUNTIF($D$23:$E$23, N$2)&gt;0, VLOOKUP($J234,'Gear Values'!$A$2:$E$13, IF(COUNTBLANK('Attributes &amp; Prefixes'!$B$23:$C$23)&gt;0, "4", "5"), 0)), "")</f>
        <v/>
      </c>
      <c r="O234" s="137" cm="1">
        <f t="array" ref="O234">IF(COUNTIF($B$23:$E$23, O$2)&gt;0, _xlfn.IFS(COUNTIF($B$23:$C$23, O$2)&gt;0, VLOOKUP($J234,'Gear Values'!$A$2:$E$13, IF(COUNTBLANK('Attributes &amp; Prefixes'!$B$23:$C$23)&gt;0, "2", "3"), 0), COUNTIF($D$23:$E$23, O$2)&gt;0, VLOOKUP($J234,'Gear Values'!$A$2:$E$13, IF(COUNTBLANK('Attributes &amp; Prefixes'!$B$23:$C$23)&gt;0, "4", "5"), 0)), "")</f>
        <v>32</v>
      </c>
      <c r="P234" s="137" t="str" cm="1">
        <f t="array" ref="P234">IF(COUNTIF($B$23:$E$23, P$2)&gt;0, _xlfn.IFS(COUNTIF($B$23:$C$23, P$2)&gt;0, VLOOKUP($J234,'Gear Values'!$A$2:$E$13, IF(COUNTBLANK('Attributes &amp; Prefixes'!$B$23:$C$23)&gt;0, "2", "3"), 0), COUNTIF($D$23:$E$23, P$2)&gt;0, VLOOKUP($J234,'Gear Values'!$A$2:$E$13, IF(COUNTBLANK('Attributes &amp; Prefixes'!$B$23:$C$23)&gt;0, "4", "5"), 0)), "")</f>
        <v/>
      </c>
      <c r="Q234" s="137" t="str" cm="1">
        <f t="array" ref="Q234">IF(COUNTIF($B$23:$E$23, Q$2)&gt;0, _xlfn.IFS(COUNTIF($B$23:$C$23, Q$2)&gt;0, VLOOKUP($J234,'Gear Values'!$A$2:$E$13, IF(COUNTBLANK('Attributes &amp; Prefixes'!$B$23:$C$23)&gt;0, "2", "3"), 0), COUNTIF($D$23:$E$23, Q$2)&gt;0, VLOOKUP($J234,'Gear Values'!$A$2:$E$13, IF(COUNTBLANK('Attributes &amp; Prefixes'!$B$23:$C$23)&gt;0, "4", "5"), 0)), "")</f>
        <v/>
      </c>
      <c r="R234" s="137" t="str" cm="1">
        <f t="array" ref="R234">IF(COUNTIF($B$23:$E$23, R$2)&gt;0, _xlfn.IFS(COUNTIF($B$23:$C$23, R$2)&gt;0, VLOOKUP($J234,'Gear Values'!$A$2:$E$13, IF(COUNTBLANK('Attributes &amp; Prefixes'!$B$23:$C$23)&gt;0, "2", "3"), 0), COUNTIF($D$23:$E$23, R$2)&gt;0, VLOOKUP($J234,'Gear Values'!$A$2:$E$13, IF(COUNTBLANK('Attributes &amp; Prefixes'!$B$23:$C$23)&gt;0, "4", "5"), 0)), "")</f>
        <v/>
      </c>
      <c r="S234" s="138" cm="1">
        <f t="array" ref="S234">IF(COUNTIF($B$23:$E$23, S$2)&gt;0, _xlfn.IFS(COUNTIF($B$23:$C$23, S$2)&gt;0, VLOOKUP($J234,'Gear Values'!$A$2:$E$13, IF(COUNTBLANK('Attributes &amp; Prefixes'!$B$23:$C$23)&gt;0, "2", "3"), 0), COUNTIF($D$23:$E$23, S$2)&gt;0, VLOOKUP($J234,'Gear Values'!$A$2:$E$13, IF(COUNTBLANK('Attributes &amp; Prefixes'!$B$23:$C$23)&gt;0, "4", "5"), 0)), "")</f>
        <v>32</v>
      </c>
      <c r="V234" s="112"/>
      <c r="W234" s="112"/>
    </row>
    <row r="235" spans="6:23">
      <c r="H235" s="130" t="str">
        <f>_xlfn.CONCAT(I$231,J235)</f>
        <v>GiverChest</v>
      </c>
      <c r="I235" s="520"/>
      <c r="J235" s="144" t="s">
        <v>44</v>
      </c>
      <c r="K235" s="136" t="str" cm="1">
        <f t="array" ref="K235">IF(COUNTIF($B$23:$E$23, K$2)&gt;0, _xlfn.IFS(COUNTIF($B$23:$C$23, K$2)&gt;0, VLOOKUP($J235,'Gear Values'!$A$2:$E$13, IF(COUNTBLANK('Attributes &amp; Prefixes'!$B$23:$C$23)&gt;0, "2", "3"), 0), COUNTIF($D$23:$E$23, K$2)&gt;0, VLOOKUP($J235,'Gear Values'!$A$2:$E$13, IF(COUNTBLANK('Attributes &amp; Prefixes'!$B$23:$C$23)&gt;0, "4", "5"), 0)), "")</f>
        <v/>
      </c>
      <c r="L235" s="137" t="str" cm="1">
        <f t="array" ref="L235">IF(COUNTIF($B$23:$E$23, L$2)&gt;0, _xlfn.IFS(COUNTIF($B$23:$C$23, L$2)&gt;0, VLOOKUP($J235,'Gear Values'!$A$2:$E$13, IF(COUNTBLANK('Attributes &amp; Prefixes'!$B$23:$C$23)&gt;0, "2", "3"), 0), COUNTIF($D$23:$E$23, L$2)&gt;0, VLOOKUP($J235,'Gear Values'!$A$2:$E$13, IF(COUNTBLANK('Attributes &amp; Prefixes'!$B$23:$C$23)&gt;0, "4", "5"), 0)), "")</f>
        <v/>
      </c>
      <c r="M235" s="137" cm="1">
        <f t="array" ref="M235">IF(COUNTIF($B$23:$E$23, M$2)&gt;0, _xlfn.IFS(COUNTIF($B$23:$C$23, M$2)&gt;0, VLOOKUP($J235,'Gear Values'!$A$2:$E$13, IF(COUNTBLANK('Attributes &amp; Prefixes'!$B$23:$C$23)&gt;0, "2", "3"), 0), COUNTIF($D$23:$E$23, M$2)&gt;0, VLOOKUP($J235,'Gear Values'!$A$2:$E$13, IF(COUNTBLANK('Attributes &amp; Prefixes'!$B$23:$C$23)&gt;0, "4", "5"), 0)), "")</f>
        <v>134</v>
      </c>
      <c r="N235" s="137" t="str" cm="1">
        <f t="array" ref="N235">IF(COUNTIF($B$23:$E$23, N$2)&gt;0, _xlfn.IFS(COUNTIF($B$23:$C$23, N$2)&gt;0, VLOOKUP($J235,'Gear Values'!$A$2:$E$13, IF(COUNTBLANK('Attributes &amp; Prefixes'!$B$23:$C$23)&gt;0, "2", "3"), 0), COUNTIF($D$23:$E$23, N$2)&gt;0, VLOOKUP($J235,'Gear Values'!$A$2:$E$13, IF(COUNTBLANK('Attributes &amp; Prefixes'!$B$23:$C$23)&gt;0, "4", "5"), 0)), "")</f>
        <v/>
      </c>
      <c r="O235" s="137" cm="1">
        <f t="array" ref="O235">IF(COUNTIF($B$23:$E$23, O$2)&gt;0, _xlfn.IFS(COUNTIF($B$23:$C$23, O$2)&gt;0, VLOOKUP($J235,'Gear Values'!$A$2:$E$13, IF(COUNTBLANK('Attributes &amp; Prefixes'!$B$23:$C$23)&gt;0, "2", "3"), 0), COUNTIF($D$23:$E$23, O$2)&gt;0, VLOOKUP($J235,'Gear Values'!$A$2:$E$13, IF(COUNTBLANK('Attributes &amp; Prefixes'!$B$23:$C$23)&gt;0, "4", "5"), 0)), "")</f>
        <v>96</v>
      </c>
      <c r="P235" s="137" t="str" cm="1">
        <f t="array" ref="P235">IF(COUNTIF($B$23:$E$23, P$2)&gt;0, _xlfn.IFS(COUNTIF($B$23:$C$23, P$2)&gt;0, VLOOKUP($J235,'Gear Values'!$A$2:$E$13, IF(COUNTBLANK('Attributes &amp; Prefixes'!$B$23:$C$23)&gt;0, "2", "3"), 0), COUNTIF($D$23:$E$23, P$2)&gt;0, VLOOKUP($J235,'Gear Values'!$A$2:$E$13, IF(COUNTBLANK('Attributes &amp; Prefixes'!$B$23:$C$23)&gt;0, "4", "5"), 0)), "")</f>
        <v/>
      </c>
      <c r="Q235" s="137" t="str" cm="1">
        <f t="array" ref="Q235">IF(COUNTIF($B$23:$E$23, Q$2)&gt;0, _xlfn.IFS(COUNTIF($B$23:$C$23, Q$2)&gt;0, VLOOKUP($J235,'Gear Values'!$A$2:$E$13, IF(COUNTBLANK('Attributes &amp; Prefixes'!$B$23:$C$23)&gt;0, "2", "3"), 0), COUNTIF($D$23:$E$23, Q$2)&gt;0, VLOOKUP($J235,'Gear Values'!$A$2:$E$13, IF(COUNTBLANK('Attributes &amp; Prefixes'!$B$23:$C$23)&gt;0, "4", "5"), 0)), "")</f>
        <v/>
      </c>
      <c r="R235" s="137" t="str" cm="1">
        <f t="array" ref="R235">IF(COUNTIF($B$23:$E$23, R$2)&gt;0, _xlfn.IFS(COUNTIF($B$23:$C$23, R$2)&gt;0, VLOOKUP($J235,'Gear Values'!$A$2:$E$13, IF(COUNTBLANK('Attributes &amp; Prefixes'!$B$23:$C$23)&gt;0, "2", "3"), 0), COUNTIF($D$23:$E$23, R$2)&gt;0, VLOOKUP($J235,'Gear Values'!$A$2:$E$13, IF(COUNTBLANK('Attributes &amp; Prefixes'!$B$23:$C$23)&gt;0, "4", "5"), 0)), "")</f>
        <v/>
      </c>
      <c r="S235" s="138" cm="1">
        <f t="array" ref="S235">IF(COUNTIF($B$23:$E$23, S$2)&gt;0, _xlfn.IFS(COUNTIF($B$23:$C$23, S$2)&gt;0, VLOOKUP($J235,'Gear Values'!$A$2:$E$13, IF(COUNTBLANK('Attributes &amp; Prefixes'!$B$23:$C$23)&gt;0, "2", "3"), 0), COUNTIF($D$23:$E$23, S$2)&gt;0, VLOOKUP($J235,'Gear Values'!$A$2:$E$13, IF(COUNTBLANK('Attributes &amp; Prefixes'!$B$23:$C$23)&gt;0, "4", "5"), 0)), "")</f>
        <v>96</v>
      </c>
      <c r="V235" s="112"/>
      <c r="W235" s="112"/>
    </row>
    <row r="236" spans="6:23">
      <c r="H236" s="130" t="str">
        <f>_xlfn.CONCAT(I$231,J236)</f>
        <v>GiverHands</v>
      </c>
      <c r="I236" s="520"/>
      <c r="J236" s="144" t="s">
        <v>45</v>
      </c>
      <c r="K236" s="136" t="str" cm="1">
        <f t="array" ref="K236">IF(COUNTIF($B$23:$E$23, K$2)&gt;0, _xlfn.IFS(COUNTIF($B$23:$C$23, K$2)&gt;0, VLOOKUP($J236,'Gear Values'!$A$2:$E$13, IF(COUNTBLANK('Attributes &amp; Prefixes'!$B$23:$C$23)&gt;0, "2", "3"), 0), COUNTIF($D$23:$E$23, K$2)&gt;0, VLOOKUP($J236,'Gear Values'!$A$2:$E$13, IF(COUNTBLANK('Attributes &amp; Prefixes'!$B$23:$C$23)&gt;0, "4", "5"), 0)), "")</f>
        <v/>
      </c>
      <c r="L236" s="137" t="str" cm="1">
        <f t="array" ref="L236">IF(COUNTIF($B$23:$E$23, L$2)&gt;0, _xlfn.IFS(COUNTIF($B$23:$C$23, L$2)&gt;0, VLOOKUP($J236,'Gear Values'!$A$2:$E$13, IF(COUNTBLANK('Attributes &amp; Prefixes'!$B$23:$C$23)&gt;0, "2", "3"), 0), COUNTIF($D$23:$E$23, L$2)&gt;0, VLOOKUP($J236,'Gear Values'!$A$2:$E$13, IF(COUNTBLANK('Attributes &amp; Prefixes'!$B$23:$C$23)&gt;0, "4", "5"), 0)), "")</f>
        <v/>
      </c>
      <c r="M236" s="137" cm="1">
        <f t="array" ref="M236">IF(COUNTIF($B$23:$E$23, M$2)&gt;0, _xlfn.IFS(COUNTIF($B$23:$C$23, M$2)&gt;0, VLOOKUP($J236,'Gear Values'!$A$2:$E$13, IF(COUNTBLANK('Attributes &amp; Prefixes'!$B$23:$C$23)&gt;0, "2", "3"), 0), COUNTIF($D$23:$E$23, M$2)&gt;0, VLOOKUP($J236,'Gear Values'!$A$2:$E$13, IF(COUNTBLANK('Attributes &amp; Prefixes'!$B$23:$C$23)&gt;0, "4", "5"), 0)), "")</f>
        <v>45</v>
      </c>
      <c r="N236" s="137" t="str" cm="1">
        <f t="array" ref="N236">IF(COUNTIF($B$23:$E$23, N$2)&gt;0, _xlfn.IFS(COUNTIF($B$23:$C$23, N$2)&gt;0, VLOOKUP($J236,'Gear Values'!$A$2:$E$13, IF(COUNTBLANK('Attributes &amp; Prefixes'!$B$23:$C$23)&gt;0, "2", "3"), 0), COUNTIF($D$23:$E$23, N$2)&gt;0, VLOOKUP($J236,'Gear Values'!$A$2:$E$13, IF(COUNTBLANK('Attributes &amp; Prefixes'!$B$23:$C$23)&gt;0, "4", "5"), 0)), "")</f>
        <v/>
      </c>
      <c r="O236" s="137" cm="1">
        <f t="array" ref="O236">IF(COUNTIF($B$23:$E$23, O$2)&gt;0, _xlfn.IFS(COUNTIF($B$23:$C$23, O$2)&gt;0, VLOOKUP($J236,'Gear Values'!$A$2:$E$13, IF(COUNTBLANK('Attributes &amp; Prefixes'!$B$23:$C$23)&gt;0, "2", "3"), 0), COUNTIF($D$23:$E$23, O$2)&gt;0, VLOOKUP($J236,'Gear Values'!$A$2:$E$13, IF(COUNTBLANK('Attributes &amp; Prefixes'!$B$23:$C$23)&gt;0, "4", "5"), 0)), "")</f>
        <v>32</v>
      </c>
      <c r="P236" s="137" t="str" cm="1">
        <f t="array" ref="P236">IF(COUNTIF($B$23:$E$23, P$2)&gt;0, _xlfn.IFS(COUNTIF($B$23:$C$23, P$2)&gt;0, VLOOKUP($J236,'Gear Values'!$A$2:$E$13, IF(COUNTBLANK('Attributes &amp; Prefixes'!$B$23:$C$23)&gt;0, "2", "3"), 0), COUNTIF($D$23:$E$23, P$2)&gt;0, VLOOKUP($J236,'Gear Values'!$A$2:$E$13, IF(COUNTBLANK('Attributes &amp; Prefixes'!$B$23:$C$23)&gt;0, "4", "5"), 0)), "")</f>
        <v/>
      </c>
      <c r="Q236" s="137" t="str" cm="1">
        <f t="array" ref="Q236">IF(COUNTIF($B$23:$E$23, Q$2)&gt;0, _xlfn.IFS(COUNTIF($B$23:$C$23, Q$2)&gt;0, VLOOKUP($J236,'Gear Values'!$A$2:$E$13, IF(COUNTBLANK('Attributes &amp; Prefixes'!$B$23:$C$23)&gt;0, "2", "3"), 0), COUNTIF($D$23:$E$23, Q$2)&gt;0, VLOOKUP($J236,'Gear Values'!$A$2:$E$13, IF(COUNTBLANK('Attributes &amp; Prefixes'!$B$23:$C$23)&gt;0, "4", "5"), 0)), "")</f>
        <v/>
      </c>
      <c r="R236" s="137" t="str" cm="1">
        <f t="array" ref="R236">IF(COUNTIF($B$23:$E$23, R$2)&gt;0, _xlfn.IFS(COUNTIF($B$23:$C$23, R$2)&gt;0, VLOOKUP($J236,'Gear Values'!$A$2:$E$13, IF(COUNTBLANK('Attributes &amp; Prefixes'!$B$23:$C$23)&gt;0, "2", "3"), 0), COUNTIF($D$23:$E$23, R$2)&gt;0, VLOOKUP($J236,'Gear Values'!$A$2:$E$13, IF(COUNTBLANK('Attributes &amp; Prefixes'!$B$23:$C$23)&gt;0, "4", "5"), 0)), "")</f>
        <v/>
      </c>
      <c r="S236" s="138" cm="1">
        <f t="array" ref="S236">IF(COUNTIF($B$23:$E$23, S$2)&gt;0, _xlfn.IFS(COUNTIF($B$23:$C$23, S$2)&gt;0, VLOOKUP($J236,'Gear Values'!$A$2:$E$13, IF(COUNTBLANK('Attributes &amp; Prefixes'!$B$23:$C$23)&gt;0, "2", "3"), 0), COUNTIF($D$23:$E$23, S$2)&gt;0, VLOOKUP($J236,'Gear Values'!$A$2:$E$13, IF(COUNTBLANK('Attributes &amp; Prefixes'!$B$23:$C$23)&gt;0, "4", "5"), 0)), "")</f>
        <v>32</v>
      </c>
      <c r="V236" s="112"/>
      <c r="W236" s="112"/>
    </row>
    <row r="237" spans="6:23">
      <c r="H237" s="130" t="str">
        <f>_xlfn.CONCAT(I$231,J237)</f>
        <v>GiverLegs</v>
      </c>
      <c r="I237" s="520"/>
      <c r="J237" s="144" t="s">
        <v>47</v>
      </c>
      <c r="K237" s="136" t="str" cm="1">
        <f t="array" ref="K237">IF(COUNTIF($B$23:$E$23, K$2)&gt;0, _xlfn.IFS(COUNTIF($B$23:$C$23, K$2)&gt;0, VLOOKUP($J237,'Gear Values'!$A$2:$E$13, IF(COUNTBLANK('Attributes &amp; Prefixes'!$B$23:$C$23)&gt;0, "2", "3"), 0), COUNTIF($D$23:$E$23, K$2)&gt;0, VLOOKUP($J237,'Gear Values'!$A$2:$E$13, IF(COUNTBLANK('Attributes &amp; Prefixes'!$B$23:$C$23)&gt;0, "4", "5"), 0)), "")</f>
        <v/>
      </c>
      <c r="L237" s="137" t="str" cm="1">
        <f t="array" ref="L237">IF(COUNTIF($B$23:$E$23, L$2)&gt;0, _xlfn.IFS(COUNTIF($B$23:$C$23, L$2)&gt;0, VLOOKUP($J237,'Gear Values'!$A$2:$E$13, IF(COUNTBLANK('Attributes &amp; Prefixes'!$B$23:$C$23)&gt;0, "2", "3"), 0), COUNTIF($D$23:$E$23, L$2)&gt;0, VLOOKUP($J237,'Gear Values'!$A$2:$E$13, IF(COUNTBLANK('Attributes &amp; Prefixes'!$B$23:$C$23)&gt;0, "4", "5"), 0)), "")</f>
        <v/>
      </c>
      <c r="M237" s="137" cm="1">
        <f t="array" ref="M237">IF(COUNTIF($B$23:$E$23, M$2)&gt;0, _xlfn.IFS(COUNTIF($B$23:$C$23, M$2)&gt;0, VLOOKUP($J237,'Gear Values'!$A$2:$E$13, IF(COUNTBLANK('Attributes &amp; Prefixes'!$B$23:$C$23)&gt;0, "2", "3"), 0), COUNTIF($D$23:$E$23, M$2)&gt;0, VLOOKUP($J237,'Gear Values'!$A$2:$E$13, IF(COUNTBLANK('Attributes &amp; Prefixes'!$B$23:$C$23)&gt;0, "4", "5"), 0)), "")</f>
        <v>90</v>
      </c>
      <c r="N237" s="137" t="str" cm="1">
        <f t="array" ref="N237">IF(COUNTIF($B$23:$E$23, N$2)&gt;0, _xlfn.IFS(COUNTIF($B$23:$C$23, N$2)&gt;0, VLOOKUP($J237,'Gear Values'!$A$2:$E$13, IF(COUNTBLANK('Attributes &amp; Prefixes'!$B$23:$C$23)&gt;0, "2", "3"), 0), COUNTIF($D$23:$E$23, N$2)&gt;0, VLOOKUP($J237,'Gear Values'!$A$2:$E$13, IF(COUNTBLANK('Attributes &amp; Prefixes'!$B$23:$C$23)&gt;0, "4", "5"), 0)), "")</f>
        <v/>
      </c>
      <c r="O237" s="137" cm="1">
        <f t="array" ref="O237">IF(COUNTIF($B$23:$E$23, O$2)&gt;0, _xlfn.IFS(COUNTIF($B$23:$C$23, O$2)&gt;0, VLOOKUP($J237,'Gear Values'!$A$2:$E$13, IF(COUNTBLANK('Attributes &amp; Prefixes'!$B$23:$C$23)&gt;0, "2", "3"), 0), COUNTIF($D$23:$E$23, O$2)&gt;0, VLOOKUP($J237,'Gear Values'!$A$2:$E$13, IF(COUNTBLANK('Attributes &amp; Prefixes'!$B$23:$C$23)&gt;0, "4", "5"), 0)), "")</f>
        <v>64</v>
      </c>
      <c r="P237" s="137" t="str" cm="1">
        <f t="array" ref="P237">IF(COUNTIF($B$23:$E$23, P$2)&gt;0, _xlfn.IFS(COUNTIF($B$23:$C$23, P$2)&gt;0, VLOOKUP($J237,'Gear Values'!$A$2:$E$13, IF(COUNTBLANK('Attributes &amp; Prefixes'!$B$23:$C$23)&gt;0, "2", "3"), 0), COUNTIF($D$23:$E$23, P$2)&gt;0, VLOOKUP($J237,'Gear Values'!$A$2:$E$13, IF(COUNTBLANK('Attributes &amp; Prefixes'!$B$23:$C$23)&gt;0, "4", "5"), 0)), "")</f>
        <v/>
      </c>
      <c r="Q237" s="137" t="str" cm="1">
        <f t="array" ref="Q237">IF(COUNTIF($B$23:$E$23, Q$2)&gt;0, _xlfn.IFS(COUNTIF($B$23:$C$23, Q$2)&gt;0, VLOOKUP($J237,'Gear Values'!$A$2:$E$13, IF(COUNTBLANK('Attributes &amp; Prefixes'!$B$23:$C$23)&gt;0, "2", "3"), 0), COUNTIF($D$23:$E$23, Q$2)&gt;0, VLOOKUP($J237,'Gear Values'!$A$2:$E$13, IF(COUNTBLANK('Attributes &amp; Prefixes'!$B$23:$C$23)&gt;0, "4", "5"), 0)), "")</f>
        <v/>
      </c>
      <c r="R237" s="137" t="str" cm="1">
        <f t="array" ref="R237">IF(COUNTIF($B$23:$E$23, R$2)&gt;0, _xlfn.IFS(COUNTIF($B$23:$C$23, R$2)&gt;0, VLOOKUP($J237,'Gear Values'!$A$2:$E$13, IF(COUNTBLANK('Attributes &amp; Prefixes'!$B$23:$C$23)&gt;0, "2", "3"), 0), COUNTIF($D$23:$E$23, R$2)&gt;0, VLOOKUP($J237,'Gear Values'!$A$2:$E$13, IF(COUNTBLANK('Attributes &amp; Prefixes'!$B$23:$C$23)&gt;0, "4", "5"), 0)), "")</f>
        <v/>
      </c>
      <c r="S237" s="138" cm="1">
        <f t="array" ref="S237">IF(COUNTIF($B$23:$E$23, S$2)&gt;0, _xlfn.IFS(COUNTIF($B$23:$C$23, S$2)&gt;0, VLOOKUP($J237,'Gear Values'!$A$2:$E$13, IF(COUNTBLANK('Attributes &amp; Prefixes'!$B$23:$C$23)&gt;0, "2", "3"), 0), COUNTIF($D$23:$E$23, S$2)&gt;0, VLOOKUP($J237,'Gear Values'!$A$2:$E$13, IF(COUNTBLANK('Attributes &amp; Prefixes'!$B$23:$C$23)&gt;0, "4", "5"), 0)), "")</f>
        <v>64</v>
      </c>
      <c r="V237" s="112"/>
      <c r="W237" s="112"/>
    </row>
    <row r="238" spans="6:23">
      <c r="H238" s="130" t="str">
        <f>_xlfn.CONCAT(I$231,J238)</f>
        <v>GiverFeet</v>
      </c>
      <c r="I238" s="520"/>
      <c r="J238" s="144" t="s">
        <v>48</v>
      </c>
      <c r="K238" s="136" t="str" cm="1">
        <f t="array" ref="K238">IF(COUNTIF($B$23:$E$23, K$2)&gt;0, _xlfn.IFS(COUNTIF($B$23:$C$23, K$2)&gt;0, VLOOKUP($J238,'Gear Values'!$A$2:$E$13, IF(COUNTBLANK('Attributes &amp; Prefixes'!$B$23:$C$23)&gt;0, "2", "3"), 0), COUNTIF($D$23:$E$23, K$2)&gt;0, VLOOKUP($J238,'Gear Values'!$A$2:$E$13, IF(COUNTBLANK('Attributes &amp; Prefixes'!$B$23:$C$23)&gt;0, "4", "5"), 0)), "")</f>
        <v/>
      </c>
      <c r="L238" s="137" t="str" cm="1">
        <f t="array" ref="L238">IF(COUNTIF($B$23:$E$23, L$2)&gt;0, _xlfn.IFS(COUNTIF($B$23:$C$23, L$2)&gt;0, VLOOKUP($J238,'Gear Values'!$A$2:$E$13, IF(COUNTBLANK('Attributes &amp; Prefixes'!$B$23:$C$23)&gt;0, "2", "3"), 0), COUNTIF($D$23:$E$23, L$2)&gt;0, VLOOKUP($J238,'Gear Values'!$A$2:$E$13, IF(COUNTBLANK('Attributes &amp; Prefixes'!$B$23:$C$23)&gt;0, "4", "5"), 0)), "")</f>
        <v/>
      </c>
      <c r="M238" s="137" cm="1">
        <f t="array" ref="M238">IF(COUNTIF($B$23:$E$23, M$2)&gt;0, _xlfn.IFS(COUNTIF($B$23:$C$23, M$2)&gt;0, VLOOKUP($J238,'Gear Values'!$A$2:$E$13, IF(COUNTBLANK('Attributes &amp; Prefixes'!$B$23:$C$23)&gt;0, "2", "3"), 0), COUNTIF($D$23:$E$23, M$2)&gt;0, VLOOKUP($J238,'Gear Values'!$A$2:$E$13, IF(COUNTBLANK('Attributes &amp; Prefixes'!$B$23:$C$23)&gt;0, "4", "5"), 0)), "")</f>
        <v>45</v>
      </c>
      <c r="N238" s="137" t="str" cm="1">
        <f t="array" ref="N238">IF(COUNTIF($B$23:$E$23, N$2)&gt;0, _xlfn.IFS(COUNTIF($B$23:$C$23, N$2)&gt;0, VLOOKUP($J238,'Gear Values'!$A$2:$E$13, IF(COUNTBLANK('Attributes &amp; Prefixes'!$B$23:$C$23)&gt;0, "2", "3"), 0), COUNTIF($D$23:$E$23, N$2)&gt;0, VLOOKUP($J238,'Gear Values'!$A$2:$E$13, IF(COUNTBLANK('Attributes &amp; Prefixes'!$B$23:$C$23)&gt;0, "4", "5"), 0)), "")</f>
        <v/>
      </c>
      <c r="O238" s="137" cm="1">
        <f t="array" ref="O238">IF(COUNTIF($B$23:$E$23, O$2)&gt;0, _xlfn.IFS(COUNTIF($B$23:$C$23, O$2)&gt;0, VLOOKUP($J238,'Gear Values'!$A$2:$E$13, IF(COUNTBLANK('Attributes &amp; Prefixes'!$B$23:$C$23)&gt;0, "2", "3"), 0), COUNTIF($D$23:$E$23, O$2)&gt;0, VLOOKUP($J238,'Gear Values'!$A$2:$E$13, IF(COUNTBLANK('Attributes &amp; Prefixes'!$B$23:$C$23)&gt;0, "4", "5"), 0)), "")</f>
        <v>32</v>
      </c>
      <c r="P238" s="137" t="str" cm="1">
        <f t="array" ref="P238">IF(COUNTIF($B$23:$E$23, P$2)&gt;0, _xlfn.IFS(COUNTIF($B$23:$C$23, P$2)&gt;0, VLOOKUP($J238,'Gear Values'!$A$2:$E$13, IF(COUNTBLANK('Attributes &amp; Prefixes'!$B$23:$C$23)&gt;0, "2", "3"), 0), COUNTIF($D$23:$E$23, P$2)&gt;0, VLOOKUP($J238,'Gear Values'!$A$2:$E$13, IF(COUNTBLANK('Attributes &amp; Prefixes'!$B$23:$C$23)&gt;0, "4", "5"), 0)), "")</f>
        <v/>
      </c>
      <c r="Q238" s="137" t="str" cm="1">
        <f t="array" ref="Q238">IF(COUNTIF($B$23:$E$23, Q$2)&gt;0, _xlfn.IFS(COUNTIF($B$23:$C$23, Q$2)&gt;0, VLOOKUP($J238,'Gear Values'!$A$2:$E$13, IF(COUNTBLANK('Attributes &amp; Prefixes'!$B$23:$C$23)&gt;0, "2", "3"), 0), COUNTIF($D$23:$E$23, Q$2)&gt;0, VLOOKUP($J238,'Gear Values'!$A$2:$E$13, IF(COUNTBLANK('Attributes &amp; Prefixes'!$B$23:$C$23)&gt;0, "4", "5"), 0)), "")</f>
        <v/>
      </c>
      <c r="R238" s="137" t="str" cm="1">
        <f t="array" ref="R238">IF(COUNTIF($B$23:$E$23, R$2)&gt;0, _xlfn.IFS(COUNTIF($B$23:$C$23, R$2)&gt;0, VLOOKUP($J238,'Gear Values'!$A$2:$E$13, IF(COUNTBLANK('Attributes &amp; Prefixes'!$B$23:$C$23)&gt;0, "2", "3"), 0), COUNTIF($D$23:$E$23, R$2)&gt;0, VLOOKUP($J238,'Gear Values'!$A$2:$E$13, IF(COUNTBLANK('Attributes &amp; Prefixes'!$B$23:$C$23)&gt;0, "4", "5"), 0)), "")</f>
        <v/>
      </c>
      <c r="S238" s="138" cm="1">
        <f t="array" ref="S238">IF(COUNTIF($B$23:$E$23, S$2)&gt;0, _xlfn.IFS(COUNTIF($B$23:$C$23, S$2)&gt;0, VLOOKUP($J238,'Gear Values'!$A$2:$E$13, IF(COUNTBLANK('Attributes &amp; Prefixes'!$B$23:$C$23)&gt;0, "2", "3"), 0), COUNTIF($D$23:$E$23, S$2)&gt;0, VLOOKUP($J238,'Gear Values'!$A$2:$E$13, IF(COUNTBLANK('Attributes &amp; Prefixes'!$B$23:$C$23)&gt;0, "4", "5"), 0)), "")</f>
        <v>32</v>
      </c>
      <c r="V238" s="112"/>
      <c r="W238" s="112"/>
    </row>
    <row r="239" spans="6:23">
      <c r="H239" s="130" t="str">
        <f>_xlfn.CONCAT(I$231,J239)</f>
        <v>GiverEar</v>
      </c>
      <c r="I239" s="520"/>
      <c r="J239" s="144" t="s">
        <v>49</v>
      </c>
      <c r="K239" s="136" t="str" cm="1">
        <f t="array" ref="K239">IF(COUNTIF($B$23:$E$23, K$2)&gt;0, _xlfn.IFS(COUNTIF($B$23:$C$23, K$2)&gt;0, VLOOKUP($J239,'Gear Values'!$A$2:$E$13, IF(COUNTBLANK('Attributes &amp; Prefixes'!$B$23:$C$23)&gt;0, "2", "3"), 0), COUNTIF($D$23:$E$23, K$2)&gt;0, VLOOKUP($J239,'Gear Values'!$A$2:$E$13, IF(COUNTBLANK('Attributes &amp; Prefixes'!$B$23:$C$23)&gt;0, "4", "5"), 0)), "")</f>
        <v/>
      </c>
      <c r="L239" s="137" t="str" cm="1">
        <f t="array" ref="L239">IF(COUNTIF($B$23:$E$23, L$2)&gt;0, _xlfn.IFS(COUNTIF($B$23:$C$23, L$2)&gt;0, VLOOKUP($J239,'Gear Values'!$A$2:$E$13, IF(COUNTBLANK('Attributes &amp; Prefixes'!$B$23:$C$23)&gt;0, "2", "3"), 0), COUNTIF($D$23:$E$23, L$2)&gt;0, VLOOKUP($J239,'Gear Values'!$A$2:$E$13, IF(COUNTBLANK('Attributes &amp; Prefixes'!$B$23:$C$23)&gt;0, "4", "5"), 0)), "")</f>
        <v/>
      </c>
      <c r="M239" s="137" cm="1">
        <f t="array" ref="M239">IF(COUNTIF($B$23:$E$23, M$2)&gt;0, _xlfn.IFS(COUNTIF($B$23:$C$23, M$2)&gt;0, VLOOKUP($J239,'Gear Values'!$A$2:$E$13, IF(COUNTBLANK('Attributes &amp; Prefixes'!$B$23:$C$23)&gt;0, "2", "3"), 0), COUNTIF($D$23:$E$23, M$2)&gt;0, VLOOKUP($J239,'Gear Values'!$A$2:$E$13, IF(COUNTBLANK('Attributes &amp; Prefixes'!$B$23:$C$23)&gt;0, "4", "5"), 0)), "")</f>
        <v>75</v>
      </c>
      <c r="N239" s="137" t="str" cm="1">
        <f t="array" ref="N239">IF(COUNTIF($B$23:$E$23, N$2)&gt;0, _xlfn.IFS(COUNTIF($B$23:$C$23, N$2)&gt;0, VLOOKUP($J239,'Gear Values'!$A$2:$E$13, IF(COUNTBLANK('Attributes &amp; Prefixes'!$B$23:$C$23)&gt;0, "2", "3"), 0), COUNTIF($D$23:$E$23, N$2)&gt;0, VLOOKUP($J239,'Gear Values'!$A$2:$E$13, IF(COUNTBLANK('Attributes &amp; Prefixes'!$B$23:$C$23)&gt;0, "4", "5"), 0)), "")</f>
        <v/>
      </c>
      <c r="O239" s="137" cm="1">
        <f t="array" ref="O239">IF(COUNTIF($B$23:$E$23, O$2)&gt;0, _xlfn.IFS(COUNTIF($B$23:$C$23, O$2)&gt;0, VLOOKUP($J239,'Gear Values'!$A$2:$E$13, IF(COUNTBLANK('Attributes &amp; Prefixes'!$B$23:$C$23)&gt;0, "2", "3"), 0), COUNTIF($D$23:$E$23, O$2)&gt;0, VLOOKUP($J239,'Gear Values'!$A$2:$E$13, IF(COUNTBLANK('Attributes &amp; Prefixes'!$B$23:$C$23)&gt;0, "4", "5"), 0)), "")</f>
        <v>53</v>
      </c>
      <c r="P239" s="137" t="str" cm="1">
        <f t="array" ref="P239">IF(COUNTIF($B$23:$E$23, P$2)&gt;0, _xlfn.IFS(COUNTIF($B$23:$C$23, P$2)&gt;0, VLOOKUP($J239,'Gear Values'!$A$2:$E$13, IF(COUNTBLANK('Attributes &amp; Prefixes'!$B$23:$C$23)&gt;0, "2", "3"), 0), COUNTIF($D$23:$E$23, P$2)&gt;0, VLOOKUP($J239,'Gear Values'!$A$2:$E$13, IF(COUNTBLANK('Attributes &amp; Prefixes'!$B$23:$C$23)&gt;0, "4", "5"), 0)), "")</f>
        <v/>
      </c>
      <c r="Q239" s="137" t="str" cm="1">
        <f t="array" ref="Q239">IF(COUNTIF($B$23:$E$23, Q$2)&gt;0, _xlfn.IFS(COUNTIF($B$23:$C$23, Q$2)&gt;0, VLOOKUP($J239,'Gear Values'!$A$2:$E$13, IF(COUNTBLANK('Attributes &amp; Prefixes'!$B$23:$C$23)&gt;0, "2", "3"), 0), COUNTIF($D$23:$E$23, Q$2)&gt;0, VLOOKUP($J239,'Gear Values'!$A$2:$E$13, IF(COUNTBLANK('Attributes &amp; Prefixes'!$B$23:$C$23)&gt;0, "4", "5"), 0)), "")</f>
        <v/>
      </c>
      <c r="R239" s="137" t="str" cm="1">
        <f t="array" ref="R239">IF(COUNTIF($B$23:$E$23, R$2)&gt;0, _xlfn.IFS(COUNTIF($B$23:$C$23, R$2)&gt;0, VLOOKUP($J239,'Gear Values'!$A$2:$E$13, IF(COUNTBLANK('Attributes &amp; Prefixes'!$B$23:$C$23)&gt;0, "2", "3"), 0), COUNTIF($D$23:$E$23, R$2)&gt;0, VLOOKUP($J239,'Gear Values'!$A$2:$E$13, IF(COUNTBLANK('Attributes &amp; Prefixes'!$B$23:$C$23)&gt;0, "4", "5"), 0)), "")</f>
        <v/>
      </c>
      <c r="S239" s="138" cm="1">
        <f t="array" ref="S239">IF(COUNTIF($B$23:$E$23, S$2)&gt;0, _xlfn.IFS(COUNTIF($B$23:$C$23, S$2)&gt;0, VLOOKUP($J239,'Gear Values'!$A$2:$E$13, IF(COUNTBLANK('Attributes &amp; Prefixes'!$B$23:$C$23)&gt;0, "2", "3"), 0), COUNTIF($D$23:$E$23, S$2)&gt;0, VLOOKUP($J239,'Gear Values'!$A$2:$E$13, IF(COUNTBLANK('Attributes &amp; Prefixes'!$B$23:$C$23)&gt;0, "4", "5"), 0)), "")</f>
        <v>53</v>
      </c>
      <c r="V239" s="112"/>
      <c r="W239" s="112"/>
    </row>
    <row r="240" spans="6:23">
      <c r="H240" s="130" t="str">
        <f>_xlfn.CONCAT(I$231,J240)</f>
        <v>GiverFinger</v>
      </c>
      <c r="I240" s="520"/>
      <c r="J240" s="144" t="s">
        <v>51</v>
      </c>
      <c r="K240" s="136" t="str" cm="1">
        <f t="array" ref="K240">IF(COUNTIF($B$23:$E$23, K$2)&gt;0, _xlfn.IFS(COUNTIF($B$23:$C$23, K$2)&gt;0, VLOOKUP($J240,'Gear Values'!$A$2:$E$13, IF(COUNTBLANK('Attributes &amp; Prefixes'!$B$23:$C$23)&gt;0, "2", "3"), 0), COUNTIF($D$23:$E$23, K$2)&gt;0, VLOOKUP($J240,'Gear Values'!$A$2:$E$13, IF(COUNTBLANK('Attributes &amp; Prefixes'!$B$23:$C$23)&gt;0, "4", "5"), 0)), "")</f>
        <v/>
      </c>
      <c r="L240" s="137" t="str" cm="1">
        <f t="array" ref="L240">IF(COUNTIF($B$23:$E$23, L$2)&gt;0, _xlfn.IFS(COUNTIF($B$23:$C$23, L$2)&gt;0, VLOOKUP($J240,'Gear Values'!$A$2:$E$13, IF(COUNTBLANK('Attributes &amp; Prefixes'!$B$23:$C$23)&gt;0, "2", "3"), 0), COUNTIF($D$23:$E$23, L$2)&gt;0, VLOOKUP($J240,'Gear Values'!$A$2:$E$13, IF(COUNTBLANK('Attributes &amp; Prefixes'!$B$23:$C$23)&gt;0, "4", "5"), 0)), "")</f>
        <v/>
      </c>
      <c r="M240" s="137" cm="1">
        <f t="array" ref="M240">IF(COUNTIF($B$23:$E$23, M$2)&gt;0, _xlfn.IFS(COUNTIF($B$23:$C$23, M$2)&gt;0, VLOOKUP($J240,'Gear Values'!$A$2:$E$13, IF(COUNTBLANK('Attributes &amp; Prefixes'!$B$23:$C$23)&gt;0, "2", "3"), 0), COUNTIF($D$23:$E$23, M$2)&gt;0, VLOOKUP($J240,'Gear Values'!$A$2:$E$13, IF(COUNTBLANK('Attributes &amp; Prefixes'!$B$23:$C$23)&gt;0, "4", "5"), 0)), "")</f>
        <v>90</v>
      </c>
      <c r="N240" s="137" t="str" cm="1">
        <f t="array" ref="N240">IF(COUNTIF($B$23:$E$23, N$2)&gt;0, _xlfn.IFS(COUNTIF($B$23:$C$23, N$2)&gt;0, VLOOKUP($J240,'Gear Values'!$A$2:$E$13, IF(COUNTBLANK('Attributes &amp; Prefixes'!$B$23:$C$23)&gt;0, "2", "3"), 0), COUNTIF($D$23:$E$23, N$2)&gt;0, VLOOKUP($J240,'Gear Values'!$A$2:$E$13, IF(COUNTBLANK('Attributes &amp; Prefixes'!$B$23:$C$23)&gt;0, "4", "5"), 0)), "")</f>
        <v/>
      </c>
      <c r="O240" s="137" cm="1">
        <f t="array" ref="O240">IF(COUNTIF($B$23:$E$23, O$2)&gt;0, _xlfn.IFS(COUNTIF($B$23:$C$23, O$2)&gt;0, VLOOKUP($J240,'Gear Values'!$A$2:$E$13, IF(COUNTBLANK('Attributes &amp; Prefixes'!$B$23:$C$23)&gt;0, "2", "3"), 0), COUNTIF($D$23:$E$23, O$2)&gt;0, VLOOKUP($J240,'Gear Values'!$A$2:$E$13, IF(COUNTBLANK('Attributes &amp; Prefixes'!$B$23:$C$23)&gt;0, "4", "5"), 0)), "")</f>
        <v>64</v>
      </c>
      <c r="P240" s="137" t="str" cm="1">
        <f t="array" ref="P240">IF(COUNTIF($B$23:$E$23, P$2)&gt;0, _xlfn.IFS(COUNTIF($B$23:$C$23, P$2)&gt;0, VLOOKUP($J240,'Gear Values'!$A$2:$E$13, IF(COUNTBLANK('Attributes &amp; Prefixes'!$B$23:$C$23)&gt;0, "2", "3"), 0), COUNTIF($D$23:$E$23, P$2)&gt;0, VLOOKUP($J240,'Gear Values'!$A$2:$E$13, IF(COUNTBLANK('Attributes &amp; Prefixes'!$B$23:$C$23)&gt;0, "4", "5"), 0)), "")</f>
        <v/>
      </c>
      <c r="Q240" s="137" t="str" cm="1">
        <f t="array" ref="Q240">IF(COUNTIF($B$23:$E$23, Q$2)&gt;0, _xlfn.IFS(COUNTIF($B$23:$C$23, Q$2)&gt;0, VLOOKUP($J240,'Gear Values'!$A$2:$E$13, IF(COUNTBLANK('Attributes &amp; Prefixes'!$B$23:$C$23)&gt;0, "2", "3"), 0), COUNTIF($D$23:$E$23, Q$2)&gt;0, VLOOKUP($J240,'Gear Values'!$A$2:$E$13, IF(COUNTBLANK('Attributes &amp; Prefixes'!$B$23:$C$23)&gt;0, "4", "5"), 0)), "")</f>
        <v/>
      </c>
      <c r="R240" s="137" t="str" cm="1">
        <f t="array" ref="R240">IF(COUNTIF($B$23:$E$23, R$2)&gt;0, _xlfn.IFS(COUNTIF($B$23:$C$23, R$2)&gt;0, VLOOKUP($J240,'Gear Values'!$A$2:$E$13, IF(COUNTBLANK('Attributes &amp; Prefixes'!$B$23:$C$23)&gt;0, "2", "3"), 0), COUNTIF($D$23:$E$23, R$2)&gt;0, VLOOKUP($J240,'Gear Values'!$A$2:$E$13, IF(COUNTBLANK('Attributes &amp; Prefixes'!$B$23:$C$23)&gt;0, "4", "5"), 0)), "")</f>
        <v/>
      </c>
      <c r="S240" s="138" cm="1">
        <f t="array" ref="S240">IF(COUNTIF($B$23:$E$23, S$2)&gt;0, _xlfn.IFS(COUNTIF($B$23:$C$23, S$2)&gt;0, VLOOKUP($J240,'Gear Values'!$A$2:$E$13, IF(COUNTBLANK('Attributes &amp; Prefixes'!$B$23:$C$23)&gt;0, "2", "3"), 0), COUNTIF($D$23:$E$23, S$2)&gt;0, VLOOKUP($J240,'Gear Values'!$A$2:$E$13, IF(COUNTBLANK('Attributes &amp; Prefixes'!$B$23:$C$23)&gt;0, "4", "5"), 0)), "")</f>
        <v>64</v>
      </c>
      <c r="V240" s="112"/>
      <c r="W240" s="112"/>
    </row>
    <row r="241" spans="6:23">
      <c r="H241" s="130" t="str">
        <f>_xlfn.CONCAT(I$231,J241)</f>
        <v>GiverNeck</v>
      </c>
      <c r="I241" s="520"/>
      <c r="J241" s="144" t="s">
        <v>52</v>
      </c>
      <c r="K241" s="136" t="str" cm="1">
        <f t="array" ref="K241">IF(COUNTIF($B$23:$E$23, K$2)&gt;0, _xlfn.IFS(COUNTIF($B$23:$C$23, K$2)&gt;0, VLOOKUP($J241,'Gear Values'!$A$2:$E$13, IF(COUNTBLANK('Attributes &amp; Prefixes'!$B$23:$C$23)&gt;0, "2", "3"), 0), COUNTIF($D$23:$E$23, K$2)&gt;0, VLOOKUP($J241,'Gear Values'!$A$2:$E$13, IF(COUNTBLANK('Attributes &amp; Prefixes'!$B$23:$C$23)&gt;0, "4", "5"), 0)), "")</f>
        <v/>
      </c>
      <c r="L241" s="137" t="str" cm="1">
        <f t="array" ref="L241">IF(COUNTIF($B$23:$E$23, L$2)&gt;0, _xlfn.IFS(COUNTIF($B$23:$C$23, L$2)&gt;0, VLOOKUP($J241,'Gear Values'!$A$2:$E$13, IF(COUNTBLANK('Attributes &amp; Prefixes'!$B$23:$C$23)&gt;0, "2", "3"), 0), COUNTIF($D$23:$E$23, L$2)&gt;0, VLOOKUP($J241,'Gear Values'!$A$2:$E$13, IF(COUNTBLANK('Attributes &amp; Prefixes'!$B$23:$C$23)&gt;0, "4", "5"), 0)), "")</f>
        <v/>
      </c>
      <c r="M241" s="137" cm="1">
        <f t="array" ref="M241">IF(COUNTIF($B$23:$E$23, M$2)&gt;0, _xlfn.IFS(COUNTIF($B$23:$C$23, M$2)&gt;0, VLOOKUP($J241,'Gear Values'!$A$2:$E$13, IF(COUNTBLANK('Attributes &amp; Prefixes'!$B$23:$C$23)&gt;0, "2", "3"), 0), COUNTIF($D$23:$E$23, M$2)&gt;0, VLOOKUP($J241,'Gear Values'!$A$2:$E$13, IF(COUNTBLANK('Attributes &amp; Prefixes'!$B$23:$C$23)&gt;0, "4", "5"), 0)), "")</f>
        <v>120</v>
      </c>
      <c r="N241" s="137" t="str" cm="1">
        <f t="array" ref="N241">IF(COUNTIF($B$23:$E$23, N$2)&gt;0, _xlfn.IFS(COUNTIF($B$23:$C$23, N$2)&gt;0, VLOOKUP($J241,'Gear Values'!$A$2:$E$13, IF(COUNTBLANK('Attributes &amp; Prefixes'!$B$23:$C$23)&gt;0, "2", "3"), 0), COUNTIF($D$23:$E$23, N$2)&gt;0, VLOOKUP($J241,'Gear Values'!$A$2:$E$13, IF(COUNTBLANK('Attributes &amp; Prefixes'!$B$23:$C$23)&gt;0, "4", "5"), 0)), "")</f>
        <v/>
      </c>
      <c r="O241" s="137" cm="1">
        <f t="array" ref="O241">IF(COUNTIF($B$23:$E$23, O$2)&gt;0, _xlfn.IFS(COUNTIF($B$23:$C$23, O$2)&gt;0, VLOOKUP($J241,'Gear Values'!$A$2:$E$13, IF(COUNTBLANK('Attributes &amp; Prefixes'!$B$23:$C$23)&gt;0, "2", "3"), 0), COUNTIF($D$23:$E$23, O$2)&gt;0, VLOOKUP($J241,'Gear Values'!$A$2:$E$13, IF(COUNTBLANK('Attributes &amp; Prefixes'!$B$23:$C$23)&gt;0, "4", "5"), 0)), "")</f>
        <v>85</v>
      </c>
      <c r="P241" s="137" t="str" cm="1">
        <f t="array" ref="P241">IF(COUNTIF($B$23:$E$23, P$2)&gt;0, _xlfn.IFS(COUNTIF($B$23:$C$23, P$2)&gt;0, VLOOKUP($J241,'Gear Values'!$A$2:$E$13, IF(COUNTBLANK('Attributes &amp; Prefixes'!$B$23:$C$23)&gt;0, "2", "3"), 0), COUNTIF($D$23:$E$23, P$2)&gt;0, VLOOKUP($J241,'Gear Values'!$A$2:$E$13, IF(COUNTBLANK('Attributes &amp; Prefixes'!$B$23:$C$23)&gt;0, "4", "5"), 0)), "")</f>
        <v/>
      </c>
      <c r="Q241" s="137" t="str" cm="1">
        <f t="array" ref="Q241">IF(COUNTIF($B$23:$E$23, Q$2)&gt;0, _xlfn.IFS(COUNTIF($B$23:$C$23, Q$2)&gt;0, VLOOKUP($J241,'Gear Values'!$A$2:$E$13, IF(COUNTBLANK('Attributes &amp; Prefixes'!$B$23:$C$23)&gt;0, "2", "3"), 0), COUNTIF($D$23:$E$23, Q$2)&gt;0, VLOOKUP($J241,'Gear Values'!$A$2:$E$13, IF(COUNTBLANK('Attributes &amp; Prefixes'!$B$23:$C$23)&gt;0, "4", "5"), 0)), "")</f>
        <v/>
      </c>
      <c r="R241" s="137" t="str" cm="1">
        <f t="array" ref="R241">IF(COUNTIF($B$23:$E$23, R$2)&gt;0, _xlfn.IFS(COUNTIF($B$23:$C$23, R$2)&gt;0, VLOOKUP($J241,'Gear Values'!$A$2:$E$13, IF(COUNTBLANK('Attributes &amp; Prefixes'!$B$23:$C$23)&gt;0, "2", "3"), 0), COUNTIF($D$23:$E$23, R$2)&gt;0, VLOOKUP($J241,'Gear Values'!$A$2:$E$13, IF(COUNTBLANK('Attributes &amp; Prefixes'!$B$23:$C$23)&gt;0, "4", "5"), 0)), "")</f>
        <v/>
      </c>
      <c r="S241" s="138" cm="1">
        <f t="array" ref="S241">IF(COUNTIF($B$23:$E$23, S$2)&gt;0, _xlfn.IFS(COUNTIF($B$23:$C$23, S$2)&gt;0, VLOOKUP($J241,'Gear Values'!$A$2:$E$13, IF(COUNTBLANK('Attributes &amp; Prefixes'!$B$23:$C$23)&gt;0, "2", "3"), 0), COUNTIF($D$23:$E$23, S$2)&gt;0, VLOOKUP($J241,'Gear Values'!$A$2:$E$13, IF(COUNTBLANK('Attributes &amp; Prefixes'!$B$23:$C$23)&gt;0, "4", "5"), 0)), "")</f>
        <v>85</v>
      </c>
      <c r="V241" s="112"/>
      <c r="W241" s="112"/>
    </row>
    <row r="242" spans="6:23">
      <c r="H242" s="130" t="str">
        <f>_xlfn.CONCAT(I$231,J242)</f>
        <v>GiverBack</v>
      </c>
      <c r="I242" s="521"/>
      <c r="J242" s="146" t="s">
        <v>53</v>
      </c>
      <c r="K242" s="147" t="str" cm="1">
        <f t="array" ref="K242">IF(COUNTIF($B$23:$E$23, K$2)&gt;0, _xlfn.IFS(COUNTIF($B$23:$C$23, K$2)&gt;0, VLOOKUP($J242,'Gear Values'!$A$2:$E$13, IF(COUNTBLANK('Attributes &amp; Prefixes'!$B$23:$C$23)&gt;0, "2", "3"), 0), COUNTIF($D$23:$E$23, K$2)&gt;0, VLOOKUP($J242,'Gear Values'!$A$2:$E$13, IF(COUNTBLANK('Attributes &amp; Prefixes'!$B$23:$C$23)&gt;0, "4", "5"), 0)), "")</f>
        <v/>
      </c>
      <c r="L242" s="148" t="str" cm="1">
        <f t="array" ref="L242">IF(COUNTIF($B$23:$E$23, L$2)&gt;0, _xlfn.IFS(COUNTIF($B$23:$C$23, L$2)&gt;0, VLOOKUP($J242,'Gear Values'!$A$2:$E$13, IF(COUNTBLANK('Attributes &amp; Prefixes'!$B$23:$C$23)&gt;0, "2", "3"), 0), COUNTIF($D$23:$E$23, L$2)&gt;0, VLOOKUP($J242,'Gear Values'!$A$2:$E$13, IF(COUNTBLANK('Attributes &amp; Prefixes'!$B$23:$C$23)&gt;0, "4", "5"), 0)), "")</f>
        <v/>
      </c>
      <c r="M242" s="148" cm="1">
        <f t="array" ref="M242">IF(COUNTIF($B$23:$E$23, M$2)&gt;0, _xlfn.IFS(COUNTIF($B$23:$C$23, M$2)&gt;0, VLOOKUP($J242,'Gear Values'!$A$2:$E$13, IF(COUNTBLANK('Attributes &amp; Prefixes'!$B$23:$C$23)&gt;0, "2", "3"), 0), COUNTIF($D$23:$E$23, M$2)&gt;0, VLOOKUP($J242,'Gear Values'!$A$2:$E$13, IF(COUNTBLANK('Attributes &amp; Prefixes'!$B$23:$C$23)&gt;0, "4", "5"), 0)), "")</f>
        <v>32</v>
      </c>
      <c r="N242" s="148" t="str" cm="1">
        <f t="array" ref="N242">IF(COUNTIF($B$23:$E$23, N$2)&gt;0, _xlfn.IFS(COUNTIF($B$23:$C$23, N$2)&gt;0, VLOOKUP($J242,'Gear Values'!$A$2:$E$13, IF(COUNTBLANK('Attributes &amp; Prefixes'!$B$23:$C$23)&gt;0, "2", "3"), 0), COUNTIF($D$23:$E$23, N$2)&gt;0, VLOOKUP($J242,'Gear Values'!$A$2:$E$13, IF(COUNTBLANK('Attributes &amp; Prefixes'!$B$23:$C$23)&gt;0, "4", "5"), 0)), "")</f>
        <v/>
      </c>
      <c r="O242" s="148" cm="1">
        <f t="array" ref="O242">IF(COUNTIF($B$23:$E$23, O$2)&gt;0, _xlfn.IFS(COUNTIF($B$23:$C$23, O$2)&gt;0, VLOOKUP($J242,'Gear Values'!$A$2:$E$13, IF(COUNTBLANK('Attributes &amp; Prefixes'!$B$23:$C$23)&gt;0, "2", "3"), 0), COUNTIF($D$23:$E$23, O$2)&gt;0, VLOOKUP($J242,'Gear Values'!$A$2:$E$13, IF(COUNTBLANK('Attributes &amp; Prefixes'!$B$23:$C$23)&gt;0, "4", "5"), 0)), "")</f>
        <v>18</v>
      </c>
      <c r="P242" s="148" t="str" cm="1">
        <f t="array" ref="P242">IF(COUNTIF($B$23:$E$23, P$2)&gt;0, _xlfn.IFS(COUNTIF($B$23:$C$23, P$2)&gt;0, VLOOKUP($J242,'Gear Values'!$A$2:$E$13, IF(COUNTBLANK('Attributes &amp; Prefixes'!$B$23:$C$23)&gt;0, "2", "3"), 0), COUNTIF($D$23:$E$23, P$2)&gt;0, VLOOKUP($J242,'Gear Values'!$A$2:$E$13, IF(COUNTBLANK('Attributes &amp; Prefixes'!$B$23:$C$23)&gt;0, "4", "5"), 0)), "")</f>
        <v/>
      </c>
      <c r="Q242" s="148" t="str" cm="1">
        <f t="array" ref="Q242">IF(COUNTIF($B$23:$E$23, Q$2)&gt;0, _xlfn.IFS(COUNTIF($B$23:$C$23, Q$2)&gt;0, VLOOKUP($J242,'Gear Values'!$A$2:$E$13, IF(COUNTBLANK('Attributes &amp; Prefixes'!$B$23:$C$23)&gt;0, "2", "3"), 0), COUNTIF($D$23:$E$23, Q$2)&gt;0, VLOOKUP($J242,'Gear Values'!$A$2:$E$13, IF(COUNTBLANK('Attributes &amp; Prefixes'!$B$23:$C$23)&gt;0, "4", "5"), 0)), "")</f>
        <v/>
      </c>
      <c r="R242" s="148" t="str" cm="1">
        <f t="array" ref="R242">IF(COUNTIF($B$23:$E$23, R$2)&gt;0, _xlfn.IFS(COUNTIF($B$23:$C$23, R$2)&gt;0, VLOOKUP($J242,'Gear Values'!$A$2:$E$13, IF(COUNTBLANK('Attributes &amp; Prefixes'!$B$23:$C$23)&gt;0, "2", "3"), 0), COUNTIF($D$23:$E$23, R$2)&gt;0, VLOOKUP($J242,'Gear Values'!$A$2:$E$13, IF(COUNTBLANK('Attributes &amp; Prefixes'!$B$23:$C$23)&gt;0, "4", "5"), 0)), "")</f>
        <v/>
      </c>
      <c r="S242" s="150" cm="1">
        <f t="array" ref="S242">IF(COUNTIF($B$23:$E$23, S$2)&gt;0, _xlfn.IFS(COUNTIF($B$23:$C$23, S$2)&gt;0, VLOOKUP($J242,'Gear Values'!$A$2:$E$13, IF(COUNTBLANK('Attributes &amp; Prefixes'!$B$23:$C$23)&gt;0, "2", "3"), 0), COUNTIF($D$23:$E$23, S$2)&gt;0, VLOOKUP($J242,'Gear Values'!$A$2:$E$13, IF(COUNTBLANK('Attributes &amp; Prefixes'!$B$23:$C$23)&gt;0, "4", "5"), 0)), "")</f>
        <v>18</v>
      </c>
      <c r="V242" s="112"/>
      <c r="W242" s="112"/>
    </row>
    <row r="243" spans="6:23">
      <c r="H243" s="130" t="str">
        <f>_xlfn.CONCAT(I$243,J243)</f>
        <v>GrievingWeapon (1H)</v>
      </c>
      <c r="I243" s="519" t="str">
        <f>A24</f>
        <v>Grieving</v>
      </c>
      <c r="J243" s="145" t="s">
        <v>37</v>
      </c>
      <c r="K243" s="133" cm="1">
        <f t="array" ref="K243">IF(COUNTIF($B$24:$E$24, K$2)&gt;0, _xlfn.IFS(COUNTIF($B$24:$C$24, K$2)&gt;0, VLOOKUP($J243,'Gear Values'!$A$2:$E$13, IF(COUNTBLANK('Attributes &amp; Prefixes'!$B$24:$C$24)&gt;0, "2", "3"), 0), COUNTIF($D$24:$E$24, K$2)&gt;0, VLOOKUP($J243,'Gear Values'!$A$2:$E$13, IF(COUNTBLANK('Attributes &amp; Prefixes'!$B$24:$C$24)&gt;0, "4", "5"), 0)), "")</f>
        <v>102</v>
      </c>
      <c r="L243" s="134" cm="1">
        <f t="array" ref="L243">IF(COUNTIF($B$24:$E$24, L$2)&gt;0, _xlfn.IFS(COUNTIF($B$24:$C$24, L$2)&gt;0, VLOOKUP($J243,'Gear Values'!$A$2:$E$13, IF(COUNTBLANK('Attributes &amp; Prefixes'!$B$24:$C$24)&gt;0, "2", "3"), 0), COUNTIF($D$24:$E$24, L$2)&gt;0, VLOOKUP($J243,'Gear Values'!$A$2:$E$13, IF(COUNTBLANK('Attributes &amp; Prefixes'!$B$24:$C$24)&gt;0, "4", "5"), 0)), "")</f>
        <v>56</v>
      </c>
      <c r="M243" s="134" t="str" cm="1">
        <f t="array" ref="M243">IF(COUNTIF($B$24:$E$24, M$2)&gt;0, _xlfn.IFS(COUNTIF($B$24:$C$24, M$2)&gt;0, VLOOKUP($J243,'Gear Values'!$A$2:$E$13, IF(COUNTBLANK('Attributes &amp; Prefixes'!$B$24:$C$24)&gt;0, "2", "3"), 0), COUNTIF($D$24:$E$24, M$2)&gt;0, VLOOKUP($J243,'Gear Values'!$A$2:$E$13, IF(COUNTBLANK('Attributes &amp; Prefixes'!$B$24:$C$24)&gt;0, "4", "5"), 0)), "")</f>
        <v/>
      </c>
      <c r="N243" s="134" t="str" cm="1">
        <f t="array" ref="N243">IF(COUNTIF($B$24:$E$24, N$2)&gt;0, _xlfn.IFS(COUNTIF($B$24:$C$24, N$2)&gt;0, VLOOKUP($J243,'Gear Values'!$A$2:$E$13, IF(COUNTBLANK('Attributes &amp; Prefixes'!$B$24:$C$24)&gt;0, "2", "3"), 0), COUNTIF($D$24:$E$24, N$2)&gt;0, VLOOKUP($J243,'Gear Values'!$A$2:$E$13, IF(COUNTBLANK('Attributes &amp; Prefixes'!$B$24:$C$24)&gt;0, "4", "5"), 0)), "")</f>
        <v/>
      </c>
      <c r="O243" s="134" t="str" cm="1">
        <f t="array" ref="O243">IF(COUNTIF($B$24:$E$24, O$2)&gt;0, _xlfn.IFS(COUNTIF($B$24:$C$24, O$2)&gt;0, VLOOKUP($J243,'Gear Values'!$A$2:$E$13, IF(COUNTBLANK('Attributes &amp; Prefixes'!$B$24:$C$24)&gt;0, "2", "3"), 0), COUNTIF($D$24:$E$24, O$2)&gt;0, VLOOKUP($J243,'Gear Values'!$A$2:$E$13, IF(COUNTBLANK('Attributes &amp; Prefixes'!$B$24:$C$24)&gt;0, "4", "5"), 0)), "")</f>
        <v/>
      </c>
      <c r="P243" s="134" cm="1">
        <f t="array" ref="P243">IF(COUNTIF($B$24:$E$24, P$2)&gt;0, _xlfn.IFS(COUNTIF($B$24:$C$24, P$2)&gt;0, VLOOKUP($J243,'Gear Values'!$A$2:$E$13, IF(COUNTBLANK('Attributes &amp; Prefixes'!$B$24:$C$24)&gt;0, "2", "3"), 0), COUNTIF($D$24:$E$24, P$2)&gt;0, VLOOKUP($J243,'Gear Values'!$A$2:$E$13, IF(COUNTBLANK('Attributes &amp; Prefixes'!$B$24:$C$24)&gt;0, "4", "5"), 0)), "")</f>
        <v>102</v>
      </c>
      <c r="Q243" s="134" t="str" cm="1">
        <f t="array" ref="Q243">IF(COUNTIF($B$24:$E$24, Q$2)&gt;0, _xlfn.IFS(COUNTIF($B$24:$C$24, Q$2)&gt;0, VLOOKUP($J243,'Gear Values'!$A$2:$E$13, IF(COUNTBLANK('Attributes &amp; Prefixes'!$B$24:$C$24)&gt;0, "2", "3"), 0), COUNTIF($D$24:$E$24, Q$2)&gt;0, VLOOKUP($J243,'Gear Values'!$A$2:$E$13, IF(COUNTBLANK('Attributes &amp; Prefixes'!$B$24:$C$24)&gt;0, "4", "5"), 0)), "")</f>
        <v/>
      </c>
      <c r="R243" s="134" cm="1">
        <f t="array" ref="R243">IF(COUNTIF($B$24:$E$24, R$2)&gt;0, _xlfn.IFS(COUNTIF($B$24:$C$24, R$2)&gt;0, VLOOKUP($J243,'Gear Values'!$A$2:$E$13, IF(COUNTBLANK('Attributes &amp; Prefixes'!$B$24:$C$24)&gt;0, "2", "3"), 0), COUNTIF($D$24:$E$24, R$2)&gt;0, VLOOKUP($J243,'Gear Values'!$A$2:$E$13, IF(COUNTBLANK('Attributes &amp; Prefixes'!$B$24:$C$24)&gt;0, "4", "5"), 0)), "")</f>
        <v>56</v>
      </c>
      <c r="S243" s="135" t="str" cm="1">
        <f t="array" ref="S243">IF(COUNTIF($B$24:$E$24, S$2)&gt;0, _xlfn.IFS(COUNTIF($B$24:$C$24, S$2)&gt;0, VLOOKUP($J243,'Gear Values'!$A$2:$E$13, IF(COUNTBLANK('Attributes &amp; Prefixes'!$B$24:$C$24)&gt;0, "2", "3"), 0), COUNTIF($D$24:$E$24, S$2)&gt;0, VLOOKUP($J243,'Gear Values'!$A$2:$E$13, IF(COUNTBLANK('Attributes &amp; Prefixes'!$B$24:$C$24)&gt;0, "4", "5"), 0)), "")</f>
        <v/>
      </c>
      <c r="V243" s="112"/>
      <c r="W243" s="112"/>
    </row>
    <row r="244" spans="6:23">
      <c r="H244" s="130" t="str">
        <f>_xlfn.CONCAT(I$243,J244)</f>
        <v>GrievingWeapon (2H)</v>
      </c>
      <c r="I244" s="520"/>
      <c r="J244" s="144" t="s">
        <v>39</v>
      </c>
      <c r="K244" s="136" cm="1">
        <f t="array" ref="K244">IF(COUNTIF($B$24:$E$24, K$2)&gt;0, _xlfn.IFS(COUNTIF($B$24:$C$24, K$2)&gt;0, VLOOKUP($J244,'Gear Values'!$A$2:$E$13, IF(COUNTBLANK('Attributes &amp; Prefixes'!$B$24:$C$24)&gt;0, "2", "3"), 0), COUNTIF($D$24:$E$24, K$2)&gt;0, VLOOKUP($J244,'Gear Values'!$A$2:$E$13, IF(COUNTBLANK('Attributes &amp; Prefixes'!$B$24:$C$24)&gt;0, "4", "5"), 0)), "")</f>
        <v>205</v>
      </c>
      <c r="L244" s="137" cm="1">
        <f t="array" ref="L244">IF(COUNTIF($B$24:$E$24, L$2)&gt;0, _xlfn.IFS(COUNTIF($B$24:$C$24, L$2)&gt;0, VLOOKUP($J244,'Gear Values'!$A$2:$E$13, IF(COUNTBLANK('Attributes &amp; Prefixes'!$B$24:$C$24)&gt;0, "2", "3"), 0), COUNTIF($D$24:$E$24, L$2)&gt;0, VLOOKUP($J244,'Gear Values'!$A$2:$E$13, IF(COUNTBLANK('Attributes &amp; Prefixes'!$B$24:$C$24)&gt;0, "4", "5"), 0)), "")</f>
        <v>113</v>
      </c>
      <c r="M244" s="137" t="str" cm="1">
        <f t="array" ref="M244">IF(COUNTIF($B$24:$E$24, M$2)&gt;0, _xlfn.IFS(COUNTIF($B$24:$C$24, M$2)&gt;0, VLOOKUP($J244,'Gear Values'!$A$2:$E$13, IF(COUNTBLANK('Attributes &amp; Prefixes'!$B$24:$C$24)&gt;0, "2", "3"), 0), COUNTIF($D$24:$E$24, M$2)&gt;0, VLOOKUP($J244,'Gear Values'!$A$2:$E$13, IF(COUNTBLANK('Attributes &amp; Prefixes'!$B$24:$C$24)&gt;0, "4", "5"), 0)), "")</f>
        <v/>
      </c>
      <c r="N244" s="137" t="str" cm="1">
        <f t="array" ref="N244">IF(COUNTIF($B$24:$E$24, N$2)&gt;0, _xlfn.IFS(COUNTIF($B$24:$C$24, N$2)&gt;0, VLOOKUP($J244,'Gear Values'!$A$2:$E$13, IF(COUNTBLANK('Attributes &amp; Prefixes'!$B$24:$C$24)&gt;0, "2", "3"), 0), COUNTIF($D$24:$E$24, N$2)&gt;0, VLOOKUP($J244,'Gear Values'!$A$2:$E$13, IF(COUNTBLANK('Attributes &amp; Prefixes'!$B$24:$C$24)&gt;0, "4", "5"), 0)), "")</f>
        <v/>
      </c>
      <c r="O244" s="137" t="str" cm="1">
        <f t="array" ref="O244">IF(COUNTIF($B$24:$E$24, O$2)&gt;0, _xlfn.IFS(COUNTIF($B$24:$C$24, O$2)&gt;0, VLOOKUP($J244,'Gear Values'!$A$2:$E$13, IF(COUNTBLANK('Attributes &amp; Prefixes'!$B$24:$C$24)&gt;0, "2", "3"), 0), COUNTIF($D$24:$E$24, O$2)&gt;0, VLOOKUP($J244,'Gear Values'!$A$2:$E$13, IF(COUNTBLANK('Attributes &amp; Prefixes'!$B$24:$C$24)&gt;0, "4", "5"), 0)), "")</f>
        <v/>
      </c>
      <c r="P244" s="137" cm="1">
        <f t="array" ref="P244">IF(COUNTIF($B$24:$E$24, P$2)&gt;0, _xlfn.IFS(COUNTIF($B$24:$C$24, P$2)&gt;0, VLOOKUP($J244,'Gear Values'!$A$2:$E$13, IF(COUNTBLANK('Attributes &amp; Prefixes'!$B$24:$C$24)&gt;0, "2", "3"), 0), COUNTIF($D$24:$E$24, P$2)&gt;0, VLOOKUP($J244,'Gear Values'!$A$2:$E$13, IF(COUNTBLANK('Attributes &amp; Prefixes'!$B$24:$C$24)&gt;0, "4", "5"), 0)), "")</f>
        <v>205</v>
      </c>
      <c r="Q244" s="137" t="str" cm="1">
        <f t="array" ref="Q244">IF(COUNTIF($B$24:$E$24, Q$2)&gt;0, _xlfn.IFS(COUNTIF($B$24:$C$24, Q$2)&gt;0, VLOOKUP($J244,'Gear Values'!$A$2:$E$13, IF(COUNTBLANK('Attributes &amp; Prefixes'!$B$24:$C$24)&gt;0, "2", "3"), 0), COUNTIF($D$24:$E$24, Q$2)&gt;0, VLOOKUP($J244,'Gear Values'!$A$2:$E$13, IF(COUNTBLANK('Attributes &amp; Prefixes'!$B$24:$C$24)&gt;0, "4", "5"), 0)), "")</f>
        <v/>
      </c>
      <c r="R244" s="137" cm="1">
        <f t="array" ref="R244">IF(COUNTIF($B$24:$E$24, R$2)&gt;0, _xlfn.IFS(COUNTIF($B$24:$C$24, R$2)&gt;0, VLOOKUP($J244,'Gear Values'!$A$2:$E$13, IF(COUNTBLANK('Attributes &amp; Prefixes'!$B$24:$C$24)&gt;0, "2", "3"), 0), COUNTIF($D$24:$E$24, R$2)&gt;0, VLOOKUP($J244,'Gear Values'!$A$2:$E$13, IF(COUNTBLANK('Attributes &amp; Prefixes'!$B$24:$C$24)&gt;0, "4", "5"), 0)), "")</f>
        <v>113</v>
      </c>
      <c r="S244" s="138" t="str" cm="1">
        <f t="array" ref="S244">IF(COUNTIF($B$24:$E$24, S$2)&gt;0, _xlfn.IFS(COUNTIF($B$24:$C$24, S$2)&gt;0, VLOOKUP($J244,'Gear Values'!$A$2:$E$13, IF(COUNTBLANK('Attributes &amp; Prefixes'!$B$24:$C$24)&gt;0, "2", "3"), 0), COUNTIF($D$24:$E$24, S$2)&gt;0, VLOOKUP($J244,'Gear Values'!$A$2:$E$13, IF(COUNTBLANK('Attributes &amp; Prefixes'!$B$24:$C$24)&gt;0, "4", "5"), 0)), "")</f>
        <v/>
      </c>
      <c r="V244" s="112"/>
      <c r="W244" s="112"/>
    </row>
    <row r="245" spans="6:23">
      <c r="H245" s="130" t="str">
        <f>_xlfn.CONCAT(I$243,J245)</f>
        <v>GrievingHead</v>
      </c>
      <c r="I245" s="520"/>
      <c r="J245" s="144" t="s">
        <v>40</v>
      </c>
      <c r="K245" s="136" cm="1">
        <f t="array" ref="K245">IF(COUNTIF($B$24:$E$24, K$2)&gt;0, _xlfn.IFS(COUNTIF($B$24:$C$24, K$2)&gt;0, VLOOKUP($J245,'Gear Values'!$A$2:$E$13, IF(COUNTBLANK('Attributes &amp; Prefixes'!$B$24:$C$24)&gt;0, "2", "3"), 0), COUNTIF($D$24:$E$24, K$2)&gt;0, VLOOKUP($J245,'Gear Values'!$A$2:$E$13, IF(COUNTBLANK('Attributes &amp; Prefixes'!$B$24:$C$24)&gt;0, "4", "5"), 0)), "")</f>
        <v>51</v>
      </c>
      <c r="L245" s="137" cm="1">
        <f t="array" ref="L245">IF(COUNTIF($B$24:$E$24, L$2)&gt;0, _xlfn.IFS(COUNTIF($B$24:$C$24, L$2)&gt;0, VLOOKUP($J245,'Gear Values'!$A$2:$E$13, IF(COUNTBLANK('Attributes &amp; Prefixes'!$B$24:$C$24)&gt;0, "2", "3"), 0), COUNTIF($D$24:$E$24, L$2)&gt;0, VLOOKUP($J245,'Gear Values'!$A$2:$E$13, IF(COUNTBLANK('Attributes &amp; Prefixes'!$B$24:$C$24)&gt;0, "4", "5"), 0)), "")</f>
        <v>28</v>
      </c>
      <c r="M245" s="137" t="str" cm="1">
        <f t="array" ref="M245">IF(COUNTIF($B$24:$E$24, M$2)&gt;0, _xlfn.IFS(COUNTIF($B$24:$C$24, M$2)&gt;0, VLOOKUP($J245,'Gear Values'!$A$2:$E$13, IF(COUNTBLANK('Attributes &amp; Prefixes'!$B$24:$C$24)&gt;0, "2", "3"), 0), COUNTIF($D$24:$E$24, M$2)&gt;0, VLOOKUP($J245,'Gear Values'!$A$2:$E$13, IF(COUNTBLANK('Attributes &amp; Prefixes'!$B$24:$C$24)&gt;0, "4", "5"), 0)), "")</f>
        <v/>
      </c>
      <c r="N245" s="137" t="str" cm="1">
        <f t="array" ref="N245">IF(COUNTIF($B$24:$E$24, N$2)&gt;0, _xlfn.IFS(COUNTIF($B$24:$C$24, N$2)&gt;0, VLOOKUP($J245,'Gear Values'!$A$2:$E$13, IF(COUNTBLANK('Attributes &amp; Prefixes'!$B$24:$C$24)&gt;0, "2", "3"), 0), COUNTIF($D$24:$E$24, N$2)&gt;0, VLOOKUP($J245,'Gear Values'!$A$2:$E$13, IF(COUNTBLANK('Attributes &amp; Prefixes'!$B$24:$C$24)&gt;0, "4", "5"), 0)), "")</f>
        <v/>
      </c>
      <c r="O245" s="137" t="str" cm="1">
        <f t="array" ref="O245">IF(COUNTIF($B$24:$E$24, O$2)&gt;0, _xlfn.IFS(COUNTIF($B$24:$C$24, O$2)&gt;0, VLOOKUP($J245,'Gear Values'!$A$2:$E$13, IF(COUNTBLANK('Attributes &amp; Prefixes'!$B$24:$C$24)&gt;0, "2", "3"), 0), COUNTIF($D$24:$E$24, O$2)&gt;0, VLOOKUP($J245,'Gear Values'!$A$2:$E$13, IF(COUNTBLANK('Attributes &amp; Prefixes'!$B$24:$C$24)&gt;0, "4", "5"), 0)), "")</f>
        <v/>
      </c>
      <c r="P245" s="137" cm="1">
        <f t="array" ref="P245">IF(COUNTIF($B$24:$E$24, P$2)&gt;0, _xlfn.IFS(COUNTIF($B$24:$C$24, P$2)&gt;0, VLOOKUP($J245,'Gear Values'!$A$2:$E$13, IF(COUNTBLANK('Attributes &amp; Prefixes'!$B$24:$C$24)&gt;0, "2", "3"), 0), COUNTIF($D$24:$E$24, P$2)&gt;0, VLOOKUP($J245,'Gear Values'!$A$2:$E$13, IF(COUNTBLANK('Attributes &amp; Prefixes'!$B$24:$C$24)&gt;0, "4", "5"), 0)), "")</f>
        <v>51</v>
      </c>
      <c r="Q245" s="137" t="str" cm="1">
        <f t="array" ref="Q245">IF(COUNTIF($B$24:$E$24, Q$2)&gt;0, _xlfn.IFS(COUNTIF($B$24:$C$24, Q$2)&gt;0, VLOOKUP($J245,'Gear Values'!$A$2:$E$13, IF(COUNTBLANK('Attributes &amp; Prefixes'!$B$24:$C$24)&gt;0, "2", "3"), 0), COUNTIF($D$24:$E$24, Q$2)&gt;0, VLOOKUP($J245,'Gear Values'!$A$2:$E$13, IF(COUNTBLANK('Attributes &amp; Prefixes'!$B$24:$C$24)&gt;0, "4", "5"), 0)), "")</f>
        <v/>
      </c>
      <c r="R245" s="137" cm="1">
        <f t="array" ref="R245">IF(COUNTIF($B$24:$E$24, R$2)&gt;0, _xlfn.IFS(COUNTIF($B$24:$C$24, R$2)&gt;0, VLOOKUP($J245,'Gear Values'!$A$2:$E$13, IF(COUNTBLANK('Attributes &amp; Prefixes'!$B$24:$C$24)&gt;0, "2", "3"), 0), COUNTIF($D$24:$E$24, R$2)&gt;0, VLOOKUP($J245,'Gear Values'!$A$2:$E$13, IF(COUNTBLANK('Attributes &amp; Prefixes'!$B$24:$C$24)&gt;0, "4", "5"), 0)), "")</f>
        <v>28</v>
      </c>
      <c r="S245" s="138" t="str" cm="1">
        <f t="array" ref="S245">IF(COUNTIF($B$24:$E$24, S$2)&gt;0, _xlfn.IFS(COUNTIF($B$24:$C$24, S$2)&gt;0, VLOOKUP($J245,'Gear Values'!$A$2:$E$13, IF(COUNTBLANK('Attributes &amp; Prefixes'!$B$24:$C$24)&gt;0, "2", "3"), 0), COUNTIF($D$24:$E$24, S$2)&gt;0, VLOOKUP($J245,'Gear Values'!$A$2:$E$13, IF(COUNTBLANK('Attributes &amp; Prefixes'!$B$24:$C$24)&gt;0, "4", "5"), 0)), "")</f>
        <v/>
      </c>
      <c r="V245" s="112"/>
      <c r="W245" s="113"/>
    </row>
    <row r="246" spans="6:23">
      <c r="H246" s="130" t="str">
        <f>_xlfn.CONCAT(I$243,J246)</f>
        <v>GrievingShoulders</v>
      </c>
      <c r="I246" s="520"/>
      <c r="J246" s="144" t="s">
        <v>42</v>
      </c>
      <c r="K246" s="136" cm="1">
        <f t="array" ref="K246">IF(COUNTIF($B$24:$E$24, K$2)&gt;0, _xlfn.IFS(COUNTIF($B$24:$C$24, K$2)&gt;0, VLOOKUP($J246,'Gear Values'!$A$2:$E$13, IF(COUNTBLANK('Attributes &amp; Prefixes'!$B$24:$C$24)&gt;0, "2", "3"), 0), COUNTIF($D$24:$E$24, K$2)&gt;0, VLOOKUP($J246,'Gear Values'!$A$2:$E$13, IF(COUNTBLANK('Attributes &amp; Prefixes'!$B$24:$C$24)&gt;0, "4", "5"), 0)), "")</f>
        <v>38</v>
      </c>
      <c r="L246" s="137" cm="1">
        <f t="array" ref="L246">IF(COUNTIF($B$24:$E$24, L$2)&gt;0, _xlfn.IFS(COUNTIF($B$24:$C$24, L$2)&gt;0, VLOOKUP($J246,'Gear Values'!$A$2:$E$13, IF(COUNTBLANK('Attributes &amp; Prefixes'!$B$24:$C$24)&gt;0, "2", "3"), 0), COUNTIF($D$24:$E$24, L$2)&gt;0, VLOOKUP($J246,'Gear Values'!$A$2:$E$13, IF(COUNTBLANK('Attributes &amp; Prefixes'!$B$24:$C$24)&gt;0, "4", "5"), 0)), "")</f>
        <v>21</v>
      </c>
      <c r="M246" s="137" t="str" cm="1">
        <f t="array" ref="M246">IF(COUNTIF($B$24:$E$24, M$2)&gt;0, _xlfn.IFS(COUNTIF($B$24:$C$24, M$2)&gt;0, VLOOKUP($J246,'Gear Values'!$A$2:$E$13, IF(COUNTBLANK('Attributes &amp; Prefixes'!$B$24:$C$24)&gt;0, "2", "3"), 0), COUNTIF($D$24:$E$24, M$2)&gt;0, VLOOKUP($J246,'Gear Values'!$A$2:$E$13, IF(COUNTBLANK('Attributes &amp; Prefixes'!$B$24:$C$24)&gt;0, "4", "5"), 0)), "")</f>
        <v/>
      </c>
      <c r="N246" s="137" t="str" cm="1">
        <f t="array" ref="N246">IF(COUNTIF($B$24:$E$24, N$2)&gt;0, _xlfn.IFS(COUNTIF($B$24:$C$24, N$2)&gt;0, VLOOKUP($J246,'Gear Values'!$A$2:$E$13, IF(COUNTBLANK('Attributes &amp; Prefixes'!$B$24:$C$24)&gt;0, "2", "3"), 0), COUNTIF($D$24:$E$24, N$2)&gt;0, VLOOKUP($J246,'Gear Values'!$A$2:$E$13, IF(COUNTBLANK('Attributes &amp; Prefixes'!$B$24:$C$24)&gt;0, "4", "5"), 0)), "")</f>
        <v/>
      </c>
      <c r="O246" s="137" t="str" cm="1">
        <f t="array" ref="O246">IF(COUNTIF($B$24:$E$24, O$2)&gt;0, _xlfn.IFS(COUNTIF($B$24:$C$24, O$2)&gt;0, VLOOKUP($J246,'Gear Values'!$A$2:$E$13, IF(COUNTBLANK('Attributes &amp; Prefixes'!$B$24:$C$24)&gt;0, "2", "3"), 0), COUNTIF($D$24:$E$24, O$2)&gt;0, VLOOKUP($J246,'Gear Values'!$A$2:$E$13, IF(COUNTBLANK('Attributes &amp; Prefixes'!$B$24:$C$24)&gt;0, "4", "5"), 0)), "")</f>
        <v/>
      </c>
      <c r="P246" s="137" cm="1">
        <f t="array" ref="P246">IF(COUNTIF($B$24:$E$24, P$2)&gt;0, _xlfn.IFS(COUNTIF($B$24:$C$24, P$2)&gt;0, VLOOKUP($J246,'Gear Values'!$A$2:$E$13, IF(COUNTBLANK('Attributes &amp; Prefixes'!$B$24:$C$24)&gt;0, "2", "3"), 0), COUNTIF($D$24:$E$24, P$2)&gt;0, VLOOKUP($J246,'Gear Values'!$A$2:$E$13, IF(COUNTBLANK('Attributes &amp; Prefixes'!$B$24:$C$24)&gt;0, "4", "5"), 0)), "")</f>
        <v>38</v>
      </c>
      <c r="Q246" s="137" t="str" cm="1">
        <f t="array" ref="Q246">IF(COUNTIF($B$24:$E$24, Q$2)&gt;0, _xlfn.IFS(COUNTIF($B$24:$C$24, Q$2)&gt;0, VLOOKUP($J246,'Gear Values'!$A$2:$E$13, IF(COUNTBLANK('Attributes &amp; Prefixes'!$B$24:$C$24)&gt;0, "2", "3"), 0), COUNTIF($D$24:$E$24, Q$2)&gt;0, VLOOKUP($J246,'Gear Values'!$A$2:$E$13, IF(COUNTBLANK('Attributes &amp; Prefixes'!$B$24:$C$24)&gt;0, "4", "5"), 0)), "")</f>
        <v/>
      </c>
      <c r="R246" s="137" cm="1">
        <f t="array" ref="R246">IF(COUNTIF($B$24:$E$24, R$2)&gt;0, _xlfn.IFS(COUNTIF($B$24:$C$24, R$2)&gt;0, VLOOKUP($J246,'Gear Values'!$A$2:$E$13, IF(COUNTBLANK('Attributes &amp; Prefixes'!$B$24:$C$24)&gt;0, "2", "3"), 0), COUNTIF($D$24:$E$24, R$2)&gt;0, VLOOKUP($J246,'Gear Values'!$A$2:$E$13, IF(COUNTBLANK('Attributes &amp; Prefixes'!$B$24:$C$24)&gt;0, "4", "5"), 0)), "")</f>
        <v>21</v>
      </c>
      <c r="S246" s="138" t="str" cm="1">
        <f t="array" ref="S246">IF(COUNTIF($B$24:$E$24, S$2)&gt;0, _xlfn.IFS(COUNTIF($B$24:$C$24, S$2)&gt;0, VLOOKUP($J246,'Gear Values'!$A$2:$E$13, IF(COUNTBLANK('Attributes &amp; Prefixes'!$B$24:$C$24)&gt;0, "2", "3"), 0), COUNTIF($D$24:$E$24, S$2)&gt;0, VLOOKUP($J246,'Gear Values'!$A$2:$E$13, IF(COUNTBLANK('Attributes &amp; Prefixes'!$B$24:$C$24)&gt;0, "4", "5"), 0)), "")</f>
        <v/>
      </c>
      <c r="V246" s="112"/>
      <c r="W246" s="113"/>
    </row>
    <row r="247" spans="6:23">
      <c r="H247" s="130" t="str">
        <f>_xlfn.CONCAT(I$243,J247)</f>
        <v>GrievingChest</v>
      </c>
      <c r="I247" s="520"/>
      <c r="J247" s="144" t="s">
        <v>44</v>
      </c>
      <c r="K247" s="136" cm="1">
        <f t="array" ref="K247">IF(COUNTIF($B$24:$E$24, K$2)&gt;0, _xlfn.IFS(COUNTIF($B$24:$C$24, K$2)&gt;0, VLOOKUP($J247,'Gear Values'!$A$2:$E$13, IF(COUNTBLANK('Attributes &amp; Prefixes'!$B$24:$C$24)&gt;0, "2", "3"), 0), COUNTIF($D$24:$E$24, K$2)&gt;0, VLOOKUP($J247,'Gear Values'!$A$2:$E$13, IF(COUNTBLANK('Attributes &amp; Prefixes'!$B$24:$C$24)&gt;0, "4", "5"), 0)), "")</f>
        <v>115</v>
      </c>
      <c r="L247" s="137" cm="1">
        <f t="array" ref="L247">IF(COUNTIF($B$24:$E$24, L$2)&gt;0, _xlfn.IFS(COUNTIF($B$24:$C$24, L$2)&gt;0, VLOOKUP($J247,'Gear Values'!$A$2:$E$13, IF(COUNTBLANK('Attributes &amp; Prefixes'!$B$24:$C$24)&gt;0, "2", "3"), 0), COUNTIF($D$24:$E$24, L$2)&gt;0, VLOOKUP($J247,'Gear Values'!$A$2:$E$13, IF(COUNTBLANK('Attributes &amp; Prefixes'!$B$24:$C$24)&gt;0, "4", "5"), 0)), "")</f>
        <v>63</v>
      </c>
      <c r="M247" s="137" t="str" cm="1">
        <f t="array" ref="M247">IF(COUNTIF($B$24:$E$24, M$2)&gt;0, _xlfn.IFS(COUNTIF($B$24:$C$24, M$2)&gt;0, VLOOKUP($J247,'Gear Values'!$A$2:$E$13, IF(COUNTBLANK('Attributes &amp; Prefixes'!$B$24:$C$24)&gt;0, "2", "3"), 0), COUNTIF($D$24:$E$24, M$2)&gt;0, VLOOKUP($J247,'Gear Values'!$A$2:$E$13, IF(COUNTBLANK('Attributes &amp; Prefixes'!$B$24:$C$24)&gt;0, "4", "5"), 0)), "")</f>
        <v/>
      </c>
      <c r="N247" s="137" t="str" cm="1">
        <f t="array" ref="N247">IF(COUNTIF($B$24:$E$24, N$2)&gt;0, _xlfn.IFS(COUNTIF($B$24:$C$24, N$2)&gt;0, VLOOKUP($J247,'Gear Values'!$A$2:$E$13, IF(COUNTBLANK('Attributes &amp; Prefixes'!$B$24:$C$24)&gt;0, "2", "3"), 0), COUNTIF($D$24:$E$24, N$2)&gt;0, VLOOKUP($J247,'Gear Values'!$A$2:$E$13, IF(COUNTBLANK('Attributes &amp; Prefixes'!$B$24:$C$24)&gt;0, "4", "5"), 0)), "")</f>
        <v/>
      </c>
      <c r="O247" s="137" t="str" cm="1">
        <f t="array" ref="O247">IF(COUNTIF($B$24:$E$24, O$2)&gt;0, _xlfn.IFS(COUNTIF($B$24:$C$24, O$2)&gt;0, VLOOKUP($J247,'Gear Values'!$A$2:$E$13, IF(COUNTBLANK('Attributes &amp; Prefixes'!$B$24:$C$24)&gt;0, "2", "3"), 0), COUNTIF($D$24:$E$24, O$2)&gt;0, VLOOKUP($J247,'Gear Values'!$A$2:$E$13, IF(COUNTBLANK('Attributes &amp; Prefixes'!$B$24:$C$24)&gt;0, "4", "5"), 0)), "")</f>
        <v/>
      </c>
      <c r="P247" s="137" cm="1">
        <f t="array" ref="P247">IF(COUNTIF($B$24:$E$24, P$2)&gt;0, _xlfn.IFS(COUNTIF($B$24:$C$24, P$2)&gt;0, VLOOKUP($J247,'Gear Values'!$A$2:$E$13, IF(COUNTBLANK('Attributes &amp; Prefixes'!$B$24:$C$24)&gt;0, "2", "3"), 0), COUNTIF($D$24:$E$24, P$2)&gt;0, VLOOKUP($J247,'Gear Values'!$A$2:$E$13, IF(COUNTBLANK('Attributes &amp; Prefixes'!$B$24:$C$24)&gt;0, "4", "5"), 0)), "")</f>
        <v>115</v>
      </c>
      <c r="Q247" s="137" t="str" cm="1">
        <f t="array" ref="Q247">IF(COUNTIF($B$24:$E$24, Q$2)&gt;0, _xlfn.IFS(COUNTIF($B$24:$C$24, Q$2)&gt;0, VLOOKUP($J247,'Gear Values'!$A$2:$E$13, IF(COUNTBLANK('Attributes &amp; Prefixes'!$B$24:$C$24)&gt;0, "2", "3"), 0), COUNTIF($D$24:$E$24, Q$2)&gt;0, VLOOKUP($J247,'Gear Values'!$A$2:$E$13, IF(COUNTBLANK('Attributes &amp; Prefixes'!$B$24:$C$24)&gt;0, "4", "5"), 0)), "")</f>
        <v/>
      </c>
      <c r="R247" s="137" cm="1">
        <f t="array" ref="R247">IF(COUNTIF($B$24:$E$24, R$2)&gt;0, _xlfn.IFS(COUNTIF($B$24:$C$24, R$2)&gt;0, VLOOKUP($J247,'Gear Values'!$A$2:$E$13, IF(COUNTBLANK('Attributes &amp; Prefixes'!$B$24:$C$24)&gt;0, "2", "3"), 0), COUNTIF($D$24:$E$24, R$2)&gt;0, VLOOKUP($J247,'Gear Values'!$A$2:$E$13, IF(COUNTBLANK('Attributes &amp; Prefixes'!$B$24:$C$24)&gt;0, "4", "5"), 0)), "")</f>
        <v>63</v>
      </c>
      <c r="S247" s="138" t="str" cm="1">
        <f t="array" ref="S247">IF(COUNTIF($B$24:$E$24, S$2)&gt;0, _xlfn.IFS(COUNTIF($B$24:$C$24, S$2)&gt;0, VLOOKUP($J247,'Gear Values'!$A$2:$E$13, IF(COUNTBLANK('Attributes &amp; Prefixes'!$B$24:$C$24)&gt;0, "2", "3"), 0), COUNTIF($D$24:$E$24, S$2)&gt;0, VLOOKUP($J247,'Gear Values'!$A$2:$E$13, IF(COUNTBLANK('Attributes &amp; Prefixes'!$B$24:$C$24)&gt;0, "4", "5"), 0)), "")</f>
        <v/>
      </c>
      <c r="V247" s="112"/>
      <c r="W247" s="113"/>
    </row>
    <row r="248" spans="6:23">
      <c r="H248" s="130" t="str">
        <f>_xlfn.CONCAT(I$243,J248)</f>
        <v>GrievingHands</v>
      </c>
      <c r="I248" s="520"/>
      <c r="J248" s="144" t="s">
        <v>45</v>
      </c>
      <c r="K248" s="136" cm="1">
        <f t="array" ref="K248">IF(COUNTIF($B$24:$E$24, K$2)&gt;0, _xlfn.IFS(COUNTIF($B$24:$C$24, K$2)&gt;0, VLOOKUP($J248,'Gear Values'!$A$2:$E$13, IF(COUNTBLANK('Attributes &amp; Prefixes'!$B$24:$C$24)&gt;0, "2", "3"), 0), COUNTIF($D$24:$E$24, K$2)&gt;0, VLOOKUP($J248,'Gear Values'!$A$2:$E$13, IF(COUNTBLANK('Attributes &amp; Prefixes'!$B$24:$C$24)&gt;0, "4", "5"), 0)), "")</f>
        <v>38</v>
      </c>
      <c r="L248" s="137" cm="1">
        <f t="array" ref="L248">IF(COUNTIF($B$24:$E$24, L$2)&gt;0, _xlfn.IFS(COUNTIF($B$24:$C$24, L$2)&gt;0, VLOOKUP($J248,'Gear Values'!$A$2:$E$13, IF(COUNTBLANK('Attributes &amp; Prefixes'!$B$24:$C$24)&gt;0, "2", "3"), 0), COUNTIF($D$24:$E$24, L$2)&gt;0, VLOOKUP($J248,'Gear Values'!$A$2:$E$13, IF(COUNTBLANK('Attributes &amp; Prefixes'!$B$24:$C$24)&gt;0, "4", "5"), 0)), "")</f>
        <v>21</v>
      </c>
      <c r="M248" s="137" t="str" cm="1">
        <f t="array" ref="M248">IF(COUNTIF($B$24:$E$24, M$2)&gt;0, _xlfn.IFS(COUNTIF($B$24:$C$24, M$2)&gt;0, VLOOKUP($J248,'Gear Values'!$A$2:$E$13, IF(COUNTBLANK('Attributes &amp; Prefixes'!$B$24:$C$24)&gt;0, "2", "3"), 0), COUNTIF($D$24:$E$24, M$2)&gt;0, VLOOKUP($J248,'Gear Values'!$A$2:$E$13, IF(COUNTBLANK('Attributes &amp; Prefixes'!$B$24:$C$24)&gt;0, "4", "5"), 0)), "")</f>
        <v/>
      </c>
      <c r="N248" s="137" t="str" cm="1">
        <f t="array" ref="N248">IF(COUNTIF($B$24:$E$24, N$2)&gt;0, _xlfn.IFS(COUNTIF($B$24:$C$24, N$2)&gt;0, VLOOKUP($J248,'Gear Values'!$A$2:$E$13, IF(COUNTBLANK('Attributes &amp; Prefixes'!$B$24:$C$24)&gt;0, "2", "3"), 0), COUNTIF($D$24:$E$24, N$2)&gt;0, VLOOKUP($J248,'Gear Values'!$A$2:$E$13, IF(COUNTBLANK('Attributes &amp; Prefixes'!$B$24:$C$24)&gt;0, "4", "5"), 0)), "")</f>
        <v/>
      </c>
      <c r="O248" s="137" t="str" cm="1">
        <f t="array" ref="O248">IF(COUNTIF($B$24:$E$24, O$2)&gt;0, _xlfn.IFS(COUNTIF($B$24:$C$24, O$2)&gt;0, VLOOKUP($J248,'Gear Values'!$A$2:$E$13, IF(COUNTBLANK('Attributes &amp; Prefixes'!$B$24:$C$24)&gt;0, "2", "3"), 0), COUNTIF($D$24:$E$24, O$2)&gt;0, VLOOKUP($J248,'Gear Values'!$A$2:$E$13, IF(COUNTBLANK('Attributes &amp; Prefixes'!$B$24:$C$24)&gt;0, "4", "5"), 0)), "")</f>
        <v/>
      </c>
      <c r="P248" s="137" cm="1">
        <f t="array" ref="P248">IF(COUNTIF($B$24:$E$24, P$2)&gt;0, _xlfn.IFS(COUNTIF($B$24:$C$24, P$2)&gt;0, VLOOKUP($J248,'Gear Values'!$A$2:$E$13, IF(COUNTBLANK('Attributes &amp; Prefixes'!$B$24:$C$24)&gt;0, "2", "3"), 0), COUNTIF($D$24:$E$24, P$2)&gt;0, VLOOKUP($J248,'Gear Values'!$A$2:$E$13, IF(COUNTBLANK('Attributes &amp; Prefixes'!$B$24:$C$24)&gt;0, "4", "5"), 0)), "")</f>
        <v>38</v>
      </c>
      <c r="Q248" s="137" t="str" cm="1">
        <f t="array" ref="Q248">IF(COUNTIF($B$24:$E$24, Q$2)&gt;0, _xlfn.IFS(COUNTIF($B$24:$C$24, Q$2)&gt;0, VLOOKUP($J248,'Gear Values'!$A$2:$E$13, IF(COUNTBLANK('Attributes &amp; Prefixes'!$B$24:$C$24)&gt;0, "2", "3"), 0), COUNTIF($D$24:$E$24, Q$2)&gt;0, VLOOKUP($J248,'Gear Values'!$A$2:$E$13, IF(COUNTBLANK('Attributes &amp; Prefixes'!$B$24:$C$24)&gt;0, "4", "5"), 0)), "")</f>
        <v/>
      </c>
      <c r="R248" s="137" cm="1">
        <f t="array" ref="R248">IF(COUNTIF($B$24:$E$24, R$2)&gt;0, _xlfn.IFS(COUNTIF($B$24:$C$24, R$2)&gt;0, VLOOKUP($J248,'Gear Values'!$A$2:$E$13, IF(COUNTBLANK('Attributes &amp; Prefixes'!$B$24:$C$24)&gt;0, "2", "3"), 0), COUNTIF($D$24:$E$24, R$2)&gt;0, VLOOKUP($J248,'Gear Values'!$A$2:$E$13, IF(COUNTBLANK('Attributes &amp; Prefixes'!$B$24:$C$24)&gt;0, "4", "5"), 0)), "")</f>
        <v>21</v>
      </c>
      <c r="S248" s="138" t="str" cm="1">
        <f t="array" ref="S248">IF(COUNTIF($B$24:$E$24, S$2)&gt;0, _xlfn.IFS(COUNTIF($B$24:$C$24, S$2)&gt;0, VLOOKUP($J248,'Gear Values'!$A$2:$E$13, IF(COUNTBLANK('Attributes &amp; Prefixes'!$B$24:$C$24)&gt;0, "2", "3"), 0), COUNTIF($D$24:$E$24, S$2)&gt;0, VLOOKUP($J248,'Gear Values'!$A$2:$E$13, IF(COUNTBLANK('Attributes &amp; Prefixes'!$B$24:$C$24)&gt;0, "4", "5"), 0)), "")</f>
        <v/>
      </c>
      <c r="V248" s="112"/>
      <c r="W248" s="113"/>
    </row>
    <row r="249" spans="6:23">
      <c r="H249" s="130" t="str">
        <f>_xlfn.CONCAT(I$243,J249)</f>
        <v>GrievingLegs</v>
      </c>
      <c r="I249" s="520"/>
      <c r="J249" s="144" t="s">
        <v>47</v>
      </c>
      <c r="K249" s="136" cm="1">
        <f t="array" ref="K249">IF(COUNTIF($B$24:$E$24, K$2)&gt;0, _xlfn.IFS(COUNTIF($B$24:$C$24, K$2)&gt;0, VLOOKUP($J249,'Gear Values'!$A$2:$E$13, IF(COUNTBLANK('Attributes &amp; Prefixes'!$B$24:$C$24)&gt;0, "2", "3"), 0), COUNTIF($D$24:$E$24, K$2)&gt;0, VLOOKUP($J249,'Gear Values'!$A$2:$E$13, IF(COUNTBLANK('Attributes &amp; Prefixes'!$B$24:$C$24)&gt;0, "4", "5"), 0)), "")</f>
        <v>77</v>
      </c>
      <c r="L249" s="137" cm="1">
        <f t="array" ref="L249">IF(COUNTIF($B$24:$E$24, L$2)&gt;0, _xlfn.IFS(COUNTIF($B$24:$C$24, L$2)&gt;0, VLOOKUP($J249,'Gear Values'!$A$2:$E$13, IF(COUNTBLANK('Attributes &amp; Prefixes'!$B$24:$C$24)&gt;0, "2", "3"), 0), COUNTIF($D$24:$E$24, L$2)&gt;0, VLOOKUP($J249,'Gear Values'!$A$2:$E$13, IF(COUNTBLANK('Attributes &amp; Prefixes'!$B$24:$C$24)&gt;0, "4", "5"), 0)), "")</f>
        <v>42</v>
      </c>
      <c r="M249" s="137" t="str" cm="1">
        <f t="array" ref="M249">IF(COUNTIF($B$24:$E$24, M$2)&gt;0, _xlfn.IFS(COUNTIF($B$24:$C$24, M$2)&gt;0, VLOOKUP($J249,'Gear Values'!$A$2:$E$13, IF(COUNTBLANK('Attributes &amp; Prefixes'!$B$24:$C$24)&gt;0, "2", "3"), 0), COUNTIF($D$24:$E$24, M$2)&gt;0, VLOOKUP($J249,'Gear Values'!$A$2:$E$13, IF(COUNTBLANK('Attributes &amp; Prefixes'!$B$24:$C$24)&gt;0, "4", "5"), 0)), "")</f>
        <v/>
      </c>
      <c r="N249" s="137" t="str" cm="1">
        <f t="array" ref="N249">IF(COUNTIF($B$24:$E$24, N$2)&gt;0, _xlfn.IFS(COUNTIF($B$24:$C$24, N$2)&gt;0, VLOOKUP($J249,'Gear Values'!$A$2:$E$13, IF(COUNTBLANK('Attributes &amp; Prefixes'!$B$24:$C$24)&gt;0, "2", "3"), 0), COUNTIF($D$24:$E$24, N$2)&gt;0, VLOOKUP($J249,'Gear Values'!$A$2:$E$13, IF(COUNTBLANK('Attributes &amp; Prefixes'!$B$24:$C$24)&gt;0, "4", "5"), 0)), "")</f>
        <v/>
      </c>
      <c r="O249" s="137" t="str" cm="1">
        <f t="array" ref="O249">IF(COUNTIF($B$24:$E$24, O$2)&gt;0, _xlfn.IFS(COUNTIF($B$24:$C$24, O$2)&gt;0, VLOOKUP($J249,'Gear Values'!$A$2:$E$13, IF(COUNTBLANK('Attributes &amp; Prefixes'!$B$24:$C$24)&gt;0, "2", "3"), 0), COUNTIF($D$24:$E$24, O$2)&gt;0, VLOOKUP($J249,'Gear Values'!$A$2:$E$13, IF(COUNTBLANK('Attributes &amp; Prefixes'!$B$24:$C$24)&gt;0, "4", "5"), 0)), "")</f>
        <v/>
      </c>
      <c r="P249" s="137" cm="1">
        <f t="array" ref="P249">IF(COUNTIF($B$24:$E$24, P$2)&gt;0, _xlfn.IFS(COUNTIF($B$24:$C$24, P$2)&gt;0, VLOOKUP($J249,'Gear Values'!$A$2:$E$13, IF(COUNTBLANK('Attributes &amp; Prefixes'!$B$24:$C$24)&gt;0, "2", "3"), 0), COUNTIF($D$24:$E$24, P$2)&gt;0, VLOOKUP($J249,'Gear Values'!$A$2:$E$13, IF(COUNTBLANK('Attributes &amp; Prefixes'!$B$24:$C$24)&gt;0, "4", "5"), 0)), "")</f>
        <v>77</v>
      </c>
      <c r="Q249" s="137" t="str" cm="1">
        <f t="array" ref="Q249">IF(COUNTIF($B$24:$E$24, Q$2)&gt;0, _xlfn.IFS(COUNTIF($B$24:$C$24, Q$2)&gt;0, VLOOKUP($J249,'Gear Values'!$A$2:$E$13, IF(COUNTBLANK('Attributes &amp; Prefixes'!$B$24:$C$24)&gt;0, "2", "3"), 0), COUNTIF($D$24:$E$24, Q$2)&gt;0, VLOOKUP($J249,'Gear Values'!$A$2:$E$13, IF(COUNTBLANK('Attributes &amp; Prefixes'!$B$24:$C$24)&gt;0, "4", "5"), 0)), "")</f>
        <v/>
      </c>
      <c r="R249" s="137" cm="1">
        <f t="array" ref="R249">IF(COUNTIF($B$24:$E$24, R$2)&gt;0, _xlfn.IFS(COUNTIF($B$24:$C$24, R$2)&gt;0, VLOOKUP($J249,'Gear Values'!$A$2:$E$13, IF(COUNTBLANK('Attributes &amp; Prefixes'!$B$24:$C$24)&gt;0, "2", "3"), 0), COUNTIF($D$24:$E$24, R$2)&gt;0, VLOOKUP($J249,'Gear Values'!$A$2:$E$13, IF(COUNTBLANK('Attributes &amp; Prefixes'!$B$24:$C$24)&gt;0, "4", "5"), 0)), "")</f>
        <v>42</v>
      </c>
      <c r="S249" s="138" t="str" cm="1">
        <f t="array" ref="S249">IF(COUNTIF($B$24:$E$24, S$2)&gt;0, _xlfn.IFS(COUNTIF($B$24:$C$24, S$2)&gt;0, VLOOKUP($J249,'Gear Values'!$A$2:$E$13, IF(COUNTBLANK('Attributes &amp; Prefixes'!$B$24:$C$24)&gt;0, "2", "3"), 0), COUNTIF($D$24:$E$24, S$2)&gt;0, VLOOKUP($J249,'Gear Values'!$A$2:$E$13, IF(COUNTBLANK('Attributes &amp; Prefixes'!$B$24:$C$24)&gt;0, "4", "5"), 0)), "")</f>
        <v/>
      </c>
      <c r="V249" s="112"/>
      <c r="W249" s="113"/>
    </row>
    <row r="250" spans="6:23">
      <c r="H250" s="130" t="str">
        <f>_xlfn.CONCAT(I$243,J250)</f>
        <v>GrievingFeet</v>
      </c>
      <c r="I250" s="520"/>
      <c r="J250" s="144" t="s">
        <v>48</v>
      </c>
      <c r="K250" s="136" cm="1">
        <f t="array" ref="K250">IF(COUNTIF($B$24:$E$24, K$2)&gt;0, _xlfn.IFS(COUNTIF($B$24:$C$24, K$2)&gt;0, VLOOKUP($J250,'Gear Values'!$A$2:$E$13, IF(COUNTBLANK('Attributes &amp; Prefixes'!$B$24:$C$24)&gt;0, "2", "3"), 0), COUNTIF($D$24:$E$24, K$2)&gt;0, VLOOKUP($J250,'Gear Values'!$A$2:$E$13, IF(COUNTBLANK('Attributes &amp; Prefixes'!$B$24:$C$24)&gt;0, "4", "5"), 0)), "")</f>
        <v>38</v>
      </c>
      <c r="L250" s="137" cm="1">
        <f t="array" ref="L250">IF(COUNTIF($B$24:$E$24, L$2)&gt;0, _xlfn.IFS(COUNTIF($B$24:$C$24, L$2)&gt;0, VLOOKUP($J250,'Gear Values'!$A$2:$E$13, IF(COUNTBLANK('Attributes &amp; Prefixes'!$B$24:$C$24)&gt;0, "2", "3"), 0), COUNTIF($D$24:$E$24, L$2)&gt;0, VLOOKUP($J250,'Gear Values'!$A$2:$E$13, IF(COUNTBLANK('Attributes &amp; Prefixes'!$B$24:$C$24)&gt;0, "4", "5"), 0)), "")</f>
        <v>21</v>
      </c>
      <c r="M250" s="137" t="str" cm="1">
        <f t="array" ref="M250">IF(COUNTIF($B$24:$E$24, M$2)&gt;0, _xlfn.IFS(COUNTIF($B$24:$C$24, M$2)&gt;0, VLOOKUP($J250,'Gear Values'!$A$2:$E$13, IF(COUNTBLANK('Attributes &amp; Prefixes'!$B$24:$C$24)&gt;0, "2", "3"), 0), COUNTIF($D$24:$E$24, M$2)&gt;0, VLOOKUP($J250,'Gear Values'!$A$2:$E$13, IF(COUNTBLANK('Attributes &amp; Prefixes'!$B$24:$C$24)&gt;0, "4", "5"), 0)), "")</f>
        <v/>
      </c>
      <c r="N250" s="137" t="str" cm="1">
        <f t="array" ref="N250">IF(COUNTIF($B$24:$E$24, N$2)&gt;0, _xlfn.IFS(COUNTIF($B$24:$C$24, N$2)&gt;0, VLOOKUP($J250,'Gear Values'!$A$2:$E$13, IF(COUNTBLANK('Attributes &amp; Prefixes'!$B$24:$C$24)&gt;0, "2", "3"), 0), COUNTIF($D$24:$E$24, N$2)&gt;0, VLOOKUP($J250,'Gear Values'!$A$2:$E$13, IF(COUNTBLANK('Attributes &amp; Prefixes'!$B$24:$C$24)&gt;0, "4", "5"), 0)), "")</f>
        <v/>
      </c>
      <c r="O250" s="137" t="str" cm="1">
        <f t="array" ref="O250">IF(COUNTIF($B$24:$E$24, O$2)&gt;0, _xlfn.IFS(COUNTIF($B$24:$C$24, O$2)&gt;0, VLOOKUP($J250,'Gear Values'!$A$2:$E$13, IF(COUNTBLANK('Attributes &amp; Prefixes'!$B$24:$C$24)&gt;0, "2", "3"), 0), COUNTIF($D$24:$E$24, O$2)&gt;0, VLOOKUP($J250,'Gear Values'!$A$2:$E$13, IF(COUNTBLANK('Attributes &amp; Prefixes'!$B$24:$C$24)&gt;0, "4", "5"), 0)), "")</f>
        <v/>
      </c>
      <c r="P250" s="137" cm="1">
        <f t="array" ref="P250">IF(COUNTIF($B$24:$E$24, P$2)&gt;0, _xlfn.IFS(COUNTIF($B$24:$C$24, P$2)&gt;0, VLOOKUP($J250,'Gear Values'!$A$2:$E$13, IF(COUNTBLANK('Attributes &amp; Prefixes'!$B$24:$C$24)&gt;0, "2", "3"), 0), COUNTIF($D$24:$E$24, P$2)&gt;0, VLOOKUP($J250,'Gear Values'!$A$2:$E$13, IF(COUNTBLANK('Attributes &amp; Prefixes'!$B$24:$C$24)&gt;0, "4", "5"), 0)), "")</f>
        <v>38</v>
      </c>
      <c r="Q250" s="137" t="str" cm="1">
        <f t="array" ref="Q250">IF(COUNTIF($B$24:$E$24, Q$2)&gt;0, _xlfn.IFS(COUNTIF($B$24:$C$24, Q$2)&gt;0, VLOOKUP($J250,'Gear Values'!$A$2:$E$13, IF(COUNTBLANK('Attributes &amp; Prefixes'!$B$24:$C$24)&gt;0, "2", "3"), 0), COUNTIF($D$24:$E$24, Q$2)&gt;0, VLOOKUP($J250,'Gear Values'!$A$2:$E$13, IF(COUNTBLANK('Attributes &amp; Prefixes'!$B$24:$C$24)&gt;0, "4", "5"), 0)), "")</f>
        <v/>
      </c>
      <c r="R250" s="137" cm="1">
        <f t="array" ref="R250">IF(COUNTIF($B$24:$E$24, R$2)&gt;0, _xlfn.IFS(COUNTIF($B$24:$C$24, R$2)&gt;0, VLOOKUP($J250,'Gear Values'!$A$2:$E$13, IF(COUNTBLANK('Attributes &amp; Prefixes'!$B$24:$C$24)&gt;0, "2", "3"), 0), COUNTIF($D$24:$E$24, R$2)&gt;0, VLOOKUP($J250,'Gear Values'!$A$2:$E$13, IF(COUNTBLANK('Attributes &amp; Prefixes'!$B$24:$C$24)&gt;0, "4", "5"), 0)), "")</f>
        <v>21</v>
      </c>
      <c r="S250" s="138" t="str" cm="1">
        <f t="array" ref="S250">IF(COUNTIF($B$24:$E$24, S$2)&gt;0, _xlfn.IFS(COUNTIF($B$24:$C$24, S$2)&gt;0, VLOOKUP($J250,'Gear Values'!$A$2:$E$13, IF(COUNTBLANK('Attributes &amp; Prefixes'!$B$24:$C$24)&gt;0, "2", "3"), 0), COUNTIF($D$24:$E$24, S$2)&gt;0, VLOOKUP($J250,'Gear Values'!$A$2:$E$13, IF(COUNTBLANK('Attributes &amp; Prefixes'!$B$24:$C$24)&gt;0, "4", "5"), 0)), "")</f>
        <v/>
      </c>
      <c r="V250" s="112"/>
      <c r="W250" s="113"/>
    </row>
    <row r="251" spans="6:23">
      <c r="H251" s="130" t="str">
        <f>_xlfn.CONCAT(I$243,J251)</f>
        <v>GrievingEar</v>
      </c>
      <c r="I251" s="520"/>
      <c r="J251" s="144" t="s">
        <v>49</v>
      </c>
      <c r="K251" s="136" cm="1">
        <f t="array" ref="K251">IF(COUNTIF($B$24:$E$24, K$2)&gt;0, _xlfn.IFS(COUNTIF($B$24:$C$24, K$2)&gt;0, VLOOKUP($J251,'Gear Values'!$A$2:$E$13, IF(COUNTBLANK('Attributes &amp; Prefixes'!$B$24:$C$24)&gt;0, "2", "3"), 0), COUNTIF($D$24:$E$24, K$2)&gt;0, VLOOKUP($J251,'Gear Values'!$A$2:$E$13, IF(COUNTBLANK('Attributes &amp; Prefixes'!$B$24:$C$24)&gt;0, "4", "5"), 0)), "")</f>
        <v>64</v>
      </c>
      <c r="L251" s="137" cm="1">
        <f t="array" ref="L251">IF(COUNTIF($B$24:$E$24, L$2)&gt;0, _xlfn.IFS(COUNTIF($B$24:$C$24, L$2)&gt;0, VLOOKUP($J251,'Gear Values'!$A$2:$E$13, IF(COUNTBLANK('Attributes &amp; Prefixes'!$B$24:$C$24)&gt;0, "2", "3"), 0), COUNTIF($D$24:$E$24, L$2)&gt;0, VLOOKUP($J251,'Gear Values'!$A$2:$E$13, IF(COUNTBLANK('Attributes &amp; Prefixes'!$B$24:$C$24)&gt;0, "4", "5"), 0)), "")</f>
        <v>35</v>
      </c>
      <c r="M251" s="137" t="str" cm="1">
        <f t="array" ref="M251">IF(COUNTIF($B$24:$E$24, M$2)&gt;0, _xlfn.IFS(COUNTIF($B$24:$C$24, M$2)&gt;0, VLOOKUP($J251,'Gear Values'!$A$2:$E$13, IF(COUNTBLANK('Attributes &amp; Prefixes'!$B$24:$C$24)&gt;0, "2", "3"), 0), COUNTIF($D$24:$E$24, M$2)&gt;0, VLOOKUP($J251,'Gear Values'!$A$2:$E$13, IF(COUNTBLANK('Attributes &amp; Prefixes'!$B$24:$C$24)&gt;0, "4", "5"), 0)), "")</f>
        <v/>
      </c>
      <c r="N251" s="137" t="str" cm="1">
        <f t="array" ref="N251">IF(COUNTIF($B$24:$E$24, N$2)&gt;0, _xlfn.IFS(COUNTIF($B$24:$C$24, N$2)&gt;0, VLOOKUP($J251,'Gear Values'!$A$2:$E$13, IF(COUNTBLANK('Attributes &amp; Prefixes'!$B$24:$C$24)&gt;0, "2", "3"), 0), COUNTIF($D$24:$E$24, N$2)&gt;0, VLOOKUP($J251,'Gear Values'!$A$2:$E$13, IF(COUNTBLANK('Attributes &amp; Prefixes'!$B$24:$C$24)&gt;0, "4", "5"), 0)), "")</f>
        <v/>
      </c>
      <c r="O251" s="137" t="str" cm="1">
        <f t="array" ref="O251">IF(COUNTIF($B$24:$E$24, O$2)&gt;0, _xlfn.IFS(COUNTIF($B$24:$C$24, O$2)&gt;0, VLOOKUP($J251,'Gear Values'!$A$2:$E$13, IF(COUNTBLANK('Attributes &amp; Prefixes'!$B$24:$C$24)&gt;0, "2", "3"), 0), COUNTIF($D$24:$E$24, O$2)&gt;0, VLOOKUP($J251,'Gear Values'!$A$2:$E$13, IF(COUNTBLANK('Attributes &amp; Prefixes'!$B$24:$C$24)&gt;0, "4", "5"), 0)), "")</f>
        <v/>
      </c>
      <c r="P251" s="137" cm="1">
        <f t="array" ref="P251">IF(COUNTIF($B$24:$E$24, P$2)&gt;0, _xlfn.IFS(COUNTIF($B$24:$C$24, P$2)&gt;0, VLOOKUP($J251,'Gear Values'!$A$2:$E$13, IF(COUNTBLANK('Attributes &amp; Prefixes'!$B$24:$C$24)&gt;0, "2", "3"), 0), COUNTIF($D$24:$E$24, P$2)&gt;0, VLOOKUP($J251,'Gear Values'!$A$2:$E$13, IF(COUNTBLANK('Attributes &amp; Prefixes'!$B$24:$C$24)&gt;0, "4", "5"), 0)), "")</f>
        <v>64</v>
      </c>
      <c r="Q251" s="137" t="str" cm="1">
        <f t="array" ref="Q251">IF(COUNTIF($B$24:$E$24, Q$2)&gt;0, _xlfn.IFS(COUNTIF($B$24:$C$24, Q$2)&gt;0, VLOOKUP($J251,'Gear Values'!$A$2:$E$13, IF(COUNTBLANK('Attributes &amp; Prefixes'!$B$24:$C$24)&gt;0, "2", "3"), 0), COUNTIF($D$24:$E$24, Q$2)&gt;0, VLOOKUP($J251,'Gear Values'!$A$2:$E$13, IF(COUNTBLANK('Attributes &amp; Prefixes'!$B$24:$C$24)&gt;0, "4", "5"), 0)), "")</f>
        <v/>
      </c>
      <c r="R251" s="137" cm="1">
        <f t="array" ref="R251">IF(COUNTIF($B$24:$E$24, R$2)&gt;0, _xlfn.IFS(COUNTIF($B$24:$C$24, R$2)&gt;0, VLOOKUP($J251,'Gear Values'!$A$2:$E$13, IF(COUNTBLANK('Attributes &amp; Prefixes'!$B$24:$C$24)&gt;0, "2", "3"), 0), COUNTIF($D$24:$E$24, R$2)&gt;0, VLOOKUP($J251,'Gear Values'!$A$2:$E$13, IF(COUNTBLANK('Attributes &amp; Prefixes'!$B$24:$C$24)&gt;0, "4", "5"), 0)), "")</f>
        <v>35</v>
      </c>
      <c r="S251" s="138" t="str" cm="1">
        <f t="array" ref="S251">IF(COUNTIF($B$24:$E$24, S$2)&gt;0, _xlfn.IFS(COUNTIF($B$24:$C$24, S$2)&gt;0, VLOOKUP($J251,'Gear Values'!$A$2:$E$13, IF(COUNTBLANK('Attributes &amp; Prefixes'!$B$24:$C$24)&gt;0, "2", "3"), 0), COUNTIF($D$24:$E$24, S$2)&gt;0, VLOOKUP($J251,'Gear Values'!$A$2:$E$13, IF(COUNTBLANK('Attributes &amp; Prefixes'!$B$24:$C$24)&gt;0, "4", "5"), 0)), "")</f>
        <v/>
      </c>
      <c r="V251" s="112"/>
      <c r="W251" s="113"/>
    </row>
    <row r="252" spans="6:23">
      <c r="F252" s="114"/>
      <c r="G252" s="114"/>
      <c r="H252" s="130" t="str">
        <f>_xlfn.CONCAT(I$243,J252)</f>
        <v>GrievingFinger</v>
      </c>
      <c r="I252" s="520"/>
      <c r="J252" s="144" t="s">
        <v>51</v>
      </c>
      <c r="K252" s="136" cm="1">
        <f t="array" ref="K252">IF(COUNTIF($B$24:$E$24, K$2)&gt;0, _xlfn.IFS(COUNTIF($B$24:$C$24, K$2)&gt;0, VLOOKUP($J252,'Gear Values'!$A$2:$E$13, IF(COUNTBLANK('Attributes &amp; Prefixes'!$B$24:$C$24)&gt;0, "2", "3"), 0), COUNTIF($D$24:$E$24, K$2)&gt;0, VLOOKUP($J252,'Gear Values'!$A$2:$E$13, IF(COUNTBLANK('Attributes &amp; Prefixes'!$B$24:$C$24)&gt;0, "4", "5"), 0)), "")</f>
        <v>77</v>
      </c>
      <c r="L252" s="137" cm="1">
        <f t="array" ref="L252">IF(COUNTIF($B$24:$E$24, L$2)&gt;0, _xlfn.IFS(COUNTIF($B$24:$C$24, L$2)&gt;0, VLOOKUP($J252,'Gear Values'!$A$2:$E$13, IF(COUNTBLANK('Attributes &amp; Prefixes'!$B$24:$C$24)&gt;0, "2", "3"), 0), COUNTIF($D$24:$E$24, L$2)&gt;0, VLOOKUP($J252,'Gear Values'!$A$2:$E$13, IF(COUNTBLANK('Attributes &amp; Prefixes'!$B$24:$C$24)&gt;0, "4", "5"), 0)), "")</f>
        <v>42</v>
      </c>
      <c r="M252" s="137" t="str" cm="1">
        <f t="array" ref="M252">IF(COUNTIF($B$24:$E$24, M$2)&gt;0, _xlfn.IFS(COUNTIF($B$24:$C$24, M$2)&gt;0, VLOOKUP($J252,'Gear Values'!$A$2:$E$13, IF(COUNTBLANK('Attributes &amp; Prefixes'!$B$24:$C$24)&gt;0, "2", "3"), 0), COUNTIF($D$24:$E$24, M$2)&gt;0, VLOOKUP($J252,'Gear Values'!$A$2:$E$13, IF(COUNTBLANK('Attributes &amp; Prefixes'!$B$24:$C$24)&gt;0, "4", "5"), 0)), "")</f>
        <v/>
      </c>
      <c r="N252" s="137" t="str" cm="1">
        <f t="array" ref="N252">IF(COUNTIF($B$24:$E$24, N$2)&gt;0, _xlfn.IFS(COUNTIF($B$24:$C$24, N$2)&gt;0, VLOOKUP($J252,'Gear Values'!$A$2:$E$13, IF(COUNTBLANK('Attributes &amp; Prefixes'!$B$24:$C$24)&gt;0, "2", "3"), 0), COUNTIF($D$24:$E$24, N$2)&gt;0, VLOOKUP($J252,'Gear Values'!$A$2:$E$13, IF(COUNTBLANK('Attributes &amp; Prefixes'!$B$24:$C$24)&gt;0, "4", "5"), 0)), "")</f>
        <v/>
      </c>
      <c r="O252" s="137" t="str" cm="1">
        <f t="array" ref="O252">IF(COUNTIF($B$24:$E$24, O$2)&gt;0, _xlfn.IFS(COUNTIF($B$24:$C$24, O$2)&gt;0, VLOOKUP($J252,'Gear Values'!$A$2:$E$13, IF(COUNTBLANK('Attributes &amp; Prefixes'!$B$24:$C$24)&gt;0, "2", "3"), 0), COUNTIF($D$24:$E$24, O$2)&gt;0, VLOOKUP($J252,'Gear Values'!$A$2:$E$13, IF(COUNTBLANK('Attributes &amp; Prefixes'!$B$24:$C$24)&gt;0, "4", "5"), 0)), "")</f>
        <v/>
      </c>
      <c r="P252" s="137" cm="1">
        <f t="array" ref="P252">IF(COUNTIF($B$24:$E$24, P$2)&gt;0, _xlfn.IFS(COUNTIF($B$24:$C$24, P$2)&gt;0, VLOOKUP($J252,'Gear Values'!$A$2:$E$13, IF(COUNTBLANK('Attributes &amp; Prefixes'!$B$24:$C$24)&gt;0, "2", "3"), 0), COUNTIF($D$24:$E$24, P$2)&gt;0, VLOOKUP($J252,'Gear Values'!$A$2:$E$13, IF(COUNTBLANK('Attributes &amp; Prefixes'!$B$24:$C$24)&gt;0, "4", "5"), 0)), "")</f>
        <v>77</v>
      </c>
      <c r="Q252" s="137" t="str" cm="1">
        <f t="array" ref="Q252">IF(COUNTIF($B$24:$E$24, Q$2)&gt;0, _xlfn.IFS(COUNTIF($B$24:$C$24, Q$2)&gt;0, VLOOKUP($J252,'Gear Values'!$A$2:$E$13, IF(COUNTBLANK('Attributes &amp; Prefixes'!$B$24:$C$24)&gt;0, "2", "3"), 0), COUNTIF($D$24:$E$24, Q$2)&gt;0, VLOOKUP($J252,'Gear Values'!$A$2:$E$13, IF(COUNTBLANK('Attributes &amp; Prefixes'!$B$24:$C$24)&gt;0, "4", "5"), 0)), "")</f>
        <v/>
      </c>
      <c r="R252" s="137" cm="1">
        <f t="array" ref="R252">IF(COUNTIF($B$24:$E$24, R$2)&gt;0, _xlfn.IFS(COUNTIF($B$24:$C$24, R$2)&gt;0, VLOOKUP($J252,'Gear Values'!$A$2:$E$13, IF(COUNTBLANK('Attributes &amp; Prefixes'!$B$24:$C$24)&gt;0, "2", "3"), 0), COUNTIF($D$24:$E$24, R$2)&gt;0, VLOOKUP($J252,'Gear Values'!$A$2:$E$13, IF(COUNTBLANK('Attributes &amp; Prefixes'!$B$24:$C$24)&gt;0, "4", "5"), 0)), "")</f>
        <v>42</v>
      </c>
      <c r="S252" s="138" t="str" cm="1">
        <f t="array" ref="S252">IF(COUNTIF($B$24:$E$24, S$2)&gt;0, _xlfn.IFS(COUNTIF($B$24:$C$24, S$2)&gt;0, VLOOKUP($J252,'Gear Values'!$A$2:$E$13, IF(COUNTBLANK('Attributes &amp; Prefixes'!$B$24:$C$24)&gt;0, "2", "3"), 0), COUNTIF($D$24:$E$24, S$2)&gt;0, VLOOKUP($J252,'Gear Values'!$A$2:$E$13, IF(COUNTBLANK('Attributes &amp; Prefixes'!$B$24:$C$24)&gt;0, "4", "5"), 0)), "")</f>
        <v/>
      </c>
      <c r="V252" s="112"/>
      <c r="W252" s="113"/>
    </row>
    <row r="253" spans="6:23">
      <c r="F253" s="114"/>
      <c r="G253" s="114"/>
      <c r="H253" s="130" t="str">
        <f>_xlfn.CONCAT(I$243,J253)</f>
        <v>GrievingNeck</v>
      </c>
      <c r="I253" s="520"/>
      <c r="J253" s="144" t="s">
        <v>52</v>
      </c>
      <c r="K253" s="136" cm="1">
        <f t="array" ref="K253">IF(COUNTIF($B$24:$E$24, K$2)&gt;0, _xlfn.IFS(COUNTIF($B$24:$C$24, K$2)&gt;0, VLOOKUP($J253,'Gear Values'!$A$2:$E$13, IF(COUNTBLANK('Attributes &amp; Prefixes'!$B$24:$C$24)&gt;0, "2", "3"), 0), COUNTIF($D$24:$E$24, K$2)&gt;0, VLOOKUP($J253,'Gear Values'!$A$2:$E$13, IF(COUNTBLANK('Attributes &amp; Prefixes'!$B$24:$C$24)&gt;0, "4", "5"), 0)), "")</f>
        <v>102</v>
      </c>
      <c r="L253" s="137" cm="1">
        <f t="array" ref="L253">IF(COUNTIF($B$24:$E$24, L$2)&gt;0, _xlfn.IFS(COUNTIF($B$24:$C$24, L$2)&gt;0, VLOOKUP($J253,'Gear Values'!$A$2:$E$13, IF(COUNTBLANK('Attributes &amp; Prefixes'!$B$24:$C$24)&gt;0, "2", "3"), 0), COUNTIF($D$24:$E$24, L$2)&gt;0, VLOOKUP($J253,'Gear Values'!$A$2:$E$13, IF(COUNTBLANK('Attributes &amp; Prefixes'!$B$24:$C$24)&gt;0, "4", "5"), 0)), "")</f>
        <v>56</v>
      </c>
      <c r="M253" s="137" t="str" cm="1">
        <f t="array" ref="M253">IF(COUNTIF($B$24:$E$24, M$2)&gt;0, _xlfn.IFS(COUNTIF($B$24:$C$24, M$2)&gt;0, VLOOKUP($J253,'Gear Values'!$A$2:$E$13, IF(COUNTBLANK('Attributes &amp; Prefixes'!$B$24:$C$24)&gt;0, "2", "3"), 0), COUNTIF($D$24:$E$24, M$2)&gt;0, VLOOKUP($J253,'Gear Values'!$A$2:$E$13, IF(COUNTBLANK('Attributes &amp; Prefixes'!$B$24:$C$24)&gt;0, "4", "5"), 0)), "")</f>
        <v/>
      </c>
      <c r="N253" s="137" t="str" cm="1">
        <f t="array" ref="N253">IF(COUNTIF($B$24:$E$24, N$2)&gt;0, _xlfn.IFS(COUNTIF($B$24:$C$24, N$2)&gt;0, VLOOKUP($J253,'Gear Values'!$A$2:$E$13, IF(COUNTBLANK('Attributes &amp; Prefixes'!$B$24:$C$24)&gt;0, "2", "3"), 0), COUNTIF($D$24:$E$24, N$2)&gt;0, VLOOKUP($J253,'Gear Values'!$A$2:$E$13, IF(COUNTBLANK('Attributes &amp; Prefixes'!$B$24:$C$24)&gt;0, "4", "5"), 0)), "")</f>
        <v/>
      </c>
      <c r="O253" s="137" t="str" cm="1">
        <f t="array" ref="O253">IF(COUNTIF($B$24:$E$24, O$2)&gt;0, _xlfn.IFS(COUNTIF($B$24:$C$24, O$2)&gt;0, VLOOKUP($J253,'Gear Values'!$A$2:$E$13, IF(COUNTBLANK('Attributes &amp; Prefixes'!$B$24:$C$24)&gt;0, "2", "3"), 0), COUNTIF($D$24:$E$24, O$2)&gt;0, VLOOKUP($J253,'Gear Values'!$A$2:$E$13, IF(COUNTBLANK('Attributes &amp; Prefixes'!$B$24:$C$24)&gt;0, "4", "5"), 0)), "")</f>
        <v/>
      </c>
      <c r="P253" s="137" cm="1">
        <f t="array" ref="P253">IF(COUNTIF($B$24:$E$24, P$2)&gt;0, _xlfn.IFS(COUNTIF($B$24:$C$24, P$2)&gt;0, VLOOKUP($J253,'Gear Values'!$A$2:$E$13, IF(COUNTBLANK('Attributes &amp; Prefixes'!$B$24:$C$24)&gt;0, "2", "3"), 0), COUNTIF($D$24:$E$24, P$2)&gt;0, VLOOKUP($J253,'Gear Values'!$A$2:$E$13, IF(COUNTBLANK('Attributes &amp; Prefixes'!$B$24:$C$24)&gt;0, "4", "5"), 0)), "")</f>
        <v>102</v>
      </c>
      <c r="Q253" s="137" t="str" cm="1">
        <f t="array" ref="Q253">IF(COUNTIF($B$24:$E$24, Q$2)&gt;0, _xlfn.IFS(COUNTIF($B$24:$C$24, Q$2)&gt;0, VLOOKUP($J253,'Gear Values'!$A$2:$E$13, IF(COUNTBLANK('Attributes &amp; Prefixes'!$B$24:$C$24)&gt;0, "2", "3"), 0), COUNTIF($D$24:$E$24, Q$2)&gt;0, VLOOKUP($J253,'Gear Values'!$A$2:$E$13, IF(COUNTBLANK('Attributes &amp; Prefixes'!$B$24:$C$24)&gt;0, "4", "5"), 0)), "")</f>
        <v/>
      </c>
      <c r="R253" s="137" cm="1">
        <f t="array" ref="R253">IF(COUNTIF($B$24:$E$24, R$2)&gt;0, _xlfn.IFS(COUNTIF($B$24:$C$24, R$2)&gt;0, VLOOKUP($J253,'Gear Values'!$A$2:$E$13, IF(COUNTBLANK('Attributes &amp; Prefixes'!$B$24:$C$24)&gt;0, "2", "3"), 0), COUNTIF($D$24:$E$24, R$2)&gt;0, VLOOKUP($J253,'Gear Values'!$A$2:$E$13, IF(COUNTBLANK('Attributes &amp; Prefixes'!$B$24:$C$24)&gt;0, "4", "5"), 0)), "")</f>
        <v>56</v>
      </c>
      <c r="S253" s="138" t="str" cm="1">
        <f t="array" ref="S253">IF(COUNTIF($B$24:$E$24, S$2)&gt;0, _xlfn.IFS(COUNTIF($B$24:$C$24, S$2)&gt;0, VLOOKUP($J253,'Gear Values'!$A$2:$E$13, IF(COUNTBLANK('Attributes &amp; Prefixes'!$B$24:$C$24)&gt;0, "2", "3"), 0), COUNTIF($D$24:$E$24, S$2)&gt;0, VLOOKUP($J253,'Gear Values'!$A$2:$E$13, IF(COUNTBLANK('Attributes &amp; Prefixes'!$B$24:$C$24)&gt;0, "4", "5"), 0)), "")</f>
        <v/>
      </c>
      <c r="V253" s="112"/>
      <c r="W253" s="113"/>
    </row>
    <row r="254" spans="6:23">
      <c r="F254" s="114"/>
      <c r="G254" s="114"/>
      <c r="H254" s="130" t="str">
        <f>_xlfn.CONCAT(I$243,J254)</f>
        <v>GrievingBack</v>
      </c>
      <c r="I254" s="521"/>
      <c r="J254" s="146" t="s">
        <v>53</v>
      </c>
      <c r="K254" s="147" t="str" cm="1">
        <f t="array" ref="K254">IF(COUNTIF($B$24:$E$24, K$2)&gt;0, _xlfn.IFS(COUNTIF($B$24:$C$24, K$2)&gt;0, VLOOKUP($J254,'Gear Values'!$A$2:$E$13, IF(COUNTBLANK('Attributes &amp; Prefixes'!$B$24:$C$24)&gt;0, "2", "3"), 0), COUNTIF($D$24:$E$24, K$2)&gt;0, VLOOKUP($J254,'Gear Values'!$A$2:$E$13, IF(COUNTBLANK('Attributes &amp; Prefixes'!$B$24:$C$24)&gt;0, "4", "5"), 0)), "")</f>
        <v>N/A</v>
      </c>
      <c r="L254" s="148" t="str" cm="1">
        <f t="array" ref="L254">IF(COUNTIF($B$24:$E$24, L$2)&gt;0, _xlfn.IFS(COUNTIF($B$24:$C$24, L$2)&gt;0, VLOOKUP($J254,'Gear Values'!$A$2:$E$13, IF(COUNTBLANK('Attributes &amp; Prefixes'!$B$24:$C$24)&gt;0, "2", "3"), 0), COUNTIF($D$24:$E$24, L$2)&gt;0, VLOOKUP($J254,'Gear Values'!$A$2:$E$13, IF(COUNTBLANK('Attributes &amp; Prefixes'!$B$24:$C$24)&gt;0, "4", "5"), 0)), "")</f>
        <v>N/A</v>
      </c>
      <c r="M254" s="148" t="str" cm="1">
        <f t="array" ref="M254">IF(COUNTIF($B$24:$E$24, M$2)&gt;0, _xlfn.IFS(COUNTIF($B$24:$C$24, M$2)&gt;0, VLOOKUP($J254,'Gear Values'!$A$2:$E$13, IF(COUNTBLANK('Attributes &amp; Prefixes'!$B$24:$C$24)&gt;0, "2", "3"), 0), COUNTIF($D$24:$E$24, M$2)&gt;0, VLOOKUP($J254,'Gear Values'!$A$2:$E$13, IF(COUNTBLANK('Attributes &amp; Prefixes'!$B$24:$C$24)&gt;0, "4", "5"), 0)), "")</f>
        <v/>
      </c>
      <c r="N254" s="148" t="str" cm="1">
        <f t="array" ref="N254">IF(COUNTIF($B$24:$E$24, N$2)&gt;0, _xlfn.IFS(COUNTIF($B$24:$C$24, N$2)&gt;0, VLOOKUP($J254,'Gear Values'!$A$2:$E$13, IF(COUNTBLANK('Attributes &amp; Prefixes'!$B$24:$C$24)&gt;0, "2", "3"), 0), COUNTIF($D$24:$E$24, N$2)&gt;0, VLOOKUP($J254,'Gear Values'!$A$2:$E$13, IF(COUNTBLANK('Attributes &amp; Prefixes'!$B$24:$C$24)&gt;0, "4", "5"), 0)), "")</f>
        <v/>
      </c>
      <c r="O254" s="148" t="str" cm="1">
        <f t="array" ref="O254">IF(COUNTIF($B$24:$E$24, O$2)&gt;0, _xlfn.IFS(COUNTIF($B$24:$C$24, O$2)&gt;0, VLOOKUP($J254,'Gear Values'!$A$2:$E$13, IF(COUNTBLANK('Attributes &amp; Prefixes'!$B$24:$C$24)&gt;0, "2", "3"), 0), COUNTIF($D$24:$E$24, O$2)&gt;0, VLOOKUP($J254,'Gear Values'!$A$2:$E$13, IF(COUNTBLANK('Attributes &amp; Prefixes'!$B$24:$C$24)&gt;0, "4", "5"), 0)), "")</f>
        <v/>
      </c>
      <c r="P254" s="148" t="str" cm="1">
        <f t="array" ref="P254">IF(COUNTIF($B$24:$E$24, P$2)&gt;0, _xlfn.IFS(COUNTIF($B$24:$C$24, P$2)&gt;0, VLOOKUP($J254,'Gear Values'!$A$2:$E$13, IF(COUNTBLANK('Attributes &amp; Prefixes'!$B$24:$C$24)&gt;0, "2", "3"), 0), COUNTIF($D$24:$E$24, P$2)&gt;0, VLOOKUP($J254,'Gear Values'!$A$2:$E$13, IF(COUNTBLANK('Attributes &amp; Prefixes'!$B$24:$C$24)&gt;0, "4", "5"), 0)), "")</f>
        <v>N/A</v>
      </c>
      <c r="Q254" s="148" t="str" cm="1">
        <f t="array" ref="Q254">IF(COUNTIF($B$24:$E$24, Q$2)&gt;0, _xlfn.IFS(COUNTIF($B$24:$C$24, Q$2)&gt;0, VLOOKUP($J254,'Gear Values'!$A$2:$E$13, IF(COUNTBLANK('Attributes &amp; Prefixes'!$B$24:$C$24)&gt;0, "2", "3"), 0), COUNTIF($D$24:$E$24, Q$2)&gt;0, VLOOKUP($J254,'Gear Values'!$A$2:$E$13, IF(COUNTBLANK('Attributes &amp; Prefixes'!$B$24:$C$24)&gt;0, "4", "5"), 0)), "")</f>
        <v/>
      </c>
      <c r="R254" s="148" t="str" cm="1">
        <f t="array" ref="R254">IF(COUNTIF($B$24:$E$24, R$2)&gt;0, _xlfn.IFS(COUNTIF($B$24:$C$24, R$2)&gt;0, VLOOKUP($J254,'Gear Values'!$A$2:$E$13, IF(COUNTBLANK('Attributes &amp; Prefixes'!$B$24:$C$24)&gt;0, "2", "3"), 0), COUNTIF($D$24:$E$24, R$2)&gt;0, VLOOKUP($J254,'Gear Values'!$A$2:$E$13, IF(COUNTBLANK('Attributes &amp; Prefixes'!$B$24:$C$24)&gt;0, "4", "5"), 0)), "")</f>
        <v>N/A</v>
      </c>
      <c r="S254" s="150" t="str" cm="1">
        <f t="array" ref="S254">IF(COUNTIF($B$24:$E$24, S$2)&gt;0, _xlfn.IFS(COUNTIF($B$24:$C$24, S$2)&gt;0, VLOOKUP($J254,'Gear Values'!$A$2:$E$13, IF(COUNTBLANK('Attributes &amp; Prefixes'!$B$24:$C$24)&gt;0, "2", "3"), 0), COUNTIF($D$24:$E$24, S$2)&gt;0, VLOOKUP($J254,'Gear Values'!$A$2:$E$13, IF(COUNTBLANK('Attributes &amp; Prefixes'!$B$24:$C$24)&gt;0, "4", "5"), 0)), "")</f>
        <v/>
      </c>
      <c r="V254" s="112"/>
      <c r="W254" s="113"/>
    </row>
    <row r="255" spans="6:23">
      <c r="F255" s="114"/>
      <c r="G255" s="114"/>
      <c r="H255" s="130" t="str">
        <f>_xlfn.CONCAT(I$255,J255)</f>
        <v>HarrierWeapon (1H)</v>
      </c>
      <c r="I255" s="519" t="str">
        <f>A25</f>
        <v>Harrier</v>
      </c>
      <c r="J255" s="145" t="s">
        <v>37</v>
      </c>
      <c r="K255" s="133" cm="1">
        <f t="array" ref="K255">IF(COUNTIF($B$25:$E$25, K$2)&gt;0, _xlfn.IFS(COUNTIF($B$25:$C$25, K$2)&gt;0, VLOOKUP($J255,'Gear Values'!$A$2:$E$13, IF(COUNTBLANK('Attributes &amp; Prefixes'!$B$25:$C$25)&gt;0, "2", "3"), 0), COUNTIF($D$25:$E$25, K$2)&gt;0, VLOOKUP($J255,'Gear Values'!$A$2:$E$13, IF(COUNTBLANK('Attributes &amp; Prefixes'!$B$25:$C$25)&gt;0, "4", "5"), 0)), "")</f>
        <v>120</v>
      </c>
      <c r="L255" s="134" t="str" cm="1">
        <f t="array" ref="L255">IF(COUNTIF($B$25:$E$25, L$2)&gt;0, _xlfn.IFS(COUNTIF($B$25:$C$25, L$2)&gt;0, VLOOKUP($J255,'Gear Values'!$A$2:$E$13, IF(COUNTBLANK('Attributes &amp; Prefixes'!$B$25:$C$25)&gt;0, "2", "3"), 0), COUNTIF($D$25:$E$25, L$2)&gt;0, VLOOKUP($J255,'Gear Values'!$A$2:$E$13, IF(COUNTBLANK('Attributes &amp; Prefixes'!$B$25:$C$25)&gt;0, "4", "5"), 0)), "")</f>
        <v/>
      </c>
      <c r="M255" s="134" t="str" cm="1">
        <f t="array" ref="M255">IF(COUNTIF($B$25:$E$25, M$2)&gt;0, _xlfn.IFS(COUNTIF($B$25:$C$25, M$2)&gt;0, VLOOKUP($J255,'Gear Values'!$A$2:$E$13, IF(COUNTBLANK('Attributes &amp; Prefixes'!$B$25:$C$25)&gt;0, "2", "3"), 0), COUNTIF($D$25:$E$25, M$2)&gt;0, VLOOKUP($J255,'Gear Values'!$A$2:$E$13, IF(COUNTBLANK('Attributes &amp; Prefixes'!$B$25:$C$25)&gt;0, "4", "5"), 0)), "")</f>
        <v/>
      </c>
      <c r="N255" s="134" t="str" cm="1">
        <f t="array" ref="N255">IF(COUNTIF($B$25:$E$25, N$2)&gt;0, _xlfn.IFS(COUNTIF($B$25:$C$25, N$2)&gt;0, VLOOKUP($J255,'Gear Values'!$A$2:$E$13, IF(COUNTBLANK('Attributes &amp; Prefixes'!$B$25:$C$25)&gt;0, "2", "3"), 0), COUNTIF($D$25:$E$25, N$2)&gt;0, VLOOKUP($J255,'Gear Values'!$A$2:$E$13, IF(COUNTBLANK('Attributes &amp; Prefixes'!$B$25:$C$25)&gt;0, "4", "5"), 0)), "")</f>
        <v/>
      </c>
      <c r="O255" s="134" cm="1">
        <f t="array" ref="O255">IF(COUNTIF($B$25:$E$25, O$2)&gt;0, _xlfn.IFS(COUNTIF($B$25:$C$25, O$2)&gt;0, VLOOKUP($J255,'Gear Values'!$A$2:$E$13, IF(COUNTBLANK('Attributes &amp; Prefixes'!$B$25:$C$25)&gt;0, "2", "3"), 0), COUNTIF($D$25:$E$25, O$2)&gt;0, VLOOKUP($J255,'Gear Values'!$A$2:$E$13, IF(COUNTBLANK('Attributes &amp; Prefixes'!$B$25:$C$25)&gt;0, "4", "5"), 0)), "")</f>
        <v>85</v>
      </c>
      <c r="P255" s="134" t="str" cm="1">
        <f t="array" ref="P255">IF(COUNTIF($B$25:$E$25, P$2)&gt;0, _xlfn.IFS(COUNTIF($B$25:$C$25, P$2)&gt;0, VLOOKUP($J255,'Gear Values'!$A$2:$E$13, IF(COUNTBLANK('Attributes &amp; Prefixes'!$B$25:$C$25)&gt;0, "2", "3"), 0), COUNTIF($D$25:$E$25, P$2)&gt;0, VLOOKUP($J255,'Gear Values'!$A$2:$E$13, IF(COUNTBLANK('Attributes &amp; Prefixes'!$B$25:$C$25)&gt;0, "4", "5"), 0)), "")</f>
        <v/>
      </c>
      <c r="Q255" s="134" t="str" cm="1">
        <f t="array" ref="Q255">IF(COUNTIF($B$25:$E$25, Q$2)&gt;0, _xlfn.IFS(COUNTIF($B$25:$C$25, Q$2)&gt;0, VLOOKUP($J255,'Gear Values'!$A$2:$E$13, IF(COUNTBLANK('Attributes &amp; Prefixes'!$B$25:$C$25)&gt;0, "2", "3"), 0), COUNTIF($D$25:$E$25, Q$2)&gt;0, VLOOKUP($J255,'Gear Values'!$A$2:$E$13, IF(COUNTBLANK('Attributes &amp; Prefixes'!$B$25:$C$25)&gt;0, "4", "5"), 0)), "")</f>
        <v/>
      </c>
      <c r="R255" s="134" t="str" cm="1">
        <f t="array" ref="R255">IF(COUNTIF($B$25:$E$25, R$2)&gt;0, _xlfn.IFS(COUNTIF($B$25:$C$25, R$2)&gt;0, VLOOKUP($J255,'Gear Values'!$A$2:$E$13, IF(COUNTBLANK('Attributes &amp; Prefixes'!$B$25:$C$25)&gt;0, "2", "3"), 0), COUNTIF($D$25:$E$25, R$2)&gt;0, VLOOKUP($J255,'Gear Values'!$A$2:$E$13, IF(COUNTBLANK('Attributes &amp; Prefixes'!$B$25:$C$25)&gt;0, "4", "5"), 0)), "")</f>
        <v/>
      </c>
      <c r="S255" s="135" cm="1">
        <f t="array" ref="S255">IF(COUNTIF($B$25:$E$25, S$2)&gt;0, _xlfn.IFS(COUNTIF($B$25:$C$25, S$2)&gt;0, VLOOKUP($J255,'Gear Values'!$A$2:$E$13, IF(COUNTBLANK('Attributes &amp; Prefixes'!$B$25:$C$25)&gt;0, "2", "3"), 0), COUNTIF($D$25:$E$25, S$2)&gt;0, VLOOKUP($J255,'Gear Values'!$A$2:$E$13, IF(COUNTBLANK('Attributes &amp; Prefixes'!$B$25:$C$25)&gt;0, "4", "5"), 0)), "")</f>
        <v>85</v>
      </c>
      <c r="V255" s="112"/>
      <c r="W255" s="113"/>
    </row>
    <row r="256" spans="6:23">
      <c r="F256" s="114"/>
      <c r="G256" s="114"/>
      <c r="H256" s="130" t="str">
        <f>_xlfn.CONCAT(I$255,J256)</f>
        <v>HarrierWeapon (2H)</v>
      </c>
      <c r="I256" s="520"/>
      <c r="J256" s="144" t="s">
        <v>39</v>
      </c>
      <c r="K256" s="136" cm="1">
        <f t="array" ref="K256">IF(COUNTIF($B$25:$E$25, K$2)&gt;0, _xlfn.IFS(COUNTIF($B$25:$C$25, K$2)&gt;0, VLOOKUP($J256,'Gear Values'!$A$2:$E$13, IF(COUNTBLANK('Attributes &amp; Prefixes'!$B$25:$C$25)&gt;0, "2", "3"), 0), COUNTIF($D$25:$E$25, K$2)&gt;0, VLOOKUP($J256,'Gear Values'!$A$2:$E$13, IF(COUNTBLANK('Attributes &amp; Prefixes'!$B$25:$C$25)&gt;0, "4", "5"), 0)), "")</f>
        <v>239</v>
      </c>
      <c r="L256" s="137" t="str" cm="1">
        <f t="array" ref="L256">IF(COUNTIF($B$25:$E$25, L$2)&gt;0, _xlfn.IFS(COUNTIF($B$25:$C$25, L$2)&gt;0, VLOOKUP($J256,'Gear Values'!$A$2:$E$13, IF(COUNTBLANK('Attributes &amp; Prefixes'!$B$25:$C$25)&gt;0, "2", "3"), 0), COUNTIF($D$25:$E$25, L$2)&gt;0, VLOOKUP($J256,'Gear Values'!$A$2:$E$13, IF(COUNTBLANK('Attributes &amp; Prefixes'!$B$25:$C$25)&gt;0, "4", "5"), 0)), "")</f>
        <v/>
      </c>
      <c r="M256" s="137" t="str" cm="1">
        <f t="array" ref="M256">IF(COUNTIF($B$25:$E$25, M$2)&gt;0, _xlfn.IFS(COUNTIF($B$25:$C$25, M$2)&gt;0, VLOOKUP($J256,'Gear Values'!$A$2:$E$13, IF(COUNTBLANK('Attributes &amp; Prefixes'!$B$25:$C$25)&gt;0, "2", "3"), 0), COUNTIF($D$25:$E$25, M$2)&gt;0, VLOOKUP($J256,'Gear Values'!$A$2:$E$13, IF(COUNTBLANK('Attributes &amp; Prefixes'!$B$25:$C$25)&gt;0, "4", "5"), 0)), "")</f>
        <v/>
      </c>
      <c r="N256" s="137" t="str" cm="1">
        <f t="array" ref="N256">IF(COUNTIF($B$25:$E$25, N$2)&gt;0, _xlfn.IFS(COUNTIF($B$25:$C$25, N$2)&gt;0, VLOOKUP($J256,'Gear Values'!$A$2:$E$13, IF(COUNTBLANK('Attributes &amp; Prefixes'!$B$25:$C$25)&gt;0, "2", "3"), 0), COUNTIF($D$25:$E$25, N$2)&gt;0, VLOOKUP($J256,'Gear Values'!$A$2:$E$13, IF(COUNTBLANK('Attributes &amp; Prefixes'!$B$25:$C$25)&gt;0, "4", "5"), 0)), "")</f>
        <v/>
      </c>
      <c r="O256" s="137" cm="1">
        <f t="array" ref="O256">IF(COUNTIF($B$25:$E$25, O$2)&gt;0, _xlfn.IFS(COUNTIF($B$25:$C$25, O$2)&gt;0, VLOOKUP($J256,'Gear Values'!$A$2:$E$13, IF(COUNTBLANK('Attributes &amp; Prefixes'!$B$25:$C$25)&gt;0, "2", "3"), 0), COUNTIF($D$25:$E$25, O$2)&gt;0, VLOOKUP($J256,'Gear Values'!$A$2:$E$13, IF(COUNTBLANK('Attributes &amp; Prefixes'!$B$25:$C$25)&gt;0, "4", "5"), 0)), "")</f>
        <v>171</v>
      </c>
      <c r="P256" s="137" t="str" cm="1">
        <f t="array" ref="P256">IF(COUNTIF($B$25:$E$25, P$2)&gt;0, _xlfn.IFS(COUNTIF($B$25:$C$25, P$2)&gt;0, VLOOKUP($J256,'Gear Values'!$A$2:$E$13, IF(COUNTBLANK('Attributes &amp; Prefixes'!$B$25:$C$25)&gt;0, "2", "3"), 0), COUNTIF($D$25:$E$25, P$2)&gt;0, VLOOKUP($J256,'Gear Values'!$A$2:$E$13, IF(COUNTBLANK('Attributes &amp; Prefixes'!$B$25:$C$25)&gt;0, "4", "5"), 0)), "")</f>
        <v/>
      </c>
      <c r="Q256" s="137" t="str" cm="1">
        <f t="array" ref="Q256">IF(COUNTIF($B$25:$E$25, Q$2)&gt;0, _xlfn.IFS(COUNTIF($B$25:$C$25, Q$2)&gt;0, VLOOKUP($J256,'Gear Values'!$A$2:$E$13, IF(COUNTBLANK('Attributes &amp; Prefixes'!$B$25:$C$25)&gt;0, "2", "3"), 0), COUNTIF($D$25:$E$25, Q$2)&gt;0, VLOOKUP($J256,'Gear Values'!$A$2:$E$13, IF(COUNTBLANK('Attributes &amp; Prefixes'!$B$25:$C$25)&gt;0, "4", "5"), 0)), "")</f>
        <v/>
      </c>
      <c r="R256" s="137" t="str" cm="1">
        <f t="array" ref="R256">IF(COUNTIF($B$25:$E$25, R$2)&gt;0, _xlfn.IFS(COUNTIF($B$25:$C$25, R$2)&gt;0, VLOOKUP($J256,'Gear Values'!$A$2:$E$13, IF(COUNTBLANK('Attributes &amp; Prefixes'!$B$25:$C$25)&gt;0, "2", "3"), 0), COUNTIF($D$25:$E$25, R$2)&gt;0, VLOOKUP($J256,'Gear Values'!$A$2:$E$13, IF(COUNTBLANK('Attributes &amp; Prefixes'!$B$25:$C$25)&gt;0, "4", "5"), 0)), "")</f>
        <v/>
      </c>
      <c r="S256" s="138" cm="1">
        <f t="array" ref="S256">IF(COUNTIF($B$25:$E$25, S$2)&gt;0, _xlfn.IFS(COUNTIF($B$25:$C$25, S$2)&gt;0, VLOOKUP($J256,'Gear Values'!$A$2:$E$13, IF(COUNTBLANK('Attributes &amp; Prefixes'!$B$25:$C$25)&gt;0, "2", "3"), 0), COUNTIF($D$25:$E$25, S$2)&gt;0, VLOOKUP($J256,'Gear Values'!$A$2:$E$13, IF(COUNTBLANK('Attributes &amp; Prefixes'!$B$25:$C$25)&gt;0, "4", "5"), 0)), "")</f>
        <v>171</v>
      </c>
      <c r="V256" s="112"/>
      <c r="W256" s="113"/>
    </row>
    <row r="257" spans="6:23">
      <c r="F257" s="114"/>
      <c r="G257" s="114"/>
      <c r="H257" s="130" t="str">
        <f>_xlfn.CONCAT(I$255,J257)</f>
        <v>HarrierHead</v>
      </c>
      <c r="I257" s="520"/>
      <c r="J257" s="144" t="s">
        <v>40</v>
      </c>
      <c r="K257" s="136" cm="1">
        <f t="array" ref="K257">IF(COUNTIF($B$25:$E$25, K$2)&gt;0, _xlfn.IFS(COUNTIF($B$25:$C$25, K$2)&gt;0, VLOOKUP($J257,'Gear Values'!$A$2:$E$13, IF(COUNTBLANK('Attributes &amp; Prefixes'!$B$25:$C$25)&gt;0, "2", "3"), 0), COUNTIF($D$25:$E$25, K$2)&gt;0, VLOOKUP($J257,'Gear Values'!$A$2:$E$13, IF(COUNTBLANK('Attributes &amp; Prefixes'!$B$25:$C$25)&gt;0, "4", "5"), 0)), "")</f>
        <v>60</v>
      </c>
      <c r="L257" s="137" t="str" cm="1">
        <f t="array" ref="L257">IF(COUNTIF($B$25:$E$25, L$2)&gt;0, _xlfn.IFS(COUNTIF($B$25:$C$25, L$2)&gt;0, VLOOKUP($J257,'Gear Values'!$A$2:$E$13, IF(COUNTBLANK('Attributes &amp; Prefixes'!$B$25:$C$25)&gt;0, "2", "3"), 0), COUNTIF($D$25:$E$25, L$2)&gt;0, VLOOKUP($J257,'Gear Values'!$A$2:$E$13, IF(COUNTBLANK('Attributes &amp; Prefixes'!$B$25:$C$25)&gt;0, "4", "5"), 0)), "")</f>
        <v/>
      </c>
      <c r="M257" s="137" t="str" cm="1">
        <f t="array" ref="M257">IF(COUNTIF($B$25:$E$25, M$2)&gt;0, _xlfn.IFS(COUNTIF($B$25:$C$25, M$2)&gt;0, VLOOKUP($J257,'Gear Values'!$A$2:$E$13, IF(COUNTBLANK('Attributes &amp; Prefixes'!$B$25:$C$25)&gt;0, "2", "3"), 0), COUNTIF($D$25:$E$25, M$2)&gt;0, VLOOKUP($J257,'Gear Values'!$A$2:$E$13, IF(COUNTBLANK('Attributes &amp; Prefixes'!$B$25:$C$25)&gt;0, "4", "5"), 0)), "")</f>
        <v/>
      </c>
      <c r="N257" s="137" t="str" cm="1">
        <f t="array" ref="N257">IF(COUNTIF($B$25:$E$25, N$2)&gt;0, _xlfn.IFS(COUNTIF($B$25:$C$25, N$2)&gt;0, VLOOKUP($J257,'Gear Values'!$A$2:$E$13, IF(COUNTBLANK('Attributes &amp; Prefixes'!$B$25:$C$25)&gt;0, "2", "3"), 0), COUNTIF($D$25:$E$25, N$2)&gt;0, VLOOKUP($J257,'Gear Values'!$A$2:$E$13, IF(COUNTBLANK('Attributes &amp; Prefixes'!$B$25:$C$25)&gt;0, "4", "5"), 0)), "")</f>
        <v/>
      </c>
      <c r="O257" s="137" cm="1">
        <f t="array" ref="O257">IF(COUNTIF($B$25:$E$25, O$2)&gt;0, _xlfn.IFS(COUNTIF($B$25:$C$25, O$2)&gt;0, VLOOKUP($J257,'Gear Values'!$A$2:$E$13, IF(COUNTBLANK('Attributes &amp; Prefixes'!$B$25:$C$25)&gt;0, "2", "3"), 0), COUNTIF($D$25:$E$25, O$2)&gt;0, VLOOKUP($J257,'Gear Values'!$A$2:$E$13, IF(COUNTBLANK('Attributes &amp; Prefixes'!$B$25:$C$25)&gt;0, "4", "5"), 0)), "")</f>
        <v>43</v>
      </c>
      <c r="P257" s="137" t="str" cm="1">
        <f t="array" ref="P257">IF(COUNTIF($B$25:$E$25, P$2)&gt;0, _xlfn.IFS(COUNTIF($B$25:$C$25, P$2)&gt;0, VLOOKUP($J257,'Gear Values'!$A$2:$E$13, IF(COUNTBLANK('Attributes &amp; Prefixes'!$B$25:$C$25)&gt;0, "2", "3"), 0), COUNTIF($D$25:$E$25, P$2)&gt;0, VLOOKUP($J257,'Gear Values'!$A$2:$E$13, IF(COUNTBLANK('Attributes &amp; Prefixes'!$B$25:$C$25)&gt;0, "4", "5"), 0)), "")</f>
        <v/>
      </c>
      <c r="Q257" s="137" t="str" cm="1">
        <f t="array" ref="Q257">IF(COUNTIF($B$25:$E$25, Q$2)&gt;0, _xlfn.IFS(COUNTIF($B$25:$C$25, Q$2)&gt;0, VLOOKUP($J257,'Gear Values'!$A$2:$E$13, IF(COUNTBLANK('Attributes &amp; Prefixes'!$B$25:$C$25)&gt;0, "2", "3"), 0), COUNTIF($D$25:$E$25, Q$2)&gt;0, VLOOKUP($J257,'Gear Values'!$A$2:$E$13, IF(COUNTBLANK('Attributes &amp; Prefixes'!$B$25:$C$25)&gt;0, "4", "5"), 0)), "")</f>
        <v/>
      </c>
      <c r="R257" s="137" t="str" cm="1">
        <f t="array" ref="R257">IF(COUNTIF($B$25:$E$25, R$2)&gt;0, _xlfn.IFS(COUNTIF($B$25:$C$25, R$2)&gt;0, VLOOKUP($J257,'Gear Values'!$A$2:$E$13, IF(COUNTBLANK('Attributes &amp; Prefixes'!$B$25:$C$25)&gt;0, "2", "3"), 0), COUNTIF($D$25:$E$25, R$2)&gt;0, VLOOKUP($J257,'Gear Values'!$A$2:$E$13, IF(COUNTBLANK('Attributes &amp; Prefixes'!$B$25:$C$25)&gt;0, "4", "5"), 0)), "")</f>
        <v/>
      </c>
      <c r="S257" s="138" cm="1">
        <f t="array" ref="S257">IF(COUNTIF($B$25:$E$25, S$2)&gt;0, _xlfn.IFS(COUNTIF($B$25:$C$25, S$2)&gt;0, VLOOKUP($J257,'Gear Values'!$A$2:$E$13, IF(COUNTBLANK('Attributes &amp; Prefixes'!$B$25:$C$25)&gt;0, "2", "3"), 0), COUNTIF($D$25:$E$25, S$2)&gt;0, VLOOKUP($J257,'Gear Values'!$A$2:$E$13, IF(COUNTBLANK('Attributes &amp; Prefixes'!$B$25:$C$25)&gt;0, "4", "5"), 0)), "")</f>
        <v>43</v>
      </c>
      <c r="V257" s="112"/>
      <c r="W257" s="113"/>
    </row>
    <row r="258" spans="6:23">
      <c r="F258" s="114"/>
      <c r="G258" s="114"/>
      <c r="H258" s="130" t="str">
        <f>_xlfn.CONCAT(I$255,J258)</f>
        <v>HarrierShoulders</v>
      </c>
      <c r="I258" s="520"/>
      <c r="J258" s="144" t="s">
        <v>42</v>
      </c>
      <c r="K258" s="136" cm="1">
        <f t="array" ref="K258">IF(COUNTIF($B$25:$E$25, K$2)&gt;0, _xlfn.IFS(COUNTIF($B$25:$C$25, K$2)&gt;0, VLOOKUP($J258,'Gear Values'!$A$2:$E$13, IF(COUNTBLANK('Attributes &amp; Prefixes'!$B$25:$C$25)&gt;0, "2", "3"), 0), COUNTIF($D$25:$E$25, K$2)&gt;0, VLOOKUP($J258,'Gear Values'!$A$2:$E$13, IF(COUNTBLANK('Attributes &amp; Prefixes'!$B$25:$C$25)&gt;0, "4", "5"), 0)), "")</f>
        <v>45</v>
      </c>
      <c r="L258" s="137" t="str" cm="1">
        <f t="array" ref="L258">IF(COUNTIF($B$25:$E$25, L$2)&gt;0, _xlfn.IFS(COUNTIF($B$25:$C$25, L$2)&gt;0, VLOOKUP($J258,'Gear Values'!$A$2:$E$13, IF(COUNTBLANK('Attributes &amp; Prefixes'!$B$25:$C$25)&gt;0, "2", "3"), 0), COUNTIF($D$25:$E$25, L$2)&gt;0, VLOOKUP($J258,'Gear Values'!$A$2:$E$13, IF(COUNTBLANK('Attributes &amp; Prefixes'!$B$25:$C$25)&gt;0, "4", "5"), 0)), "")</f>
        <v/>
      </c>
      <c r="M258" s="137" t="str" cm="1">
        <f t="array" ref="M258">IF(COUNTIF($B$25:$E$25, M$2)&gt;0, _xlfn.IFS(COUNTIF($B$25:$C$25, M$2)&gt;0, VLOOKUP($J258,'Gear Values'!$A$2:$E$13, IF(COUNTBLANK('Attributes &amp; Prefixes'!$B$25:$C$25)&gt;0, "2", "3"), 0), COUNTIF($D$25:$E$25, M$2)&gt;0, VLOOKUP($J258,'Gear Values'!$A$2:$E$13, IF(COUNTBLANK('Attributes &amp; Prefixes'!$B$25:$C$25)&gt;0, "4", "5"), 0)), "")</f>
        <v/>
      </c>
      <c r="N258" s="137" t="str" cm="1">
        <f t="array" ref="N258">IF(COUNTIF($B$25:$E$25, N$2)&gt;0, _xlfn.IFS(COUNTIF($B$25:$C$25, N$2)&gt;0, VLOOKUP($J258,'Gear Values'!$A$2:$E$13, IF(COUNTBLANK('Attributes &amp; Prefixes'!$B$25:$C$25)&gt;0, "2", "3"), 0), COUNTIF($D$25:$E$25, N$2)&gt;0, VLOOKUP($J258,'Gear Values'!$A$2:$E$13, IF(COUNTBLANK('Attributes &amp; Prefixes'!$B$25:$C$25)&gt;0, "4", "5"), 0)), "")</f>
        <v/>
      </c>
      <c r="O258" s="137" cm="1">
        <f t="array" ref="O258">IF(COUNTIF($B$25:$E$25, O$2)&gt;0, _xlfn.IFS(COUNTIF($B$25:$C$25, O$2)&gt;0, VLOOKUP($J258,'Gear Values'!$A$2:$E$13, IF(COUNTBLANK('Attributes &amp; Prefixes'!$B$25:$C$25)&gt;0, "2", "3"), 0), COUNTIF($D$25:$E$25, O$2)&gt;0, VLOOKUP($J258,'Gear Values'!$A$2:$E$13, IF(COUNTBLANK('Attributes &amp; Prefixes'!$B$25:$C$25)&gt;0, "4", "5"), 0)), "")</f>
        <v>32</v>
      </c>
      <c r="P258" s="137" t="str" cm="1">
        <f t="array" ref="P258">IF(COUNTIF($B$25:$E$25, P$2)&gt;0, _xlfn.IFS(COUNTIF($B$25:$C$25, P$2)&gt;0, VLOOKUP($J258,'Gear Values'!$A$2:$E$13, IF(COUNTBLANK('Attributes &amp; Prefixes'!$B$25:$C$25)&gt;0, "2", "3"), 0), COUNTIF($D$25:$E$25, P$2)&gt;0, VLOOKUP($J258,'Gear Values'!$A$2:$E$13, IF(COUNTBLANK('Attributes &amp; Prefixes'!$B$25:$C$25)&gt;0, "4", "5"), 0)), "")</f>
        <v/>
      </c>
      <c r="Q258" s="137" t="str" cm="1">
        <f t="array" ref="Q258">IF(COUNTIF($B$25:$E$25, Q$2)&gt;0, _xlfn.IFS(COUNTIF($B$25:$C$25, Q$2)&gt;0, VLOOKUP($J258,'Gear Values'!$A$2:$E$13, IF(COUNTBLANK('Attributes &amp; Prefixes'!$B$25:$C$25)&gt;0, "2", "3"), 0), COUNTIF($D$25:$E$25, Q$2)&gt;0, VLOOKUP($J258,'Gear Values'!$A$2:$E$13, IF(COUNTBLANK('Attributes &amp; Prefixes'!$B$25:$C$25)&gt;0, "4", "5"), 0)), "")</f>
        <v/>
      </c>
      <c r="R258" s="137" t="str" cm="1">
        <f t="array" ref="R258">IF(COUNTIF($B$25:$E$25, R$2)&gt;0, _xlfn.IFS(COUNTIF($B$25:$C$25, R$2)&gt;0, VLOOKUP($J258,'Gear Values'!$A$2:$E$13, IF(COUNTBLANK('Attributes &amp; Prefixes'!$B$25:$C$25)&gt;0, "2", "3"), 0), COUNTIF($D$25:$E$25, R$2)&gt;0, VLOOKUP($J258,'Gear Values'!$A$2:$E$13, IF(COUNTBLANK('Attributes &amp; Prefixes'!$B$25:$C$25)&gt;0, "4", "5"), 0)), "")</f>
        <v/>
      </c>
      <c r="S258" s="138" cm="1">
        <f t="array" ref="S258">IF(COUNTIF($B$25:$E$25, S$2)&gt;0, _xlfn.IFS(COUNTIF($B$25:$C$25, S$2)&gt;0, VLOOKUP($J258,'Gear Values'!$A$2:$E$13, IF(COUNTBLANK('Attributes &amp; Prefixes'!$B$25:$C$25)&gt;0, "2", "3"), 0), COUNTIF($D$25:$E$25, S$2)&gt;0, VLOOKUP($J258,'Gear Values'!$A$2:$E$13, IF(COUNTBLANK('Attributes &amp; Prefixes'!$B$25:$C$25)&gt;0, "4", "5"), 0)), "")</f>
        <v>32</v>
      </c>
      <c r="V258" s="112"/>
      <c r="W258" s="113"/>
    </row>
    <row r="259" spans="6:23">
      <c r="F259" s="114"/>
      <c r="G259" s="114"/>
      <c r="H259" s="130" t="str">
        <f>_xlfn.CONCAT(I$255,J259)</f>
        <v>HarrierChest</v>
      </c>
      <c r="I259" s="520"/>
      <c r="J259" s="144" t="s">
        <v>44</v>
      </c>
      <c r="K259" s="136" cm="1">
        <f t="array" ref="K259">IF(COUNTIF($B$25:$E$25, K$2)&gt;0, _xlfn.IFS(COUNTIF($B$25:$C$25, K$2)&gt;0, VLOOKUP($J259,'Gear Values'!$A$2:$E$13, IF(COUNTBLANK('Attributes &amp; Prefixes'!$B$25:$C$25)&gt;0, "2", "3"), 0), COUNTIF($D$25:$E$25, K$2)&gt;0, VLOOKUP($J259,'Gear Values'!$A$2:$E$13, IF(COUNTBLANK('Attributes &amp; Prefixes'!$B$25:$C$25)&gt;0, "4", "5"), 0)), "")</f>
        <v>134</v>
      </c>
      <c r="L259" s="137" t="str" cm="1">
        <f t="array" ref="L259">IF(COUNTIF($B$25:$E$25, L$2)&gt;0, _xlfn.IFS(COUNTIF($B$25:$C$25, L$2)&gt;0, VLOOKUP($J259,'Gear Values'!$A$2:$E$13, IF(COUNTBLANK('Attributes &amp; Prefixes'!$B$25:$C$25)&gt;0, "2", "3"), 0), COUNTIF($D$25:$E$25, L$2)&gt;0, VLOOKUP($J259,'Gear Values'!$A$2:$E$13, IF(COUNTBLANK('Attributes &amp; Prefixes'!$B$25:$C$25)&gt;0, "4", "5"), 0)), "")</f>
        <v/>
      </c>
      <c r="M259" s="137" t="str" cm="1">
        <f t="array" ref="M259">IF(COUNTIF($B$25:$E$25, M$2)&gt;0, _xlfn.IFS(COUNTIF($B$25:$C$25, M$2)&gt;0, VLOOKUP($J259,'Gear Values'!$A$2:$E$13, IF(COUNTBLANK('Attributes &amp; Prefixes'!$B$25:$C$25)&gt;0, "2", "3"), 0), COUNTIF($D$25:$E$25, M$2)&gt;0, VLOOKUP($J259,'Gear Values'!$A$2:$E$13, IF(COUNTBLANK('Attributes &amp; Prefixes'!$B$25:$C$25)&gt;0, "4", "5"), 0)), "")</f>
        <v/>
      </c>
      <c r="N259" s="137" t="str" cm="1">
        <f t="array" ref="N259">IF(COUNTIF($B$25:$E$25, N$2)&gt;0, _xlfn.IFS(COUNTIF($B$25:$C$25, N$2)&gt;0, VLOOKUP($J259,'Gear Values'!$A$2:$E$13, IF(COUNTBLANK('Attributes &amp; Prefixes'!$B$25:$C$25)&gt;0, "2", "3"), 0), COUNTIF($D$25:$E$25, N$2)&gt;0, VLOOKUP($J259,'Gear Values'!$A$2:$E$13, IF(COUNTBLANK('Attributes &amp; Prefixes'!$B$25:$C$25)&gt;0, "4", "5"), 0)), "")</f>
        <v/>
      </c>
      <c r="O259" s="137" cm="1">
        <f t="array" ref="O259">IF(COUNTIF($B$25:$E$25, O$2)&gt;0, _xlfn.IFS(COUNTIF($B$25:$C$25, O$2)&gt;0, VLOOKUP($J259,'Gear Values'!$A$2:$E$13, IF(COUNTBLANK('Attributes &amp; Prefixes'!$B$25:$C$25)&gt;0, "2", "3"), 0), COUNTIF($D$25:$E$25, O$2)&gt;0, VLOOKUP($J259,'Gear Values'!$A$2:$E$13, IF(COUNTBLANK('Attributes &amp; Prefixes'!$B$25:$C$25)&gt;0, "4", "5"), 0)), "")</f>
        <v>96</v>
      </c>
      <c r="P259" s="137" t="str" cm="1">
        <f t="array" ref="P259">IF(COUNTIF($B$25:$E$25, P$2)&gt;0, _xlfn.IFS(COUNTIF($B$25:$C$25, P$2)&gt;0, VLOOKUP($J259,'Gear Values'!$A$2:$E$13, IF(COUNTBLANK('Attributes &amp; Prefixes'!$B$25:$C$25)&gt;0, "2", "3"), 0), COUNTIF($D$25:$E$25, P$2)&gt;0, VLOOKUP($J259,'Gear Values'!$A$2:$E$13, IF(COUNTBLANK('Attributes &amp; Prefixes'!$B$25:$C$25)&gt;0, "4", "5"), 0)), "")</f>
        <v/>
      </c>
      <c r="Q259" s="137" t="str" cm="1">
        <f t="array" ref="Q259">IF(COUNTIF($B$25:$E$25, Q$2)&gt;0, _xlfn.IFS(COUNTIF($B$25:$C$25, Q$2)&gt;0, VLOOKUP($J259,'Gear Values'!$A$2:$E$13, IF(COUNTBLANK('Attributes &amp; Prefixes'!$B$25:$C$25)&gt;0, "2", "3"), 0), COUNTIF($D$25:$E$25, Q$2)&gt;0, VLOOKUP($J259,'Gear Values'!$A$2:$E$13, IF(COUNTBLANK('Attributes &amp; Prefixes'!$B$25:$C$25)&gt;0, "4", "5"), 0)), "")</f>
        <v/>
      </c>
      <c r="R259" s="137" t="str" cm="1">
        <f t="array" ref="R259">IF(COUNTIF($B$25:$E$25, R$2)&gt;0, _xlfn.IFS(COUNTIF($B$25:$C$25, R$2)&gt;0, VLOOKUP($J259,'Gear Values'!$A$2:$E$13, IF(COUNTBLANK('Attributes &amp; Prefixes'!$B$25:$C$25)&gt;0, "2", "3"), 0), COUNTIF($D$25:$E$25, R$2)&gt;0, VLOOKUP($J259,'Gear Values'!$A$2:$E$13, IF(COUNTBLANK('Attributes &amp; Prefixes'!$B$25:$C$25)&gt;0, "4", "5"), 0)), "")</f>
        <v/>
      </c>
      <c r="S259" s="138" cm="1">
        <f t="array" ref="S259">IF(COUNTIF($B$25:$E$25, S$2)&gt;0, _xlfn.IFS(COUNTIF($B$25:$C$25, S$2)&gt;0, VLOOKUP($J259,'Gear Values'!$A$2:$E$13, IF(COUNTBLANK('Attributes &amp; Prefixes'!$B$25:$C$25)&gt;0, "2", "3"), 0), COUNTIF($D$25:$E$25, S$2)&gt;0, VLOOKUP($J259,'Gear Values'!$A$2:$E$13, IF(COUNTBLANK('Attributes &amp; Prefixes'!$B$25:$C$25)&gt;0, "4", "5"), 0)), "")</f>
        <v>96</v>
      </c>
      <c r="V259" s="112"/>
      <c r="W259" s="113"/>
    </row>
    <row r="260" spans="6:23">
      <c r="F260" s="114"/>
      <c r="G260" s="114"/>
      <c r="H260" s="130" t="str">
        <f>_xlfn.CONCAT(I$255,J260)</f>
        <v>HarrierHands</v>
      </c>
      <c r="I260" s="520"/>
      <c r="J260" s="144" t="s">
        <v>45</v>
      </c>
      <c r="K260" s="136" cm="1">
        <f t="array" ref="K260">IF(COUNTIF($B$25:$E$25, K$2)&gt;0, _xlfn.IFS(COUNTIF($B$25:$C$25, K$2)&gt;0, VLOOKUP($J260,'Gear Values'!$A$2:$E$13, IF(COUNTBLANK('Attributes &amp; Prefixes'!$B$25:$C$25)&gt;0, "2", "3"), 0), COUNTIF($D$25:$E$25, K$2)&gt;0, VLOOKUP($J260,'Gear Values'!$A$2:$E$13, IF(COUNTBLANK('Attributes &amp; Prefixes'!$B$25:$C$25)&gt;0, "4", "5"), 0)), "")</f>
        <v>45</v>
      </c>
      <c r="L260" s="137" t="str" cm="1">
        <f t="array" ref="L260">IF(COUNTIF($B$25:$E$25, L$2)&gt;0, _xlfn.IFS(COUNTIF($B$25:$C$25, L$2)&gt;0, VLOOKUP($J260,'Gear Values'!$A$2:$E$13, IF(COUNTBLANK('Attributes &amp; Prefixes'!$B$25:$C$25)&gt;0, "2", "3"), 0), COUNTIF($D$25:$E$25, L$2)&gt;0, VLOOKUP($J260,'Gear Values'!$A$2:$E$13, IF(COUNTBLANK('Attributes &amp; Prefixes'!$B$25:$C$25)&gt;0, "4", "5"), 0)), "")</f>
        <v/>
      </c>
      <c r="M260" s="137" t="str" cm="1">
        <f t="array" ref="M260">IF(COUNTIF($B$25:$E$25, M$2)&gt;0, _xlfn.IFS(COUNTIF($B$25:$C$25, M$2)&gt;0, VLOOKUP($J260,'Gear Values'!$A$2:$E$13, IF(COUNTBLANK('Attributes &amp; Prefixes'!$B$25:$C$25)&gt;0, "2", "3"), 0), COUNTIF($D$25:$E$25, M$2)&gt;0, VLOOKUP($J260,'Gear Values'!$A$2:$E$13, IF(COUNTBLANK('Attributes &amp; Prefixes'!$B$25:$C$25)&gt;0, "4", "5"), 0)), "")</f>
        <v/>
      </c>
      <c r="N260" s="137" t="str" cm="1">
        <f t="array" ref="N260">IF(COUNTIF($B$25:$E$25, N$2)&gt;0, _xlfn.IFS(COUNTIF($B$25:$C$25, N$2)&gt;0, VLOOKUP($J260,'Gear Values'!$A$2:$E$13, IF(COUNTBLANK('Attributes &amp; Prefixes'!$B$25:$C$25)&gt;0, "2", "3"), 0), COUNTIF($D$25:$E$25, N$2)&gt;0, VLOOKUP($J260,'Gear Values'!$A$2:$E$13, IF(COUNTBLANK('Attributes &amp; Prefixes'!$B$25:$C$25)&gt;0, "4", "5"), 0)), "")</f>
        <v/>
      </c>
      <c r="O260" s="137" cm="1">
        <f t="array" ref="O260">IF(COUNTIF($B$25:$E$25, O$2)&gt;0, _xlfn.IFS(COUNTIF($B$25:$C$25, O$2)&gt;0, VLOOKUP($J260,'Gear Values'!$A$2:$E$13, IF(COUNTBLANK('Attributes &amp; Prefixes'!$B$25:$C$25)&gt;0, "2", "3"), 0), COUNTIF($D$25:$E$25, O$2)&gt;0, VLOOKUP($J260,'Gear Values'!$A$2:$E$13, IF(COUNTBLANK('Attributes &amp; Prefixes'!$B$25:$C$25)&gt;0, "4", "5"), 0)), "")</f>
        <v>32</v>
      </c>
      <c r="P260" s="137" t="str" cm="1">
        <f t="array" ref="P260">IF(COUNTIF($B$25:$E$25, P$2)&gt;0, _xlfn.IFS(COUNTIF($B$25:$C$25, P$2)&gt;0, VLOOKUP($J260,'Gear Values'!$A$2:$E$13, IF(COUNTBLANK('Attributes &amp; Prefixes'!$B$25:$C$25)&gt;0, "2", "3"), 0), COUNTIF($D$25:$E$25, P$2)&gt;0, VLOOKUP($J260,'Gear Values'!$A$2:$E$13, IF(COUNTBLANK('Attributes &amp; Prefixes'!$B$25:$C$25)&gt;0, "4", "5"), 0)), "")</f>
        <v/>
      </c>
      <c r="Q260" s="137" t="str" cm="1">
        <f t="array" ref="Q260">IF(COUNTIF($B$25:$E$25, Q$2)&gt;0, _xlfn.IFS(COUNTIF($B$25:$C$25, Q$2)&gt;0, VLOOKUP($J260,'Gear Values'!$A$2:$E$13, IF(COUNTBLANK('Attributes &amp; Prefixes'!$B$25:$C$25)&gt;0, "2", "3"), 0), COUNTIF($D$25:$E$25, Q$2)&gt;0, VLOOKUP($J260,'Gear Values'!$A$2:$E$13, IF(COUNTBLANK('Attributes &amp; Prefixes'!$B$25:$C$25)&gt;0, "4", "5"), 0)), "")</f>
        <v/>
      </c>
      <c r="R260" s="137" t="str" cm="1">
        <f t="array" ref="R260">IF(COUNTIF($B$25:$E$25, R$2)&gt;0, _xlfn.IFS(COUNTIF($B$25:$C$25, R$2)&gt;0, VLOOKUP($J260,'Gear Values'!$A$2:$E$13, IF(COUNTBLANK('Attributes &amp; Prefixes'!$B$25:$C$25)&gt;0, "2", "3"), 0), COUNTIF($D$25:$E$25, R$2)&gt;0, VLOOKUP($J260,'Gear Values'!$A$2:$E$13, IF(COUNTBLANK('Attributes &amp; Prefixes'!$B$25:$C$25)&gt;0, "4", "5"), 0)), "")</f>
        <v/>
      </c>
      <c r="S260" s="138" cm="1">
        <f t="array" ref="S260">IF(COUNTIF($B$25:$E$25, S$2)&gt;0, _xlfn.IFS(COUNTIF($B$25:$C$25, S$2)&gt;0, VLOOKUP($J260,'Gear Values'!$A$2:$E$13, IF(COUNTBLANK('Attributes &amp; Prefixes'!$B$25:$C$25)&gt;0, "2", "3"), 0), COUNTIF($D$25:$E$25, S$2)&gt;0, VLOOKUP($J260,'Gear Values'!$A$2:$E$13, IF(COUNTBLANK('Attributes &amp; Prefixes'!$B$25:$C$25)&gt;0, "4", "5"), 0)), "")</f>
        <v>32</v>
      </c>
      <c r="V260" s="112"/>
      <c r="W260" s="113"/>
    </row>
    <row r="261" spans="6:23">
      <c r="F261" s="114"/>
      <c r="G261" s="114"/>
      <c r="H261" s="130" t="str">
        <f>_xlfn.CONCAT(I$255,J261)</f>
        <v>HarrierLegs</v>
      </c>
      <c r="I261" s="520"/>
      <c r="J261" s="144" t="s">
        <v>47</v>
      </c>
      <c r="K261" s="136" cm="1">
        <f t="array" ref="K261">IF(COUNTIF($B$25:$E$25, K$2)&gt;0, _xlfn.IFS(COUNTIF($B$25:$C$25, K$2)&gt;0, VLOOKUP($J261,'Gear Values'!$A$2:$E$13, IF(COUNTBLANK('Attributes &amp; Prefixes'!$B$25:$C$25)&gt;0, "2", "3"), 0), COUNTIF($D$25:$E$25, K$2)&gt;0, VLOOKUP($J261,'Gear Values'!$A$2:$E$13, IF(COUNTBLANK('Attributes &amp; Prefixes'!$B$25:$C$25)&gt;0, "4", "5"), 0)), "")</f>
        <v>90</v>
      </c>
      <c r="L261" s="137" t="str" cm="1">
        <f t="array" ref="L261">IF(COUNTIF($B$25:$E$25, L$2)&gt;0, _xlfn.IFS(COUNTIF($B$25:$C$25, L$2)&gt;0, VLOOKUP($J261,'Gear Values'!$A$2:$E$13, IF(COUNTBLANK('Attributes &amp; Prefixes'!$B$25:$C$25)&gt;0, "2", "3"), 0), COUNTIF($D$25:$E$25, L$2)&gt;0, VLOOKUP($J261,'Gear Values'!$A$2:$E$13, IF(COUNTBLANK('Attributes &amp; Prefixes'!$B$25:$C$25)&gt;0, "4", "5"), 0)), "")</f>
        <v/>
      </c>
      <c r="M261" s="137" t="str" cm="1">
        <f t="array" ref="M261">IF(COUNTIF($B$25:$E$25, M$2)&gt;0, _xlfn.IFS(COUNTIF($B$25:$C$25, M$2)&gt;0, VLOOKUP($J261,'Gear Values'!$A$2:$E$13, IF(COUNTBLANK('Attributes &amp; Prefixes'!$B$25:$C$25)&gt;0, "2", "3"), 0), COUNTIF($D$25:$E$25, M$2)&gt;0, VLOOKUP($J261,'Gear Values'!$A$2:$E$13, IF(COUNTBLANK('Attributes &amp; Prefixes'!$B$25:$C$25)&gt;0, "4", "5"), 0)), "")</f>
        <v/>
      </c>
      <c r="N261" s="137" t="str" cm="1">
        <f t="array" ref="N261">IF(COUNTIF($B$25:$E$25, N$2)&gt;0, _xlfn.IFS(COUNTIF($B$25:$C$25, N$2)&gt;0, VLOOKUP($J261,'Gear Values'!$A$2:$E$13, IF(COUNTBLANK('Attributes &amp; Prefixes'!$B$25:$C$25)&gt;0, "2", "3"), 0), COUNTIF($D$25:$E$25, N$2)&gt;0, VLOOKUP($J261,'Gear Values'!$A$2:$E$13, IF(COUNTBLANK('Attributes &amp; Prefixes'!$B$25:$C$25)&gt;0, "4", "5"), 0)), "")</f>
        <v/>
      </c>
      <c r="O261" s="137" cm="1">
        <f t="array" ref="O261">IF(COUNTIF($B$25:$E$25, O$2)&gt;0, _xlfn.IFS(COUNTIF($B$25:$C$25, O$2)&gt;0, VLOOKUP($J261,'Gear Values'!$A$2:$E$13, IF(COUNTBLANK('Attributes &amp; Prefixes'!$B$25:$C$25)&gt;0, "2", "3"), 0), COUNTIF($D$25:$E$25, O$2)&gt;0, VLOOKUP($J261,'Gear Values'!$A$2:$E$13, IF(COUNTBLANK('Attributes &amp; Prefixes'!$B$25:$C$25)&gt;0, "4", "5"), 0)), "")</f>
        <v>64</v>
      </c>
      <c r="P261" s="137" t="str" cm="1">
        <f t="array" ref="P261">IF(COUNTIF($B$25:$E$25, P$2)&gt;0, _xlfn.IFS(COUNTIF($B$25:$C$25, P$2)&gt;0, VLOOKUP($J261,'Gear Values'!$A$2:$E$13, IF(COUNTBLANK('Attributes &amp; Prefixes'!$B$25:$C$25)&gt;0, "2", "3"), 0), COUNTIF($D$25:$E$25, P$2)&gt;0, VLOOKUP($J261,'Gear Values'!$A$2:$E$13, IF(COUNTBLANK('Attributes &amp; Prefixes'!$B$25:$C$25)&gt;0, "4", "5"), 0)), "")</f>
        <v/>
      </c>
      <c r="Q261" s="137" t="str" cm="1">
        <f t="array" ref="Q261">IF(COUNTIF($B$25:$E$25, Q$2)&gt;0, _xlfn.IFS(COUNTIF($B$25:$C$25, Q$2)&gt;0, VLOOKUP($J261,'Gear Values'!$A$2:$E$13, IF(COUNTBLANK('Attributes &amp; Prefixes'!$B$25:$C$25)&gt;0, "2", "3"), 0), COUNTIF($D$25:$E$25, Q$2)&gt;0, VLOOKUP($J261,'Gear Values'!$A$2:$E$13, IF(COUNTBLANK('Attributes &amp; Prefixes'!$B$25:$C$25)&gt;0, "4", "5"), 0)), "")</f>
        <v/>
      </c>
      <c r="R261" s="137" t="str" cm="1">
        <f t="array" ref="R261">IF(COUNTIF($B$25:$E$25, R$2)&gt;0, _xlfn.IFS(COUNTIF($B$25:$C$25, R$2)&gt;0, VLOOKUP($J261,'Gear Values'!$A$2:$E$13, IF(COUNTBLANK('Attributes &amp; Prefixes'!$B$25:$C$25)&gt;0, "2", "3"), 0), COUNTIF($D$25:$E$25, R$2)&gt;0, VLOOKUP($J261,'Gear Values'!$A$2:$E$13, IF(COUNTBLANK('Attributes &amp; Prefixes'!$B$25:$C$25)&gt;0, "4", "5"), 0)), "")</f>
        <v/>
      </c>
      <c r="S261" s="138" cm="1">
        <f t="array" ref="S261">IF(COUNTIF($B$25:$E$25, S$2)&gt;0, _xlfn.IFS(COUNTIF($B$25:$C$25, S$2)&gt;0, VLOOKUP($J261,'Gear Values'!$A$2:$E$13, IF(COUNTBLANK('Attributes &amp; Prefixes'!$B$25:$C$25)&gt;0, "2", "3"), 0), COUNTIF($D$25:$E$25, S$2)&gt;0, VLOOKUP($J261,'Gear Values'!$A$2:$E$13, IF(COUNTBLANK('Attributes &amp; Prefixes'!$B$25:$C$25)&gt;0, "4", "5"), 0)), "")</f>
        <v>64</v>
      </c>
      <c r="V261" s="112"/>
      <c r="W261" s="113"/>
    </row>
    <row r="262" spans="6:23">
      <c r="F262" s="114"/>
      <c r="G262" s="114"/>
      <c r="H262" s="130" t="str">
        <f>_xlfn.CONCAT(I$255,J262)</f>
        <v>HarrierFeet</v>
      </c>
      <c r="I262" s="520"/>
      <c r="J262" s="144" t="s">
        <v>48</v>
      </c>
      <c r="K262" s="136" cm="1">
        <f t="array" ref="K262">IF(COUNTIF($B$25:$E$25, K$2)&gt;0, _xlfn.IFS(COUNTIF($B$25:$C$25, K$2)&gt;0, VLOOKUP($J262,'Gear Values'!$A$2:$E$13, IF(COUNTBLANK('Attributes &amp; Prefixes'!$B$25:$C$25)&gt;0, "2", "3"), 0), COUNTIF($D$25:$E$25, K$2)&gt;0, VLOOKUP($J262,'Gear Values'!$A$2:$E$13, IF(COUNTBLANK('Attributes &amp; Prefixes'!$B$25:$C$25)&gt;0, "4", "5"), 0)), "")</f>
        <v>45</v>
      </c>
      <c r="L262" s="137" t="str" cm="1">
        <f t="array" ref="L262">IF(COUNTIF($B$25:$E$25, L$2)&gt;0, _xlfn.IFS(COUNTIF($B$25:$C$25, L$2)&gt;0, VLOOKUP($J262,'Gear Values'!$A$2:$E$13, IF(COUNTBLANK('Attributes &amp; Prefixes'!$B$25:$C$25)&gt;0, "2", "3"), 0), COUNTIF($D$25:$E$25, L$2)&gt;0, VLOOKUP($J262,'Gear Values'!$A$2:$E$13, IF(COUNTBLANK('Attributes &amp; Prefixes'!$B$25:$C$25)&gt;0, "4", "5"), 0)), "")</f>
        <v/>
      </c>
      <c r="M262" s="137" t="str" cm="1">
        <f t="array" ref="M262">IF(COUNTIF($B$25:$E$25, M$2)&gt;0, _xlfn.IFS(COUNTIF($B$25:$C$25, M$2)&gt;0, VLOOKUP($J262,'Gear Values'!$A$2:$E$13, IF(COUNTBLANK('Attributes &amp; Prefixes'!$B$25:$C$25)&gt;0, "2", "3"), 0), COUNTIF($D$25:$E$25, M$2)&gt;0, VLOOKUP($J262,'Gear Values'!$A$2:$E$13, IF(COUNTBLANK('Attributes &amp; Prefixes'!$B$25:$C$25)&gt;0, "4", "5"), 0)), "")</f>
        <v/>
      </c>
      <c r="N262" s="137" t="str" cm="1">
        <f t="array" ref="N262">IF(COUNTIF($B$25:$E$25, N$2)&gt;0, _xlfn.IFS(COUNTIF($B$25:$C$25, N$2)&gt;0, VLOOKUP($J262,'Gear Values'!$A$2:$E$13, IF(COUNTBLANK('Attributes &amp; Prefixes'!$B$25:$C$25)&gt;0, "2", "3"), 0), COUNTIF($D$25:$E$25, N$2)&gt;0, VLOOKUP($J262,'Gear Values'!$A$2:$E$13, IF(COUNTBLANK('Attributes &amp; Prefixes'!$B$25:$C$25)&gt;0, "4", "5"), 0)), "")</f>
        <v/>
      </c>
      <c r="O262" s="137" cm="1">
        <f t="array" ref="O262">IF(COUNTIF($B$25:$E$25, O$2)&gt;0, _xlfn.IFS(COUNTIF($B$25:$C$25, O$2)&gt;0, VLOOKUP($J262,'Gear Values'!$A$2:$E$13, IF(COUNTBLANK('Attributes &amp; Prefixes'!$B$25:$C$25)&gt;0, "2", "3"), 0), COUNTIF($D$25:$E$25, O$2)&gt;0, VLOOKUP($J262,'Gear Values'!$A$2:$E$13, IF(COUNTBLANK('Attributes &amp; Prefixes'!$B$25:$C$25)&gt;0, "4", "5"), 0)), "")</f>
        <v>32</v>
      </c>
      <c r="P262" s="137" t="str" cm="1">
        <f t="array" ref="P262">IF(COUNTIF($B$25:$E$25, P$2)&gt;0, _xlfn.IFS(COUNTIF($B$25:$C$25, P$2)&gt;0, VLOOKUP($J262,'Gear Values'!$A$2:$E$13, IF(COUNTBLANK('Attributes &amp; Prefixes'!$B$25:$C$25)&gt;0, "2", "3"), 0), COUNTIF($D$25:$E$25, P$2)&gt;0, VLOOKUP($J262,'Gear Values'!$A$2:$E$13, IF(COUNTBLANK('Attributes &amp; Prefixes'!$B$25:$C$25)&gt;0, "4", "5"), 0)), "")</f>
        <v/>
      </c>
      <c r="Q262" s="137" t="str" cm="1">
        <f t="array" ref="Q262">IF(COUNTIF($B$25:$E$25, Q$2)&gt;0, _xlfn.IFS(COUNTIF($B$25:$C$25, Q$2)&gt;0, VLOOKUP($J262,'Gear Values'!$A$2:$E$13, IF(COUNTBLANK('Attributes &amp; Prefixes'!$B$25:$C$25)&gt;0, "2", "3"), 0), COUNTIF($D$25:$E$25, Q$2)&gt;0, VLOOKUP($J262,'Gear Values'!$A$2:$E$13, IF(COUNTBLANK('Attributes &amp; Prefixes'!$B$25:$C$25)&gt;0, "4", "5"), 0)), "")</f>
        <v/>
      </c>
      <c r="R262" s="137" t="str" cm="1">
        <f t="array" ref="R262">IF(COUNTIF($B$25:$E$25, R$2)&gt;0, _xlfn.IFS(COUNTIF($B$25:$C$25, R$2)&gt;0, VLOOKUP($J262,'Gear Values'!$A$2:$E$13, IF(COUNTBLANK('Attributes &amp; Prefixes'!$B$25:$C$25)&gt;0, "2", "3"), 0), COUNTIF($D$25:$E$25, R$2)&gt;0, VLOOKUP($J262,'Gear Values'!$A$2:$E$13, IF(COUNTBLANK('Attributes &amp; Prefixes'!$B$25:$C$25)&gt;0, "4", "5"), 0)), "")</f>
        <v/>
      </c>
      <c r="S262" s="138" cm="1">
        <f t="array" ref="S262">IF(COUNTIF($B$25:$E$25, S$2)&gt;0, _xlfn.IFS(COUNTIF($B$25:$C$25, S$2)&gt;0, VLOOKUP($J262,'Gear Values'!$A$2:$E$13, IF(COUNTBLANK('Attributes &amp; Prefixes'!$B$25:$C$25)&gt;0, "2", "3"), 0), COUNTIF($D$25:$E$25, S$2)&gt;0, VLOOKUP($J262,'Gear Values'!$A$2:$E$13, IF(COUNTBLANK('Attributes &amp; Prefixes'!$B$25:$C$25)&gt;0, "4", "5"), 0)), "")</f>
        <v>32</v>
      </c>
      <c r="V262" s="112"/>
      <c r="W262" s="113"/>
    </row>
    <row r="263" spans="6:23">
      <c r="F263" s="114"/>
      <c r="G263" s="114"/>
      <c r="H263" s="130" t="str">
        <f>_xlfn.CONCAT(I$255,J263)</f>
        <v>HarrierEar</v>
      </c>
      <c r="I263" s="520"/>
      <c r="J263" s="144" t="s">
        <v>49</v>
      </c>
      <c r="K263" s="136" cm="1">
        <f t="array" ref="K263">IF(COUNTIF($B$25:$E$25, K$2)&gt;0, _xlfn.IFS(COUNTIF($B$25:$C$25, K$2)&gt;0, VLOOKUP($J263,'Gear Values'!$A$2:$E$13, IF(COUNTBLANK('Attributes &amp; Prefixes'!$B$25:$C$25)&gt;0, "2", "3"), 0), COUNTIF($D$25:$E$25, K$2)&gt;0, VLOOKUP($J263,'Gear Values'!$A$2:$E$13, IF(COUNTBLANK('Attributes &amp; Prefixes'!$B$25:$C$25)&gt;0, "4", "5"), 0)), "")</f>
        <v>75</v>
      </c>
      <c r="L263" s="137" t="str" cm="1">
        <f t="array" ref="L263">IF(COUNTIF($B$25:$E$25, L$2)&gt;0, _xlfn.IFS(COUNTIF($B$25:$C$25, L$2)&gt;0, VLOOKUP($J263,'Gear Values'!$A$2:$E$13, IF(COUNTBLANK('Attributes &amp; Prefixes'!$B$25:$C$25)&gt;0, "2", "3"), 0), COUNTIF($D$25:$E$25, L$2)&gt;0, VLOOKUP($J263,'Gear Values'!$A$2:$E$13, IF(COUNTBLANK('Attributes &amp; Prefixes'!$B$25:$C$25)&gt;0, "4", "5"), 0)), "")</f>
        <v/>
      </c>
      <c r="M263" s="137" t="str" cm="1">
        <f t="array" ref="M263">IF(COUNTIF($B$25:$E$25, M$2)&gt;0, _xlfn.IFS(COUNTIF($B$25:$C$25, M$2)&gt;0, VLOOKUP($J263,'Gear Values'!$A$2:$E$13, IF(COUNTBLANK('Attributes &amp; Prefixes'!$B$25:$C$25)&gt;0, "2", "3"), 0), COUNTIF($D$25:$E$25, M$2)&gt;0, VLOOKUP($J263,'Gear Values'!$A$2:$E$13, IF(COUNTBLANK('Attributes &amp; Prefixes'!$B$25:$C$25)&gt;0, "4", "5"), 0)), "")</f>
        <v/>
      </c>
      <c r="N263" s="137" t="str" cm="1">
        <f t="array" ref="N263">IF(COUNTIF($B$25:$E$25, N$2)&gt;0, _xlfn.IFS(COUNTIF($B$25:$C$25, N$2)&gt;0, VLOOKUP($J263,'Gear Values'!$A$2:$E$13, IF(COUNTBLANK('Attributes &amp; Prefixes'!$B$25:$C$25)&gt;0, "2", "3"), 0), COUNTIF($D$25:$E$25, N$2)&gt;0, VLOOKUP($J263,'Gear Values'!$A$2:$E$13, IF(COUNTBLANK('Attributes &amp; Prefixes'!$B$25:$C$25)&gt;0, "4", "5"), 0)), "")</f>
        <v/>
      </c>
      <c r="O263" s="137" cm="1">
        <f t="array" ref="O263">IF(COUNTIF($B$25:$E$25, O$2)&gt;0, _xlfn.IFS(COUNTIF($B$25:$C$25, O$2)&gt;0, VLOOKUP($J263,'Gear Values'!$A$2:$E$13, IF(COUNTBLANK('Attributes &amp; Prefixes'!$B$25:$C$25)&gt;0, "2", "3"), 0), COUNTIF($D$25:$E$25, O$2)&gt;0, VLOOKUP($J263,'Gear Values'!$A$2:$E$13, IF(COUNTBLANK('Attributes &amp; Prefixes'!$B$25:$C$25)&gt;0, "4", "5"), 0)), "")</f>
        <v>53</v>
      </c>
      <c r="P263" s="137" t="str" cm="1">
        <f t="array" ref="P263">IF(COUNTIF($B$25:$E$25, P$2)&gt;0, _xlfn.IFS(COUNTIF($B$25:$C$25, P$2)&gt;0, VLOOKUP($J263,'Gear Values'!$A$2:$E$13, IF(COUNTBLANK('Attributes &amp; Prefixes'!$B$25:$C$25)&gt;0, "2", "3"), 0), COUNTIF($D$25:$E$25, P$2)&gt;0, VLOOKUP($J263,'Gear Values'!$A$2:$E$13, IF(COUNTBLANK('Attributes &amp; Prefixes'!$B$25:$C$25)&gt;0, "4", "5"), 0)), "")</f>
        <v/>
      </c>
      <c r="Q263" s="137" t="str" cm="1">
        <f t="array" ref="Q263">IF(COUNTIF($B$25:$E$25, Q$2)&gt;0, _xlfn.IFS(COUNTIF($B$25:$C$25, Q$2)&gt;0, VLOOKUP($J263,'Gear Values'!$A$2:$E$13, IF(COUNTBLANK('Attributes &amp; Prefixes'!$B$25:$C$25)&gt;0, "2", "3"), 0), COUNTIF($D$25:$E$25, Q$2)&gt;0, VLOOKUP($J263,'Gear Values'!$A$2:$E$13, IF(COUNTBLANK('Attributes &amp; Prefixes'!$B$25:$C$25)&gt;0, "4", "5"), 0)), "")</f>
        <v/>
      </c>
      <c r="R263" s="137" t="str" cm="1">
        <f t="array" ref="R263">IF(COUNTIF($B$25:$E$25, R$2)&gt;0, _xlfn.IFS(COUNTIF($B$25:$C$25, R$2)&gt;0, VLOOKUP($J263,'Gear Values'!$A$2:$E$13, IF(COUNTBLANK('Attributes &amp; Prefixes'!$B$25:$C$25)&gt;0, "2", "3"), 0), COUNTIF($D$25:$E$25, R$2)&gt;0, VLOOKUP($J263,'Gear Values'!$A$2:$E$13, IF(COUNTBLANK('Attributes &amp; Prefixes'!$B$25:$C$25)&gt;0, "4", "5"), 0)), "")</f>
        <v/>
      </c>
      <c r="S263" s="138" cm="1">
        <f t="array" ref="S263">IF(COUNTIF($B$25:$E$25, S$2)&gt;0, _xlfn.IFS(COUNTIF($B$25:$C$25, S$2)&gt;0, VLOOKUP($J263,'Gear Values'!$A$2:$E$13, IF(COUNTBLANK('Attributes &amp; Prefixes'!$B$25:$C$25)&gt;0, "2", "3"), 0), COUNTIF($D$25:$E$25, S$2)&gt;0, VLOOKUP($J263,'Gear Values'!$A$2:$E$13, IF(COUNTBLANK('Attributes &amp; Prefixes'!$B$25:$C$25)&gt;0, "4", "5"), 0)), "")</f>
        <v>53</v>
      </c>
      <c r="V263" s="112"/>
      <c r="W263" s="112"/>
    </row>
    <row r="264" spans="6:23">
      <c r="F264" s="114"/>
      <c r="G264" s="114"/>
      <c r="H264" s="130" t="str">
        <f>_xlfn.CONCAT(I$255,J264)</f>
        <v>HarrierFinger</v>
      </c>
      <c r="I264" s="520"/>
      <c r="J264" s="144" t="s">
        <v>51</v>
      </c>
      <c r="K264" s="136" cm="1">
        <f t="array" ref="K264">IF(COUNTIF($B$25:$E$25, K$2)&gt;0, _xlfn.IFS(COUNTIF($B$25:$C$25, K$2)&gt;0, VLOOKUP($J264,'Gear Values'!$A$2:$E$13, IF(COUNTBLANK('Attributes &amp; Prefixes'!$B$25:$C$25)&gt;0, "2", "3"), 0), COUNTIF($D$25:$E$25, K$2)&gt;0, VLOOKUP($J264,'Gear Values'!$A$2:$E$13, IF(COUNTBLANK('Attributes &amp; Prefixes'!$B$25:$C$25)&gt;0, "4", "5"), 0)), "")</f>
        <v>90</v>
      </c>
      <c r="L264" s="137" t="str" cm="1">
        <f t="array" ref="L264">IF(COUNTIF($B$25:$E$25, L$2)&gt;0, _xlfn.IFS(COUNTIF($B$25:$C$25, L$2)&gt;0, VLOOKUP($J264,'Gear Values'!$A$2:$E$13, IF(COUNTBLANK('Attributes &amp; Prefixes'!$B$25:$C$25)&gt;0, "2", "3"), 0), COUNTIF($D$25:$E$25, L$2)&gt;0, VLOOKUP($J264,'Gear Values'!$A$2:$E$13, IF(COUNTBLANK('Attributes &amp; Prefixes'!$B$25:$C$25)&gt;0, "4", "5"), 0)), "")</f>
        <v/>
      </c>
      <c r="M264" s="137" t="str" cm="1">
        <f t="array" ref="M264">IF(COUNTIF($B$25:$E$25, M$2)&gt;0, _xlfn.IFS(COUNTIF($B$25:$C$25, M$2)&gt;0, VLOOKUP($J264,'Gear Values'!$A$2:$E$13, IF(COUNTBLANK('Attributes &amp; Prefixes'!$B$25:$C$25)&gt;0, "2", "3"), 0), COUNTIF($D$25:$E$25, M$2)&gt;0, VLOOKUP($J264,'Gear Values'!$A$2:$E$13, IF(COUNTBLANK('Attributes &amp; Prefixes'!$B$25:$C$25)&gt;0, "4", "5"), 0)), "")</f>
        <v/>
      </c>
      <c r="N264" s="137" t="str" cm="1">
        <f t="array" ref="N264">IF(COUNTIF($B$25:$E$25, N$2)&gt;0, _xlfn.IFS(COUNTIF($B$25:$C$25, N$2)&gt;0, VLOOKUP($J264,'Gear Values'!$A$2:$E$13, IF(COUNTBLANK('Attributes &amp; Prefixes'!$B$25:$C$25)&gt;0, "2", "3"), 0), COUNTIF($D$25:$E$25, N$2)&gt;0, VLOOKUP($J264,'Gear Values'!$A$2:$E$13, IF(COUNTBLANK('Attributes &amp; Prefixes'!$B$25:$C$25)&gt;0, "4", "5"), 0)), "")</f>
        <v/>
      </c>
      <c r="O264" s="137" cm="1">
        <f t="array" ref="O264">IF(COUNTIF($B$25:$E$25, O$2)&gt;0, _xlfn.IFS(COUNTIF($B$25:$C$25, O$2)&gt;0, VLOOKUP($J264,'Gear Values'!$A$2:$E$13, IF(COUNTBLANK('Attributes &amp; Prefixes'!$B$25:$C$25)&gt;0, "2", "3"), 0), COUNTIF($D$25:$E$25, O$2)&gt;0, VLOOKUP($J264,'Gear Values'!$A$2:$E$13, IF(COUNTBLANK('Attributes &amp; Prefixes'!$B$25:$C$25)&gt;0, "4", "5"), 0)), "")</f>
        <v>64</v>
      </c>
      <c r="P264" s="137" t="str" cm="1">
        <f t="array" ref="P264">IF(COUNTIF($B$25:$E$25, P$2)&gt;0, _xlfn.IFS(COUNTIF($B$25:$C$25, P$2)&gt;0, VLOOKUP($J264,'Gear Values'!$A$2:$E$13, IF(COUNTBLANK('Attributes &amp; Prefixes'!$B$25:$C$25)&gt;0, "2", "3"), 0), COUNTIF($D$25:$E$25, P$2)&gt;0, VLOOKUP($J264,'Gear Values'!$A$2:$E$13, IF(COUNTBLANK('Attributes &amp; Prefixes'!$B$25:$C$25)&gt;0, "4", "5"), 0)), "")</f>
        <v/>
      </c>
      <c r="Q264" s="137" t="str" cm="1">
        <f t="array" ref="Q264">IF(COUNTIF($B$25:$E$25, Q$2)&gt;0, _xlfn.IFS(COUNTIF($B$25:$C$25, Q$2)&gt;0, VLOOKUP($J264,'Gear Values'!$A$2:$E$13, IF(COUNTBLANK('Attributes &amp; Prefixes'!$B$25:$C$25)&gt;0, "2", "3"), 0), COUNTIF($D$25:$E$25, Q$2)&gt;0, VLOOKUP($J264,'Gear Values'!$A$2:$E$13, IF(COUNTBLANK('Attributes &amp; Prefixes'!$B$25:$C$25)&gt;0, "4", "5"), 0)), "")</f>
        <v/>
      </c>
      <c r="R264" s="137" t="str" cm="1">
        <f t="array" ref="R264">IF(COUNTIF($B$25:$E$25, R$2)&gt;0, _xlfn.IFS(COUNTIF($B$25:$C$25, R$2)&gt;0, VLOOKUP($J264,'Gear Values'!$A$2:$E$13, IF(COUNTBLANK('Attributes &amp; Prefixes'!$B$25:$C$25)&gt;0, "2", "3"), 0), COUNTIF($D$25:$E$25, R$2)&gt;0, VLOOKUP($J264,'Gear Values'!$A$2:$E$13, IF(COUNTBLANK('Attributes &amp; Prefixes'!$B$25:$C$25)&gt;0, "4", "5"), 0)), "")</f>
        <v/>
      </c>
      <c r="S264" s="138" cm="1">
        <f t="array" ref="S264">IF(COUNTIF($B$25:$E$25, S$2)&gt;0, _xlfn.IFS(COUNTIF($B$25:$C$25, S$2)&gt;0, VLOOKUP($J264,'Gear Values'!$A$2:$E$13, IF(COUNTBLANK('Attributes &amp; Prefixes'!$B$25:$C$25)&gt;0, "2", "3"), 0), COUNTIF($D$25:$E$25, S$2)&gt;0, VLOOKUP($J264,'Gear Values'!$A$2:$E$13, IF(COUNTBLANK('Attributes &amp; Prefixes'!$B$25:$C$25)&gt;0, "4", "5"), 0)), "")</f>
        <v>64</v>
      </c>
      <c r="V264" s="112"/>
      <c r="W264" s="112"/>
    </row>
    <row r="265" spans="6:23">
      <c r="F265" s="114"/>
      <c r="G265" s="114"/>
      <c r="H265" s="130" t="str">
        <f>_xlfn.CONCAT(I$255,J265)</f>
        <v>HarrierNeck</v>
      </c>
      <c r="I265" s="520"/>
      <c r="J265" s="144" t="s">
        <v>52</v>
      </c>
      <c r="K265" s="136" cm="1">
        <f t="array" ref="K265">IF(COUNTIF($B$25:$E$25, K$2)&gt;0, _xlfn.IFS(COUNTIF($B$25:$C$25, K$2)&gt;0, VLOOKUP($J265,'Gear Values'!$A$2:$E$13, IF(COUNTBLANK('Attributes &amp; Prefixes'!$B$25:$C$25)&gt;0, "2", "3"), 0), COUNTIF($D$25:$E$25, K$2)&gt;0, VLOOKUP($J265,'Gear Values'!$A$2:$E$13, IF(COUNTBLANK('Attributes &amp; Prefixes'!$B$25:$C$25)&gt;0, "4", "5"), 0)), "")</f>
        <v>120</v>
      </c>
      <c r="L265" s="137" t="str" cm="1">
        <f t="array" ref="L265">IF(COUNTIF($B$25:$E$25, L$2)&gt;0, _xlfn.IFS(COUNTIF($B$25:$C$25, L$2)&gt;0, VLOOKUP($J265,'Gear Values'!$A$2:$E$13, IF(COUNTBLANK('Attributes &amp; Prefixes'!$B$25:$C$25)&gt;0, "2", "3"), 0), COUNTIF($D$25:$E$25, L$2)&gt;0, VLOOKUP($J265,'Gear Values'!$A$2:$E$13, IF(COUNTBLANK('Attributes &amp; Prefixes'!$B$25:$C$25)&gt;0, "4", "5"), 0)), "")</f>
        <v/>
      </c>
      <c r="M265" s="137" t="str" cm="1">
        <f t="array" ref="M265">IF(COUNTIF($B$25:$E$25, M$2)&gt;0, _xlfn.IFS(COUNTIF($B$25:$C$25, M$2)&gt;0, VLOOKUP($J265,'Gear Values'!$A$2:$E$13, IF(COUNTBLANK('Attributes &amp; Prefixes'!$B$25:$C$25)&gt;0, "2", "3"), 0), COUNTIF($D$25:$E$25, M$2)&gt;0, VLOOKUP($J265,'Gear Values'!$A$2:$E$13, IF(COUNTBLANK('Attributes &amp; Prefixes'!$B$25:$C$25)&gt;0, "4", "5"), 0)), "")</f>
        <v/>
      </c>
      <c r="N265" s="137" t="str" cm="1">
        <f t="array" ref="N265">IF(COUNTIF($B$25:$E$25, N$2)&gt;0, _xlfn.IFS(COUNTIF($B$25:$C$25, N$2)&gt;0, VLOOKUP($J265,'Gear Values'!$A$2:$E$13, IF(COUNTBLANK('Attributes &amp; Prefixes'!$B$25:$C$25)&gt;0, "2", "3"), 0), COUNTIF($D$25:$E$25, N$2)&gt;0, VLOOKUP($J265,'Gear Values'!$A$2:$E$13, IF(COUNTBLANK('Attributes &amp; Prefixes'!$B$25:$C$25)&gt;0, "4", "5"), 0)), "")</f>
        <v/>
      </c>
      <c r="O265" s="137" cm="1">
        <f t="array" ref="O265">IF(COUNTIF($B$25:$E$25, O$2)&gt;0, _xlfn.IFS(COUNTIF($B$25:$C$25, O$2)&gt;0, VLOOKUP($J265,'Gear Values'!$A$2:$E$13, IF(COUNTBLANK('Attributes &amp; Prefixes'!$B$25:$C$25)&gt;0, "2", "3"), 0), COUNTIF($D$25:$E$25, O$2)&gt;0, VLOOKUP($J265,'Gear Values'!$A$2:$E$13, IF(COUNTBLANK('Attributes &amp; Prefixes'!$B$25:$C$25)&gt;0, "4", "5"), 0)), "")</f>
        <v>85</v>
      </c>
      <c r="P265" s="137" t="str" cm="1">
        <f t="array" ref="P265">IF(COUNTIF($B$25:$E$25, P$2)&gt;0, _xlfn.IFS(COUNTIF($B$25:$C$25, P$2)&gt;0, VLOOKUP($J265,'Gear Values'!$A$2:$E$13, IF(COUNTBLANK('Attributes &amp; Prefixes'!$B$25:$C$25)&gt;0, "2", "3"), 0), COUNTIF($D$25:$E$25, P$2)&gt;0, VLOOKUP($J265,'Gear Values'!$A$2:$E$13, IF(COUNTBLANK('Attributes &amp; Prefixes'!$B$25:$C$25)&gt;0, "4", "5"), 0)), "")</f>
        <v/>
      </c>
      <c r="Q265" s="137" t="str" cm="1">
        <f t="array" ref="Q265">IF(COUNTIF($B$25:$E$25, Q$2)&gt;0, _xlfn.IFS(COUNTIF($B$25:$C$25, Q$2)&gt;0, VLOOKUP($J265,'Gear Values'!$A$2:$E$13, IF(COUNTBLANK('Attributes &amp; Prefixes'!$B$25:$C$25)&gt;0, "2", "3"), 0), COUNTIF($D$25:$E$25, Q$2)&gt;0, VLOOKUP($J265,'Gear Values'!$A$2:$E$13, IF(COUNTBLANK('Attributes &amp; Prefixes'!$B$25:$C$25)&gt;0, "4", "5"), 0)), "")</f>
        <v/>
      </c>
      <c r="R265" s="137" t="str" cm="1">
        <f t="array" ref="R265">IF(COUNTIF($B$25:$E$25, R$2)&gt;0, _xlfn.IFS(COUNTIF($B$25:$C$25, R$2)&gt;0, VLOOKUP($J265,'Gear Values'!$A$2:$E$13, IF(COUNTBLANK('Attributes &amp; Prefixes'!$B$25:$C$25)&gt;0, "2", "3"), 0), COUNTIF($D$25:$E$25, R$2)&gt;0, VLOOKUP($J265,'Gear Values'!$A$2:$E$13, IF(COUNTBLANK('Attributes &amp; Prefixes'!$B$25:$C$25)&gt;0, "4", "5"), 0)), "")</f>
        <v/>
      </c>
      <c r="S265" s="138" cm="1">
        <f t="array" ref="S265">IF(COUNTIF($B$25:$E$25, S$2)&gt;0, _xlfn.IFS(COUNTIF($B$25:$C$25, S$2)&gt;0, VLOOKUP($J265,'Gear Values'!$A$2:$E$13, IF(COUNTBLANK('Attributes &amp; Prefixes'!$B$25:$C$25)&gt;0, "2", "3"), 0), COUNTIF($D$25:$E$25, S$2)&gt;0, VLOOKUP($J265,'Gear Values'!$A$2:$E$13, IF(COUNTBLANK('Attributes &amp; Prefixes'!$B$25:$C$25)&gt;0, "4", "5"), 0)), "")</f>
        <v>85</v>
      </c>
      <c r="V265" s="112"/>
      <c r="W265" s="112"/>
    </row>
    <row r="266" spans="6:23">
      <c r="F266" s="114"/>
      <c r="G266" s="114"/>
      <c r="H266" s="130" t="str">
        <f>_xlfn.CONCAT(I$255,J266)</f>
        <v>HarrierBack</v>
      </c>
      <c r="I266" s="521"/>
      <c r="J266" s="146" t="s">
        <v>53</v>
      </c>
      <c r="K266" s="147" cm="1">
        <f t="array" ref="K266">IF(COUNTIF($B$25:$E$25, K$2)&gt;0, _xlfn.IFS(COUNTIF($B$25:$C$25, K$2)&gt;0, VLOOKUP($J266,'Gear Values'!$A$2:$E$13, IF(COUNTBLANK('Attributes &amp; Prefixes'!$B$25:$C$25)&gt;0, "2", "3"), 0), COUNTIF($D$25:$E$25, K$2)&gt;0, VLOOKUP($J266,'Gear Values'!$A$2:$E$13, IF(COUNTBLANK('Attributes &amp; Prefixes'!$B$25:$C$25)&gt;0, "4", "5"), 0)), "")</f>
        <v>32</v>
      </c>
      <c r="L266" s="148" t="str" cm="1">
        <f t="array" ref="L266">IF(COUNTIF($B$25:$E$25, L$2)&gt;0, _xlfn.IFS(COUNTIF($B$25:$C$25, L$2)&gt;0, VLOOKUP($J266,'Gear Values'!$A$2:$E$13, IF(COUNTBLANK('Attributes &amp; Prefixes'!$B$25:$C$25)&gt;0, "2", "3"), 0), COUNTIF($D$25:$E$25, L$2)&gt;0, VLOOKUP($J266,'Gear Values'!$A$2:$E$13, IF(COUNTBLANK('Attributes &amp; Prefixes'!$B$25:$C$25)&gt;0, "4", "5"), 0)), "")</f>
        <v/>
      </c>
      <c r="M266" s="148" t="str" cm="1">
        <f t="array" ref="M266">IF(COUNTIF($B$25:$E$25, M$2)&gt;0, _xlfn.IFS(COUNTIF($B$25:$C$25, M$2)&gt;0, VLOOKUP($J266,'Gear Values'!$A$2:$E$13, IF(COUNTBLANK('Attributes &amp; Prefixes'!$B$25:$C$25)&gt;0, "2", "3"), 0), COUNTIF($D$25:$E$25, M$2)&gt;0, VLOOKUP($J266,'Gear Values'!$A$2:$E$13, IF(COUNTBLANK('Attributes &amp; Prefixes'!$B$25:$C$25)&gt;0, "4", "5"), 0)), "")</f>
        <v/>
      </c>
      <c r="N266" s="148" t="str" cm="1">
        <f t="array" ref="N266">IF(COUNTIF($B$25:$E$25, N$2)&gt;0, _xlfn.IFS(COUNTIF($B$25:$C$25, N$2)&gt;0, VLOOKUP($J266,'Gear Values'!$A$2:$E$13, IF(COUNTBLANK('Attributes &amp; Prefixes'!$B$25:$C$25)&gt;0, "2", "3"), 0), COUNTIF($D$25:$E$25, N$2)&gt;0, VLOOKUP($J266,'Gear Values'!$A$2:$E$13, IF(COUNTBLANK('Attributes &amp; Prefixes'!$B$25:$C$25)&gt;0, "4", "5"), 0)), "")</f>
        <v/>
      </c>
      <c r="O266" s="148" cm="1">
        <f t="array" ref="O266">IF(COUNTIF($B$25:$E$25, O$2)&gt;0, _xlfn.IFS(COUNTIF($B$25:$C$25, O$2)&gt;0, VLOOKUP($J266,'Gear Values'!$A$2:$E$13, IF(COUNTBLANK('Attributes &amp; Prefixes'!$B$25:$C$25)&gt;0, "2", "3"), 0), COUNTIF($D$25:$E$25, O$2)&gt;0, VLOOKUP($J266,'Gear Values'!$A$2:$E$13, IF(COUNTBLANK('Attributes &amp; Prefixes'!$B$25:$C$25)&gt;0, "4", "5"), 0)), "")</f>
        <v>18</v>
      </c>
      <c r="P266" s="148" t="str" cm="1">
        <f t="array" ref="P266">IF(COUNTIF($B$25:$E$25, P$2)&gt;0, _xlfn.IFS(COUNTIF($B$25:$C$25, P$2)&gt;0, VLOOKUP($J266,'Gear Values'!$A$2:$E$13, IF(COUNTBLANK('Attributes &amp; Prefixes'!$B$25:$C$25)&gt;0, "2", "3"), 0), COUNTIF($D$25:$E$25, P$2)&gt;0, VLOOKUP($J266,'Gear Values'!$A$2:$E$13, IF(COUNTBLANK('Attributes &amp; Prefixes'!$B$25:$C$25)&gt;0, "4", "5"), 0)), "")</f>
        <v/>
      </c>
      <c r="Q266" s="148" t="str" cm="1">
        <f t="array" ref="Q266">IF(COUNTIF($B$25:$E$25, Q$2)&gt;0, _xlfn.IFS(COUNTIF($B$25:$C$25, Q$2)&gt;0, VLOOKUP($J266,'Gear Values'!$A$2:$E$13, IF(COUNTBLANK('Attributes &amp; Prefixes'!$B$25:$C$25)&gt;0, "2", "3"), 0), COUNTIF($D$25:$E$25, Q$2)&gt;0, VLOOKUP($J266,'Gear Values'!$A$2:$E$13, IF(COUNTBLANK('Attributes &amp; Prefixes'!$B$25:$C$25)&gt;0, "4", "5"), 0)), "")</f>
        <v/>
      </c>
      <c r="R266" s="148" t="str" cm="1">
        <f t="array" ref="R266">IF(COUNTIF($B$25:$E$25, R$2)&gt;0, _xlfn.IFS(COUNTIF($B$25:$C$25, R$2)&gt;0, VLOOKUP($J266,'Gear Values'!$A$2:$E$13, IF(COUNTBLANK('Attributes &amp; Prefixes'!$B$25:$C$25)&gt;0, "2", "3"), 0), COUNTIF($D$25:$E$25, R$2)&gt;0, VLOOKUP($J266,'Gear Values'!$A$2:$E$13, IF(COUNTBLANK('Attributes &amp; Prefixes'!$B$25:$C$25)&gt;0, "4", "5"), 0)), "")</f>
        <v/>
      </c>
      <c r="S266" s="150" cm="1">
        <f t="array" ref="S266">IF(COUNTIF($B$25:$E$25, S$2)&gt;0, _xlfn.IFS(COUNTIF($B$25:$C$25, S$2)&gt;0, VLOOKUP($J266,'Gear Values'!$A$2:$E$13, IF(COUNTBLANK('Attributes &amp; Prefixes'!$B$25:$C$25)&gt;0, "2", "3"), 0), COUNTIF($D$25:$E$25, S$2)&gt;0, VLOOKUP($J266,'Gear Values'!$A$2:$E$13, IF(COUNTBLANK('Attributes &amp; Prefixes'!$B$25:$C$25)&gt;0, "4", "5"), 0)), "")</f>
        <v>18</v>
      </c>
      <c r="V266" s="112"/>
      <c r="W266" s="112"/>
    </row>
    <row r="267" spans="6:23">
      <c r="F267" s="114"/>
      <c r="G267" s="114"/>
      <c r="H267" s="130" t="str">
        <f>_xlfn.CONCAT(I$267,J267)</f>
        <v>HereticWeapon (1H)</v>
      </c>
      <c r="I267" s="519" t="str">
        <f>A26</f>
        <v>Heretic</v>
      </c>
      <c r="J267" s="145" t="s">
        <v>37</v>
      </c>
      <c r="K267" s="133" cm="1">
        <f t="array" ref="K267">IF(COUNTIF($B$26:$E$26, K$2)&gt;0, _xlfn.IFS(COUNTIF($B$26:$C$26, K$2)&gt;0, VLOOKUP($J268,'Gear Values'!$A$2:$E$13, IF(COUNTBLANK('Attributes &amp; Prefixes'!$B$26:$C$26)&gt;0, "2", "3"), 0), COUNTIF($D$26:$E$26, K$2)&gt;0, VLOOKUP($J268,'Gear Values'!$A$2:$E$13, IF(COUNTBLANK('Attributes &amp; Prefixes'!$B$26:$C$26)&gt;0, "4", "5"), 0)), "")</f>
        <v>205</v>
      </c>
      <c r="L267" s="134" cm="1">
        <f t="array" ref="L267">IF(COUNTIF($B$26:$E$26, L$2)&gt;0, _xlfn.IFS(COUNTIF($B$26:$C$26, L$2)&gt;0, VLOOKUP($J268,'Gear Values'!$A$2:$E$13, IF(COUNTBLANK('Attributes &amp; Prefixes'!$B$26:$C$26)&gt;0, "2", "3"), 0), COUNTIF($D$26:$E$26, L$2)&gt;0, VLOOKUP($J268,'Gear Values'!$A$2:$E$13, IF(COUNTBLANK('Attributes &amp; Prefixes'!$B$26:$C$26)&gt;0, "4", "5"), 0)), "")</f>
        <v>205</v>
      </c>
      <c r="M267" s="134" t="str" cm="1">
        <f t="array" ref="M267">IF(COUNTIF($B$26:$E$26, M$2)&gt;0, _xlfn.IFS(COUNTIF($B$26:$C$26, M$2)&gt;0, VLOOKUP($J268,'Gear Values'!$A$2:$E$13, IF(COUNTBLANK('Attributes &amp; Prefixes'!$B$26:$C$26)&gt;0, "2", "3"), 0), COUNTIF($D$26:$E$26, M$2)&gt;0, VLOOKUP($J268,'Gear Values'!$A$2:$E$13, IF(COUNTBLANK('Attributes &amp; Prefixes'!$B$26:$C$26)&gt;0, "4", "5"), 0)), "")</f>
        <v/>
      </c>
      <c r="N267" s="134" t="str" cm="1">
        <f t="array" ref="N267">IF(COUNTIF($B$26:$E$26, N$2)&gt;0, _xlfn.IFS(COUNTIF($B$26:$C$26, N$2)&gt;0, VLOOKUP($J268,'Gear Values'!$A$2:$E$13, IF(COUNTBLANK('Attributes &amp; Prefixes'!$B$26:$C$26)&gt;0, "2", "3"), 0), COUNTIF($D$26:$E$26, N$2)&gt;0, VLOOKUP($J268,'Gear Values'!$A$2:$E$13, IF(COUNTBLANK('Attributes &amp; Prefixes'!$B$26:$C$26)&gt;0, "4", "5"), 0)), "")</f>
        <v/>
      </c>
      <c r="O267" s="134" t="str" cm="1">
        <f t="array" ref="O267">IF(COUNTIF($B$26:$E$26, O$2)&gt;0, _xlfn.IFS(COUNTIF($B$26:$C$26, O$2)&gt;0, VLOOKUP($J268,'Gear Values'!$A$2:$E$13, IF(COUNTBLANK('Attributes &amp; Prefixes'!$B$26:$C$26)&gt;0, "2", "3"), 0), COUNTIF($D$26:$E$26, O$2)&gt;0, VLOOKUP($J268,'Gear Values'!$A$2:$E$13, IF(COUNTBLANK('Attributes &amp; Prefixes'!$B$26:$C$26)&gt;0, "4", "5"), 0)), "")</f>
        <v/>
      </c>
      <c r="P267" s="134" t="str" cm="1">
        <f t="array" ref="P267">IF(COUNTIF($B$26:$E$26, P$2)&gt;0, _xlfn.IFS(COUNTIF($B$26:$C$26, P$2)&gt;0, VLOOKUP($J268,'Gear Values'!$A$2:$E$13, IF(COUNTBLANK('Attributes &amp; Prefixes'!$B$26:$C$26)&gt;0, "2", "3"), 0), COUNTIF($D$26:$E$26, P$2)&gt;0, VLOOKUP($J268,'Gear Values'!$A$2:$E$13, IF(COUNTBLANK('Attributes &amp; Prefixes'!$B$26:$C$26)&gt;0, "4", "5"), 0)), "")</f>
        <v/>
      </c>
      <c r="Q267" s="134" t="str" cm="1">
        <f t="array" ref="Q267">IF(COUNTIF($B$26:$E$26, Q$2)&gt;0, _xlfn.IFS(COUNTIF($B$26:$C$26, Q$2)&gt;0, VLOOKUP($J268,'Gear Values'!$A$2:$E$13, IF(COUNTBLANK('Attributes &amp; Prefixes'!$B$26:$C$26)&gt;0, "2", "3"), 0), COUNTIF($D$26:$E$26, Q$2)&gt;0, VLOOKUP($J268,'Gear Values'!$A$2:$E$13, IF(COUNTBLANK('Attributes &amp; Prefixes'!$B$26:$C$26)&gt;0, "4", "5"), 0)), "")</f>
        <v/>
      </c>
      <c r="R267" s="134" cm="1">
        <f t="array" ref="R267">IF(COUNTIF($B$26:$E$26, R$2)&gt;0, _xlfn.IFS(COUNTIF($B$26:$C$26, R$2)&gt;0, VLOOKUP($J268,'Gear Values'!$A$2:$E$13, IF(COUNTBLANK('Attributes &amp; Prefixes'!$B$26:$C$26)&gt;0, "2", "3"), 0), COUNTIF($D$26:$E$26, R$2)&gt;0, VLOOKUP($J268,'Gear Values'!$A$2:$E$13, IF(COUNTBLANK('Attributes &amp; Prefixes'!$B$26:$C$26)&gt;0, "4", "5"), 0)), "")</f>
        <v>113</v>
      </c>
      <c r="S267" s="135" cm="1">
        <f t="array" ref="S267">IF(COUNTIF($B$26:$E$26, S$2)&gt;0, _xlfn.IFS(COUNTIF($B$26:$C$26, S$2)&gt;0, VLOOKUP($J268,'Gear Values'!$A$2:$E$13, IF(COUNTBLANK('Attributes &amp; Prefixes'!$B$26:$C$26)&gt;0, "2", "3"), 0), COUNTIF($D$26:$E$26, S$2)&gt;0, VLOOKUP($J268,'Gear Values'!$A$2:$E$13, IF(COUNTBLANK('Attributes &amp; Prefixes'!$B$26:$C$26)&gt;0, "4", "5"), 0)), "")</f>
        <v>113</v>
      </c>
      <c r="V267" s="112"/>
      <c r="W267" s="112"/>
    </row>
    <row r="268" spans="6:23">
      <c r="F268" s="114"/>
      <c r="G268" s="114"/>
      <c r="H268" s="130" t="str">
        <f>_xlfn.CONCAT(I$267,J268)</f>
        <v>HereticWeapon (2H)</v>
      </c>
      <c r="I268" s="520"/>
      <c r="J268" s="144" t="s">
        <v>39</v>
      </c>
      <c r="K268" s="136" cm="1">
        <f t="array" ref="K268">IF(COUNTIF($B$26:$E$26, K$2)&gt;0, _xlfn.IFS(COUNTIF($B$26:$C$26, K$2)&gt;0, VLOOKUP($J268,'Gear Values'!$A$2:$E$13, IF(COUNTBLANK('Attributes &amp; Prefixes'!$B$26:$C$26)&gt;0, "2", "3"), 0), COUNTIF($D$26:$E$26, K$2)&gt;0, VLOOKUP($J268,'Gear Values'!$A$2:$E$13, IF(COUNTBLANK('Attributes &amp; Prefixes'!$B$26:$C$26)&gt;0, "4", "5"), 0)), "")</f>
        <v>205</v>
      </c>
      <c r="L268" s="137" cm="1">
        <f t="array" ref="L268">IF(COUNTIF($B$26:$E$26, L$2)&gt;0, _xlfn.IFS(COUNTIF($B$26:$C$26, L$2)&gt;0, VLOOKUP($J268,'Gear Values'!$A$2:$E$13, IF(COUNTBLANK('Attributes &amp; Prefixes'!$B$26:$C$26)&gt;0, "2", "3"), 0), COUNTIF($D$26:$E$26, L$2)&gt;0, VLOOKUP($J268,'Gear Values'!$A$2:$E$13, IF(COUNTBLANK('Attributes &amp; Prefixes'!$B$26:$C$26)&gt;0, "4", "5"), 0)), "")</f>
        <v>205</v>
      </c>
      <c r="M268" s="137" t="str" cm="1">
        <f t="array" ref="M268">IF(COUNTIF($B$26:$E$26, M$2)&gt;0, _xlfn.IFS(COUNTIF($B$26:$C$26, M$2)&gt;0, VLOOKUP($J268,'Gear Values'!$A$2:$E$13, IF(COUNTBLANK('Attributes &amp; Prefixes'!$B$26:$C$26)&gt;0, "2", "3"), 0), COUNTIF($D$26:$E$26, M$2)&gt;0, VLOOKUP($J268,'Gear Values'!$A$2:$E$13, IF(COUNTBLANK('Attributes &amp; Prefixes'!$B$26:$C$26)&gt;0, "4", "5"), 0)), "")</f>
        <v/>
      </c>
      <c r="N268" s="137" t="str" cm="1">
        <f t="array" ref="N268">IF(COUNTIF($B$26:$E$26, N$2)&gt;0, _xlfn.IFS(COUNTIF($B$26:$C$26, N$2)&gt;0, VLOOKUP($J268,'Gear Values'!$A$2:$E$13, IF(COUNTBLANK('Attributes &amp; Prefixes'!$B$26:$C$26)&gt;0, "2", "3"), 0), COUNTIF($D$26:$E$26, N$2)&gt;0, VLOOKUP($J268,'Gear Values'!$A$2:$E$13, IF(COUNTBLANK('Attributes &amp; Prefixes'!$B$26:$C$26)&gt;0, "4", "5"), 0)), "")</f>
        <v/>
      </c>
      <c r="O268" s="137" t="str" cm="1">
        <f t="array" ref="O268">IF(COUNTIF($B$26:$E$26, O$2)&gt;0, _xlfn.IFS(COUNTIF($B$26:$C$26, O$2)&gt;0, VLOOKUP($J268,'Gear Values'!$A$2:$E$13, IF(COUNTBLANK('Attributes &amp; Prefixes'!$B$26:$C$26)&gt;0, "2", "3"), 0), COUNTIF($D$26:$E$26, O$2)&gt;0, VLOOKUP($J268,'Gear Values'!$A$2:$E$13, IF(COUNTBLANK('Attributes &amp; Prefixes'!$B$26:$C$26)&gt;0, "4", "5"), 0)), "")</f>
        <v/>
      </c>
      <c r="P268" s="137" t="str" cm="1">
        <f t="array" ref="P268">IF(COUNTIF($B$26:$E$26, P$2)&gt;0, _xlfn.IFS(COUNTIF($B$26:$C$26, P$2)&gt;0, VLOOKUP($J268,'Gear Values'!$A$2:$E$13, IF(COUNTBLANK('Attributes &amp; Prefixes'!$B$26:$C$26)&gt;0, "2", "3"), 0), COUNTIF($D$26:$E$26, P$2)&gt;0, VLOOKUP($J268,'Gear Values'!$A$2:$E$13, IF(COUNTBLANK('Attributes &amp; Prefixes'!$B$26:$C$26)&gt;0, "4", "5"), 0)), "")</f>
        <v/>
      </c>
      <c r="Q268" s="137" t="str" cm="1">
        <f t="array" ref="Q268">IF(COUNTIF($B$26:$E$26, Q$2)&gt;0, _xlfn.IFS(COUNTIF($B$26:$C$26, Q$2)&gt;0, VLOOKUP($J268,'Gear Values'!$A$2:$E$13, IF(COUNTBLANK('Attributes &amp; Prefixes'!$B$26:$C$26)&gt;0, "2", "3"), 0), COUNTIF($D$26:$E$26, Q$2)&gt;0, VLOOKUP($J268,'Gear Values'!$A$2:$E$13, IF(COUNTBLANK('Attributes &amp; Prefixes'!$B$26:$C$26)&gt;0, "4", "5"), 0)), "")</f>
        <v/>
      </c>
      <c r="R268" s="137" cm="1">
        <f t="array" ref="R268">IF(COUNTIF($B$26:$E$26, R$2)&gt;0, _xlfn.IFS(COUNTIF($B$26:$C$26, R$2)&gt;0, VLOOKUP($J268,'Gear Values'!$A$2:$E$13, IF(COUNTBLANK('Attributes &amp; Prefixes'!$B$26:$C$26)&gt;0, "2", "3"), 0), COUNTIF($D$26:$E$26, R$2)&gt;0, VLOOKUP($J268,'Gear Values'!$A$2:$E$13, IF(COUNTBLANK('Attributes &amp; Prefixes'!$B$26:$C$26)&gt;0, "4", "5"), 0)), "")</f>
        <v>113</v>
      </c>
      <c r="S268" s="138" cm="1">
        <f t="array" ref="S268">IF(COUNTIF($B$26:$E$26, S$2)&gt;0, _xlfn.IFS(COUNTIF($B$26:$C$26, S$2)&gt;0, VLOOKUP($J268,'Gear Values'!$A$2:$E$13, IF(COUNTBLANK('Attributes &amp; Prefixes'!$B$26:$C$26)&gt;0, "2", "3"), 0), COUNTIF($D$26:$E$26, S$2)&gt;0, VLOOKUP($J268,'Gear Values'!$A$2:$E$13, IF(COUNTBLANK('Attributes &amp; Prefixes'!$B$26:$C$26)&gt;0, "4", "5"), 0)), "")</f>
        <v>113</v>
      </c>
      <c r="V268" s="112"/>
      <c r="W268" s="112"/>
    </row>
    <row r="269" spans="6:23">
      <c r="F269" s="114"/>
      <c r="G269" s="114"/>
      <c r="H269" s="130" t="str">
        <f>_xlfn.CONCAT(I$267,J269)</f>
        <v>HereticHead</v>
      </c>
      <c r="I269" s="520"/>
      <c r="J269" s="144" t="s">
        <v>40</v>
      </c>
      <c r="K269" s="136" cm="1">
        <f t="array" ref="K269">IF(COUNTIF($B$26:$E$26, K$2)&gt;0, _xlfn.IFS(COUNTIF($B$26:$C$26, K$2)&gt;0, VLOOKUP($J269,'Gear Values'!$A$2:$E$13, IF(COUNTBLANK('Attributes &amp; Prefixes'!$B$26:$C$26)&gt;0, "2", "3"), 0), COUNTIF($D$26:$E$26, K$2)&gt;0, VLOOKUP($J269,'Gear Values'!$A$2:$E$13, IF(COUNTBLANK('Attributes &amp; Prefixes'!$B$26:$C$26)&gt;0, "4", "5"), 0)), "")</f>
        <v>51</v>
      </c>
      <c r="L269" s="137" cm="1">
        <f t="array" ref="L269">IF(COUNTIF($B$26:$E$26, L$2)&gt;0, _xlfn.IFS(COUNTIF($B$26:$C$26, L$2)&gt;0, VLOOKUP($J269,'Gear Values'!$A$2:$E$13, IF(COUNTBLANK('Attributes &amp; Prefixes'!$B$26:$C$26)&gt;0, "2", "3"), 0), COUNTIF($D$26:$E$26, L$2)&gt;0, VLOOKUP($J269,'Gear Values'!$A$2:$E$13, IF(COUNTBLANK('Attributes &amp; Prefixes'!$B$26:$C$26)&gt;0, "4", "5"), 0)), "")</f>
        <v>51</v>
      </c>
      <c r="M269" s="137" t="str" cm="1">
        <f t="array" ref="M269">IF(COUNTIF($B$26:$E$26, M$2)&gt;0, _xlfn.IFS(COUNTIF($B$26:$C$26, M$2)&gt;0, VLOOKUP($J269,'Gear Values'!$A$2:$E$13, IF(COUNTBLANK('Attributes &amp; Prefixes'!$B$26:$C$26)&gt;0, "2", "3"), 0), COUNTIF($D$26:$E$26, M$2)&gt;0, VLOOKUP($J269,'Gear Values'!$A$2:$E$13, IF(COUNTBLANK('Attributes &amp; Prefixes'!$B$26:$C$26)&gt;0, "4", "5"), 0)), "")</f>
        <v/>
      </c>
      <c r="N269" s="137" t="str" cm="1">
        <f t="array" ref="N269">IF(COUNTIF($B$26:$E$26, N$2)&gt;0, _xlfn.IFS(COUNTIF($B$26:$C$26, N$2)&gt;0, VLOOKUP($J269,'Gear Values'!$A$2:$E$13, IF(COUNTBLANK('Attributes &amp; Prefixes'!$B$26:$C$26)&gt;0, "2", "3"), 0), COUNTIF($D$26:$E$26, N$2)&gt;0, VLOOKUP($J269,'Gear Values'!$A$2:$E$13, IF(COUNTBLANK('Attributes &amp; Prefixes'!$B$26:$C$26)&gt;0, "4", "5"), 0)), "")</f>
        <v/>
      </c>
      <c r="O269" s="137" t="str" cm="1">
        <f t="array" ref="O269">IF(COUNTIF($B$26:$E$26, O$2)&gt;0, _xlfn.IFS(COUNTIF($B$26:$C$26, O$2)&gt;0, VLOOKUP($J269,'Gear Values'!$A$2:$E$13, IF(COUNTBLANK('Attributes &amp; Prefixes'!$B$26:$C$26)&gt;0, "2", "3"), 0), COUNTIF($D$26:$E$26, O$2)&gt;0, VLOOKUP($J269,'Gear Values'!$A$2:$E$13, IF(COUNTBLANK('Attributes &amp; Prefixes'!$B$26:$C$26)&gt;0, "4", "5"), 0)), "")</f>
        <v/>
      </c>
      <c r="P269" s="137" t="str" cm="1">
        <f t="array" ref="P269">IF(COUNTIF($B$26:$E$26, P$2)&gt;0, _xlfn.IFS(COUNTIF($B$26:$C$26, P$2)&gt;0, VLOOKUP($J269,'Gear Values'!$A$2:$E$13, IF(COUNTBLANK('Attributes &amp; Prefixes'!$B$26:$C$26)&gt;0, "2", "3"), 0), COUNTIF($D$26:$E$26, P$2)&gt;0, VLOOKUP($J269,'Gear Values'!$A$2:$E$13, IF(COUNTBLANK('Attributes &amp; Prefixes'!$B$26:$C$26)&gt;0, "4", "5"), 0)), "")</f>
        <v/>
      </c>
      <c r="Q269" s="137" t="str" cm="1">
        <f t="array" ref="Q269">IF(COUNTIF($B$26:$E$26, Q$2)&gt;0, _xlfn.IFS(COUNTIF($B$26:$C$26, Q$2)&gt;0, VLOOKUP($J269,'Gear Values'!$A$2:$E$13, IF(COUNTBLANK('Attributes &amp; Prefixes'!$B$26:$C$26)&gt;0, "2", "3"), 0), COUNTIF($D$26:$E$26, Q$2)&gt;0, VLOOKUP($J269,'Gear Values'!$A$2:$E$13, IF(COUNTBLANK('Attributes &amp; Prefixes'!$B$26:$C$26)&gt;0, "4", "5"), 0)), "")</f>
        <v/>
      </c>
      <c r="R269" s="137" cm="1">
        <f t="array" ref="R269">IF(COUNTIF($B$26:$E$26, R$2)&gt;0, _xlfn.IFS(COUNTIF($B$26:$C$26, R$2)&gt;0, VLOOKUP($J269,'Gear Values'!$A$2:$E$13, IF(COUNTBLANK('Attributes &amp; Prefixes'!$B$26:$C$26)&gt;0, "2", "3"), 0), COUNTIF($D$26:$E$26, R$2)&gt;0, VLOOKUP($J269,'Gear Values'!$A$2:$E$13, IF(COUNTBLANK('Attributes &amp; Prefixes'!$B$26:$C$26)&gt;0, "4", "5"), 0)), "")</f>
        <v>28</v>
      </c>
      <c r="S269" s="138" cm="1">
        <f t="array" ref="S269">IF(COUNTIF($B$26:$E$26, S$2)&gt;0, _xlfn.IFS(COUNTIF($B$26:$C$26, S$2)&gt;0, VLOOKUP($J269,'Gear Values'!$A$2:$E$13, IF(COUNTBLANK('Attributes &amp; Prefixes'!$B$26:$C$26)&gt;0, "2", "3"), 0), COUNTIF($D$26:$E$26, S$2)&gt;0, VLOOKUP($J269,'Gear Values'!$A$2:$E$13, IF(COUNTBLANK('Attributes &amp; Prefixes'!$B$26:$C$26)&gt;0, "4", "5"), 0)), "")</f>
        <v>28</v>
      </c>
      <c r="V269" s="112"/>
      <c r="W269" s="112"/>
    </row>
    <row r="270" spans="6:23">
      <c r="F270" s="114"/>
      <c r="G270" s="114"/>
      <c r="H270" s="130" t="str">
        <f>_xlfn.CONCAT(I$267,J270)</f>
        <v>HereticShoulders</v>
      </c>
      <c r="I270" s="520"/>
      <c r="J270" s="144" t="s">
        <v>42</v>
      </c>
      <c r="K270" s="136" cm="1">
        <f t="array" ref="K270">IF(COUNTIF($B$26:$E$26, K$2)&gt;0, _xlfn.IFS(COUNTIF($B$26:$C$26, K$2)&gt;0, VLOOKUP($J270,'Gear Values'!$A$2:$E$13, IF(COUNTBLANK('Attributes &amp; Prefixes'!$B$26:$C$26)&gt;0, "2", "3"), 0), COUNTIF($D$26:$E$26, K$2)&gt;0, VLOOKUP($J270,'Gear Values'!$A$2:$E$13, IF(COUNTBLANK('Attributes &amp; Prefixes'!$B$26:$C$26)&gt;0, "4", "5"), 0)), "")</f>
        <v>38</v>
      </c>
      <c r="L270" s="137" cm="1">
        <f t="array" ref="L270">IF(COUNTIF($B$26:$E$26, L$2)&gt;0, _xlfn.IFS(COUNTIF($B$26:$C$26, L$2)&gt;0, VLOOKUP($J270,'Gear Values'!$A$2:$E$13, IF(COUNTBLANK('Attributes &amp; Prefixes'!$B$26:$C$26)&gt;0, "2", "3"), 0), COUNTIF($D$26:$E$26, L$2)&gt;0, VLOOKUP($J270,'Gear Values'!$A$2:$E$13, IF(COUNTBLANK('Attributes &amp; Prefixes'!$B$26:$C$26)&gt;0, "4", "5"), 0)), "")</f>
        <v>38</v>
      </c>
      <c r="M270" s="137" t="str" cm="1">
        <f t="array" ref="M270">IF(COUNTIF($B$26:$E$26, M$2)&gt;0, _xlfn.IFS(COUNTIF($B$26:$C$26, M$2)&gt;0, VLOOKUP($J270,'Gear Values'!$A$2:$E$13, IF(COUNTBLANK('Attributes &amp; Prefixes'!$B$26:$C$26)&gt;0, "2", "3"), 0), COUNTIF($D$26:$E$26, M$2)&gt;0, VLOOKUP($J270,'Gear Values'!$A$2:$E$13, IF(COUNTBLANK('Attributes &amp; Prefixes'!$B$26:$C$26)&gt;0, "4", "5"), 0)), "")</f>
        <v/>
      </c>
      <c r="N270" s="137" t="str" cm="1">
        <f t="array" ref="N270">IF(COUNTIF($B$26:$E$26, N$2)&gt;0, _xlfn.IFS(COUNTIF($B$26:$C$26, N$2)&gt;0, VLOOKUP($J270,'Gear Values'!$A$2:$E$13, IF(COUNTBLANK('Attributes &amp; Prefixes'!$B$26:$C$26)&gt;0, "2", "3"), 0), COUNTIF($D$26:$E$26, N$2)&gt;0, VLOOKUP($J270,'Gear Values'!$A$2:$E$13, IF(COUNTBLANK('Attributes &amp; Prefixes'!$B$26:$C$26)&gt;0, "4", "5"), 0)), "")</f>
        <v/>
      </c>
      <c r="O270" s="137" t="str" cm="1">
        <f t="array" ref="O270">IF(COUNTIF($B$26:$E$26, O$2)&gt;0, _xlfn.IFS(COUNTIF($B$26:$C$26, O$2)&gt;0, VLOOKUP($J270,'Gear Values'!$A$2:$E$13, IF(COUNTBLANK('Attributes &amp; Prefixes'!$B$26:$C$26)&gt;0, "2", "3"), 0), COUNTIF($D$26:$E$26, O$2)&gt;0, VLOOKUP($J270,'Gear Values'!$A$2:$E$13, IF(COUNTBLANK('Attributes &amp; Prefixes'!$B$26:$C$26)&gt;0, "4", "5"), 0)), "")</f>
        <v/>
      </c>
      <c r="P270" s="137" t="str" cm="1">
        <f t="array" ref="P270">IF(COUNTIF($B$26:$E$26, P$2)&gt;0, _xlfn.IFS(COUNTIF($B$26:$C$26, P$2)&gt;0, VLOOKUP($J270,'Gear Values'!$A$2:$E$13, IF(COUNTBLANK('Attributes &amp; Prefixes'!$B$26:$C$26)&gt;0, "2", "3"), 0), COUNTIF($D$26:$E$26, P$2)&gt;0, VLOOKUP($J270,'Gear Values'!$A$2:$E$13, IF(COUNTBLANK('Attributes &amp; Prefixes'!$B$26:$C$26)&gt;0, "4", "5"), 0)), "")</f>
        <v/>
      </c>
      <c r="Q270" s="137" t="str" cm="1">
        <f t="array" ref="Q270">IF(COUNTIF($B$26:$E$26, Q$2)&gt;0, _xlfn.IFS(COUNTIF($B$26:$C$26, Q$2)&gt;0, VLOOKUP($J270,'Gear Values'!$A$2:$E$13, IF(COUNTBLANK('Attributes &amp; Prefixes'!$B$26:$C$26)&gt;0, "2", "3"), 0), COUNTIF($D$26:$E$26, Q$2)&gt;0, VLOOKUP($J270,'Gear Values'!$A$2:$E$13, IF(COUNTBLANK('Attributes &amp; Prefixes'!$B$26:$C$26)&gt;0, "4", "5"), 0)), "")</f>
        <v/>
      </c>
      <c r="R270" s="137" cm="1">
        <f t="array" ref="R270">IF(COUNTIF($B$26:$E$26, R$2)&gt;0, _xlfn.IFS(COUNTIF($B$26:$C$26, R$2)&gt;0, VLOOKUP($J270,'Gear Values'!$A$2:$E$13, IF(COUNTBLANK('Attributes &amp; Prefixes'!$B$26:$C$26)&gt;0, "2", "3"), 0), COUNTIF($D$26:$E$26, R$2)&gt;0, VLOOKUP($J270,'Gear Values'!$A$2:$E$13, IF(COUNTBLANK('Attributes &amp; Prefixes'!$B$26:$C$26)&gt;0, "4", "5"), 0)), "")</f>
        <v>21</v>
      </c>
      <c r="S270" s="138" cm="1">
        <f t="array" ref="S270">IF(COUNTIF($B$26:$E$26, S$2)&gt;0, _xlfn.IFS(COUNTIF($B$26:$C$26, S$2)&gt;0, VLOOKUP($J270,'Gear Values'!$A$2:$E$13, IF(COUNTBLANK('Attributes &amp; Prefixes'!$B$26:$C$26)&gt;0, "2", "3"), 0), COUNTIF($D$26:$E$26, S$2)&gt;0, VLOOKUP($J270,'Gear Values'!$A$2:$E$13, IF(COUNTBLANK('Attributes &amp; Prefixes'!$B$26:$C$26)&gt;0, "4", "5"), 0)), "")</f>
        <v>21</v>
      </c>
      <c r="V270" s="112"/>
      <c r="W270" s="112"/>
    </row>
    <row r="271" spans="6:23">
      <c r="F271" s="114"/>
      <c r="G271" s="114"/>
      <c r="H271" s="130" t="str">
        <f>_xlfn.CONCAT(I$267,J271)</f>
        <v>HereticChest</v>
      </c>
      <c r="I271" s="520"/>
      <c r="J271" s="144" t="s">
        <v>44</v>
      </c>
      <c r="K271" s="136" cm="1">
        <f t="array" ref="K271">IF(COUNTIF($B$26:$E$26, K$2)&gt;0, _xlfn.IFS(COUNTIF($B$26:$C$26, K$2)&gt;0, VLOOKUP($J271,'Gear Values'!$A$2:$E$13, IF(COUNTBLANK('Attributes &amp; Prefixes'!$B$26:$C$26)&gt;0, "2", "3"), 0), COUNTIF($D$26:$E$26, K$2)&gt;0, VLOOKUP($J271,'Gear Values'!$A$2:$E$13, IF(COUNTBLANK('Attributes &amp; Prefixes'!$B$26:$C$26)&gt;0, "4", "5"), 0)), "")</f>
        <v>115</v>
      </c>
      <c r="L271" s="137" cm="1">
        <f t="array" ref="L271">IF(COUNTIF($B$26:$E$26, L$2)&gt;0, _xlfn.IFS(COUNTIF($B$26:$C$26, L$2)&gt;0, VLOOKUP($J271,'Gear Values'!$A$2:$E$13, IF(COUNTBLANK('Attributes &amp; Prefixes'!$B$26:$C$26)&gt;0, "2", "3"), 0), COUNTIF($D$26:$E$26, L$2)&gt;0, VLOOKUP($J271,'Gear Values'!$A$2:$E$13, IF(COUNTBLANK('Attributes &amp; Prefixes'!$B$26:$C$26)&gt;0, "4", "5"), 0)), "")</f>
        <v>115</v>
      </c>
      <c r="M271" s="137" t="str" cm="1">
        <f t="array" ref="M271">IF(COUNTIF($B$26:$E$26, M$2)&gt;0, _xlfn.IFS(COUNTIF($B$26:$C$26, M$2)&gt;0, VLOOKUP($J271,'Gear Values'!$A$2:$E$13, IF(COUNTBLANK('Attributes &amp; Prefixes'!$B$26:$C$26)&gt;0, "2", "3"), 0), COUNTIF($D$26:$E$26, M$2)&gt;0, VLOOKUP($J271,'Gear Values'!$A$2:$E$13, IF(COUNTBLANK('Attributes &amp; Prefixes'!$B$26:$C$26)&gt;0, "4", "5"), 0)), "")</f>
        <v/>
      </c>
      <c r="N271" s="137" t="str" cm="1">
        <f t="array" ref="N271">IF(COUNTIF($B$26:$E$26, N$2)&gt;0, _xlfn.IFS(COUNTIF($B$26:$C$26, N$2)&gt;0, VLOOKUP($J271,'Gear Values'!$A$2:$E$13, IF(COUNTBLANK('Attributes &amp; Prefixes'!$B$26:$C$26)&gt;0, "2", "3"), 0), COUNTIF($D$26:$E$26, N$2)&gt;0, VLOOKUP($J271,'Gear Values'!$A$2:$E$13, IF(COUNTBLANK('Attributes &amp; Prefixes'!$B$26:$C$26)&gt;0, "4", "5"), 0)), "")</f>
        <v/>
      </c>
      <c r="O271" s="137" t="str" cm="1">
        <f t="array" ref="O271">IF(COUNTIF($B$26:$E$26, O$2)&gt;0, _xlfn.IFS(COUNTIF($B$26:$C$26, O$2)&gt;0, VLOOKUP($J271,'Gear Values'!$A$2:$E$13, IF(COUNTBLANK('Attributes &amp; Prefixes'!$B$26:$C$26)&gt;0, "2", "3"), 0), COUNTIF($D$26:$E$26, O$2)&gt;0, VLOOKUP($J271,'Gear Values'!$A$2:$E$13, IF(COUNTBLANK('Attributes &amp; Prefixes'!$B$26:$C$26)&gt;0, "4", "5"), 0)), "")</f>
        <v/>
      </c>
      <c r="P271" s="137" t="str" cm="1">
        <f t="array" ref="P271">IF(COUNTIF($B$26:$E$26, P$2)&gt;0, _xlfn.IFS(COUNTIF($B$26:$C$26, P$2)&gt;0, VLOOKUP($J271,'Gear Values'!$A$2:$E$13, IF(COUNTBLANK('Attributes &amp; Prefixes'!$B$26:$C$26)&gt;0, "2", "3"), 0), COUNTIF($D$26:$E$26, P$2)&gt;0, VLOOKUP($J271,'Gear Values'!$A$2:$E$13, IF(COUNTBLANK('Attributes &amp; Prefixes'!$B$26:$C$26)&gt;0, "4", "5"), 0)), "")</f>
        <v/>
      </c>
      <c r="Q271" s="137" t="str" cm="1">
        <f t="array" ref="Q271">IF(COUNTIF($B$26:$E$26, Q$2)&gt;0, _xlfn.IFS(COUNTIF($B$26:$C$26, Q$2)&gt;0, VLOOKUP($J271,'Gear Values'!$A$2:$E$13, IF(COUNTBLANK('Attributes &amp; Prefixes'!$B$26:$C$26)&gt;0, "2", "3"), 0), COUNTIF($D$26:$E$26, Q$2)&gt;0, VLOOKUP($J271,'Gear Values'!$A$2:$E$13, IF(COUNTBLANK('Attributes &amp; Prefixes'!$B$26:$C$26)&gt;0, "4", "5"), 0)), "")</f>
        <v/>
      </c>
      <c r="R271" s="137" cm="1">
        <f t="array" ref="R271">IF(COUNTIF($B$26:$E$26, R$2)&gt;0, _xlfn.IFS(COUNTIF($B$26:$C$26, R$2)&gt;0, VLOOKUP($J271,'Gear Values'!$A$2:$E$13, IF(COUNTBLANK('Attributes &amp; Prefixes'!$B$26:$C$26)&gt;0, "2", "3"), 0), COUNTIF($D$26:$E$26, R$2)&gt;0, VLOOKUP($J271,'Gear Values'!$A$2:$E$13, IF(COUNTBLANK('Attributes &amp; Prefixes'!$B$26:$C$26)&gt;0, "4", "5"), 0)), "")</f>
        <v>63</v>
      </c>
      <c r="S271" s="138" cm="1">
        <f t="array" ref="S271">IF(COUNTIF($B$26:$E$26, S$2)&gt;0, _xlfn.IFS(COUNTIF($B$26:$C$26, S$2)&gt;0, VLOOKUP($J271,'Gear Values'!$A$2:$E$13, IF(COUNTBLANK('Attributes &amp; Prefixes'!$B$26:$C$26)&gt;0, "2", "3"), 0), COUNTIF($D$26:$E$26, S$2)&gt;0, VLOOKUP($J271,'Gear Values'!$A$2:$E$13, IF(COUNTBLANK('Attributes &amp; Prefixes'!$B$26:$C$26)&gt;0, "4", "5"), 0)), "")</f>
        <v>63</v>
      </c>
      <c r="V271" s="112"/>
      <c r="W271" s="112"/>
    </row>
    <row r="272" spans="6:23">
      <c r="F272" s="114"/>
      <c r="G272" s="114"/>
      <c r="H272" s="130" t="str">
        <f>_xlfn.CONCAT(I$267,J272)</f>
        <v>HereticHands</v>
      </c>
      <c r="I272" s="520"/>
      <c r="J272" s="144" t="s">
        <v>45</v>
      </c>
      <c r="K272" s="136" cm="1">
        <f t="array" ref="K272">IF(COUNTIF($B$26:$E$26, K$2)&gt;0, _xlfn.IFS(COUNTIF($B$26:$C$26, K$2)&gt;0, VLOOKUP($J272,'Gear Values'!$A$2:$E$13, IF(COUNTBLANK('Attributes &amp; Prefixes'!$B$26:$C$26)&gt;0, "2", "3"), 0), COUNTIF($D$26:$E$26, K$2)&gt;0, VLOOKUP($J272,'Gear Values'!$A$2:$E$13, IF(COUNTBLANK('Attributes &amp; Prefixes'!$B$26:$C$26)&gt;0, "4", "5"), 0)), "")</f>
        <v>38</v>
      </c>
      <c r="L272" s="137" cm="1">
        <f t="array" ref="L272">IF(COUNTIF($B$26:$E$26, L$2)&gt;0, _xlfn.IFS(COUNTIF($B$26:$C$26, L$2)&gt;0, VLOOKUP($J272,'Gear Values'!$A$2:$E$13, IF(COUNTBLANK('Attributes &amp; Prefixes'!$B$26:$C$26)&gt;0, "2", "3"), 0), COUNTIF($D$26:$E$26, L$2)&gt;0, VLOOKUP($J272,'Gear Values'!$A$2:$E$13, IF(COUNTBLANK('Attributes &amp; Prefixes'!$B$26:$C$26)&gt;0, "4", "5"), 0)), "")</f>
        <v>38</v>
      </c>
      <c r="M272" s="137" t="str" cm="1">
        <f t="array" ref="M272">IF(COUNTIF($B$26:$E$26, M$2)&gt;0, _xlfn.IFS(COUNTIF($B$26:$C$26, M$2)&gt;0, VLOOKUP($J272,'Gear Values'!$A$2:$E$13, IF(COUNTBLANK('Attributes &amp; Prefixes'!$B$26:$C$26)&gt;0, "2", "3"), 0), COUNTIF($D$26:$E$26, M$2)&gt;0, VLOOKUP($J272,'Gear Values'!$A$2:$E$13, IF(COUNTBLANK('Attributes &amp; Prefixes'!$B$26:$C$26)&gt;0, "4", "5"), 0)), "")</f>
        <v/>
      </c>
      <c r="N272" s="137" t="str" cm="1">
        <f t="array" ref="N272">IF(COUNTIF($B$26:$E$26, N$2)&gt;0, _xlfn.IFS(COUNTIF($B$26:$C$26, N$2)&gt;0, VLOOKUP($J272,'Gear Values'!$A$2:$E$13, IF(COUNTBLANK('Attributes &amp; Prefixes'!$B$26:$C$26)&gt;0, "2", "3"), 0), COUNTIF($D$26:$E$26, N$2)&gt;0, VLOOKUP($J272,'Gear Values'!$A$2:$E$13, IF(COUNTBLANK('Attributes &amp; Prefixes'!$B$26:$C$26)&gt;0, "4", "5"), 0)), "")</f>
        <v/>
      </c>
      <c r="O272" s="137" t="str" cm="1">
        <f t="array" ref="O272">IF(COUNTIF($B$26:$E$26, O$2)&gt;0, _xlfn.IFS(COUNTIF($B$26:$C$26, O$2)&gt;0, VLOOKUP($J272,'Gear Values'!$A$2:$E$13, IF(COUNTBLANK('Attributes &amp; Prefixes'!$B$26:$C$26)&gt;0, "2", "3"), 0), COUNTIF($D$26:$E$26, O$2)&gt;0, VLOOKUP($J272,'Gear Values'!$A$2:$E$13, IF(COUNTBLANK('Attributes &amp; Prefixes'!$B$26:$C$26)&gt;0, "4", "5"), 0)), "")</f>
        <v/>
      </c>
      <c r="P272" s="137" t="str" cm="1">
        <f t="array" ref="P272">IF(COUNTIF($B$26:$E$26, P$2)&gt;0, _xlfn.IFS(COUNTIF($B$26:$C$26, P$2)&gt;0, VLOOKUP($J272,'Gear Values'!$A$2:$E$13, IF(COUNTBLANK('Attributes &amp; Prefixes'!$B$26:$C$26)&gt;0, "2", "3"), 0), COUNTIF($D$26:$E$26, P$2)&gt;0, VLOOKUP($J272,'Gear Values'!$A$2:$E$13, IF(COUNTBLANK('Attributes &amp; Prefixes'!$B$26:$C$26)&gt;0, "4", "5"), 0)), "")</f>
        <v/>
      </c>
      <c r="Q272" s="137" t="str" cm="1">
        <f t="array" ref="Q272">IF(COUNTIF($B$26:$E$26, Q$2)&gt;0, _xlfn.IFS(COUNTIF($B$26:$C$26, Q$2)&gt;0, VLOOKUP($J272,'Gear Values'!$A$2:$E$13, IF(COUNTBLANK('Attributes &amp; Prefixes'!$B$26:$C$26)&gt;0, "2", "3"), 0), COUNTIF($D$26:$E$26, Q$2)&gt;0, VLOOKUP($J272,'Gear Values'!$A$2:$E$13, IF(COUNTBLANK('Attributes &amp; Prefixes'!$B$26:$C$26)&gt;0, "4", "5"), 0)), "")</f>
        <v/>
      </c>
      <c r="R272" s="137" cm="1">
        <f t="array" ref="R272">IF(COUNTIF($B$26:$E$26, R$2)&gt;0, _xlfn.IFS(COUNTIF($B$26:$C$26, R$2)&gt;0, VLOOKUP($J272,'Gear Values'!$A$2:$E$13, IF(COUNTBLANK('Attributes &amp; Prefixes'!$B$26:$C$26)&gt;0, "2", "3"), 0), COUNTIF($D$26:$E$26, R$2)&gt;0, VLOOKUP($J272,'Gear Values'!$A$2:$E$13, IF(COUNTBLANK('Attributes &amp; Prefixes'!$B$26:$C$26)&gt;0, "4", "5"), 0)), "")</f>
        <v>21</v>
      </c>
      <c r="S272" s="138" cm="1">
        <f t="array" ref="S272">IF(COUNTIF($B$26:$E$26, S$2)&gt;0, _xlfn.IFS(COUNTIF($B$26:$C$26, S$2)&gt;0, VLOOKUP($J272,'Gear Values'!$A$2:$E$13, IF(COUNTBLANK('Attributes &amp; Prefixes'!$B$26:$C$26)&gt;0, "2", "3"), 0), COUNTIF($D$26:$E$26, S$2)&gt;0, VLOOKUP($J272,'Gear Values'!$A$2:$E$13, IF(COUNTBLANK('Attributes &amp; Prefixes'!$B$26:$C$26)&gt;0, "4", "5"), 0)), "")</f>
        <v>21</v>
      </c>
      <c r="V272" s="112"/>
      <c r="W272" s="112"/>
    </row>
    <row r="273" spans="6:23">
      <c r="F273" s="114"/>
      <c r="G273" s="114"/>
      <c r="H273" s="130" t="str">
        <f>_xlfn.CONCAT(I$267,J273)</f>
        <v>HereticLegs</v>
      </c>
      <c r="I273" s="520"/>
      <c r="J273" s="144" t="s">
        <v>47</v>
      </c>
      <c r="K273" s="136" cm="1">
        <f t="array" ref="K273">IF(COUNTIF($B$26:$E$26, K$2)&gt;0, _xlfn.IFS(COUNTIF($B$26:$C$26, K$2)&gt;0, VLOOKUP($J273,'Gear Values'!$A$2:$E$13, IF(COUNTBLANK('Attributes &amp; Prefixes'!$B$26:$C$26)&gt;0, "2", "3"), 0), COUNTIF($D$26:$E$26, K$2)&gt;0, VLOOKUP($J273,'Gear Values'!$A$2:$E$13, IF(COUNTBLANK('Attributes &amp; Prefixes'!$B$26:$C$26)&gt;0, "4", "5"), 0)), "")</f>
        <v>77</v>
      </c>
      <c r="L273" s="137" cm="1">
        <f t="array" ref="L273">IF(COUNTIF($B$26:$E$26, L$2)&gt;0, _xlfn.IFS(COUNTIF($B$26:$C$26, L$2)&gt;0, VLOOKUP($J273,'Gear Values'!$A$2:$E$13, IF(COUNTBLANK('Attributes &amp; Prefixes'!$B$26:$C$26)&gt;0, "2", "3"), 0), COUNTIF($D$26:$E$26, L$2)&gt;0, VLOOKUP($J273,'Gear Values'!$A$2:$E$13, IF(COUNTBLANK('Attributes &amp; Prefixes'!$B$26:$C$26)&gt;0, "4", "5"), 0)), "")</f>
        <v>77</v>
      </c>
      <c r="M273" s="137" t="str" cm="1">
        <f t="array" ref="M273">IF(COUNTIF($B$26:$E$26, M$2)&gt;0, _xlfn.IFS(COUNTIF($B$26:$C$26, M$2)&gt;0, VLOOKUP($J273,'Gear Values'!$A$2:$E$13, IF(COUNTBLANK('Attributes &amp; Prefixes'!$B$26:$C$26)&gt;0, "2", "3"), 0), COUNTIF($D$26:$E$26, M$2)&gt;0, VLOOKUP($J273,'Gear Values'!$A$2:$E$13, IF(COUNTBLANK('Attributes &amp; Prefixes'!$B$26:$C$26)&gt;0, "4", "5"), 0)), "")</f>
        <v/>
      </c>
      <c r="N273" s="137" t="str" cm="1">
        <f t="array" ref="N273">IF(COUNTIF($B$26:$E$26, N$2)&gt;0, _xlfn.IFS(COUNTIF($B$26:$C$26, N$2)&gt;0, VLOOKUP($J273,'Gear Values'!$A$2:$E$13, IF(COUNTBLANK('Attributes &amp; Prefixes'!$B$26:$C$26)&gt;0, "2", "3"), 0), COUNTIF($D$26:$E$26, N$2)&gt;0, VLOOKUP($J273,'Gear Values'!$A$2:$E$13, IF(COUNTBLANK('Attributes &amp; Prefixes'!$B$26:$C$26)&gt;0, "4", "5"), 0)), "")</f>
        <v/>
      </c>
      <c r="O273" s="137" t="str" cm="1">
        <f t="array" ref="O273">IF(COUNTIF($B$26:$E$26, O$2)&gt;0, _xlfn.IFS(COUNTIF($B$26:$C$26, O$2)&gt;0, VLOOKUP($J273,'Gear Values'!$A$2:$E$13, IF(COUNTBLANK('Attributes &amp; Prefixes'!$B$26:$C$26)&gt;0, "2", "3"), 0), COUNTIF($D$26:$E$26, O$2)&gt;0, VLOOKUP($J273,'Gear Values'!$A$2:$E$13, IF(COUNTBLANK('Attributes &amp; Prefixes'!$B$26:$C$26)&gt;0, "4", "5"), 0)), "")</f>
        <v/>
      </c>
      <c r="P273" s="137" t="str" cm="1">
        <f t="array" ref="P273">IF(COUNTIF($B$26:$E$26, P$2)&gt;0, _xlfn.IFS(COUNTIF($B$26:$C$26, P$2)&gt;0, VLOOKUP($J273,'Gear Values'!$A$2:$E$13, IF(COUNTBLANK('Attributes &amp; Prefixes'!$B$26:$C$26)&gt;0, "2", "3"), 0), COUNTIF($D$26:$E$26, P$2)&gt;0, VLOOKUP($J273,'Gear Values'!$A$2:$E$13, IF(COUNTBLANK('Attributes &amp; Prefixes'!$B$26:$C$26)&gt;0, "4", "5"), 0)), "")</f>
        <v/>
      </c>
      <c r="Q273" s="137" t="str" cm="1">
        <f t="array" ref="Q273">IF(COUNTIF($B$26:$E$26, Q$2)&gt;0, _xlfn.IFS(COUNTIF($B$26:$C$26, Q$2)&gt;0, VLOOKUP($J273,'Gear Values'!$A$2:$E$13, IF(COUNTBLANK('Attributes &amp; Prefixes'!$B$26:$C$26)&gt;0, "2", "3"), 0), COUNTIF($D$26:$E$26, Q$2)&gt;0, VLOOKUP($J273,'Gear Values'!$A$2:$E$13, IF(COUNTBLANK('Attributes &amp; Prefixes'!$B$26:$C$26)&gt;0, "4", "5"), 0)), "")</f>
        <v/>
      </c>
      <c r="R273" s="137" cm="1">
        <f t="array" ref="R273">IF(COUNTIF($B$26:$E$26, R$2)&gt;0, _xlfn.IFS(COUNTIF($B$26:$C$26, R$2)&gt;0, VLOOKUP($J273,'Gear Values'!$A$2:$E$13, IF(COUNTBLANK('Attributes &amp; Prefixes'!$B$26:$C$26)&gt;0, "2", "3"), 0), COUNTIF($D$26:$E$26, R$2)&gt;0, VLOOKUP($J273,'Gear Values'!$A$2:$E$13, IF(COUNTBLANK('Attributes &amp; Prefixes'!$B$26:$C$26)&gt;0, "4", "5"), 0)), "")</f>
        <v>42</v>
      </c>
      <c r="S273" s="138" cm="1">
        <f t="array" ref="S273">IF(COUNTIF($B$26:$E$26, S$2)&gt;0, _xlfn.IFS(COUNTIF($B$26:$C$26, S$2)&gt;0, VLOOKUP($J273,'Gear Values'!$A$2:$E$13, IF(COUNTBLANK('Attributes &amp; Prefixes'!$B$26:$C$26)&gt;0, "2", "3"), 0), COUNTIF($D$26:$E$26, S$2)&gt;0, VLOOKUP($J273,'Gear Values'!$A$2:$E$13, IF(COUNTBLANK('Attributes &amp; Prefixes'!$B$26:$C$26)&gt;0, "4", "5"), 0)), "")</f>
        <v>42</v>
      </c>
      <c r="V273" s="112"/>
      <c r="W273" s="112"/>
    </row>
    <row r="274" spans="6:23">
      <c r="F274" s="114"/>
      <c r="G274" s="114"/>
      <c r="H274" s="130" t="str">
        <f>_xlfn.CONCAT(I$267,J274)</f>
        <v>HereticFeet</v>
      </c>
      <c r="I274" s="520"/>
      <c r="J274" s="144" t="s">
        <v>48</v>
      </c>
      <c r="K274" s="136" cm="1">
        <f t="array" ref="K274">IF(COUNTIF($B$26:$E$26, K$2)&gt;0, _xlfn.IFS(COUNTIF($B$26:$C$26, K$2)&gt;0, VLOOKUP($J274,'Gear Values'!$A$2:$E$13, IF(COUNTBLANK('Attributes &amp; Prefixes'!$B$26:$C$26)&gt;0, "2", "3"), 0), COUNTIF($D$26:$E$26, K$2)&gt;0, VLOOKUP($J274,'Gear Values'!$A$2:$E$13, IF(COUNTBLANK('Attributes &amp; Prefixes'!$B$26:$C$26)&gt;0, "4", "5"), 0)), "")</f>
        <v>38</v>
      </c>
      <c r="L274" s="137" cm="1">
        <f t="array" ref="L274">IF(COUNTIF($B$26:$E$26, L$2)&gt;0, _xlfn.IFS(COUNTIF($B$26:$C$26, L$2)&gt;0, VLOOKUP($J274,'Gear Values'!$A$2:$E$13, IF(COUNTBLANK('Attributes &amp; Prefixes'!$B$26:$C$26)&gt;0, "2", "3"), 0), COUNTIF($D$26:$E$26, L$2)&gt;0, VLOOKUP($J274,'Gear Values'!$A$2:$E$13, IF(COUNTBLANK('Attributes &amp; Prefixes'!$B$26:$C$26)&gt;0, "4", "5"), 0)), "")</f>
        <v>38</v>
      </c>
      <c r="M274" s="137" t="str" cm="1">
        <f t="array" ref="M274">IF(COUNTIF($B$26:$E$26, M$2)&gt;0, _xlfn.IFS(COUNTIF($B$26:$C$26, M$2)&gt;0, VLOOKUP($J274,'Gear Values'!$A$2:$E$13, IF(COUNTBLANK('Attributes &amp; Prefixes'!$B$26:$C$26)&gt;0, "2", "3"), 0), COUNTIF($D$26:$E$26, M$2)&gt;0, VLOOKUP($J274,'Gear Values'!$A$2:$E$13, IF(COUNTBLANK('Attributes &amp; Prefixes'!$B$26:$C$26)&gt;0, "4", "5"), 0)), "")</f>
        <v/>
      </c>
      <c r="N274" s="137" t="str" cm="1">
        <f t="array" ref="N274">IF(COUNTIF($B$26:$E$26, N$2)&gt;0, _xlfn.IFS(COUNTIF($B$26:$C$26, N$2)&gt;0, VLOOKUP($J274,'Gear Values'!$A$2:$E$13, IF(COUNTBLANK('Attributes &amp; Prefixes'!$B$26:$C$26)&gt;0, "2", "3"), 0), COUNTIF($D$26:$E$26, N$2)&gt;0, VLOOKUP($J274,'Gear Values'!$A$2:$E$13, IF(COUNTBLANK('Attributes &amp; Prefixes'!$B$26:$C$26)&gt;0, "4", "5"), 0)), "")</f>
        <v/>
      </c>
      <c r="O274" s="137" t="str" cm="1">
        <f t="array" ref="O274">IF(COUNTIF($B$26:$E$26, O$2)&gt;0, _xlfn.IFS(COUNTIF($B$26:$C$26, O$2)&gt;0, VLOOKUP($J274,'Gear Values'!$A$2:$E$13, IF(COUNTBLANK('Attributes &amp; Prefixes'!$B$26:$C$26)&gt;0, "2", "3"), 0), COUNTIF($D$26:$E$26, O$2)&gt;0, VLOOKUP($J274,'Gear Values'!$A$2:$E$13, IF(COUNTBLANK('Attributes &amp; Prefixes'!$B$26:$C$26)&gt;0, "4", "5"), 0)), "")</f>
        <v/>
      </c>
      <c r="P274" s="137" t="str" cm="1">
        <f t="array" ref="P274">IF(COUNTIF($B$26:$E$26, P$2)&gt;0, _xlfn.IFS(COUNTIF($B$26:$C$26, P$2)&gt;0, VLOOKUP($J274,'Gear Values'!$A$2:$E$13, IF(COUNTBLANK('Attributes &amp; Prefixes'!$B$26:$C$26)&gt;0, "2", "3"), 0), COUNTIF($D$26:$E$26, P$2)&gt;0, VLOOKUP($J274,'Gear Values'!$A$2:$E$13, IF(COUNTBLANK('Attributes &amp; Prefixes'!$B$26:$C$26)&gt;0, "4", "5"), 0)), "")</f>
        <v/>
      </c>
      <c r="Q274" s="137" t="str" cm="1">
        <f t="array" ref="Q274">IF(COUNTIF($B$26:$E$26, Q$2)&gt;0, _xlfn.IFS(COUNTIF($B$26:$C$26, Q$2)&gt;0, VLOOKUP($J274,'Gear Values'!$A$2:$E$13, IF(COUNTBLANK('Attributes &amp; Prefixes'!$B$26:$C$26)&gt;0, "2", "3"), 0), COUNTIF($D$26:$E$26, Q$2)&gt;0, VLOOKUP($J274,'Gear Values'!$A$2:$E$13, IF(COUNTBLANK('Attributes &amp; Prefixes'!$B$26:$C$26)&gt;0, "4", "5"), 0)), "")</f>
        <v/>
      </c>
      <c r="R274" s="137" cm="1">
        <f t="array" ref="R274">IF(COUNTIF($B$26:$E$26, R$2)&gt;0, _xlfn.IFS(COUNTIF($B$26:$C$26, R$2)&gt;0, VLOOKUP($J274,'Gear Values'!$A$2:$E$13, IF(COUNTBLANK('Attributes &amp; Prefixes'!$B$26:$C$26)&gt;0, "2", "3"), 0), COUNTIF($D$26:$E$26, R$2)&gt;0, VLOOKUP($J274,'Gear Values'!$A$2:$E$13, IF(COUNTBLANK('Attributes &amp; Prefixes'!$B$26:$C$26)&gt;0, "4", "5"), 0)), "")</f>
        <v>21</v>
      </c>
      <c r="S274" s="138" cm="1">
        <f t="array" ref="S274">IF(COUNTIF($B$26:$E$26, S$2)&gt;0, _xlfn.IFS(COUNTIF($B$26:$C$26, S$2)&gt;0, VLOOKUP($J274,'Gear Values'!$A$2:$E$13, IF(COUNTBLANK('Attributes &amp; Prefixes'!$B$26:$C$26)&gt;0, "2", "3"), 0), COUNTIF($D$26:$E$26, S$2)&gt;0, VLOOKUP($J274,'Gear Values'!$A$2:$E$13, IF(COUNTBLANK('Attributes &amp; Prefixes'!$B$26:$C$26)&gt;0, "4", "5"), 0)), "")</f>
        <v>21</v>
      </c>
      <c r="V274" s="112"/>
      <c r="W274" s="112"/>
    </row>
    <row r="275" spans="6:23">
      <c r="F275" s="114"/>
      <c r="G275" s="114"/>
      <c r="H275" s="130" t="str">
        <f>_xlfn.CONCAT(I$267,J275)</f>
        <v>HereticEar</v>
      </c>
      <c r="I275" s="520"/>
      <c r="J275" s="144" t="s">
        <v>49</v>
      </c>
      <c r="K275" s="136" cm="1">
        <f t="array" ref="K275">IF(COUNTIF($B$26:$E$26, K$2)&gt;0, _xlfn.IFS(COUNTIF($B$26:$C$26, K$2)&gt;0, VLOOKUP($J275,'Gear Values'!$A$2:$E$13, IF(COUNTBLANK('Attributes &amp; Prefixes'!$B$26:$C$26)&gt;0, "2", "3"), 0), COUNTIF($D$26:$E$26, K$2)&gt;0, VLOOKUP($J275,'Gear Values'!$A$2:$E$13, IF(COUNTBLANK('Attributes &amp; Prefixes'!$B$26:$C$26)&gt;0, "4", "5"), 0)), "")</f>
        <v>64</v>
      </c>
      <c r="L275" s="137" cm="1">
        <f t="array" ref="L275">IF(COUNTIF($B$26:$E$26, L$2)&gt;0, _xlfn.IFS(COUNTIF($B$26:$C$26, L$2)&gt;0, VLOOKUP($J275,'Gear Values'!$A$2:$E$13, IF(COUNTBLANK('Attributes &amp; Prefixes'!$B$26:$C$26)&gt;0, "2", "3"), 0), COUNTIF($D$26:$E$26, L$2)&gt;0, VLOOKUP($J275,'Gear Values'!$A$2:$E$13, IF(COUNTBLANK('Attributes &amp; Prefixes'!$B$26:$C$26)&gt;0, "4", "5"), 0)), "")</f>
        <v>64</v>
      </c>
      <c r="M275" s="137" t="str" cm="1">
        <f t="array" ref="M275">IF(COUNTIF($B$26:$E$26, M$2)&gt;0, _xlfn.IFS(COUNTIF($B$26:$C$26, M$2)&gt;0, VLOOKUP($J275,'Gear Values'!$A$2:$E$13, IF(COUNTBLANK('Attributes &amp; Prefixes'!$B$26:$C$26)&gt;0, "2", "3"), 0), COUNTIF($D$26:$E$26, M$2)&gt;0, VLOOKUP($J275,'Gear Values'!$A$2:$E$13, IF(COUNTBLANK('Attributes &amp; Prefixes'!$B$26:$C$26)&gt;0, "4", "5"), 0)), "")</f>
        <v/>
      </c>
      <c r="N275" s="137" t="str" cm="1">
        <f t="array" ref="N275">IF(COUNTIF($B$26:$E$26, N$2)&gt;0, _xlfn.IFS(COUNTIF($B$26:$C$26, N$2)&gt;0, VLOOKUP($J275,'Gear Values'!$A$2:$E$13, IF(COUNTBLANK('Attributes &amp; Prefixes'!$B$26:$C$26)&gt;0, "2", "3"), 0), COUNTIF($D$26:$E$26, N$2)&gt;0, VLOOKUP($J275,'Gear Values'!$A$2:$E$13, IF(COUNTBLANK('Attributes &amp; Prefixes'!$B$26:$C$26)&gt;0, "4", "5"), 0)), "")</f>
        <v/>
      </c>
      <c r="O275" s="137" t="str" cm="1">
        <f t="array" ref="O275">IF(COUNTIF($B$26:$E$26, O$2)&gt;0, _xlfn.IFS(COUNTIF($B$26:$C$26, O$2)&gt;0, VLOOKUP($J275,'Gear Values'!$A$2:$E$13, IF(COUNTBLANK('Attributes &amp; Prefixes'!$B$26:$C$26)&gt;0, "2", "3"), 0), COUNTIF($D$26:$E$26, O$2)&gt;0, VLOOKUP($J275,'Gear Values'!$A$2:$E$13, IF(COUNTBLANK('Attributes &amp; Prefixes'!$B$26:$C$26)&gt;0, "4", "5"), 0)), "")</f>
        <v/>
      </c>
      <c r="P275" s="137" t="str" cm="1">
        <f t="array" ref="P275">IF(COUNTIF($B$26:$E$26, P$2)&gt;0, _xlfn.IFS(COUNTIF($B$26:$C$26, P$2)&gt;0, VLOOKUP($J275,'Gear Values'!$A$2:$E$13, IF(COUNTBLANK('Attributes &amp; Prefixes'!$B$26:$C$26)&gt;0, "2", "3"), 0), COUNTIF($D$26:$E$26, P$2)&gt;0, VLOOKUP($J275,'Gear Values'!$A$2:$E$13, IF(COUNTBLANK('Attributes &amp; Prefixes'!$B$26:$C$26)&gt;0, "4", "5"), 0)), "")</f>
        <v/>
      </c>
      <c r="Q275" s="137" t="str" cm="1">
        <f t="array" ref="Q275">IF(COUNTIF($B$26:$E$26, Q$2)&gt;0, _xlfn.IFS(COUNTIF($B$26:$C$26, Q$2)&gt;0, VLOOKUP($J275,'Gear Values'!$A$2:$E$13, IF(COUNTBLANK('Attributes &amp; Prefixes'!$B$26:$C$26)&gt;0, "2", "3"), 0), COUNTIF($D$26:$E$26, Q$2)&gt;0, VLOOKUP($J275,'Gear Values'!$A$2:$E$13, IF(COUNTBLANK('Attributes &amp; Prefixes'!$B$26:$C$26)&gt;0, "4", "5"), 0)), "")</f>
        <v/>
      </c>
      <c r="R275" s="137" cm="1">
        <f t="array" ref="R275">IF(COUNTIF($B$26:$E$26, R$2)&gt;0, _xlfn.IFS(COUNTIF($B$26:$C$26, R$2)&gt;0, VLOOKUP($J275,'Gear Values'!$A$2:$E$13, IF(COUNTBLANK('Attributes &amp; Prefixes'!$B$26:$C$26)&gt;0, "2", "3"), 0), COUNTIF($D$26:$E$26, R$2)&gt;0, VLOOKUP($J275,'Gear Values'!$A$2:$E$13, IF(COUNTBLANK('Attributes &amp; Prefixes'!$B$26:$C$26)&gt;0, "4", "5"), 0)), "")</f>
        <v>35</v>
      </c>
      <c r="S275" s="138" cm="1">
        <f t="array" ref="S275">IF(COUNTIF($B$26:$E$26, S$2)&gt;0, _xlfn.IFS(COUNTIF($B$26:$C$26, S$2)&gt;0, VLOOKUP($J275,'Gear Values'!$A$2:$E$13, IF(COUNTBLANK('Attributes &amp; Prefixes'!$B$26:$C$26)&gt;0, "2", "3"), 0), COUNTIF($D$26:$E$26, S$2)&gt;0, VLOOKUP($J275,'Gear Values'!$A$2:$E$13, IF(COUNTBLANK('Attributes &amp; Prefixes'!$B$26:$C$26)&gt;0, "4", "5"), 0)), "")</f>
        <v>35</v>
      </c>
      <c r="V275" s="112"/>
      <c r="W275" s="112"/>
    </row>
    <row r="276" spans="6:23">
      <c r="F276" s="114"/>
      <c r="G276" s="114"/>
      <c r="H276" s="130" t="str">
        <f>_xlfn.CONCAT(I$267,J276)</f>
        <v>HereticFinger</v>
      </c>
      <c r="I276" s="520"/>
      <c r="J276" s="144" t="s">
        <v>51</v>
      </c>
      <c r="K276" s="136" cm="1">
        <f t="array" ref="K276">IF(COUNTIF($B$26:$E$26, K$2)&gt;0, _xlfn.IFS(COUNTIF($B$26:$C$26, K$2)&gt;0, VLOOKUP($J276,'Gear Values'!$A$2:$E$13, IF(COUNTBLANK('Attributes &amp; Prefixes'!$B$26:$C$26)&gt;0, "2", "3"), 0), COUNTIF($D$26:$E$26, K$2)&gt;0, VLOOKUP($J276,'Gear Values'!$A$2:$E$13, IF(COUNTBLANK('Attributes &amp; Prefixes'!$B$26:$C$26)&gt;0, "4", "5"), 0)), "")</f>
        <v>77</v>
      </c>
      <c r="L276" s="137" cm="1">
        <f t="array" ref="L276">IF(COUNTIF($B$26:$E$26, L$2)&gt;0, _xlfn.IFS(COUNTIF($B$26:$C$26, L$2)&gt;0, VLOOKUP($J276,'Gear Values'!$A$2:$E$13, IF(COUNTBLANK('Attributes &amp; Prefixes'!$B$26:$C$26)&gt;0, "2", "3"), 0), COUNTIF($D$26:$E$26, L$2)&gt;0, VLOOKUP($J276,'Gear Values'!$A$2:$E$13, IF(COUNTBLANK('Attributes &amp; Prefixes'!$B$26:$C$26)&gt;0, "4", "5"), 0)), "")</f>
        <v>77</v>
      </c>
      <c r="M276" s="137" t="str" cm="1">
        <f t="array" ref="M276">IF(COUNTIF($B$26:$E$26, M$2)&gt;0, _xlfn.IFS(COUNTIF($B$26:$C$26, M$2)&gt;0, VLOOKUP($J276,'Gear Values'!$A$2:$E$13, IF(COUNTBLANK('Attributes &amp; Prefixes'!$B$26:$C$26)&gt;0, "2", "3"), 0), COUNTIF($D$26:$E$26, M$2)&gt;0, VLOOKUP($J276,'Gear Values'!$A$2:$E$13, IF(COUNTBLANK('Attributes &amp; Prefixes'!$B$26:$C$26)&gt;0, "4", "5"), 0)), "")</f>
        <v/>
      </c>
      <c r="N276" s="137" t="str" cm="1">
        <f t="array" ref="N276">IF(COUNTIF($B$26:$E$26, N$2)&gt;0, _xlfn.IFS(COUNTIF($B$26:$C$26, N$2)&gt;0, VLOOKUP($J276,'Gear Values'!$A$2:$E$13, IF(COUNTBLANK('Attributes &amp; Prefixes'!$B$26:$C$26)&gt;0, "2", "3"), 0), COUNTIF($D$26:$E$26, N$2)&gt;0, VLOOKUP($J276,'Gear Values'!$A$2:$E$13, IF(COUNTBLANK('Attributes &amp; Prefixes'!$B$26:$C$26)&gt;0, "4", "5"), 0)), "")</f>
        <v/>
      </c>
      <c r="O276" s="137" t="str" cm="1">
        <f t="array" ref="O276">IF(COUNTIF($B$26:$E$26, O$2)&gt;0, _xlfn.IFS(COUNTIF($B$26:$C$26, O$2)&gt;0, VLOOKUP($J276,'Gear Values'!$A$2:$E$13, IF(COUNTBLANK('Attributes &amp; Prefixes'!$B$26:$C$26)&gt;0, "2", "3"), 0), COUNTIF($D$26:$E$26, O$2)&gt;0, VLOOKUP($J276,'Gear Values'!$A$2:$E$13, IF(COUNTBLANK('Attributes &amp; Prefixes'!$B$26:$C$26)&gt;0, "4", "5"), 0)), "")</f>
        <v/>
      </c>
      <c r="P276" s="137" t="str" cm="1">
        <f t="array" ref="P276">IF(COUNTIF($B$26:$E$26, P$2)&gt;0, _xlfn.IFS(COUNTIF($B$26:$C$26, P$2)&gt;0, VLOOKUP($J276,'Gear Values'!$A$2:$E$13, IF(COUNTBLANK('Attributes &amp; Prefixes'!$B$26:$C$26)&gt;0, "2", "3"), 0), COUNTIF($D$26:$E$26, P$2)&gt;0, VLOOKUP($J276,'Gear Values'!$A$2:$E$13, IF(COUNTBLANK('Attributes &amp; Prefixes'!$B$26:$C$26)&gt;0, "4", "5"), 0)), "")</f>
        <v/>
      </c>
      <c r="Q276" s="137" t="str" cm="1">
        <f t="array" ref="Q276">IF(COUNTIF($B$26:$E$26, Q$2)&gt;0, _xlfn.IFS(COUNTIF($B$26:$C$26, Q$2)&gt;0, VLOOKUP($J276,'Gear Values'!$A$2:$E$13, IF(COUNTBLANK('Attributes &amp; Prefixes'!$B$26:$C$26)&gt;0, "2", "3"), 0), COUNTIF($D$26:$E$26, Q$2)&gt;0, VLOOKUP($J276,'Gear Values'!$A$2:$E$13, IF(COUNTBLANK('Attributes &amp; Prefixes'!$B$26:$C$26)&gt;0, "4", "5"), 0)), "")</f>
        <v/>
      </c>
      <c r="R276" s="137" cm="1">
        <f t="array" ref="R276">IF(COUNTIF($B$26:$E$26, R$2)&gt;0, _xlfn.IFS(COUNTIF($B$26:$C$26, R$2)&gt;0, VLOOKUP($J276,'Gear Values'!$A$2:$E$13, IF(COUNTBLANK('Attributes &amp; Prefixes'!$B$26:$C$26)&gt;0, "2", "3"), 0), COUNTIF($D$26:$E$26, R$2)&gt;0, VLOOKUP($J276,'Gear Values'!$A$2:$E$13, IF(COUNTBLANK('Attributes &amp; Prefixes'!$B$26:$C$26)&gt;0, "4", "5"), 0)), "")</f>
        <v>42</v>
      </c>
      <c r="S276" s="138" cm="1">
        <f t="array" ref="S276">IF(COUNTIF($B$26:$E$26, S$2)&gt;0, _xlfn.IFS(COUNTIF($B$26:$C$26, S$2)&gt;0, VLOOKUP($J276,'Gear Values'!$A$2:$E$13, IF(COUNTBLANK('Attributes &amp; Prefixes'!$B$26:$C$26)&gt;0, "2", "3"), 0), COUNTIF($D$26:$E$26, S$2)&gt;0, VLOOKUP($J276,'Gear Values'!$A$2:$E$13, IF(COUNTBLANK('Attributes &amp; Prefixes'!$B$26:$C$26)&gt;0, "4", "5"), 0)), "")</f>
        <v>42</v>
      </c>
      <c r="V276" s="112"/>
      <c r="W276" s="112"/>
    </row>
    <row r="277" spans="6:23">
      <c r="F277" s="114"/>
      <c r="G277" s="114"/>
      <c r="H277" s="130" t="str">
        <f>_xlfn.CONCAT(I$267,J277)</f>
        <v>HereticNeck</v>
      </c>
      <c r="I277" s="520"/>
      <c r="J277" s="144" t="s">
        <v>52</v>
      </c>
      <c r="K277" s="136" cm="1">
        <f t="array" ref="K277">IF(COUNTIF($B$26:$E$26, K$2)&gt;0, _xlfn.IFS(COUNTIF($B$26:$C$26, K$2)&gt;0, VLOOKUP($J277,'Gear Values'!$A$2:$E$13, IF(COUNTBLANK('Attributes &amp; Prefixes'!$B$26:$C$26)&gt;0, "2", "3"), 0), COUNTIF($D$26:$E$26, K$2)&gt;0, VLOOKUP($J277,'Gear Values'!$A$2:$E$13, IF(COUNTBLANK('Attributes &amp; Prefixes'!$B$26:$C$26)&gt;0, "4", "5"), 0)), "")</f>
        <v>102</v>
      </c>
      <c r="L277" s="137" cm="1">
        <f t="array" ref="L277">IF(COUNTIF($B$26:$E$26, L$2)&gt;0, _xlfn.IFS(COUNTIF($B$26:$C$26, L$2)&gt;0, VLOOKUP($J277,'Gear Values'!$A$2:$E$13, IF(COUNTBLANK('Attributes &amp; Prefixes'!$B$26:$C$26)&gt;0, "2", "3"), 0), COUNTIF($D$26:$E$26, L$2)&gt;0, VLOOKUP($J277,'Gear Values'!$A$2:$E$13, IF(COUNTBLANK('Attributes &amp; Prefixes'!$B$26:$C$26)&gt;0, "4", "5"), 0)), "")</f>
        <v>102</v>
      </c>
      <c r="M277" s="137" t="str" cm="1">
        <f t="array" ref="M277">IF(COUNTIF($B$26:$E$26, M$2)&gt;0, _xlfn.IFS(COUNTIF($B$26:$C$26, M$2)&gt;0, VLOOKUP($J277,'Gear Values'!$A$2:$E$13, IF(COUNTBLANK('Attributes &amp; Prefixes'!$B$26:$C$26)&gt;0, "2", "3"), 0), COUNTIF($D$26:$E$26, M$2)&gt;0, VLOOKUP($J277,'Gear Values'!$A$2:$E$13, IF(COUNTBLANK('Attributes &amp; Prefixes'!$B$26:$C$26)&gt;0, "4", "5"), 0)), "")</f>
        <v/>
      </c>
      <c r="N277" s="137" t="str" cm="1">
        <f t="array" ref="N277">IF(COUNTIF($B$26:$E$26, N$2)&gt;0, _xlfn.IFS(COUNTIF($B$26:$C$26, N$2)&gt;0, VLOOKUP($J277,'Gear Values'!$A$2:$E$13, IF(COUNTBLANK('Attributes &amp; Prefixes'!$B$26:$C$26)&gt;0, "2", "3"), 0), COUNTIF($D$26:$E$26, N$2)&gt;0, VLOOKUP($J277,'Gear Values'!$A$2:$E$13, IF(COUNTBLANK('Attributes &amp; Prefixes'!$B$26:$C$26)&gt;0, "4", "5"), 0)), "")</f>
        <v/>
      </c>
      <c r="O277" s="137" t="str" cm="1">
        <f t="array" ref="O277">IF(COUNTIF($B$26:$E$26, O$2)&gt;0, _xlfn.IFS(COUNTIF($B$26:$C$26, O$2)&gt;0, VLOOKUP($J277,'Gear Values'!$A$2:$E$13, IF(COUNTBLANK('Attributes &amp; Prefixes'!$B$26:$C$26)&gt;0, "2", "3"), 0), COUNTIF($D$26:$E$26, O$2)&gt;0, VLOOKUP($J277,'Gear Values'!$A$2:$E$13, IF(COUNTBLANK('Attributes &amp; Prefixes'!$B$26:$C$26)&gt;0, "4", "5"), 0)), "")</f>
        <v/>
      </c>
      <c r="P277" s="137" t="str" cm="1">
        <f t="array" ref="P277">IF(COUNTIF($B$26:$E$26, P$2)&gt;0, _xlfn.IFS(COUNTIF($B$26:$C$26, P$2)&gt;0, VLOOKUP($J277,'Gear Values'!$A$2:$E$13, IF(COUNTBLANK('Attributes &amp; Prefixes'!$B$26:$C$26)&gt;0, "2", "3"), 0), COUNTIF($D$26:$E$26, P$2)&gt;0, VLOOKUP($J277,'Gear Values'!$A$2:$E$13, IF(COUNTBLANK('Attributes &amp; Prefixes'!$B$26:$C$26)&gt;0, "4", "5"), 0)), "")</f>
        <v/>
      </c>
      <c r="Q277" s="137" t="str" cm="1">
        <f t="array" ref="Q277">IF(COUNTIF($B$26:$E$26, Q$2)&gt;0, _xlfn.IFS(COUNTIF($B$26:$C$26, Q$2)&gt;0, VLOOKUP($J277,'Gear Values'!$A$2:$E$13, IF(COUNTBLANK('Attributes &amp; Prefixes'!$B$26:$C$26)&gt;0, "2", "3"), 0), COUNTIF($D$26:$E$26, Q$2)&gt;0, VLOOKUP($J277,'Gear Values'!$A$2:$E$13, IF(COUNTBLANK('Attributes &amp; Prefixes'!$B$26:$C$26)&gt;0, "4", "5"), 0)), "")</f>
        <v/>
      </c>
      <c r="R277" s="137" cm="1">
        <f t="array" ref="R277">IF(COUNTIF($B$26:$E$26, R$2)&gt;0, _xlfn.IFS(COUNTIF($B$26:$C$26, R$2)&gt;0, VLOOKUP($J277,'Gear Values'!$A$2:$E$13, IF(COUNTBLANK('Attributes &amp; Prefixes'!$B$26:$C$26)&gt;0, "2", "3"), 0), COUNTIF($D$26:$E$26, R$2)&gt;0, VLOOKUP($J277,'Gear Values'!$A$2:$E$13, IF(COUNTBLANK('Attributes &amp; Prefixes'!$B$26:$C$26)&gt;0, "4", "5"), 0)), "")</f>
        <v>56</v>
      </c>
      <c r="S277" s="138" cm="1">
        <f t="array" ref="S277">IF(COUNTIF($B$26:$E$26, S$2)&gt;0, _xlfn.IFS(COUNTIF($B$26:$C$26, S$2)&gt;0, VLOOKUP($J277,'Gear Values'!$A$2:$E$13, IF(COUNTBLANK('Attributes &amp; Prefixes'!$B$26:$C$26)&gt;0, "2", "3"), 0), COUNTIF($D$26:$E$26, S$2)&gt;0, VLOOKUP($J277,'Gear Values'!$A$2:$E$13, IF(COUNTBLANK('Attributes &amp; Prefixes'!$B$26:$C$26)&gt;0, "4", "5"), 0)), "")</f>
        <v>56</v>
      </c>
      <c r="V277" s="112"/>
      <c r="W277" s="112"/>
    </row>
    <row r="278" spans="6:23">
      <c r="F278" s="114"/>
      <c r="G278" s="114"/>
      <c r="H278" s="130" t="str">
        <f>_xlfn.CONCAT(I$267,J278)</f>
        <v>HereticBack</v>
      </c>
      <c r="I278" s="521"/>
      <c r="J278" s="146" t="s">
        <v>53</v>
      </c>
      <c r="K278" s="147" t="str" cm="1">
        <f t="array" ref="K278">IF(COUNTIF($B$26:$E$26, K$2)&gt;0, _xlfn.IFS(COUNTIF($B$26:$C$26, K$2)&gt;0, VLOOKUP($J278,'Gear Values'!$A$2:$E$13, IF(COUNTBLANK('Attributes &amp; Prefixes'!$B$26:$C$26)&gt;0, "2", "3"), 0), COUNTIF($D$26:$E$26, K$2)&gt;0, VLOOKUP($J278,'Gear Values'!$A$2:$E$13, IF(COUNTBLANK('Attributes &amp; Prefixes'!$B$26:$C$26)&gt;0, "4", "5"), 0)), "")</f>
        <v>N/A</v>
      </c>
      <c r="L278" s="148" t="str" cm="1">
        <f t="array" ref="L278">IF(COUNTIF($B$26:$E$26, L$2)&gt;0, _xlfn.IFS(COUNTIF($B$26:$C$26, L$2)&gt;0, VLOOKUP($J278,'Gear Values'!$A$2:$E$13, IF(COUNTBLANK('Attributes &amp; Prefixes'!$B$26:$C$26)&gt;0, "2", "3"), 0), COUNTIF($D$26:$E$26, L$2)&gt;0, VLOOKUP($J278,'Gear Values'!$A$2:$E$13, IF(COUNTBLANK('Attributes &amp; Prefixes'!$B$26:$C$26)&gt;0, "4", "5"), 0)), "")</f>
        <v>N/A</v>
      </c>
      <c r="M278" s="148" t="str" cm="1">
        <f t="array" ref="M278">IF(COUNTIF($B$26:$E$26, M$2)&gt;0, _xlfn.IFS(COUNTIF($B$26:$C$26, M$2)&gt;0, VLOOKUP($J278,'Gear Values'!$A$2:$E$13, IF(COUNTBLANK('Attributes &amp; Prefixes'!$B$26:$C$26)&gt;0, "2", "3"), 0), COUNTIF($D$26:$E$26, M$2)&gt;0, VLOOKUP($J278,'Gear Values'!$A$2:$E$13, IF(COUNTBLANK('Attributes &amp; Prefixes'!$B$26:$C$26)&gt;0, "4", "5"), 0)), "")</f>
        <v/>
      </c>
      <c r="N278" s="148" t="str" cm="1">
        <f t="array" ref="N278">IF(COUNTIF($B$26:$E$26, N$2)&gt;0, _xlfn.IFS(COUNTIF($B$26:$C$26, N$2)&gt;0, VLOOKUP($J278,'Gear Values'!$A$2:$E$13, IF(COUNTBLANK('Attributes &amp; Prefixes'!$B$26:$C$26)&gt;0, "2", "3"), 0), COUNTIF($D$26:$E$26, N$2)&gt;0, VLOOKUP($J278,'Gear Values'!$A$2:$E$13, IF(COUNTBLANK('Attributes &amp; Prefixes'!$B$26:$C$26)&gt;0, "4", "5"), 0)), "")</f>
        <v/>
      </c>
      <c r="O278" s="148" t="str" cm="1">
        <f t="array" ref="O278">IF(COUNTIF($B$26:$E$26, O$2)&gt;0, _xlfn.IFS(COUNTIF($B$26:$C$26, O$2)&gt;0, VLOOKUP($J278,'Gear Values'!$A$2:$E$13, IF(COUNTBLANK('Attributes &amp; Prefixes'!$B$26:$C$26)&gt;0, "2", "3"), 0), COUNTIF($D$26:$E$26, O$2)&gt;0, VLOOKUP($J278,'Gear Values'!$A$2:$E$13, IF(COUNTBLANK('Attributes &amp; Prefixes'!$B$26:$C$26)&gt;0, "4", "5"), 0)), "")</f>
        <v/>
      </c>
      <c r="P278" s="148" t="str" cm="1">
        <f t="array" ref="P278">IF(COUNTIF($B$26:$E$26, P$2)&gt;0, _xlfn.IFS(COUNTIF($B$26:$C$26, P$2)&gt;0, VLOOKUP($J278,'Gear Values'!$A$2:$E$13, IF(COUNTBLANK('Attributes &amp; Prefixes'!$B$26:$C$26)&gt;0, "2", "3"), 0), COUNTIF($D$26:$E$26, P$2)&gt;0, VLOOKUP($J278,'Gear Values'!$A$2:$E$13, IF(COUNTBLANK('Attributes &amp; Prefixes'!$B$26:$C$26)&gt;0, "4", "5"), 0)), "")</f>
        <v/>
      </c>
      <c r="Q278" s="148" t="str" cm="1">
        <f t="array" ref="Q278">IF(COUNTIF($B$26:$E$26, Q$2)&gt;0, _xlfn.IFS(COUNTIF($B$26:$C$26, Q$2)&gt;0, VLOOKUP($J278,'Gear Values'!$A$2:$E$13, IF(COUNTBLANK('Attributes &amp; Prefixes'!$B$26:$C$26)&gt;0, "2", "3"), 0), COUNTIF($D$26:$E$26, Q$2)&gt;0, VLOOKUP($J278,'Gear Values'!$A$2:$E$13, IF(COUNTBLANK('Attributes &amp; Prefixes'!$B$26:$C$26)&gt;0, "4", "5"), 0)), "")</f>
        <v/>
      </c>
      <c r="R278" s="148" t="str" cm="1">
        <f t="array" ref="R278">IF(COUNTIF($B$26:$E$26, R$2)&gt;0, _xlfn.IFS(COUNTIF($B$26:$C$26, R$2)&gt;0, VLOOKUP($J278,'Gear Values'!$A$2:$E$13, IF(COUNTBLANK('Attributes &amp; Prefixes'!$B$26:$C$26)&gt;0, "2", "3"), 0), COUNTIF($D$26:$E$26, R$2)&gt;0, VLOOKUP($J278,'Gear Values'!$A$2:$E$13, IF(COUNTBLANK('Attributes &amp; Prefixes'!$B$26:$C$26)&gt;0, "4", "5"), 0)), "")</f>
        <v>N/A</v>
      </c>
      <c r="S278" s="150" t="str" cm="1">
        <f t="array" ref="S278">IF(COUNTIF($B$26:$E$26, S$2)&gt;0, _xlfn.IFS(COUNTIF($B$26:$C$26, S$2)&gt;0, VLOOKUP($J278,'Gear Values'!$A$2:$E$13, IF(COUNTBLANK('Attributes &amp; Prefixes'!$B$26:$C$26)&gt;0, "2", "3"), 0), COUNTIF($D$26:$E$26, S$2)&gt;0, VLOOKUP($J278,'Gear Values'!$A$2:$E$13, IF(COUNTBLANK('Attributes &amp; Prefixes'!$B$26:$C$26)&gt;0, "4", "5"), 0)), "")</f>
        <v>N/A</v>
      </c>
      <c r="V278" s="112"/>
      <c r="W278" s="113"/>
    </row>
    <row r="279" spans="6:23">
      <c r="F279" s="114"/>
      <c r="G279" s="114"/>
      <c r="H279" s="130" t="str">
        <f>_xlfn.CONCAT(I$279,J279)</f>
        <v>KnightWeapon (1H)</v>
      </c>
      <c r="I279" s="519" t="str">
        <f>A27</f>
        <v>Knight</v>
      </c>
      <c r="J279" s="145" t="s">
        <v>37</v>
      </c>
      <c r="K279" s="133" cm="1">
        <f t="array" ref="K279">IF(COUNTIF($B$27:$E$27, K$2)&gt;0, _xlfn.IFS(COUNTIF($B$27:$C$27, K$2)&gt;0, VLOOKUP($J279,'Gear Values'!$A$2:$E$13, IF(COUNTBLANK('Attributes &amp; Prefixes'!$B$27:$C$27)&gt;0, "2", "3"), 0), COUNTIF($D$27:$E$27, K$2)&gt;0, VLOOKUP($J279,'Gear Values'!$A$2:$E$13, IF(COUNTBLANK('Attributes &amp; Prefixes'!$B$27:$C$27)&gt;0, "4", "5"), 0)), "")</f>
        <v>85</v>
      </c>
      <c r="L279" s="134" cm="1">
        <f t="array" ref="L279">IF(COUNTIF($B$27:$E$27, L$2)&gt;0, _xlfn.IFS(COUNTIF($B$27:$C$27, L$2)&gt;0, VLOOKUP($J279,'Gear Values'!$A$2:$E$13, IF(COUNTBLANK('Attributes &amp; Prefixes'!$B$27:$C$27)&gt;0, "2", "3"), 0), COUNTIF($D$27:$E$27, L$2)&gt;0, VLOOKUP($J279,'Gear Values'!$A$2:$E$13, IF(COUNTBLANK('Attributes &amp; Prefixes'!$B$27:$C$27)&gt;0, "4", "5"), 0)), "")</f>
        <v>85</v>
      </c>
      <c r="M279" s="134" cm="1">
        <f t="array" ref="M279">IF(COUNTIF($B$27:$E$27, M$2)&gt;0, _xlfn.IFS(COUNTIF($B$27:$C$27, M$2)&gt;0, VLOOKUP($J279,'Gear Values'!$A$2:$E$13, IF(COUNTBLANK('Attributes &amp; Prefixes'!$B$27:$C$27)&gt;0, "2", "3"), 0), COUNTIF($D$27:$E$27, M$2)&gt;0, VLOOKUP($J279,'Gear Values'!$A$2:$E$13, IF(COUNTBLANK('Attributes &amp; Prefixes'!$B$27:$C$27)&gt;0, "4", "5"), 0)), "")</f>
        <v>120</v>
      </c>
      <c r="N279" s="134" t="str" cm="1">
        <f t="array" ref="N279">IF(COUNTIF($B$27:$E$27, N$2)&gt;0, _xlfn.IFS(COUNTIF($B$27:$C$27, N$2)&gt;0, VLOOKUP($J279,'Gear Values'!$A$2:$E$13, IF(COUNTBLANK('Attributes &amp; Prefixes'!$B$27:$C$27)&gt;0, "2", "3"), 0), COUNTIF($D$27:$E$27, N$2)&gt;0, VLOOKUP($J279,'Gear Values'!$A$2:$E$13, IF(COUNTBLANK('Attributes &amp; Prefixes'!$B$27:$C$27)&gt;0, "4", "5"), 0)), "")</f>
        <v/>
      </c>
      <c r="O279" s="134" t="str" cm="1">
        <f t="array" ref="O279">IF(COUNTIF($B$27:$E$27, O$2)&gt;0, _xlfn.IFS(COUNTIF($B$27:$C$27, O$2)&gt;0, VLOOKUP($J279,'Gear Values'!$A$2:$E$13, IF(COUNTBLANK('Attributes &amp; Prefixes'!$B$27:$C$27)&gt;0, "2", "3"), 0), COUNTIF($D$27:$E$27, O$2)&gt;0, VLOOKUP($J279,'Gear Values'!$A$2:$E$13, IF(COUNTBLANK('Attributes &amp; Prefixes'!$B$27:$C$27)&gt;0, "4", "5"), 0)), "")</f>
        <v/>
      </c>
      <c r="P279" s="134" t="str" cm="1">
        <f t="array" ref="P279">IF(COUNTIF($B$27:$E$27, P$2)&gt;0, _xlfn.IFS(COUNTIF($B$27:$C$27, P$2)&gt;0, VLOOKUP($J279,'Gear Values'!$A$2:$E$13, IF(COUNTBLANK('Attributes &amp; Prefixes'!$B$27:$C$27)&gt;0, "2", "3"), 0), COUNTIF($D$27:$E$27, P$2)&gt;0, VLOOKUP($J279,'Gear Values'!$A$2:$E$13, IF(COUNTBLANK('Attributes &amp; Prefixes'!$B$27:$C$27)&gt;0, "4", "5"), 0)), "")</f>
        <v/>
      </c>
      <c r="Q279" s="134" t="str" cm="1">
        <f t="array" ref="Q279">IF(COUNTIF($B$27:$E$27, Q$2)&gt;0, _xlfn.IFS(COUNTIF($B$27:$C$27, Q$2)&gt;0, VLOOKUP($J279,'Gear Values'!$A$2:$E$13, IF(COUNTBLANK('Attributes &amp; Prefixes'!$B$27:$C$27)&gt;0, "2", "3"), 0), COUNTIF($D$27:$E$27, Q$2)&gt;0, VLOOKUP($J279,'Gear Values'!$A$2:$E$13, IF(COUNTBLANK('Attributes &amp; Prefixes'!$B$27:$C$27)&gt;0, "4", "5"), 0)), "")</f>
        <v/>
      </c>
      <c r="R279" s="134" t="str" cm="1">
        <f t="array" ref="R279">IF(COUNTIF($B$27:$E$27, R$2)&gt;0, _xlfn.IFS(COUNTIF($B$27:$C$27, R$2)&gt;0, VLOOKUP($J279,'Gear Values'!$A$2:$E$13, IF(COUNTBLANK('Attributes &amp; Prefixes'!$B$27:$C$27)&gt;0, "2", "3"), 0), COUNTIF($D$27:$E$27, R$2)&gt;0, VLOOKUP($J279,'Gear Values'!$A$2:$E$13, IF(COUNTBLANK('Attributes &amp; Prefixes'!$B$27:$C$27)&gt;0, "4", "5"), 0)), "")</f>
        <v/>
      </c>
      <c r="S279" s="135" t="str" cm="1">
        <f t="array" ref="S279">IF(COUNTIF($B$27:$E$27, S$2)&gt;0, _xlfn.IFS(COUNTIF($B$27:$C$27, S$2)&gt;0, VLOOKUP($J279,'Gear Values'!$A$2:$E$13, IF(COUNTBLANK('Attributes &amp; Prefixes'!$B$27:$C$27)&gt;0, "2", "3"), 0), COUNTIF($D$27:$E$27, S$2)&gt;0, VLOOKUP($J279,'Gear Values'!$A$2:$E$13, IF(COUNTBLANK('Attributes &amp; Prefixes'!$B$27:$C$27)&gt;0, "4", "5"), 0)), "")</f>
        <v/>
      </c>
      <c r="V279" s="112"/>
      <c r="W279" s="113"/>
    </row>
    <row r="280" spans="6:23">
      <c r="H280" s="130" t="str">
        <f>_xlfn.CONCAT(I$279,J280)</f>
        <v>KnightWeapon (2H)</v>
      </c>
      <c r="I280" s="520"/>
      <c r="J280" s="144" t="s">
        <v>39</v>
      </c>
      <c r="K280" s="136" cm="1">
        <f t="array" ref="K280">IF(COUNTIF($B$27:$E$27, K$2)&gt;0, _xlfn.IFS(COUNTIF($B$27:$C$27, K$2)&gt;0, VLOOKUP($J280,'Gear Values'!$A$2:$E$13, IF(COUNTBLANK('Attributes &amp; Prefixes'!$B$27:$C$27)&gt;0, "2", "3"), 0), COUNTIF($D$27:$E$27, K$2)&gt;0, VLOOKUP($J280,'Gear Values'!$A$2:$E$13, IF(COUNTBLANK('Attributes &amp; Prefixes'!$B$27:$C$27)&gt;0, "4", "5"), 0)), "")</f>
        <v>171</v>
      </c>
      <c r="L280" s="137" cm="1">
        <f t="array" ref="L280">IF(COUNTIF($B$27:$E$27, L$2)&gt;0, _xlfn.IFS(COUNTIF($B$27:$C$27, L$2)&gt;0, VLOOKUP($J280,'Gear Values'!$A$2:$E$13, IF(COUNTBLANK('Attributes &amp; Prefixes'!$B$27:$C$27)&gt;0, "2", "3"), 0), COUNTIF($D$27:$E$27, L$2)&gt;0, VLOOKUP($J280,'Gear Values'!$A$2:$E$13, IF(COUNTBLANK('Attributes &amp; Prefixes'!$B$27:$C$27)&gt;0, "4", "5"), 0)), "")</f>
        <v>171</v>
      </c>
      <c r="M280" s="137" cm="1">
        <f t="array" ref="M280">IF(COUNTIF($B$27:$E$27, M$2)&gt;0, _xlfn.IFS(COUNTIF($B$27:$C$27, M$2)&gt;0, VLOOKUP($J280,'Gear Values'!$A$2:$E$13, IF(COUNTBLANK('Attributes &amp; Prefixes'!$B$27:$C$27)&gt;0, "2", "3"), 0), COUNTIF($D$27:$E$27, M$2)&gt;0, VLOOKUP($J280,'Gear Values'!$A$2:$E$13, IF(COUNTBLANK('Attributes &amp; Prefixes'!$B$27:$C$27)&gt;0, "4", "5"), 0)), "")</f>
        <v>239</v>
      </c>
      <c r="N280" s="137" t="str" cm="1">
        <f t="array" ref="N280">IF(COUNTIF($B$27:$E$27, N$2)&gt;0, _xlfn.IFS(COUNTIF($B$27:$C$27, N$2)&gt;0, VLOOKUP($J280,'Gear Values'!$A$2:$E$13, IF(COUNTBLANK('Attributes &amp; Prefixes'!$B$27:$C$27)&gt;0, "2", "3"), 0), COUNTIF($D$27:$E$27, N$2)&gt;0, VLOOKUP($J280,'Gear Values'!$A$2:$E$13, IF(COUNTBLANK('Attributes &amp; Prefixes'!$B$27:$C$27)&gt;0, "4", "5"), 0)), "")</f>
        <v/>
      </c>
      <c r="O280" s="137" t="str" cm="1">
        <f t="array" ref="O280">IF(COUNTIF($B$27:$E$27, O$2)&gt;0, _xlfn.IFS(COUNTIF($B$27:$C$27, O$2)&gt;0, VLOOKUP($J280,'Gear Values'!$A$2:$E$13, IF(COUNTBLANK('Attributes &amp; Prefixes'!$B$27:$C$27)&gt;0, "2", "3"), 0), COUNTIF($D$27:$E$27, O$2)&gt;0, VLOOKUP($J280,'Gear Values'!$A$2:$E$13, IF(COUNTBLANK('Attributes &amp; Prefixes'!$B$27:$C$27)&gt;0, "4", "5"), 0)), "")</f>
        <v/>
      </c>
      <c r="P280" s="137" t="str" cm="1">
        <f t="array" ref="P280">IF(COUNTIF($B$27:$E$27, P$2)&gt;0, _xlfn.IFS(COUNTIF($B$27:$C$27, P$2)&gt;0, VLOOKUP($J280,'Gear Values'!$A$2:$E$13, IF(COUNTBLANK('Attributes &amp; Prefixes'!$B$27:$C$27)&gt;0, "2", "3"), 0), COUNTIF($D$27:$E$27, P$2)&gt;0, VLOOKUP($J280,'Gear Values'!$A$2:$E$13, IF(COUNTBLANK('Attributes &amp; Prefixes'!$B$27:$C$27)&gt;0, "4", "5"), 0)), "")</f>
        <v/>
      </c>
      <c r="Q280" s="137" t="str" cm="1">
        <f t="array" ref="Q280">IF(COUNTIF($B$27:$E$27, Q$2)&gt;0, _xlfn.IFS(COUNTIF($B$27:$C$27, Q$2)&gt;0, VLOOKUP($J280,'Gear Values'!$A$2:$E$13, IF(COUNTBLANK('Attributes &amp; Prefixes'!$B$27:$C$27)&gt;0, "2", "3"), 0), COUNTIF($D$27:$E$27, Q$2)&gt;0, VLOOKUP($J280,'Gear Values'!$A$2:$E$13, IF(COUNTBLANK('Attributes &amp; Prefixes'!$B$27:$C$27)&gt;0, "4", "5"), 0)), "")</f>
        <v/>
      </c>
      <c r="R280" s="137" t="str" cm="1">
        <f t="array" ref="R280">IF(COUNTIF($B$27:$E$27, R$2)&gt;0, _xlfn.IFS(COUNTIF($B$27:$C$27, R$2)&gt;0, VLOOKUP($J280,'Gear Values'!$A$2:$E$13, IF(COUNTBLANK('Attributes &amp; Prefixes'!$B$27:$C$27)&gt;0, "2", "3"), 0), COUNTIF($D$27:$E$27, R$2)&gt;0, VLOOKUP($J280,'Gear Values'!$A$2:$E$13, IF(COUNTBLANK('Attributes &amp; Prefixes'!$B$27:$C$27)&gt;0, "4", "5"), 0)), "")</f>
        <v/>
      </c>
      <c r="S280" s="138" t="str" cm="1">
        <f t="array" ref="S280">IF(COUNTIF($B$27:$E$27, S$2)&gt;0, _xlfn.IFS(COUNTIF($B$27:$C$27, S$2)&gt;0, VLOOKUP($J280,'Gear Values'!$A$2:$E$13, IF(COUNTBLANK('Attributes &amp; Prefixes'!$B$27:$C$27)&gt;0, "2", "3"), 0), COUNTIF($D$27:$E$27, S$2)&gt;0, VLOOKUP($J280,'Gear Values'!$A$2:$E$13, IF(COUNTBLANK('Attributes &amp; Prefixes'!$B$27:$C$27)&gt;0, "4", "5"), 0)), "")</f>
        <v/>
      </c>
      <c r="V280" s="112"/>
      <c r="W280" s="112"/>
    </row>
    <row r="281" spans="6:23">
      <c r="H281" s="130" t="str">
        <f>_xlfn.CONCAT(I$279,J281)</f>
        <v>KnightHead</v>
      </c>
      <c r="I281" s="520"/>
      <c r="J281" s="144" t="s">
        <v>40</v>
      </c>
      <c r="K281" s="136" cm="1">
        <f t="array" ref="K281">IF(COUNTIF($B$27:$E$27, K$2)&gt;0, _xlfn.IFS(COUNTIF($B$27:$C$27, K$2)&gt;0, VLOOKUP($J281,'Gear Values'!$A$2:$E$13, IF(COUNTBLANK('Attributes &amp; Prefixes'!$B$27:$C$27)&gt;0, "2", "3"), 0), COUNTIF($D$27:$E$27, K$2)&gt;0, VLOOKUP($J281,'Gear Values'!$A$2:$E$13, IF(COUNTBLANK('Attributes &amp; Prefixes'!$B$27:$C$27)&gt;0, "4", "5"), 0)), "")</f>
        <v>43</v>
      </c>
      <c r="L281" s="137" cm="1">
        <f t="array" ref="L281">IF(COUNTIF($B$27:$E$27, L$2)&gt;0, _xlfn.IFS(COUNTIF($B$27:$C$27, L$2)&gt;0, VLOOKUP($J281,'Gear Values'!$A$2:$E$13, IF(COUNTBLANK('Attributes &amp; Prefixes'!$B$27:$C$27)&gt;0, "2", "3"), 0), COUNTIF($D$27:$E$27, L$2)&gt;0, VLOOKUP($J281,'Gear Values'!$A$2:$E$13, IF(COUNTBLANK('Attributes &amp; Prefixes'!$B$27:$C$27)&gt;0, "4", "5"), 0)), "")</f>
        <v>43</v>
      </c>
      <c r="M281" s="137" cm="1">
        <f t="array" ref="M281">IF(COUNTIF($B$27:$E$27, M$2)&gt;0, _xlfn.IFS(COUNTIF($B$27:$C$27, M$2)&gt;0, VLOOKUP($J281,'Gear Values'!$A$2:$E$13, IF(COUNTBLANK('Attributes &amp; Prefixes'!$B$27:$C$27)&gt;0, "2", "3"), 0), COUNTIF($D$27:$E$27, M$2)&gt;0, VLOOKUP($J281,'Gear Values'!$A$2:$E$13, IF(COUNTBLANK('Attributes &amp; Prefixes'!$B$27:$C$27)&gt;0, "4", "5"), 0)), "")</f>
        <v>60</v>
      </c>
      <c r="N281" s="137" t="str" cm="1">
        <f t="array" ref="N281">IF(COUNTIF($B$27:$E$27, N$2)&gt;0, _xlfn.IFS(COUNTIF($B$27:$C$27, N$2)&gt;0, VLOOKUP($J281,'Gear Values'!$A$2:$E$13, IF(COUNTBLANK('Attributes &amp; Prefixes'!$B$27:$C$27)&gt;0, "2", "3"), 0), COUNTIF($D$27:$E$27, N$2)&gt;0, VLOOKUP($J281,'Gear Values'!$A$2:$E$13, IF(COUNTBLANK('Attributes &amp; Prefixes'!$B$27:$C$27)&gt;0, "4", "5"), 0)), "")</f>
        <v/>
      </c>
      <c r="O281" s="137" t="str" cm="1">
        <f t="array" ref="O281">IF(COUNTIF($B$27:$E$27, O$2)&gt;0, _xlfn.IFS(COUNTIF($B$27:$C$27, O$2)&gt;0, VLOOKUP($J281,'Gear Values'!$A$2:$E$13, IF(COUNTBLANK('Attributes &amp; Prefixes'!$B$27:$C$27)&gt;0, "2", "3"), 0), COUNTIF($D$27:$E$27, O$2)&gt;0, VLOOKUP($J281,'Gear Values'!$A$2:$E$13, IF(COUNTBLANK('Attributes &amp; Prefixes'!$B$27:$C$27)&gt;0, "4", "5"), 0)), "")</f>
        <v/>
      </c>
      <c r="P281" s="137" t="str" cm="1">
        <f t="array" ref="P281">IF(COUNTIF($B$27:$E$27, P$2)&gt;0, _xlfn.IFS(COUNTIF($B$27:$C$27, P$2)&gt;0, VLOOKUP($J281,'Gear Values'!$A$2:$E$13, IF(COUNTBLANK('Attributes &amp; Prefixes'!$B$27:$C$27)&gt;0, "2", "3"), 0), COUNTIF($D$27:$E$27, P$2)&gt;0, VLOOKUP($J281,'Gear Values'!$A$2:$E$13, IF(COUNTBLANK('Attributes &amp; Prefixes'!$B$27:$C$27)&gt;0, "4", "5"), 0)), "")</f>
        <v/>
      </c>
      <c r="Q281" s="137" t="str" cm="1">
        <f t="array" ref="Q281">IF(COUNTIF($B$27:$E$27, Q$2)&gt;0, _xlfn.IFS(COUNTIF($B$27:$C$27, Q$2)&gt;0, VLOOKUP($J281,'Gear Values'!$A$2:$E$13, IF(COUNTBLANK('Attributes &amp; Prefixes'!$B$27:$C$27)&gt;0, "2", "3"), 0), COUNTIF($D$27:$E$27, Q$2)&gt;0, VLOOKUP($J281,'Gear Values'!$A$2:$E$13, IF(COUNTBLANK('Attributes &amp; Prefixes'!$B$27:$C$27)&gt;0, "4", "5"), 0)), "")</f>
        <v/>
      </c>
      <c r="R281" s="137" t="str" cm="1">
        <f t="array" ref="R281">IF(COUNTIF($B$27:$E$27, R$2)&gt;0, _xlfn.IFS(COUNTIF($B$27:$C$27, R$2)&gt;0, VLOOKUP($J281,'Gear Values'!$A$2:$E$13, IF(COUNTBLANK('Attributes &amp; Prefixes'!$B$27:$C$27)&gt;0, "2", "3"), 0), COUNTIF($D$27:$E$27, R$2)&gt;0, VLOOKUP($J281,'Gear Values'!$A$2:$E$13, IF(COUNTBLANK('Attributes &amp; Prefixes'!$B$27:$C$27)&gt;0, "4", "5"), 0)), "")</f>
        <v/>
      </c>
      <c r="S281" s="138" t="str" cm="1">
        <f t="array" ref="S281">IF(COUNTIF($B$27:$E$27, S$2)&gt;0, _xlfn.IFS(COUNTIF($B$27:$C$27, S$2)&gt;0, VLOOKUP($J281,'Gear Values'!$A$2:$E$13, IF(COUNTBLANK('Attributes &amp; Prefixes'!$B$27:$C$27)&gt;0, "2", "3"), 0), COUNTIF($D$27:$E$27, S$2)&gt;0, VLOOKUP($J281,'Gear Values'!$A$2:$E$13, IF(COUNTBLANK('Attributes &amp; Prefixes'!$B$27:$C$27)&gt;0, "4", "5"), 0)), "")</f>
        <v/>
      </c>
      <c r="V281" s="112"/>
      <c r="W281" s="112"/>
    </row>
    <row r="282" spans="6:23">
      <c r="H282" s="130" t="str">
        <f>_xlfn.CONCAT(I$279,J282)</f>
        <v>KnightShoulders</v>
      </c>
      <c r="I282" s="520"/>
      <c r="J282" s="144" t="s">
        <v>42</v>
      </c>
      <c r="K282" s="136" cm="1">
        <f t="array" ref="K282">IF(COUNTIF($B$27:$E$27, K$2)&gt;0, _xlfn.IFS(COUNTIF($B$27:$C$27, K$2)&gt;0, VLOOKUP($J282,'Gear Values'!$A$2:$E$13, IF(COUNTBLANK('Attributes &amp; Prefixes'!$B$27:$C$27)&gt;0, "2", "3"), 0), COUNTIF($D$27:$E$27, K$2)&gt;0, VLOOKUP($J282,'Gear Values'!$A$2:$E$13, IF(COUNTBLANK('Attributes &amp; Prefixes'!$B$27:$C$27)&gt;0, "4", "5"), 0)), "")</f>
        <v>32</v>
      </c>
      <c r="L282" s="137" cm="1">
        <f t="array" ref="L282">IF(COUNTIF($B$27:$E$27, L$2)&gt;0, _xlfn.IFS(COUNTIF($B$27:$C$27, L$2)&gt;0, VLOOKUP($J282,'Gear Values'!$A$2:$E$13, IF(COUNTBLANK('Attributes &amp; Prefixes'!$B$27:$C$27)&gt;0, "2", "3"), 0), COUNTIF($D$27:$E$27, L$2)&gt;0, VLOOKUP($J282,'Gear Values'!$A$2:$E$13, IF(COUNTBLANK('Attributes &amp; Prefixes'!$B$27:$C$27)&gt;0, "4", "5"), 0)), "")</f>
        <v>32</v>
      </c>
      <c r="M282" s="137" cm="1">
        <f t="array" ref="M282">IF(COUNTIF($B$27:$E$27, M$2)&gt;0, _xlfn.IFS(COUNTIF($B$27:$C$27, M$2)&gt;0, VLOOKUP($J282,'Gear Values'!$A$2:$E$13, IF(COUNTBLANK('Attributes &amp; Prefixes'!$B$27:$C$27)&gt;0, "2", "3"), 0), COUNTIF($D$27:$E$27, M$2)&gt;0, VLOOKUP($J282,'Gear Values'!$A$2:$E$13, IF(COUNTBLANK('Attributes &amp; Prefixes'!$B$27:$C$27)&gt;0, "4", "5"), 0)), "")</f>
        <v>45</v>
      </c>
      <c r="N282" s="137" t="str" cm="1">
        <f t="array" ref="N282">IF(COUNTIF($B$27:$E$27, N$2)&gt;0, _xlfn.IFS(COUNTIF($B$27:$C$27, N$2)&gt;0, VLOOKUP($J282,'Gear Values'!$A$2:$E$13, IF(COUNTBLANK('Attributes &amp; Prefixes'!$B$27:$C$27)&gt;0, "2", "3"), 0), COUNTIF($D$27:$E$27, N$2)&gt;0, VLOOKUP($J282,'Gear Values'!$A$2:$E$13, IF(COUNTBLANK('Attributes &amp; Prefixes'!$B$27:$C$27)&gt;0, "4", "5"), 0)), "")</f>
        <v/>
      </c>
      <c r="O282" s="137" t="str" cm="1">
        <f t="array" ref="O282">IF(COUNTIF($B$27:$E$27, O$2)&gt;0, _xlfn.IFS(COUNTIF($B$27:$C$27, O$2)&gt;0, VLOOKUP($J282,'Gear Values'!$A$2:$E$13, IF(COUNTBLANK('Attributes &amp; Prefixes'!$B$27:$C$27)&gt;0, "2", "3"), 0), COUNTIF($D$27:$E$27, O$2)&gt;0, VLOOKUP($J282,'Gear Values'!$A$2:$E$13, IF(COUNTBLANK('Attributes &amp; Prefixes'!$B$27:$C$27)&gt;0, "4", "5"), 0)), "")</f>
        <v/>
      </c>
      <c r="P282" s="137" t="str" cm="1">
        <f t="array" ref="P282">IF(COUNTIF($B$27:$E$27, P$2)&gt;0, _xlfn.IFS(COUNTIF($B$27:$C$27, P$2)&gt;0, VLOOKUP($J282,'Gear Values'!$A$2:$E$13, IF(COUNTBLANK('Attributes &amp; Prefixes'!$B$27:$C$27)&gt;0, "2", "3"), 0), COUNTIF($D$27:$E$27, P$2)&gt;0, VLOOKUP($J282,'Gear Values'!$A$2:$E$13, IF(COUNTBLANK('Attributes &amp; Prefixes'!$B$27:$C$27)&gt;0, "4", "5"), 0)), "")</f>
        <v/>
      </c>
      <c r="Q282" s="137" t="str" cm="1">
        <f t="array" ref="Q282">IF(COUNTIF($B$27:$E$27, Q$2)&gt;0, _xlfn.IFS(COUNTIF($B$27:$C$27, Q$2)&gt;0, VLOOKUP($J282,'Gear Values'!$A$2:$E$13, IF(COUNTBLANK('Attributes &amp; Prefixes'!$B$27:$C$27)&gt;0, "2", "3"), 0), COUNTIF($D$27:$E$27, Q$2)&gt;0, VLOOKUP($J282,'Gear Values'!$A$2:$E$13, IF(COUNTBLANK('Attributes &amp; Prefixes'!$B$27:$C$27)&gt;0, "4", "5"), 0)), "")</f>
        <v/>
      </c>
      <c r="R282" s="137" t="str" cm="1">
        <f t="array" ref="R282">IF(COUNTIF($B$27:$E$27, R$2)&gt;0, _xlfn.IFS(COUNTIF($B$27:$C$27, R$2)&gt;0, VLOOKUP($J282,'Gear Values'!$A$2:$E$13, IF(COUNTBLANK('Attributes &amp; Prefixes'!$B$27:$C$27)&gt;0, "2", "3"), 0), COUNTIF($D$27:$E$27, R$2)&gt;0, VLOOKUP($J282,'Gear Values'!$A$2:$E$13, IF(COUNTBLANK('Attributes &amp; Prefixes'!$B$27:$C$27)&gt;0, "4", "5"), 0)), "")</f>
        <v/>
      </c>
      <c r="S282" s="138" t="str" cm="1">
        <f t="array" ref="S282">IF(COUNTIF($B$27:$E$27, S$2)&gt;0, _xlfn.IFS(COUNTIF($B$27:$C$27, S$2)&gt;0, VLOOKUP($J282,'Gear Values'!$A$2:$E$13, IF(COUNTBLANK('Attributes &amp; Prefixes'!$B$27:$C$27)&gt;0, "2", "3"), 0), COUNTIF($D$27:$E$27, S$2)&gt;0, VLOOKUP($J282,'Gear Values'!$A$2:$E$13, IF(COUNTBLANK('Attributes &amp; Prefixes'!$B$27:$C$27)&gt;0, "4", "5"), 0)), "")</f>
        <v/>
      </c>
      <c r="V282" s="112"/>
      <c r="W282" s="112"/>
    </row>
    <row r="283" spans="6:23">
      <c r="H283" s="130" t="str">
        <f>_xlfn.CONCAT(I$279,J283)</f>
        <v>KnightChest</v>
      </c>
      <c r="I283" s="520"/>
      <c r="J283" s="144" t="s">
        <v>44</v>
      </c>
      <c r="K283" s="136" cm="1">
        <f t="array" ref="K283">IF(COUNTIF($B$27:$E$27, K$2)&gt;0, _xlfn.IFS(COUNTIF($B$27:$C$27, K$2)&gt;0, VLOOKUP($J283,'Gear Values'!$A$2:$E$13, IF(COUNTBLANK('Attributes &amp; Prefixes'!$B$27:$C$27)&gt;0, "2", "3"), 0), COUNTIF($D$27:$E$27, K$2)&gt;0, VLOOKUP($J283,'Gear Values'!$A$2:$E$13, IF(COUNTBLANK('Attributes &amp; Prefixes'!$B$27:$C$27)&gt;0, "4", "5"), 0)), "")</f>
        <v>96</v>
      </c>
      <c r="L283" s="137" cm="1">
        <f t="array" ref="L283">IF(COUNTIF($B$27:$E$27, L$2)&gt;0, _xlfn.IFS(COUNTIF($B$27:$C$27, L$2)&gt;0, VLOOKUP($J283,'Gear Values'!$A$2:$E$13, IF(COUNTBLANK('Attributes &amp; Prefixes'!$B$27:$C$27)&gt;0, "2", "3"), 0), COUNTIF($D$27:$E$27, L$2)&gt;0, VLOOKUP($J283,'Gear Values'!$A$2:$E$13, IF(COUNTBLANK('Attributes &amp; Prefixes'!$B$27:$C$27)&gt;0, "4", "5"), 0)), "")</f>
        <v>96</v>
      </c>
      <c r="M283" s="137" cm="1">
        <f t="array" ref="M283">IF(COUNTIF($B$27:$E$27, M$2)&gt;0, _xlfn.IFS(COUNTIF($B$27:$C$27, M$2)&gt;0, VLOOKUP($J283,'Gear Values'!$A$2:$E$13, IF(COUNTBLANK('Attributes &amp; Prefixes'!$B$27:$C$27)&gt;0, "2", "3"), 0), COUNTIF($D$27:$E$27, M$2)&gt;0, VLOOKUP($J283,'Gear Values'!$A$2:$E$13, IF(COUNTBLANK('Attributes &amp; Prefixes'!$B$27:$C$27)&gt;0, "4", "5"), 0)), "")</f>
        <v>134</v>
      </c>
      <c r="N283" s="137" t="str" cm="1">
        <f t="array" ref="N283">IF(COUNTIF($B$27:$E$27, N$2)&gt;0, _xlfn.IFS(COUNTIF($B$27:$C$27, N$2)&gt;0, VLOOKUP($J283,'Gear Values'!$A$2:$E$13, IF(COUNTBLANK('Attributes &amp; Prefixes'!$B$27:$C$27)&gt;0, "2", "3"), 0), COUNTIF($D$27:$E$27, N$2)&gt;0, VLOOKUP($J283,'Gear Values'!$A$2:$E$13, IF(COUNTBLANK('Attributes &amp; Prefixes'!$B$27:$C$27)&gt;0, "4", "5"), 0)), "")</f>
        <v/>
      </c>
      <c r="O283" s="137" t="str" cm="1">
        <f t="array" ref="O283">IF(COUNTIF($B$27:$E$27, O$2)&gt;0, _xlfn.IFS(COUNTIF($B$27:$C$27, O$2)&gt;0, VLOOKUP($J283,'Gear Values'!$A$2:$E$13, IF(COUNTBLANK('Attributes &amp; Prefixes'!$B$27:$C$27)&gt;0, "2", "3"), 0), COUNTIF($D$27:$E$27, O$2)&gt;0, VLOOKUP($J283,'Gear Values'!$A$2:$E$13, IF(COUNTBLANK('Attributes &amp; Prefixes'!$B$27:$C$27)&gt;0, "4", "5"), 0)), "")</f>
        <v/>
      </c>
      <c r="P283" s="137" t="str" cm="1">
        <f t="array" ref="P283">IF(COUNTIF($B$27:$E$27, P$2)&gt;0, _xlfn.IFS(COUNTIF($B$27:$C$27, P$2)&gt;0, VLOOKUP($J283,'Gear Values'!$A$2:$E$13, IF(COUNTBLANK('Attributes &amp; Prefixes'!$B$27:$C$27)&gt;0, "2", "3"), 0), COUNTIF($D$27:$E$27, P$2)&gt;0, VLOOKUP($J283,'Gear Values'!$A$2:$E$13, IF(COUNTBLANK('Attributes &amp; Prefixes'!$B$27:$C$27)&gt;0, "4", "5"), 0)), "")</f>
        <v/>
      </c>
      <c r="Q283" s="137" t="str" cm="1">
        <f t="array" ref="Q283">IF(COUNTIF($B$27:$E$27, Q$2)&gt;0, _xlfn.IFS(COUNTIF($B$27:$C$27, Q$2)&gt;0, VLOOKUP($J283,'Gear Values'!$A$2:$E$13, IF(COUNTBLANK('Attributes &amp; Prefixes'!$B$27:$C$27)&gt;0, "2", "3"), 0), COUNTIF($D$27:$E$27, Q$2)&gt;0, VLOOKUP($J283,'Gear Values'!$A$2:$E$13, IF(COUNTBLANK('Attributes &amp; Prefixes'!$B$27:$C$27)&gt;0, "4", "5"), 0)), "")</f>
        <v/>
      </c>
      <c r="R283" s="137" t="str" cm="1">
        <f t="array" ref="R283">IF(COUNTIF($B$27:$E$27, R$2)&gt;0, _xlfn.IFS(COUNTIF($B$27:$C$27, R$2)&gt;0, VLOOKUP($J283,'Gear Values'!$A$2:$E$13, IF(COUNTBLANK('Attributes &amp; Prefixes'!$B$27:$C$27)&gt;0, "2", "3"), 0), COUNTIF($D$27:$E$27, R$2)&gt;0, VLOOKUP($J283,'Gear Values'!$A$2:$E$13, IF(COUNTBLANK('Attributes &amp; Prefixes'!$B$27:$C$27)&gt;0, "4", "5"), 0)), "")</f>
        <v/>
      </c>
      <c r="S283" s="138" t="str" cm="1">
        <f t="array" ref="S283">IF(COUNTIF($B$27:$E$27, S$2)&gt;0, _xlfn.IFS(COUNTIF($B$27:$C$27, S$2)&gt;0, VLOOKUP($J283,'Gear Values'!$A$2:$E$13, IF(COUNTBLANK('Attributes &amp; Prefixes'!$B$27:$C$27)&gt;0, "2", "3"), 0), COUNTIF($D$27:$E$27, S$2)&gt;0, VLOOKUP($J283,'Gear Values'!$A$2:$E$13, IF(COUNTBLANK('Attributes &amp; Prefixes'!$B$27:$C$27)&gt;0, "4", "5"), 0)), "")</f>
        <v/>
      </c>
      <c r="V283" s="112"/>
      <c r="W283" s="112"/>
    </row>
    <row r="284" spans="6:23">
      <c r="H284" s="130" t="str">
        <f>_xlfn.CONCAT(I$279,J284)</f>
        <v>KnightHands</v>
      </c>
      <c r="I284" s="520"/>
      <c r="J284" s="144" t="s">
        <v>45</v>
      </c>
      <c r="K284" s="136" cm="1">
        <f t="array" ref="K284">IF(COUNTIF($B$27:$E$27, K$2)&gt;0, _xlfn.IFS(COUNTIF($B$27:$C$27, K$2)&gt;0, VLOOKUP($J284,'Gear Values'!$A$2:$E$13, IF(COUNTBLANK('Attributes &amp; Prefixes'!$B$27:$C$27)&gt;0, "2", "3"), 0), COUNTIF($D$27:$E$27, K$2)&gt;0, VLOOKUP($J284,'Gear Values'!$A$2:$E$13, IF(COUNTBLANK('Attributes &amp; Prefixes'!$B$27:$C$27)&gt;0, "4", "5"), 0)), "")</f>
        <v>32</v>
      </c>
      <c r="L284" s="137" cm="1">
        <f t="array" ref="L284">IF(COUNTIF($B$27:$E$27, L$2)&gt;0, _xlfn.IFS(COUNTIF($B$27:$C$27, L$2)&gt;0, VLOOKUP($J284,'Gear Values'!$A$2:$E$13, IF(COUNTBLANK('Attributes &amp; Prefixes'!$B$27:$C$27)&gt;0, "2", "3"), 0), COUNTIF($D$27:$E$27, L$2)&gt;0, VLOOKUP($J284,'Gear Values'!$A$2:$E$13, IF(COUNTBLANK('Attributes &amp; Prefixes'!$B$27:$C$27)&gt;0, "4", "5"), 0)), "")</f>
        <v>32</v>
      </c>
      <c r="M284" s="137" cm="1">
        <f t="array" ref="M284">IF(COUNTIF($B$27:$E$27, M$2)&gt;0, _xlfn.IFS(COUNTIF($B$27:$C$27, M$2)&gt;0, VLOOKUP($J284,'Gear Values'!$A$2:$E$13, IF(COUNTBLANK('Attributes &amp; Prefixes'!$B$27:$C$27)&gt;0, "2", "3"), 0), COUNTIF($D$27:$E$27, M$2)&gt;0, VLOOKUP($J284,'Gear Values'!$A$2:$E$13, IF(COUNTBLANK('Attributes &amp; Prefixes'!$B$27:$C$27)&gt;0, "4", "5"), 0)), "")</f>
        <v>45</v>
      </c>
      <c r="N284" s="137" t="str" cm="1">
        <f t="array" ref="N284">IF(COUNTIF($B$27:$E$27, N$2)&gt;0, _xlfn.IFS(COUNTIF($B$27:$C$27, N$2)&gt;0, VLOOKUP($J284,'Gear Values'!$A$2:$E$13, IF(COUNTBLANK('Attributes &amp; Prefixes'!$B$27:$C$27)&gt;0, "2", "3"), 0), COUNTIF($D$27:$E$27, N$2)&gt;0, VLOOKUP($J284,'Gear Values'!$A$2:$E$13, IF(COUNTBLANK('Attributes &amp; Prefixes'!$B$27:$C$27)&gt;0, "4", "5"), 0)), "")</f>
        <v/>
      </c>
      <c r="O284" s="137" t="str" cm="1">
        <f t="array" ref="O284">IF(COUNTIF($B$27:$E$27, O$2)&gt;0, _xlfn.IFS(COUNTIF($B$27:$C$27, O$2)&gt;0, VLOOKUP($J284,'Gear Values'!$A$2:$E$13, IF(COUNTBLANK('Attributes &amp; Prefixes'!$B$27:$C$27)&gt;0, "2", "3"), 0), COUNTIF($D$27:$E$27, O$2)&gt;0, VLOOKUP($J284,'Gear Values'!$A$2:$E$13, IF(COUNTBLANK('Attributes &amp; Prefixes'!$B$27:$C$27)&gt;0, "4", "5"), 0)), "")</f>
        <v/>
      </c>
      <c r="P284" s="137" t="str" cm="1">
        <f t="array" ref="P284">IF(COUNTIF($B$27:$E$27, P$2)&gt;0, _xlfn.IFS(COUNTIF($B$27:$C$27, P$2)&gt;0, VLOOKUP($J284,'Gear Values'!$A$2:$E$13, IF(COUNTBLANK('Attributes &amp; Prefixes'!$B$27:$C$27)&gt;0, "2", "3"), 0), COUNTIF($D$27:$E$27, P$2)&gt;0, VLOOKUP($J284,'Gear Values'!$A$2:$E$13, IF(COUNTBLANK('Attributes &amp; Prefixes'!$B$27:$C$27)&gt;0, "4", "5"), 0)), "")</f>
        <v/>
      </c>
      <c r="Q284" s="137" t="str" cm="1">
        <f t="array" ref="Q284">IF(COUNTIF($B$27:$E$27, Q$2)&gt;0, _xlfn.IFS(COUNTIF($B$27:$C$27, Q$2)&gt;0, VLOOKUP($J284,'Gear Values'!$A$2:$E$13, IF(COUNTBLANK('Attributes &amp; Prefixes'!$B$27:$C$27)&gt;0, "2", "3"), 0), COUNTIF($D$27:$E$27, Q$2)&gt;0, VLOOKUP($J284,'Gear Values'!$A$2:$E$13, IF(COUNTBLANK('Attributes &amp; Prefixes'!$B$27:$C$27)&gt;0, "4", "5"), 0)), "")</f>
        <v/>
      </c>
      <c r="R284" s="137" t="str" cm="1">
        <f t="array" ref="R284">IF(COUNTIF($B$27:$E$27, R$2)&gt;0, _xlfn.IFS(COUNTIF($B$27:$C$27, R$2)&gt;0, VLOOKUP($J284,'Gear Values'!$A$2:$E$13, IF(COUNTBLANK('Attributes &amp; Prefixes'!$B$27:$C$27)&gt;0, "2", "3"), 0), COUNTIF($D$27:$E$27, R$2)&gt;0, VLOOKUP($J284,'Gear Values'!$A$2:$E$13, IF(COUNTBLANK('Attributes &amp; Prefixes'!$B$27:$C$27)&gt;0, "4", "5"), 0)), "")</f>
        <v/>
      </c>
      <c r="S284" s="138" t="str" cm="1">
        <f t="array" ref="S284">IF(COUNTIF($B$27:$E$27, S$2)&gt;0, _xlfn.IFS(COUNTIF($B$27:$C$27, S$2)&gt;0, VLOOKUP($J284,'Gear Values'!$A$2:$E$13, IF(COUNTBLANK('Attributes &amp; Prefixes'!$B$27:$C$27)&gt;0, "2", "3"), 0), COUNTIF($D$27:$E$27, S$2)&gt;0, VLOOKUP($J284,'Gear Values'!$A$2:$E$13, IF(COUNTBLANK('Attributes &amp; Prefixes'!$B$27:$C$27)&gt;0, "4", "5"), 0)), "")</f>
        <v/>
      </c>
      <c r="V284" s="112"/>
      <c r="W284" s="113"/>
    </row>
    <row r="285" spans="6:23">
      <c r="H285" s="130" t="str">
        <f>_xlfn.CONCAT(I$279,J285)</f>
        <v>KnightLegs</v>
      </c>
      <c r="I285" s="520"/>
      <c r="J285" s="144" t="s">
        <v>47</v>
      </c>
      <c r="K285" s="136" cm="1">
        <f t="array" ref="K285">IF(COUNTIF($B$27:$E$27, K$2)&gt;0, _xlfn.IFS(COUNTIF($B$27:$C$27, K$2)&gt;0, VLOOKUP($J285,'Gear Values'!$A$2:$E$13, IF(COUNTBLANK('Attributes &amp; Prefixes'!$B$27:$C$27)&gt;0, "2", "3"), 0), COUNTIF($D$27:$E$27, K$2)&gt;0, VLOOKUP($J285,'Gear Values'!$A$2:$E$13, IF(COUNTBLANK('Attributes &amp; Prefixes'!$B$27:$C$27)&gt;0, "4", "5"), 0)), "")</f>
        <v>64</v>
      </c>
      <c r="L285" s="137" cm="1">
        <f t="array" ref="L285">IF(COUNTIF($B$27:$E$27, L$2)&gt;0, _xlfn.IFS(COUNTIF($B$27:$C$27, L$2)&gt;0, VLOOKUP($J285,'Gear Values'!$A$2:$E$13, IF(COUNTBLANK('Attributes &amp; Prefixes'!$B$27:$C$27)&gt;0, "2", "3"), 0), COUNTIF($D$27:$E$27, L$2)&gt;0, VLOOKUP($J285,'Gear Values'!$A$2:$E$13, IF(COUNTBLANK('Attributes &amp; Prefixes'!$B$27:$C$27)&gt;0, "4", "5"), 0)), "")</f>
        <v>64</v>
      </c>
      <c r="M285" s="137" cm="1">
        <f t="array" ref="M285">IF(COUNTIF($B$27:$E$27, M$2)&gt;0, _xlfn.IFS(COUNTIF($B$27:$C$27, M$2)&gt;0, VLOOKUP($J285,'Gear Values'!$A$2:$E$13, IF(COUNTBLANK('Attributes &amp; Prefixes'!$B$27:$C$27)&gt;0, "2", "3"), 0), COUNTIF($D$27:$E$27, M$2)&gt;0, VLOOKUP($J285,'Gear Values'!$A$2:$E$13, IF(COUNTBLANK('Attributes &amp; Prefixes'!$B$27:$C$27)&gt;0, "4", "5"), 0)), "")</f>
        <v>90</v>
      </c>
      <c r="N285" s="137" t="str" cm="1">
        <f t="array" ref="N285">IF(COUNTIF($B$27:$E$27, N$2)&gt;0, _xlfn.IFS(COUNTIF($B$27:$C$27, N$2)&gt;0, VLOOKUP($J285,'Gear Values'!$A$2:$E$13, IF(COUNTBLANK('Attributes &amp; Prefixes'!$B$27:$C$27)&gt;0, "2", "3"), 0), COUNTIF($D$27:$E$27, N$2)&gt;0, VLOOKUP($J285,'Gear Values'!$A$2:$E$13, IF(COUNTBLANK('Attributes &amp; Prefixes'!$B$27:$C$27)&gt;0, "4", "5"), 0)), "")</f>
        <v/>
      </c>
      <c r="O285" s="137" t="str" cm="1">
        <f t="array" ref="O285">IF(COUNTIF($B$27:$E$27, O$2)&gt;0, _xlfn.IFS(COUNTIF($B$27:$C$27, O$2)&gt;0, VLOOKUP($J285,'Gear Values'!$A$2:$E$13, IF(COUNTBLANK('Attributes &amp; Prefixes'!$B$27:$C$27)&gt;0, "2", "3"), 0), COUNTIF($D$27:$E$27, O$2)&gt;0, VLOOKUP($J285,'Gear Values'!$A$2:$E$13, IF(COUNTBLANK('Attributes &amp; Prefixes'!$B$27:$C$27)&gt;0, "4", "5"), 0)), "")</f>
        <v/>
      </c>
      <c r="P285" s="137" t="str" cm="1">
        <f t="array" ref="P285">IF(COUNTIF($B$27:$E$27, P$2)&gt;0, _xlfn.IFS(COUNTIF($B$27:$C$27, P$2)&gt;0, VLOOKUP($J285,'Gear Values'!$A$2:$E$13, IF(COUNTBLANK('Attributes &amp; Prefixes'!$B$27:$C$27)&gt;0, "2", "3"), 0), COUNTIF($D$27:$E$27, P$2)&gt;0, VLOOKUP($J285,'Gear Values'!$A$2:$E$13, IF(COUNTBLANK('Attributes &amp; Prefixes'!$B$27:$C$27)&gt;0, "4", "5"), 0)), "")</f>
        <v/>
      </c>
      <c r="Q285" s="137" t="str" cm="1">
        <f t="array" ref="Q285">IF(COUNTIF($B$27:$E$27, Q$2)&gt;0, _xlfn.IFS(COUNTIF($B$27:$C$27, Q$2)&gt;0, VLOOKUP($J285,'Gear Values'!$A$2:$E$13, IF(COUNTBLANK('Attributes &amp; Prefixes'!$B$27:$C$27)&gt;0, "2", "3"), 0), COUNTIF($D$27:$E$27, Q$2)&gt;0, VLOOKUP($J285,'Gear Values'!$A$2:$E$13, IF(COUNTBLANK('Attributes &amp; Prefixes'!$B$27:$C$27)&gt;0, "4", "5"), 0)), "")</f>
        <v/>
      </c>
      <c r="R285" s="137" t="str" cm="1">
        <f t="array" ref="R285">IF(COUNTIF($B$27:$E$27, R$2)&gt;0, _xlfn.IFS(COUNTIF($B$27:$C$27, R$2)&gt;0, VLOOKUP($J285,'Gear Values'!$A$2:$E$13, IF(COUNTBLANK('Attributes &amp; Prefixes'!$B$27:$C$27)&gt;0, "2", "3"), 0), COUNTIF($D$27:$E$27, R$2)&gt;0, VLOOKUP($J285,'Gear Values'!$A$2:$E$13, IF(COUNTBLANK('Attributes &amp; Prefixes'!$B$27:$C$27)&gt;0, "4", "5"), 0)), "")</f>
        <v/>
      </c>
      <c r="S285" s="138" t="str" cm="1">
        <f t="array" ref="S285">IF(COUNTIF($B$27:$E$27, S$2)&gt;0, _xlfn.IFS(COUNTIF($B$27:$C$27, S$2)&gt;0, VLOOKUP($J285,'Gear Values'!$A$2:$E$13, IF(COUNTBLANK('Attributes &amp; Prefixes'!$B$27:$C$27)&gt;0, "2", "3"), 0), COUNTIF($D$27:$E$27, S$2)&gt;0, VLOOKUP($J285,'Gear Values'!$A$2:$E$13, IF(COUNTBLANK('Attributes &amp; Prefixes'!$B$27:$C$27)&gt;0, "4", "5"), 0)), "")</f>
        <v/>
      </c>
      <c r="V285" s="112"/>
      <c r="W285" s="112"/>
    </row>
    <row r="286" spans="6:23">
      <c r="H286" s="130" t="str">
        <f>_xlfn.CONCAT(I$279,J286)</f>
        <v>KnightFeet</v>
      </c>
      <c r="I286" s="520"/>
      <c r="J286" s="144" t="s">
        <v>48</v>
      </c>
      <c r="K286" s="136" cm="1">
        <f t="array" ref="K286">IF(COUNTIF($B$27:$E$27, K$2)&gt;0, _xlfn.IFS(COUNTIF($B$27:$C$27, K$2)&gt;0, VLOOKUP($J286,'Gear Values'!$A$2:$E$13, IF(COUNTBLANK('Attributes &amp; Prefixes'!$B$27:$C$27)&gt;0, "2", "3"), 0), COUNTIF($D$27:$E$27, K$2)&gt;0, VLOOKUP($J286,'Gear Values'!$A$2:$E$13, IF(COUNTBLANK('Attributes &amp; Prefixes'!$B$27:$C$27)&gt;0, "4", "5"), 0)), "")</f>
        <v>32</v>
      </c>
      <c r="L286" s="137" cm="1">
        <f t="array" ref="L286">IF(COUNTIF($B$27:$E$27, L$2)&gt;0, _xlfn.IFS(COUNTIF($B$27:$C$27, L$2)&gt;0, VLOOKUP($J286,'Gear Values'!$A$2:$E$13, IF(COUNTBLANK('Attributes &amp; Prefixes'!$B$27:$C$27)&gt;0, "2", "3"), 0), COUNTIF($D$27:$E$27, L$2)&gt;0, VLOOKUP($J286,'Gear Values'!$A$2:$E$13, IF(COUNTBLANK('Attributes &amp; Prefixes'!$B$27:$C$27)&gt;0, "4", "5"), 0)), "")</f>
        <v>32</v>
      </c>
      <c r="M286" s="137" cm="1">
        <f t="array" ref="M286">IF(COUNTIF($B$27:$E$27, M$2)&gt;0, _xlfn.IFS(COUNTIF($B$27:$C$27, M$2)&gt;0, VLOOKUP($J286,'Gear Values'!$A$2:$E$13, IF(COUNTBLANK('Attributes &amp; Prefixes'!$B$27:$C$27)&gt;0, "2", "3"), 0), COUNTIF($D$27:$E$27, M$2)&gt;0, VLOOKUP($J286,'Gear Values'!$A$2:$E$13, IF(COUNTBLANK('Attributes &amp; Prefixes'!$B$27:$C$27)&gt;0, "4", "5"), 0)), "")</f>
        <v>45</v>
      </c>
      <c r="N286" s="137" t="str" cm="1">
        <f t="array" ref="N286">IF(COUNTIF($B$27:$E$27, N$2)&gt;0, _xlfn.IFS(COUNTIF($B$27:$C$27, N$2)&gt;0, VLOOKUP($J286,'Gear Values'!$A$2:$E$13, IF(COUNTBLANK('Attributes &amp; Prefixes'!$B$27:$C$27)&gt;0, "2", "3"), 0), COUNTIF($D$27:$E$27, N$2)&gt;0, VLOOKUP($J286,'Gear Values'!$A$2:$E$13, IF(COUNTBLANK('Attributes &amp; Prefixes'!$B$27:$C$27)&gt;0, "4", "5"), 0)), "")</f>
        <v/>
      </c>
      <c r="O286" s="137" t="str" cm="1">
        <f t="array" ref="O286">IF(COUNTIF($B$27:$E$27, O$2)&gt;0, _xlfn.IFS(COUNTIF($B$27:$C$27, O$2)&gt;0, VLOOKUP($J286,'Gear Values'!$A$2:$E$13, IF(COUNTBLANK('Attributes &amp; Prefixes'!$B$27:$C$27)&gt;0, "2", "3"), 0), COUNTIF($D$27:$E$27, O$2)&gt;0, VLOOKUP($J286,'Gear Values'!$A$2:$E$13, IF(COUNTBLANK('Attributes &amp; Prefixes'!$B$27:$C$27)&gt;0, "4", "5"), 0)), "")</f>
        <v/>
      </c>
      <c r="P286" s="137" t="str" cm="1">
        <f t="array" ref="P286">IF(COUNTIF($B$27:$E$27, P$2)&gt;0, _xlfn.IFS(COUNTIF($B$27:$C$27, P$2)&gt;0, VLOOKUP($J286,'Gear Values'!$A$2:$E$13, IF(COUNTBLANK('Attributes &amp; Prefixes'!$B$27:$C$27)&gt;0, "2", "3"), 0), COUNTIF($D$27:$E$27, P$2)&gt;0, VLOOKUP($J286,'Gear Values'!$A$2:$E$13, IF(COUNTBLANK('Attributes &amp; Prefixes'!$B$27:$C$27)&gt;0, "4", "5"), 0)), "")</f>
        <v/>
      </c>
      <c r="Q286" s="137" t="str" cm="1">
        <f t="array" ref="Q286">IF(COUNTIF($B$27:$E$27, Q$2)&gt;0, _xlfn.IFS(COUNTIF($B$27:$C$27, Q$2)&gt;0, VLOOKUP($J286,'Gear Values'!$A$2:$E$13, IF(COUNTBLANK('Attributes &amp; Prefixes'!$B$27:$C$27)&gt;0, "2", "3"), 0), COUNTIF($D$27:$E$27, Q$2)&gt;0, VLOOKUP($J286,'Gear Values'!$A$2:$E$13, IF(COUNTBLANK('Attributes &amp; Prefixes'!$B$27:$C$27)&gt;0, "4", "5"), 0)), "")</f>
        <v/>
      </c>
      <c r="R286" s="137" t="str" cm="1">
        <f t="array" ref="R286">IF(COUNTIF($B$27:$E$27, R$2)&gt;0, _xlfn.IFS(COUNTIF($B$27:$C$27, R$2)&gt;0, VLOOKUP($J286,'Gear Values'!$A$2:$E$13, IF(COUNTBLANK('Attributes &amp; Prefixes'!$B$27:$C$27)&gt;0, "2", "3"), 0), COUNTIF($D$27:$E$27, R$2)&gt;0, VLOOKUP($J286,'Gear Values'!$A$2:$E$13, IF(COUNTBLANK('Attributes &amp; Prefixes'!$B$27:$C$27)&gt;0, "4", "5"), 0)), "")</f>
        <v/>
      </c>
      <c r="S286" s="138" t="str" cm="1">
        <f t="array" ref="S286">IF(COUNTIF($B$27:$E$27, S$2)&gt;0, _xlfn.IFS(COUNTIF($B$27:$C$27, S$2)&gt;0, VLOOKUP($J286,'Gear Values'!$A$2:$E$13, IF(COUNTBLANK('Attributes &amp; Prefixes'!$B$27:$C$27)&gt;0, "2", "3"), 0), COUNTIF($D$27:$E$27, S$2)&gt;0, VLOOKUP($J286,'Gear Values'!$A$2:$E$13, IF(COUNTBLANK('Attributes &amp; Prefixes'!$B$27:$C$27)&gt;0, "4", "5"), 0)), "")</f>
        <v/>
      </c>
      <c r="V286" s="112"/>
      <c r="W286" s="112"/>
    </row>
    <row r="287" spans="6:23">
      <c r="H287" s="130" t="str">
        <f>_xlfn.CONCAT(A$66,J287)</f>
        <v>EmeraldEar</v>
      </c>
      <c r="I287" s="520"/>
      <c r="J287" s="144" t="s">
        <v>49</v>
      </c>
      <c r="K287" s="136" cm="1">
        <f t="array" ref="K287">IF(COUNTIF($B$27:$E$27, K$2)&gt;0, _xlfn.IFS(COUNTIF($B$27:$C$27, K$2)&gt;0, VLOOKUP($J287,'Gear Values'!$A$2:$E$13, IF(COUNTBLANK('Attributes &amp; Prefixes'!$B$27:$C$27)&gt;0, "2", "3"), 0), COUNTIF($D$27:$E$27, K$2)&gt;0, VLOOKUP($J287,'Gear Values'!$A$2:$E$13, IF(COUNTBLANK('Attributes &amp; Prefixes'!$B$27:$C$27)&gt;0, "4", "5"), 0)), "")</f>
        <v>53</v>
      </c>
      <c r="L287" s="137" cm="1">
        <f t="array" ref="L287">IF(COUNTIF($B$27:$E$27, L$2)&gt;0, _xlfn.IFS(COUNTIF($B$27:$C$27, L$2)&gt;0, VLOOKUP($J287,'Gear Values'!$A$2:$E$13, IF(COUNTBLANK('Attributes &amp; Prefixes'!$B$27:$C$27)&gt;0, "2", "3"), 0), COUNTIF($D$27:$E$27, L$2)&gt;0, VLOOKUP($J287,'Gear Values'!$A$2:$E$13, IF(COUNTBLANK('Attributes &amp; Prefixes'!$B$27:$C$27)&gt;0, "4", "5"), 0)), "")</f>
        <v>53</v>
      </c>
      <c r="M287" s="137" cm="1">
        <f t="array" ref="M287">IF(COUNTIF($B$27:$E$27, M$2)&gt;0, _xlfn.IFS(COUNTIF($B$27:$C$27, M$2)&gt;0, VLOOKUP($J287,'Gear Values'!$A$2:$E$13, IF(COUNTBLANK('Attributes &amp; Prefixes'!$B$27:$C$27)&gt;0, "2", "3"), 0), COUNTIF($D$27:$E$27, M$2)&gt;0, VLOOKUP($J287,'Gear Values'!$A$2:$E$13, IF(COUNTBLANK('Attributes &amp; Prefixes'!$B$27:$C$27)&gt;0, "4", "5"), 0)), "")</f>
        <v>75</v>
      </c>
      <c r="N287" s="137" t="str" cm="1">
        <f t="array" ref="N287">IF(COUNTIF($B$27:$E$27, N$2)&gt;0, _xlfn.IFS(COUNTIF($B$27:$C$27, N$2)&gt;0, VLOOKUP($J287,'Gear Values'!$A$2:$E$13, IF(COUNTBLANK('Attributes &amp; Prefixes'!$B$27:$C$27)&gt;0, "2", "3"), 0), COUNTIF($D$27:$E$27, N$2)&gt;0, VLOOKUP($J287,'Gear Values'!$A$2:$E$13, IF(COUNTBLANK('Attributes &amp; Prefixes'!$B$27:$C$27)&gt;0, "4", "5"), 0)), "")</f>
        <v/>
      </c>
      <c r="O287" s="137" t="str" cm="1">
        <f t="array" ref="O287">IF(COUNTIF($B$27:$E$27, O$2)&gt;0, _xlfn.IFS(COUNTIF($B$27:$C$27, O$2)&gt;0, VLOOKUP($J287,'Gear Values'!$A$2:$E$13, IF(COUNTBLANK('Attributes &amp; Prefixes'!$B$27:$C$27)&gt;0, "2", "3"), 0), COUNTIF($D$27:$E$27, O$2)&gt;0, VLOOKUP($J287,'Gear Values'!$A$2:$E$13, IF(COUNTBLANK('Attributes &amp; Prefixes'!$B$27:$C$27)&gt;0, "4", "5"), 0)), "")</f>
        <v/>
      </c>
      <c r="P287" s="137" t="str" cm="1">
        <f t="array" ref="P287">IF(COUNTIF($B$27:$E$27, P$2)&gt;0, _xlfn.IFS(COUNTIF($B$27:$C$27, P$2)&gt;0, VLOOKUP($J287,'Gear Values'!$A$2:$E$13, IF(COUNTBLANK('Attributes &amp; Prefixes'!$B$27:$C$27)&gt;0, "2", "3"), 0), COUNTIF($D$27:$E$27, P$2)&gt;0, VLOOKUP($J287,'Gear Values'!$A$2:$E$13, IF(COUNTBLANK('Attributes &amp; Prefixes'!$B$27:$C$27)&gt;0, "4", "5"), 0)), "")</f>
        <v/>
      </c>
      <c r="Q287" s="137" t="str" cm="1">
        <f t="array" ref="Q287">IF(COUNTIF($B$27:$E$27, Q$2)&gt;0, _xlfn.IFS(COUNTIF($B$27:$C$27, Q$2)&gt;0, VLOOKUP($J287,'Gear Values'!$A$2:$E$13, IF(COUNTBLANK('Attributes &amp; Prefixes'!$B$27:$C$27)&gt;0, "2", "3"), 0), COUNTIF($D$27:$E$27, Q$2)&gt;0, VLOOKUP($J287,'Gear Values'!$A$2:$E$13, IF(COUNTBLANK('Attributes &amp; Prefixes'!$B$27:$C$27)&gt;0, "4", "5"), 0)), "")</f>
        <v/>
      </c>
      <c r="R287" s="137" t="str" cm="1">
        <f t="array" ref="R287">IF(COUNTIF($B$27:$E$27, R$2)&gt;0, _xlfn.IFS(COUNTIF($B$27:$C$27, R$2)&gt;0, VLOOKUP($J287,'Gear Values'!$A$2:$E$13, IF(COUNTBLANK('Attributes &amp; Prefixes'!$B$27:$C$27)&gt;0, "2", "3"), 0), COUNTIF($D$27:$E$27, R$2)&gt;0, VLOOKUP($J287,'Gear Values'!$A$2:$E$13, IF(COUNTBLANK('Attributes &amp; Prefixes'!$B$27:$C$27)&gt;0, "4", "5"), 0)), "")</f>
        <v/>
      </c>
      <c r="S287" s="138" t="str" cm="1">
        <f t="array" ref="S287">IF(COUNTIF($B$27:$E$27, S$2)&gt;0, _xlfn.IFS(COUNTIF($B$27:$C$27, S$2)&gt;0, VLOOKUP($J287,'Gear Values'!$A$2:$E$13, IF(COUNTBLANK('Attributes &amp; Prefixes'!$B$27:$C$27)&gt;0, "2", "3"), 0), COUNTIF($D$27:$E$27, S$2)&gt;0, VLOOKUP($J287,'Gear Values'!$A$2:$E$13, IF(COUNTBLANK('Attributes &amp; Prefixes'!$B$27:$C$27)&gt;0, "4", "5"), 0)), "")</f>
        <v/>
      </c>
      <c r="V287" s="112"/>
      <c r="W287" s="112"/>
    </row>
    <row r="288" spans="6:23">
      <c r="H288" s="130" t="str">
        <f>_xlfn.CONCAT(A$66,J288)</f>
        <v>EmeraldFinger</v>
      </c>
      <c r="I288" s="520"/>
      <c r="J288" s="144" t="s">
        <v>51</v>
      </c>
      <c r="K288" s="136" cm="1">
        <f t="array" ref="K288">IF(COUNTIF($B$27:$E$27, K$2)&gt;0, _xlfn.IFS(COUNTIF($B$27:$C$27, K$2)&gt;0, VLOOKUP($J288,'Gear Values'!$A$2:$E$13, IF(COUNTBLANK('Attributes &amp; Prefixes'!$B$27:$C$27)&gt;0, "2", "3"), 0), COUNTIF($D$27:$E$27, K$2)&gt;0, VLOOKUP($J288,'Gear Values'!$A$2:$E$13, IF(COUNTBLANK('Attributes &amp; Prefixes'!$B$27:$C$27)&gt;0, "4", "5"), 0)), "")</f>
        <v>64</v>
      </c>
      <c r="L288" s="137" cm="1">
        <f t="array" ref="L288">IF(COUNTIF($B$27:$E$27, L$2)&gt;0, _xlfn.IFS(COUNTIF($B$27:$C$27, L$2)&gt;0, VLOOKUP($J288,'Gear Values'!$A$2:$E$13, IF(COUNTBLANK('Attributes &amp; Prefixes'!$B$27:$C$27)&gt;0, "2", "3"), 0), COUNTIF($D$27:$E$27, L$2)&gt;0, VLOOKUP($J288,'Gear Values'!$A$2:$E$13, IF(COUNTBLANK('Attributes &amp; Prefixes'!$B$27:$C$27)&gt;0, "4", "5"), 0)), "")</f>
        <v>64</v>
      </c>
      <c r="M288" s="137" cm="1">
        <f t="array" ref="M288">IF(COUNTIF($B$27:$E$27, M$2)&gt;0, _xlfn.IFS(COUNTIF($B$27:$C$27, M$2)&gt;0, VLOOKUP($J288,'Gear Values'!$A$2:$E$13, IF(COUNTBLANK('Attributes &amp; Prefixes'!$B$27:$C$27)&gt;0, "2", "3"), 0), COUNTIF($D$27:$E$27, M$2)&gt;0, VLOOKUP($J288,'Gear Values'!$A$2:$E$13, IF(COUNTBLANK('Attributes &amp; Prefixes'!$B$27:$C$27)&gt;0, "4", "5"), 0)), "")</f>
        <v>90</v>
      </c>
      <c r="N288" s="137" t="str" cm="1">
        <f t="array" ref="N288">IF(COUNTIF($B$27:$E$27, N$2)&gt;0, _xlfn.IFS(COUNTIF($B$27:$C$27, N$2)&gt;0, VLOOKUP($J288,'Gear Values'!$A$2:$E$13, IF(COUNTBLANK('Attributes &amp; Prefixes'!$B$27:$C$27)&gt;0, "2", "3"), 0), COUNTIF($D$27:$E$27, N$2)&gt;0, VLOOKUP($J288,'Gear Values'!$A$2:$E$13, IF(COUNTBLANK('Attributes &amp; Prefixes'!$B$27:$C$27)&gt;0, "4", "5"), 0)), "")</f>
        <v/>
      </c>
      <c r="O288" s="137" t="str" cm="1">
        <f t="array" ref="O288">IF(COUNTIF($B$27:$E$27, O$2)&gt;0, _xlfn.IFS(COUNTIF($B$27:$C$27, O$2)&gt;0, VLOOKUP($J288,'Gear Values'!$A$2:$E$13, IF(COUNTBLANK('Attributes &amp; Prefixes'!$B$27:$C$27)&gt;0, "2", "3"), 0), COUNTIF($D$27:$E$27, O$2)&gt;0, VLOOKUP($J288,'Gear Values'!$A$2:$E$13, IF(COUNTBLANK('Attributes &amp; Prefixes'!$B$27:$C$27)&gt;0, "4", "5"), 0)), "")</f>
        <v/>
      </c>
      <c r="P288" s="137" t="str" cm="1">
        <f t="array" ref="P288">IF(COUNTIF($B$27:$E$27, P$2)&gt;0, _xlfn.IFS(COUNTIF($B$27:$C$27, P$2)&gt;0, VLOOKUP($J288,'Gear Values'!$A$2:$E$13, IF(COUNTBLANK('Attributes &amp; Prefixes'!$B$27:$C$27)&gt;0, "2", "3"), 0), COUNTIF($D$27:$E$27, P$2)&gt;0, VLOOKUP($J288,'Gear Values'!$A$2:$E$13, IF(COUNTBLANK('Attributes &amp; Prefixes'!$B$27:$C$27)&gt;0, "4", "5"), 0)), "")</f>
        <v/>
      </c>
      <c r="Q288" s="137" t="str" cm="1">
        <f t="array" ref="Q288">IF(COUNTIF($B$27:$E$27, Q$2)&gt;0, _xlfn.IFS(COUNTIF($B$27:$C$27, Q$2)&gt;0, VLOOKUP($J288,'Gear Values'!$A$2:$E$13, IF(COUNTBLANK('Attributes &amp; Prefixes'!$B$27:$C$27)&gt;0, "2", "3"), 0), COUNTIF($D$27:$E$27, Q$2)&gt;0, VLOOKUP($J288,'Gear Values'!$A$2:$E$13, IF(COUNTBLANK('Attributes &amp; Prefixes'!$B$27:$C$27)&gt;0, "4", "5"), 0)), "")</f>
        <v/>
      </c>
      <c r="R288" s="137" t="str" cm="1">
        <f t="array" ref="R288">IF(COUNTIF($B$27:$E$27, R$2)&gt;0, _xlfn.IFS(COUNTIF($B$27:$C$27, R$2)&gt;0, VLOOKUP($J288,'Gear Values'!$A$2:$E$13, IF(COUNTBLANK('Attributes &amp; Prefixes'!$B$27:$C$27)&gt;0, "2", "3"), 0), COUNTIF($D$27:$E$27, R$2)&gt;0, VLOOKUP($J288,'Gear Values'!$A$2:$E$13, IF(COUNTBLANK('Attributes &amp; Prefixes'!$B$27:$C$27)&gt;0, "4", "5"), 0)), "")</f>
        <v/>
      </c>
      <c r="S288" s="138" t="str" cm="1">
        <f t="array" ref="S288">IF(COUNTIF($B$27:$E$27, S$2)&gt;0, _xlfn.IFS(COUNTIF($B$27:$C$27, S$2)&gt;0, VLOOKUP($J288,'Gear Values'!$A$2:$E$13, IF(COUNTBLANK('Attributes &amp; Prefixes'!$B$27:$C$27)&gt;0, "2", "3"), 0), COUNTIF($D$27:$E$27, S$2)&gt;0, VLOOKUP($J288,'Gear Values'!$A$2:$E$13, IF(COUNTBLANK('Attributes &amp; Prefixes'!$B$27:$C$27)&gt;0, "4", "5"), 0)), "")</f>
        <v/>
      </c>
      <c r="V288" s="112"/>
      <c r="W288" s="112"/>
    </row>
    <row r="289" spans="6:23">
      <c r="H289" s="130" t="str">
        <f>_xlfn.CONCAT(A$66,J289)</f>
        <v>EmeraldNeck</v>
      </c>
      <c r="I289" s="520"/>
      <c r="J289" s="144" t="s">
        <v>52</v>
      </c>
      <c r="K289" s="136" cm="1">
        <f t="array" ref="K289">IF(COUNTIF($B$27:$E$27, K$2)&gt;0, _xlfn.IFS(COUNTIF($B$27:$C$27, K$2)&gt;0, VLOOKUP($J289,'Gear Values'!$A$2:$E$13, IF(COUNTBLANK('Attributes &amp; Prefixes'!$B$27:$C$27)&gt;0, "2", "3"), 0), COUNTIF($D$27:$E$27, K$2)&gt;0, VLOOKUP($J289,'Gear Values'!$A$2:$E$13, IF(COUNTBLANK('Attributes &amp; Prefixes'!$B$27:$C$27)&gt;0, "4", "5"), 0)), "")</f>
        <v>85</v>
      </c>
      <c r="L289" s="137" cm="1">
        <f t="array" ref="L289">IF(COUNTIF($B$27:$E$27, L$2)&gt;0, _xlfn.IFS(COUNTIF($B$27:$C$27, L$2)&gt;0, VLOOKUP($J289,'Gear Values'!$A$2:$E$13, IF(COUNTBLANK('Attributes &amp; Prefixes'!$B$27:$C$27)&gt;0, "2", "3"), 0), COUNTIF($D$27:$E$27, L$2)&gt;0, VLOOKUP($J289,'Gear Values'!$A$2:$E$13, IF(COUNTBLANK('Attributes &amp; Prefixes'!$B$27:$C$27)&gt;0, "4", "5"), 0)), "")</f>
        <v>85</v>
      </c>
      <c r="M289" s="137" cm="1">
        <f t="array" ref="M289">IF(COUNTIF($B$27:$E$27, M$2)&gt;0, _xlfn.IFS(COUNTIF($B$27:$C$27, M$2)&gt;0, VLOOKUP($J289,'Gear Values'!$A$2:$E$13, IF(COUNTBLANK('Attributes &amp; Prefixes'!$B$27:$C$27)&gt;0, "2", "3"), 0), COUNTIF($D$27:$E$27, M$2)&gt;0, VLOOKUP($J289,'Gear Values'!$A$2:$E$13, IF(COUNTBLANK('Attributes &amp; Prefixes'!$B$27:$C$27)&gt;0, "4", "5"), 0)), "")</f>
        <v>120</v>
      </c>
      <c r="N289" s="137" t="str" cm="1">
        <f t="array" ref="N289">IF(COUNTIF($B$27:$E$27, N$2)&gt;0, _xlfn.IFS(COUNTIF($B$27:$C$27, N$2)&gt;0, VLOOKUP($J289,'Gear Values'!$A$2:$E$13, IF(COUNTBLANK('Attributes &amp; Prefixes'!$B$27:$C$27)&gt;0, "2", "3"), 0), COUNTIF($D$27:$E$27, N$2)&gt;0, VLOOKUP($J289,'Gear Values'!$A$2:$E$13, IF(COUNTBLANK('Attributes &amp; Prefixes'!$B$27:$C$27)&gt;0, "4", "5"), 0)), "")</f>
        <v/>
      </c>
      <c r="O289" s="137" t="str" cm="1">
        <f t="array" ref="O289">IF(COUNTIF($B$27:$E$27, O$2)&gt;0, _xlfn.IFS(COUNTIF($B$27:$C$27, O$2)&gt;0, VLOOKUP($J289,'Gear Values'!$A$2:$E$13, IF(COUNTBLANK('Attributes &amp; Prefixes'!$B$27:$C$27)&gt;0, "2", "3"), 0), COUNTIF($D$27:$E$27, O$2)&gt;0, VLOOKUP($J289,'Gear Values'!$A$2:$E$13, IF(COUNTBLANK('Attributes &amp; Prefixes'!$B$27:$C$27)&gt;0, "4", "5"), 0)), "")</f>
        <v/>
      </c>
      <c r="P289" s="137" t="str" cm="1">
        <f t="array" ref="P289">IF(COUNTIF($B$27:$E$27, P$2)&gt;0, _xlfn.IFS(COUNTIF($B$27:$C$27, P$2)&gt;0, VLOOKUP($J289,'Gear Values'!$A$2:$E$13, IF(COUNTBLANK('Attributes &amp; Prefixes'!$B$27:$C$27)&gt;0, "2", "3"), 0), COUNTIF($D$27:$E$27, P$2)&gt;0, VLOOKUP($J289,'Gear Values'!$A$2:$E$13, IF(COUNTBLANK('Attributes &amp; Prefixes'!$B$27:$C$27)&gt;0, "4", "5"), 0)), "")</f>
        <v/>
      </c>
      <c r="Q289" s="137" t="str" cm="1">
        <f t="array" ref="Q289">IF(COUNTIF($B$27:$E$27, Q$2)&gt;0, _xlfn.IFS(COUNTIF($B$27:$C$27, Q$2)&gt;0, VLOOKUP($J289,'Gear Values'!$A$2:$E$13, IF(COUNTBLANK('Attributes &amp; Prefixes'!$B$27:$C$27)&gt;0, "2", "3"), 0), COUNTIF($D$27:$E$27, Q$2)&gt;0, VLOOKUP($J289,'Gear Values'!$A$2:$E$13, IF(COUNTBLANK('Attributes &amp; Prefixes'!$B$27:$C$27)&gt;0, "4", "5"), 0)), "")</f>
        <v/>
      </c>
      <c r="R289" s="137" t="str" cm="1">
        <f t="array" ref="R289">IF(COUNTIF($B$27:$E$27, R$2)&gt;0, _xlfn.IFS(COUNTIF($B$27:$C$27, R$2)&gt;0, VLOOKUP($J289,'Gear Values'!$A$2:$E$13, IF(COUNTBLANK('Attributes &amp; Prefixes'!$B$27:$C$27)&gt;0, "2", "3"), 0), COUNTIF($D$27:$E$27, R$2)&gt;0, VLOOKUP($J289,'Gear Values'!$A$2:$E$13, IF(COUNTBLANK('Attributes &amp; Prefixes'!$B$27:$C$27)&gt;0, "4", "5"), 0)), "")</f>
        <v/>
      </c>
      <c r="S289" s="138" t="str" cm="1">
        <f t="array" ref="S289">IF(COUNTIF($B$27:$E$27, S$2)&gt;0, _xlfn.IFS(COUNTIF($B$27:$C$27, S$2)&gt;0, VLOOKUP($J289,'Gear Values'!$A$2:$E$13, IF(COUNTBLANK('Attributes &amp; Prefixes'!$B$27:$C$27)&gt;0, "2", "3"), 0), COUNTIF($D$27:$E$27, S$2)&gt;0, VLOOKUP($J289,'Gear Values'!$A$2:$E$13, IF(COUNTBLANK('Attributes &amp; Prefixes'!$B$27:$C$27)&gt;0, "4", "5"), 0)), "")</f>
        <v/>
      </c>
      <c r="V289" s="112"/>
      <c r="W289" s="113"/>
    </row>
    <row r="290" spans="6:23">
      <c r="H290" s="130" t="str">
        <f>_xlfn.CONCAT(I$279,J290)</f>
        <v>KnightBack</v>
      </c>
      <c r="I290" s="521"/>
      <c r="J290" s="146" t="s">
        <v>53</v>
      </c>
      <c r="K290" s="147" cm="1">
        <f t="array" ref="K290">IF(COUNTIF($B$27:$E$27, K$2)&gt;0, _xlfn.IFS(COUNTIF($B$27:$C$27, K$2)&gt;0, VLOOKUP($J290,'Gear Values'!$A$2:$E$13, IF(COUNTBLANK('Attributes &amp; Prefixes'!$B$27:$C$27)&gt;0, "2", "3"), 0), COUNTIF($D$27:$E$27, K$2)&gt;0, VLOOKUP($J290,'Gear Values'!$A$2:$E$13, IF(COUNTBLANK('Attributes &amp; Prefixes'!$B$27:$C$27)&gt;0, "4", "5"), 0)), "")</f>
        <v>18</v>
      </c>
      <c r="L290" s="148" cm="1">
        <f t="array" ref="L290">IF(COUNTIF($B$27:$E$27, L$2)&gt;0, _xlfn.IFS(COUNTIF($B$27:$C$27, L$2)&gt;0, VLOOKUP($J290,'Gear Values'!$A$2:$E$13, IF(COUNTBLANK('Attributes &amp; Prefixes'!$B$27:$C$27)&gt;0, "2", "3"), 0), COUNTIF($D$27:$E$27, L$2)&gt;0, VLOOKUP($J290,'Gear Values'!$A$2:$E$13, IF(COUNTBLANK('Attributes &amp; Prefixes'!$B$27:$C$27)&gt;0, "4", "5"), 0)), "")</f>
        <v>18</v>
      </c>
      <c r="M290" s="148" cm="1">
        <f t="array" ref="M290">IF(COUNTIF($B$27:$E$27, M$2)&gt;0, _xlfn.IFS(COUNTIF($B$27:$C$27, M$2)&gt;0, VLOOKUP($J290,'Gear Values'!$A$2:$E$13, IF(COUNTBLANK('Attributes &amp; Prefixes'!$B$27:$C$27)&gt;0, "2", "3"), 0), COUNTIF($D$27:$E$27, M$2)&gt;0, VLOOKUP($J290,'Gear Values'!$A$2:$E$13, IF(COUNTBLANK('Attributes &amp; Prefixes'!$B$27:$C$27)&gt;0, "4", "5"), 0)), "")</f>
        <v>32</v>
      </c>
      <c r="N290" s="148" t="str" cm="1">
        <f t="array" ref="N290">IF(COUNTIF($B$27:$E$27, N$2)&gt;0, _xlfn.IFS(COUNTIF($B$27:$C$27, N$2)&gt;0, VLOOKUP($J290,'Gear Values'!$A$2:$E$13, IF(COUNTBLANK('Attributes &amp; Prefixes'!$B$27:$C$27)&gt;0, "2", "3"), 0), COUNTIF($D$27:$E$27, N$2)&gt;0, VLOOKUP($J290,'Gear Values'!$A$2:$E$13, IF(COUNTBLANK('Attributes &amp; Prefixes'!$B$27:$C$27)&gt;0, "4", "5"), 0)), "")</f>
        <v/>
      </c>
      <c r="O290" s="148" t="str" cm="1">
        <f t="array" ref="O290">IF(COUNTIF($B$27:$E$27, O$2)&gt;0, _xlfn.IFS(COUNTIF($B$27:$C$27, O$2)&gt;0, VLOOKUP($J290,'Gear Values'!$A$2:$E$13, IF(COUNTBLANK('Attributes &amp; Prefixes'!$B$27:$C$27)&gt;0, "2", "3"), 0), COUNTIF($D$27:$E$27, O$2)&gt;0, VLOOKUP($J290,'Gear Values'!$A$2:$E$13, IF(COUNTBLANK('Attributes &amp; Prefixes'!$B$27:$C$27)&gt;0, "4", "5"), 0)), "")</f>
        <v/>
      </c>
      <c r="P290" s="148" t="str" cm="1">
        <f t="array" ref="P290">IF(COUNTIF($B$27:$E$27, P$2)&gt;0, _xlfn.IFS(COUNTIF($B$27:$C$27, P$2)&gt;0, VLOOKUP($J290,'Gear Values'!$A$2:$E$13, IF(COUNTBLANK('Attributes &amp; Prefixes'!$B$27:$C$27)&gt;0, "2", "3"), 0), COUNTIF($D$27:$E$27, P$2)&gt;0, VLOOKUP($J290,'Gear Values'!$A$2:$E$13, IF(COUNTBLANK('Attributes &amp; Prefixes'!$B$27:$C$27)&gt;0, "4", "5"), 0)), "")</f>
        <v/>
      </c>
      <c r="Q290" s="148" t="str" cm="1">
        <f t="array" ref="Q290">IF(COUNTIF($B$27:$E$27, Q$2)&gt;0, _xlfn.IFS(COUNTIF($B$27:$C$27, Q$2)&gt;0, VLOOKUP($J290,'Gear Values'!$A$2:$E$13, IF(COUNTBLANK('Attributes &amp; Prefixes'!$B$27:$C$27)&gt;0, "2", "3"), 0), COUNTIF($D$27:$E$27, Q$2)&gt;0, VLOOKUP($J290,'Gear Values'!$A$2:$E$13, IF(COUNTBLANK('Attributes &amp; Prefixes'!$B$27:$C$27)&gt;0, "4", "5"), 0)), "")</f>
        <v/>
      </c>
      <c r="R290" s="148" t="str" cm="1">
        <f t="array" ref="R290">IF(COUNTIF($B$27:$E$27, R$2)&gt;0, _xlfn.IFS(COUNTIF($B$27:$C$27, R$2)&gt;0, VLOOKUP($J290,'Gear Values'!$A$2:$E$13, IF(COUNTBLANK('Attributes &amp; Prefixes'!$B$27:$C$27)&gt;0, "2", "3"), 0), COUNTIF($D$27:$E$27, R$2)&gt;0, VLOOKUP($J290,'Gear Values'!$A$2:$E$13, IF(COUNTBLANK('Attributes &amp; Prefixes'!$B$27:$C$27)&gt;0, "4", "5"), 0)), "")</f>
        <v/>
      </c>
      <c r="S290" s="150" t="str" cm="1">
        <f t="array" ref="S290">IF(COUNTIF($B$27:$E$27, S$2)&gt;0, _xlfn.IFS(COUNTIF($B$27:$C$27, S$2)&gt;0, VLOOKUP($J290,'Gear Values'!$A$2:$E$13, IF(COUNTBLANK('Attributes &amp; Prefixes'!$B$27:$C$27)&gt;0, "2", "3"), 0), COUNTIF($D$27:$E$27, S$2)&gt;0, VLOOKUP($J290,'Gear Values'!$A$2:$E$13, IF(COUNTBLANK('Attributes &amp; Prefixes'!$B$27:$C$27)&gt;0, "4", "5"), 0)), "")</f>
        <v/>
      </c>
      <c r="V290" s="112"/>
      <c r="W290" s="113"/>
    </row>
    <row r="291" spans="6:23">
      <c r="H291" s="130" t="str">
        <f>_xlfn.CONCAT(I$291,J291)</f>
        <v>MagiWeapon (1H)</v>
      </c>
      <c r="I291" s="519" t="str">
        <f>A28</f>
        <v>Magi</v>
      </c>
      <c r="J291" s="145" t="s">
        <v>37</v>
      </c>
      <c r="K291" s="133" t="str" cm="1">
        <f t="array" ref="K291">IF(COUNTIF($B$28:$E$28, K$2)&gt;0, _xlfn.IFS(COUNTIF($B$28:$C$28, K$2)&gt;0, VLOOKUP($J291,'Gear Values'!$A$2:$E$13, IF(COUNTBLANK('Attributes &amp; Prefixes'!$B$28:$C$28)&gt;0, "2", "3"), 0), COUNTIF($D$28:$E$28, K$2)&gt;0, VLOOKUP($J291,'Gear Values'!$A$2:$E$13, IF(COUNTBLANK('Attributes &amp; Prefixes'!$B$28:$C$28)&gt;0, "4", "5"), 0)), "")</f>
        <v/>
      </c>
      <c r="L291" s="134" cm="1">
        <f t="array" ref="L291">IF(COUNTIF($B$28:$E$28, L$2)&gt;0, _xlfn.IFS(COUNTIF($B$28:$C$28, L$2)&gt;0, VLOOKUP($J291,'Gear Values'!$A$2:$E$13, IF(COUNTBLANK('Attributes &amp; Prefixes'!$B$28:$C$28)&gt;0, "2", "3"), 0), COUNTIF($D$28:$E$28, L$2)&gt;0, VLOOKUP($J291,'Gear Values'!$A$2:$E$13, IF(COUNTBLANK('Attributes &amp; Prefixes'!$B$28:$C$28)&gt;0, "4", "5"), 0)), "")</f>
        <v>85</v>
      </c>
      <c r="M291" s="134" t="str" cm="1">
        <f t="array" ref="M291">IF(COUNTIF($B$28:$E$28, M$2)&gt;0, _xlfn.IFS(COUNTIF($B$28:$C$28, M$2)&gt;0, VLOOKUP($J291,'Gear Values'!$A$2:$E$13, IF(COUNTBLANK('Attributes &amp; Prefixes'!$B$28:$C$28)&gt;0, "2", "3"), 0), COUNTIF($D$28:$E$28, M$2)&gt;0, VLOOKUP($J291,'Gear Values'!$A$2:$E$13, IF(COUNTBLANK('Attributes &amp; Prefixes'!$B$28:$C$28)&gt;0, "4", "5"), 0)), "")</f>
        <v/>
      </c>
      <c r="N291" s="134" cm="1">
        <f t="array" ref="N291">IF(COUNTIF($B$28:$E$28, N$2)&gt;0, _xlfn.IFS(COUNTIF($B$28:$C$28, N$2)&gt;0, VLOOKUP($J291,'Gear Values'!$A$2:$E$13, IF(COUNTBLANK('Attributes &amp; Prefixes'!$B$28:$C$28)&gt;0, "2", "3"), 0), COUNTIF($D$28:$E$28, N$2)&gt;0, VLOOKUP($J291,'Gear Values'!$A$2:$E$13, IF(COUNTBLANK('Attributes &amp; Prefixes'!$B$28:$C$28)&gt;0, "4", "5"), 0)), "")</f>
        <v>85</v>
      </c>
      <c r="O291" s="134" t="str" cm="1">
        <f t="array" ref="O291">IF(COUNTIF($B$28:$E$28, O$2)&gt;0, _xlfn.IFS(COUNTIF($B$28:$C$28, O$2)&gt;0, VLOOKUP($J291,'Gear Values'!$A$2:$E$13, IF(COUNTBLANK('Attributes &amp; Prefixes'!$B$28:$C$28)&gt;0, "2", "3"), 0), COUNTIF($D$28:$E$28, O$2)&gt;0, VLOOKUP($J291,'Gear Values'!$A$2:$E$13, IF(COUNTBLANK('Attributes &amp; Prefixes'!$B$28:$C$28)&gt;0, "4", "5"), 0)), "")</f>
        <v/>
      </c>
      <c r="P291" s="134" t="str" cm="1">
        <f t="array" ref="P291">IF(COUNTIF($B$28:$E$28, P$2)&gt;0, _xlfn.IFS(COUNTIF($B$28:$C$28, P$2)&gt;0, VLOOKUP($J291,'Gear Values'!$A$2:$E$13, IF(COUNTBLANK('Attributes &amp; Prefixes'!$B$28:$C$28)&gt;0, "2", "3"), 0), COUNTIF($D$28:$E$28, P$2)&gt;0, VLOOKUP($J291,'Gear Values'!$A$2:$E$13, IF(COUNTBLANK('Attributes &amp; Prefixes'!$B$28:$C$28)&gt;0, "4", "5"), 0)), "")</f>
        <v/>
      </c>
      <c r="Q291" s="134" t="str" cm="1">
        <f t="array" ref="Q291">IF(COUNTIF($B$28:$E$28, Q$2)&gt;0, _xlfn.IFS(COUNTIF($B$28:$C$28, Q$2)&gt;0, VLOOKUP($J291,'Gear Values'!$A$2:$E$13, IF(COUNTBLANK('Attributes &amp; Prefixes'!$B$28:$C$28)&gt;0, "2", "3"), 0), COUNTIF($D$28:$E$28, Q$2)&gt;0, VLOOKUP($J291,'Gear Values'!$A$2:$E$13, IF(COUNTBLANK('Attributes &amp; Prefixes'!$B$28:$C$28)&gt;0, "4", "5"), 0)), "")</f>
        <v/>
      </c>
      <c r="R291" s="134" t="str" cm="1">
        <f t="array" ref="R291">IF(COUNTIF($B$28:$E$28, R$2)&gt;0, _xlfn.IFS(COUNTIF($B$28:$C$28, R$2)&gt;0, VLOOKUP($J291,'Gear Values'!$A$2:$E$13, IF(COUNTBLANK('Attributes &amp; Prefixes'!$B$28:$C$28)&gt;0, "2", "3"), 0), COUNTIF($D$28:$E$28, R$2)&gt;0, VLOOKUP($J291,'Gear Values'!$A$2:$E$13, IF(COUNTBLANK('Attributes &amp; Prefixes'!$B$28:$C$28)&gt;0, "4", "5"), 0)), "")</f>
        <v/>
      </c>
      <c r="S291" s="135" cm="1">
        <f t="array" ref="S291">IF(COUNTIF($B$28:$E$28, S$2)&gt;0, _xlfn.IFS(COUNTIF($B$28:$C$28, S$2)&gt;0, VLOOKUP($J291,'Gear Values'!$A$2:$E$13, IF(COUNTBLANK('Attributes &amp; Prefixes'!$B$28:$C$28)&gt;0, "2", "3"), 0), COUNTIF($D$28:$E$28, S$2)&gt;0, VLOOKUP($J291,'Gear Values'!$A$2:$E$13, IF(COUNTBLANK('Attributes &amp; Prefixes'!$B$28:$C$28)&gt;0, "4", "5"), 0)), "")</f>
        <v>120</v>
      </c>
      <c r="V291" s="112"/>
      <c r="W291" s="113"/>
    </row>
    <row r="292" spans="6:23">
      <c r="H292" s="130" t="str">
        <f>_xlfn.CONCAT(I$291,J292)</f>
        <v>MagiWeapon (2H)</v>
      </c>
      <c r="I292" s="520"/>
      <c r="J292" s="144" t="s">
        <v>39</v>
      </c>
      <c r="K292" s="136" t="str" cm="1">
        <f t="array" ref="K292">IF(COUNTIF($B$28:$E$28, K$2)&gt;0, _xlfn.IFS(COUNTIF($B$28:$C$28, K$2)&gt;0, VLOOKUP($J292,'Gear Values'!$A$2:$E$13, IF(COUNTBLANK('Attributes &amp; Prefixes'!$B$28:$C$28)&gt;0, "2", "3"), 0), COUNTIF($D$28:$E$28, K$2)&gt;0, VLOOKUP($J292,'Gear Values'!$A$2:$E$13, IF(COUNTBLANK('Attributes &amp; Prefixes'!$B$28:$C$28)&gt;0, "4", "5"), 0)), "")</f>
        <v/>
      </c>
      <c r="L292" s="137" cm="1">
        <f t="array" ref="L292">IF(COUNTIF($B$28:$E$28, L$2)&gt;0, _xlfn.IFS(COUNTIF($B$28:$C$28, L$2)&gt;0, VLOOKUP($J292,'Gear Values'!$A$2:$E$13, IF(COUNTBLANK('Attributes &amp; Prefixes'!$B$28:$C$28)&gt;0, "2", "3"), 0), COUNTIF($D$28:$E$28, L$2)&gt;0, VLOOKUP($J292,'Gear Values'!$A$2:$E$13, IF(COUNTBLANK('Attributes &amp; Prefixes'!$B$28:$C$28)&gt;0, "4", "5"), 0)), "")</f>
        <v>171</v>
      </c>
      <c r="M292" s="137" t="str" cm="1">
        <f t="array" ref="M292">IF(COUNTIF($B$28:$E$28, M$2)&gt;0, _xlfn.IFS(COUNTIF($B$28:$C$28, M$2)&gt;0, VLOOKUP($J292,'Gear Values'!$A$2:$E$13, IF(COUNTBLANK('Attributes &amp; Prefixes'!$B$28:$C$28)&gt;0, "2", "3"), 0), COUNTIF($D$28:$E$28, M$2)&gt;0, VLOOKUP($J292,'Gear Values'!$A$2:$E$13, IF(COUNTBLANK('Attributes &amp; Prefixes'!$B$28:$C$28)&gt;0, "4", "5"), 0)), "")</f>
        <v/>
      </c>
      <c r="N292" s="137" cm="1">
        <f t="array" ref="N292">IF(COUNTIF($B$28:$E$28, N$2)&gt;0, _xlfn.IFS(COUNTIF($B$28:$C$28, N$2)&gt;0, VLOOKUP($J292,'Gear Values'!$A$2:$E$13, IF(COUNTBLANK('Attributes &amp; Prefixes'!$B$28:$C$28)&gt;0, "2", "3"), 0), COUNTIF($D$28:$E$28, N$2)&gt;0, VLOOKUP($J292,'Gear Values'!$A$2:$E$13, IF(COUNTBLANK('Attributes &amp; Prefixes'!$B$28:$C$28)&gt;0, "4", "5"), 0)), "")</f>
        <v>171</v>
      </c>
      <c r="O292" s="137" t="str" cm="1">
        <f t="array" ref="O292">IF(COUNTIF($B$28:$E$28, O$2)&gt;0, _xlfn.IFS(COUNTIF($B$28:$C$28, O$2)&gt;0, VLOOKUP($J292,'Gear Values'!$A$2:$E$13, IF(COUNTBLANK('Attributes &amp; Prefixes'!$B$28:$C$28)&gt;0, "2", "3"), 0), COUNTIF($D$28:$E$28, O$2)&gt;0, VLOOKUP($J292,'Gear Values'!$A$2:$E$13, IF(COUNTBLANK('Attributes &amp; Prefixes'!$B$28:$C$28)&gt;0, "4", "5"), 0)), "")</f>
        <v/>
      </c>
      <c r="P292" s="137" t="str" cm="1">
        <f t="array" ref="P292">IF(COUNTIF($B$28:$E$28, P$2)&gt;0, _xlfn.IFS(COUNTIF($B$28:$C$28, P$2)&gt;0, VLOOKUP($J292,'Gear Values'!$A$2:$E$13, IF(COUNTBLANK('Attributes &amp; Prefixes'!$B$28:$C$28)&gt;0, "2", "3"), 0), COUNTIF($D$28:$E$28, P$2)&gt;0, VLOOKUP($J292,'Gear Values'!$A$2:$E$13, IF(COUNTBLANK('Attributes &amp; Prefixes'!$B$28:$C$28)&gt;0, "4", "5"), 0)), "")</f>
        <v/>
      </c>
      <c r="Q292" s="137" t="str" cm="1">
        <f t="array" ref="Q292">IF(COUNTIF($B$28:$E$28, Q$2)&gt;0, _xlfn.IFS(COUNTIF($B$28:$C$28, Q$2)&gt;0, VLOOKUP($J292,'Gear Values'!$A$2:$E$13, IF(COUNTBLANK('Attributes &amp; Prefixes'!$B$28:$C$28)&gt;0, "2", "3"), 0), COUNTIF($D$28:$E$28, Q$2)&gt;0, VLOOKUP($J292,'Gear Values'!$A$2:$E$13, IF(COUNTBLANK('Attributes &amp; Prefixes'!$B$28:$C$28)&gt;0, "4", "5"), 0)), "")</f>
        <v/>
      </c>
      <c r="R292" s="137" t="str" cm="1">
        <f t="array" ref="R292">IF(COUNTIF($B$28:$E$28, R$2)&gt;0, _xlfn.IFS(COUNTIF($B$28:$C$28, R$2)&gt;0, VLOOKUP($J292,'Gear Values'!$A$2:$E$13, IF(COUNTBLANK('Attributes &amp; Prefixes'!$B$28:$C$28)&gt;0, "2", "3"), 0), COUNTIF($D$28:$E$28, R$2)&gt;0, VLOOKUP($J292,'Gear Values'!$A$2:$E$13, IF(COUNTBLANK('Attributes &amp; Prefixes'!$B$28:$C$28)&gt;0, "4", "5"), 0)), "")</f>
        <v/>
      </c>
      <c r="S292" s="138" cm="1">
        <f t="array" ref="S292">IF(COUNTIF($B$28:$E$28, S$2)&gt;0, _xlfn.IFS(COUNTIF($B$28:$C$28, S$2)&gt;0, VLOOKUP($J292,'Gear Values'!$A$2:$E$13, IF(COUNTBLANK('Attributes &amp; Prefixes'!$B$28:$C$28)&gt;0, "2", "3"), 0), COUNTIF($D$28:$E$28, S$2)&gt;0, VLOOKUP($J292,'Gear Values'!$A$2:$E$13, IF(COUNTBLANK('Attributes &amp; Prefixes'!$B$28:$C$28)&gt;0, "4", "5"), 0)), "")</f>
        <v>239</v>
      </c>
      <c r="V292" s="112"/>
      <c r="W292" s="113"/>
    </row>
    <row r="293" spans="6:23">
      <c r="H293" s="130" t="str">
        <f>_xlfn.CONCAT(I$291,J293)</f>
        <v>MagiHead</v>
      </c>
      <c r="I293" s="520"/>
      <c r="J293" s="144" t="s">
        <v>40</v>
      </c>
      <c r="K293" s="136" t="str" cm="1">
        <f t="array" ref="K293">IF(COUNTIF($B$28:$E$28, K$2)&gt;0, _xlfn.IFS(COUNTIF($B$28:$C$28, K$2)&gt;0, VLOOKUP($J293,'Gear Values'!$A$2:$E$13, IF(COUNTBLANK('Attributes &amp; Prefixes'!$B$28:$C$28)&gt;0, "2", "3"), 0), COUNTIF($D$28:$E$28, K$2)&gt;0, VLOOKUP($J293,'Gear Values'!$A$2:$E$13, IF(COUNTBLANK('Attributes &amp; Prefixes'!$B$28:$C$28)&gt;0, "4", "5"), 0)), "")</f>
        <v/>
      </c>
      <c r="L293" s="137" cm="1">
        <f t="array" ref="L293">IF(COUNTIF($B$28:$E$28, L$2)&gt;0, _xlfn.IFS(COUNTIF($B$28:$C$28, L$2)&gt;0, VLOOKUP($J293,'Gear Values'!$A$2:$E$13, IF(COUNTBLANK('Attributes &amp; Prefixes'!$B$28:$C$28)&gt;0, "2", "3"), 0), COUNTIF($D$28:$E$28, L$2)&gt;0, VLOOKUP($J293,'Gear Values'!$A$2:$E$13, IF(COUNTBLANK('Attributes &amp; Prefixes'!$B$28:$C$28)&gt;0, "4", "5"), 0)), "")</f>
        <v>43</v>
      </c>
      <c r="M293" s="137" t="str" cm="1">
        <f t="array" ref="M293">IF(COUNTIF($B$28:$E$28, M$2)&gt;0, _xlfn.IFS(COUNTIF($B$28:$C$28, M$2)&gt;0, VLOOKUP($J293,'Gear Values'!$A$2:$E$13, IF(COUNTBLANK('Attributes &amp; Prefixes'!$B$28:$C$28)&gt;0, "2", "3"), 0), COUNTIF($D$28:$E$28, M$2)&gt;0, VLOOKUP($J293,'Gear Values'!$A$2:$E$13, IF(COUNTBLANK('Attributes &amp; Prefixes'!$B$28:$C$28)&gt;0, "4", "5"), 0)), "")</f>
        <v/>
      </c>
      <c r="N293" s="137" cm="1">
        <f t="array" ref="N293">IF(COUNTIF($B$28:$E$28, N$2)&gt;0, _xlfn.IFS(COUNTIF($B$28:$C$28, N$2)&gt;0, VLOOKUP($J293,'Gear Values'!$A$2:$E$13, IF(COUNTBLANK('Attributes &amp; Prefixes'!$B$28:$C$28)&gt;0, "2", "3"), 0), COUNTIF($D$28:$E$28, N$2)&gt;0, VLOOKUP($J293,'Gear Values'!$A$2:$E$13, IF(COUNTBLANK('Attributes &amp; Prefixes'!$B$28:$C$28)&gt;0, "4", "5"), 0)), "")</f>
        <v>43</v>
      </c>
      <c r="O293" s="137" t="str" cm="1">
        <f t="array" ref="O293">IF(COUNTIF($B$28:$E$28, O$2)&gt;0, _xlfn.IFS(COUNTIF($B$28:$C$28, O$2)&gt;0, VLOOKUP($J293,'Gear Values'!$A$2:$E$13, IF(COUNTBLANK('Attributes &amp; Prefixes'!$B$28:$C$28)&gt;0, "2", "3"), 0), COUNTIF($D$28:$E$28, O$2)&gt;0, VLOOKUP($J293,'Gear Values'!$A$2:$E$13, IF(COUNTBLANK('Attributes &amp; Prefixes'!$B$28:$C$28)&gt;0, "4", "5"), 0)), "")</f>
        <v/>
      </c>
      <c r="P293" s="137" t="str" cm="1">
        <f t="array" ref="P293">IF(COUNTIF($B$28:$E$28, P$2)&gt;0, _xlfn.IFS(COUNTIF($B$28:$C$28, P$2)&gt;0, VLOOKUP($J293,'Gear Values'!$A$2:$E$13, IF(COUNTBLANK('Attributes &amp; Prefixes'!$B$28:$C$28)&gt;0, "2", "3"), 0), COUNTIF($D$28:$E$28, P$2)&gt;0, VLOOKUP($J293,'Gear Values'!$A$2:$E$13, IF(COUNTBLANK('Attributes &amp; Prefixes'!$B$28:$C$28)&gt;0, "4", "5"), 0)), "")</f>
        <v/>
      </c>
      <c r="Q293" s="137" t="str" cm="1">
        <f t="array" ref="Q293">IF(COUNTIF($B$28:$E$28, Q$2)&gt;0, _xlfn.IFS(COUNTIF($B$28:$C$28, Q$2)&gt;0, VLOOKUP($J293,'Gear Values'!$A$2:$E$13, IF(COUNTBLANK('Attributes &amp; Prefixes'!$B$28:$C$28)&gt;0, "2", "3"), 0), COUNTIF($D$28:$E$28, Q$2)&gt;0, VLOOKUP($J293,'Gear Values'!$A$2:$E$13, IF(COUNTBLANK('Attributes &amp; Prefixes'!$B$28:$C$28)&gt;0, "4", "5"), 0)), "")</f>
        <v/>
      </c>
      <c r="R293" s="137" t="str" cm="1">
        <f t="array" ref="R293">IF(COUNTIF($B$28:$E$28, R$2)&gt;0, _xlfn.IFS(COUNTIF($B$28:$C$28, R$2)&gt;0, VLOOKUP($J293,'Gear Values'!$A$2:$E$13, IF(COUNTBLANK('Attributes &amp; Prefixes'!$B$28:$C$28)&gt;0, "2", "3"), 0), COUNTIF($D$28:$E$28, R$2)&gt;0, VLOOKUP($J293,'Gear Values'!$A$2:$E$13, IF(COUNTBLANK('Attributes &amp; Prefixes'!$B$28:$C$28)&gt;0, "4", "5"), 0)), "")</f>
        <v/>
      </c>
      <c r="S293" s="138" cm="1">
        <f t="array" ref="S293">IF(COUNTIF($B$28:$E$28, S$2)&gt;0, _xlfn.IFS(COUNTIF($B$28:$C$28, S$2)&gt;0, VLOOKUP($J293,'Gear Values'!$A$2:$E$13, IF(COUNTBLANK('Attributes &amp; Prefixes'!$B$28:$C$28)&gt;0, "2", "3"), 0), COUNTIF($D$28:$E$28, S$2)&gt;0, VLOOKUP($J293,'Gear Values'!$A$2:$E$13, IF(COUNTBLANK('Attributes &amp; Prefixes'!$B$28:$C$28)&gt;0, "4", "5"), 0)), "")</f>
        <v>60</v>
      </c>
      <c r="V293" s="112"/>
      <c r="W293" s="113"/>
    </row>
    <row r="294" spans="6:23">
      <c r="H294" s="130" t="str">
        <f>_xlfn.CONCAT(I$291,J294)</f>
        <v>MagiShoulders</v>
      </c>
      <c r="I294" s="520"/>
      <c r="J294" s="144" t="s">
        <v>42</v>
      </c>
      <c r="K294" s="136" t="str" cm="1">
        <f t="array" ref="K294">IF(COUNTIF($B$28:$E$28, K$2)&gt;0, _xlfn.IFS(COUNTIF($B$28:$C$28, K$2)&gt;0, VLOOKUP($J294,'Gear Values'!$A$2:$E$13, IF(COUNTBLANK('Attributes &amp; Prefixes'!$B$28:$C$28)&gt;0, "2", "3"), 0), COUNTIF($D$28:$E$28, K$2)&gt;0, VLOOKUP($J294,'Gear Values'!$A$2:$E$13, IF(COUNTBLANK('Attributes &amp; Prefixes'!$B$28:$C$28)&gt;0, "4", "5"), 0)), "")</f>
        <v/>
      </c>
      <c r="L294" s="137" cm="1">
        <f t="array" ref="L294">IF(COUNTIF($B$28:$E$28, L$2)&gt;0, _xlfn.IFS(COUNTIF($B$28:$C$28, L$2)&gt;0, VLOOKUP($J294,'Gear Values'!$A$2:$E$13, IF(COUNTBLANK('Attributes &amp; Prefixes'!$B$28:$C$28)&gt;0, "2", "3"), 0), COUNTIF($D$28:$E$28, L$2)&gt;0, VLOOKUP($J294,'Gear Values'!$A$2:$E$13, IF(COUNTBLANK('Attributes &amp; Prefixes'!$B$28:$C$28)&gt;0, "4", "5"), 0)), "")</f>
        <v>32</v>
      </c>
      <c r="M294" s="137" t="str" cm="1">
        <f t="array" ref="M294">IF(COUNTIF($B$28:$E$28, M$2)&gt;0, _xlfn.IFS(COUNTIF($B$28:$C$28, M$2)&gt;0, VLOOKUP($J294,'Gear Values'!$A$2:$E$13, IF(COUNTBLANK('Attributes &amp; Prefixes'!$B$28:$C$28)&gt;0, "2", "3"), 0), COUNTIF($D$28:$E$28, M$2)&gt;0, VLOOKUP($J294,'Gear Values'!$A$2:$E$13, IF(COUNTBLANK('Attributes &amp; Prefixes'!$B$28:$C$28)&gt;0, "4", "5"), 0)), "")</f>
        <v/>
      </c>
      <c r="N294" s="137" cm="1">
        <f t="array" ref="N294">IF(COUNTIF($B$28:$E$28, N$2)&gt;0, _xlfn.IFS(COUNTIF($B$28:$C$28, N$2)&gt;0, VLOOKUP($J294,'Gear Values'!$A$2:$E$13, IF(COUNTBLANK('Attributes &amp; Prefixes'!$B$28:$C$28)&gt;0, "2", "3"), 0), COUNTIF($D$28:$E$28, N$2)&gt;0, VLOOKUP($J294,'Gear Values'!$A$2:$E$13, IF(COUNTBLANK('Attributes &amp; Prefixes'!$B$28:$C$28)&gt;0, "4", "5"), 0)), "")</f>
        <v>32</v>
      </c>
      <c r="O294" s="137" t="str" cm="1">
        <f t="array" ref="O294">IF(COUNTIF($B$28:$E$28, O$2)&gt;0, _xlfn.IFS(COUNTIF($B$28:$C$28, O$2)&gt;0, VLOOKUP($J294,'Gear Values'!$A$2:$E$13, IF(COUNTBLANK('Attributes &amp; Prefixes'!$B$28:$C$28)&gt;0, "2", "3"), 0), COUNTIF($D$28:$E$28, O$2)&gt;0, VLOOKUP($J294,'Gear Values'!$A$2:$E$13, IF(COUNTBLANK('Attributes &amp; Prefixes'!$B$28:$C$28)&gt;0, "4", "5"), 0)), "")</f>
        <v/>
      </c>
      <c r="P294" s="137" t="str" cm="1">
        <f t="array" ref="P294">IF(COUNTIF($B$28:$E$28, P$2)&gt;0, _xlfn.IFS(COUNTIF($B$28:$C$28, P$2)&gt;0, VLOOKUP($J294,'Gear Values'!$A$2:$E$13, IF(COUNTBLANK('Attributes &amp; Prefixes'!$B$28:$C$28)&gt;0, "2", "3"), 0), COUNTIF($D$28:$E$28, P$2)&gt;0, VLOOKUP($J294,'Gear Values'!$A$2:$E$13, IF(COUNTBLANK('Attributes &amp; Prefixes'!$B$28:$C$28)&gt;0, "4", "5"), 0)), "")</f>
        <v/>
      </c>
      <c r="Q294" s="137" t="str" cm="1">
        <f t="array" ref="Q294">IF(COUNTIF($B$28:$E$28, Q$2)&gt;0, _xlfn.IFS(COUNTIF($B$28:$C$28, Q$2)&gt;0, VLOOKUP($J294,'Gear Values'!$A$2:$E$13, IF(COUNTBLANK('Attributes &amp; Prefixes'!$B$28:$C$28)&gt;0, "2", "3"), 0), COUNTIF($D$28:$E$28, Q$2)&gt;0, VLOOKUP($J294,'Gear Values'!$A$2:$E$13, IF(COUNTBLANK('Attributes &amp; Prefixes'!$B$28:$C$28)&gt;0, "4", "5"), 0)), "")</f>
        <v/>
      </c>
      <c r="R294" s="137" t="str" cm="1">
        <f t="array" ref="R294">IF(COUNTIF($B$28:$E$28, R$2)&gt;0, _xlfn.IFS(COUNTIF($B$28:$C$28, R$2)&gt;0, VLOOKUP($J294,'Gear Values'!$A$2:$E$13, IF(COUNTBLANK('Attributes &amp; Prefixes'!$B$28:$C$28)&gt;0, "2", "3"), 0), COUNTIF($D$28:$E$28, R$2)&gt;0, VLOOKUP($J294,'Gear Values'!$A$2:$E$13, IF(COUNTBLANK('Attributes &amp; Prefixes'!$B$28:$C$28)&gt;0, "4", "5"), 0)), "")</f>
        <v/>
      </c>
      <c r="S294" s="138" cm="1">
        <f t="array" ref="S294">IF(COUNTIF($B$28:$E$28, S$2)&gt;0, _xlfn.IFS(COUNTIF($B$28:$C$28, S$2)&gt;0, VLOOKUP($J294,'Gear Values'!$A$2:$E$13, IF(COUNTBLANK('Attributes &amp; Prefixes'!$B$28:$C$28)&gt;0, "2", "3"), 0), COUNTIF($D$28:$E$28, S$2)&gt;0, VLOOKUP($J294,'Gear Values'!$A$2:$E$13, IF(COUNTBLANK('Attributes &amp; Prefixes'!$B$28:$C$28)&gt;0, "4", "5"), 0)), "")</f>
        <v>45</v>
      </c>
      <c r="V294" s="112"/>
      <c r="W294" s="112"/>
    </row>
    <row r="295" spans="6:23">
      <c r="H295" s="130" t="str">
        <f>_xlfn.CONCAT(I$291,J295)</f>
        <v>MagiChest</v>
      </c>
      <c r="I295" s="520"/>
      <c r="J295" s="144" t="s">
        <v>44</v>
      </c>
      <c r="K295" s="136" t="str" cm="1">
        <f t="array" ref="K295">IF(COUNTIF($B$28:$E$28, K$2)&gt;0, _xlfn.IFS(COUNTIF($B$28:$C$28, K$2)&gt;0, VLOOKUP($J295,'Gear Values'!$A$2:$E$13, IF(COUNTBLANK('Attributes &amp; Prefixes'!$B$28:$C$28)&gt;0, "2", "3"), 0), COUNTIF($D$28:$E$28, K$2)&gt;0, VLOOKUP($J295,'Gear Values'!$A$2:$E$13, IF(COUNTBLANK('Attributes &amp; Prefixes'!$B$28:$C$28)&gt;0, "4", "5"), 0)), "")</f>
        <v/>
      </c>
      <c r="L295" s="137" cm="1">
        <f t="array" ref="L295">IF(COUNTIF($B$28:$E$28, L$2)&gt;0, _xlfn.IFS(COUNTIF($B$28:$C$28, L$2)&gt;0, VLOOKUP($J295,'Gear Values'!$A$2:$E$13, IF(COUNTBLANK('Attributes &amp; Prefixes'!$B$28:$C$28)&gt;0, "2", "3"), 0), COUNTIF($D$28:$E$28, L$2)&gt;0, VLOOKUP($J295,'Gear Values'!$A$2:$E$13, IF(COUNTBLANK('Attributes &amp; Prefixes'!$B$28:$C$28)&gt;0, "4", "5"), 0)), "")</f>
        <v>96</v>
      </c>
      <c r="M295" s="137" t="str" cm="1">
        <f t="array" ref="M295">IF(COUNTIF($B$28:$E$28, M$2)&gt;0, _xlfn.IFS(COUNTIF($B$28:$C$28, M$2)&gt;0, VLOOKUP($J295,'Gear Values'!$A$2:$E$13, IF(COUNTBLANK('Attributes &amp; Prefixes'!$B$28:$C$28)&gt;0, "2", "3"), 0), COUNTIF($D$28:$E$28, M$2)&gt;0, VLOOKUP($J295,'Gear Values'!$A$2:$E$13, IF(COUNTBLANK('Attributes &amp; Prefixes'!$B$28:$C$28)&gt;0, "4", "5"), 0)), "")</f>
        <v/>
      </c>
      <c r="N295" s="137" cm="1">
        <f t="array" ref="N295">IF(COUNTIF($B$28:$E$28, N$2)&gt;0, _xlfn.IFS(COUNTIF($B$28:$C$28, N$2)&gt;0, VLOOKUP($J295,'Gear Values'!$A$2:$E$13, IF(COUNTBLANK('Attributes &amp; Prefixes'!$B$28:$C$28)&gt;0, "2", "3"), 0), COUNTIF($D$28:$E$28, N$2)&gt;0, VLOOKUP($J295,'Gear Values'!$A$2:$E$13, IF(COUNTBLANK('Attributes &amp; Prefixes'!$B$28:$C$28)&gt;0, "4", "5"), 0)), "")</f>
        <v>96</v>
      </c>
      <c r="O295" s="137" t="str" cm="1">
        <f t="array" ref="O295">IF(COUNTIF($B$28:$E$28, O$2)&gt;0, _xlfn.IFS(COUNTIF($B$28:$C$28, O$2)&gt;0, VLOOKUP($J295,'Gear Values'!$A$2:$E$13, IF(COUNTBLANK('Attributes &amp; Prefixes'!$B$28:$C$28)&gt;0, "2", "3"), 0), COUNTIF($D$28:$E$28, O$2)&gt;0, VLOOKUP($J295,'Gear Values'!$A$2:$E$13, IF(COUNTBLANK('Attributes &amp; Prefixes'!$B$28:$C$28)&gt;0, "4", "5"), 0)), "")</f>
        <v/>
      </c>
      <c r="P295" s="137" t="str" cm="1">
        <f t="array" ref="P295">IF(COUNTIF($B$28:$E$28, P$2)&gt;0, _xlfn.IFS(COUNTIF($B$28:$C$28, P$2)&gt;0, VLOOKUP($J295,'Gear Values'!$A$2:$E$13, IF(COUNTBLANK('Attributes &amp; Prefixes'!$B$28:$C$28)&gt;0, "2", "3"), 0), COUNTIF($D$28:$E$28, P$2)&gt;0, VLOOKUP($J295,'Gear Values'!$A$2:$E$13, IF(COUNTBLANK('Attributes &amp; Prefixes'!$B$28:$C$28)&gt;0, "4", "5"), 0)), "")</f>
        <v/>
      </c>
      <c r="Q295" s="137" t="str" cm="1">
        <f t="array" ref="Q295">IF(COUNTIF($B$28:$E$28, Q$2)&gt;0, _xlfn.IFS(COUNTIF($B$28:$C$28, Q$2)&gt;0, VLOOKUP($J295,'Gear Values'!$A$2:$E$13, IF(COUNTBLANK('Attributes &amp; Prefixes'!$B$28:$C$28)&gt;0, "2", "3"), 0), COUNTIF($D$28:$E$28, Q$2)&gt;0, VLOOKUP($J295,'Gear Values'!$A$2:$E$13, IF(COUNTBLANK('Attributes &amp; Prefixes'!$B$28:$C$28)&gt;0, "4", "5"), 0)), "")</f>
        <v/>
      </c>
      <c r="R295" s="137" t="str" cm="1">
        <f t="array" ref="R295">IF(COUNTIF($B$28:$E$28, R$2)&gt;0, _xlfn.IFS(COUNTIF($B$28:$C$28, R$2)&gt;0, VLOOKUP($J295,'Gear Values'!$A$2:$E$13, IF(COUNTBLANK('Attributes &amp; Prefixes'!$B$28:$C$28)&gt;0, "2", "3"), 0), COUNTIF($D$28:$E$28, R$2)&gt;0, VLOOKUP($J295,'Gear Values'!$A$2:$E$13, IF(COUNTBLANK('Attributes &amp; Prefixes'!$B$28:$C$28)&gt;0, "4", "5"), 0)), "")</f>
        <v/>
      </c>
      <c r="S295" s="138" cm="1">
        <f t="array" ref="S295">IF(COUNTIF($B$28:$E$28, S$2)&gt;0, _xlfn.IFS(COUNTIF($B$28:$C$28, S$2)&gt;0, VLOOKUP($J295,'Gear Values'!$A$2:$E$13, IF(COUNTBLANK('Attributes &amp; Prefixes'!$B$28:$C$28)&gt;0, "2", "3"), 0), COUNTIF($D$28:$E$28, S$2)&gt;0, VLOOKUP($J295,'Gear Values'!$A$2:$E$13, IF(COUNTBLANK('Attributes &amp; Prefixes'!$B$28:$C$28)&gt;0, "4", "5"), 0)), "")</f>
        <v>134</v>
      </c>
      <c r="V295" s="112"/>
      <c r="W295" s="112"/>
    </row>
    <row r="296" spans="6:23">
      <c r="H296" s="130" t="str">
        <f>_xlfn.CONCAT(I$291,J296)</f>
        <v>MagiHands</v>
      </c>
      <c r="I296" s="520"/>
      <c r="J296" s="144" t="s">
        <v>45</v>
      </c>
      <c r="K296" s="136" t="str" cm="1">
        <f t="array" ref="K296">IF(COUNTIF($B$28:$E$28, K$2)&gt;0, _xlfn.IFS(COUNTIF($B$28:$C$28, K$2)&gt;0, VLOOKUP($J296,'Gear Values'!$A$2:$E$13, IF(COUNTBLANK('Attributes &amp; Prefixes'!$B$28:$C$28)&gt;0, "2", "3"), 0), COUNTIF($D$28:$E$28, K$2)&gt;0, VLOOKUP($J296,'Gear Values'!$A$2:$E$13, IF(COUNTBLANK('Attributes &amp; Prefixes'!$B$28:$C$28)&gt;0, "4", "5"), 0)), "")</f>
        <v/>
      </c>
      <c r="L296" s="137" cm="1">
        <f t="array" ref="L296">IF(COUNTIF($B$28:$E$28, L$2)&gt;0, _xlfn.IFS(COUNTIF($B$28:$C$28, L$2)&gt;0, VLOOKUP($J296,'Gear Values'!$A$2:$E$13, IF(COUNTBLANK('Attributes &amp; Prefixes'!$B$28:$C$28)&gt;0, "2", "3"), 0), COUNTIF($D$28:$E$28, L$2)&gt;0, VLOOKUP($J296,'Gear Values'!$A$2:$E$13, IF(COUNTBLANK('Attributes &amp; Prefixes'!$B$28:$C$28)&gt;0, "4", "5"), 0)), "")</f>
        <v>32</v>
      </c>
      <c r="M296" s="137" t="str" cm="1">
        <f t="array" ref="M296">IF(COUNTIF($B$28:$E$28, M$2)&gt;0, _xlfn.IFS(COUNTIF($B$28:$C$28, M$2)&gt;0, VLOOKUP($J296,'Gear Values'!$A$2:$E$13, IF(COUNTBLANK('Attributes &amp; Prefixes'!$B$28:$C$28)&gt;0, "2", "3"), 0), COUNTIF($D$28:$E$28, M$2)&gt;0, VLOOKUP($J296,'Gear Values'!$A$2:$E$13, IF(COUNTBLANK('Attributes &amp; Prefixes'!$B$28:$C$28)&gt;0, "4", "5"), 0)), "")</f>
        <v/>
      </c>
      <c r="N296" s="137" cm="1">
        <f t="array" ref="N296">IF(COUNTIF($B$28:$E$28, N$2)&gt;0, _xlfn.IFS(COUNTIF($B$28:$C$28, N$2)&gt;0, VLOOKUP($J296,'Gear Values'!$A$2:$E$13, IF(COUNTBLANK('Attributes &amp; Prefixes'!$B$28:$C$28)&gt;0, "2", "3"), 0), COUNTIF($D$28:$E$28, N$2)&gt;0, VLOOKUP($J296,'Gear Values'!$A$2:$E$13, IF(COUNTBLANK('Attributes &amp; Prefixes'!$B$28:$C$28)&gt;0, "4", "5"), 0)), "")</f>
        <v>32</v>
      </c>
      <c r="O296" s="137" t="str" cm="1">
        <f t="array" ref="O296">IF(COUNTIF($B$28:$E$28, O$2)&gt;0, _xlfn.IFS(COUNTIF($B$28:$C$28, O$2)&gt;0, VLOOKUP($J296,'Gear Values'!$A$2:$E$13, IF(COUNTBLANK('Attributes &amp; Prefixes'!$B$28:$C$28)&gt;0, "2", "3"), 0), COUNTIF($D$28:$E$28, O$2)&gt;0, VLOOKUP($J296,'Gear Values'!$A$2:$E$13, IF(COUNTBLANK('Attributes &amp; Prefixes'!$B$28:$C$28)&gt;0, "4", "5"), 0)), "")</f>
        <v/>
      </c>
      <c r="P296" s="137" t="str" cm="1">
        <f t="array" ref="P296">IF(COUNTIF($B$28:$E$28, P$2)&gt;0, _xlfn.IFS(COUNTIF($B$28:$C$28, P$2)&gt;0, VLOOKUP($J296,'Gear Values'!$A$2:$E$13, IF(COUNTBLANK('Attributes &amp; Prefixes'!$B$28:$C$28)&gt;0, "2", "3"), 0), COUNTIF($D$28:$E$28, P$2)&gt;0, VLOOKUP($J296,'Gear Values'!$A$2:$E$13, IF(COUNTBLANK('Attributes &amp; Prefixes'!$B$28:$C$28)&gt;0, "4", "5"), 0)), "")</f>
        <v/>
      </c>
      <c r="Q296" s="137" t="str" cm="1">
        <f t="array" ref="Q296">IF(COUNTIF($B$28:$E$28, Q$2)&gt;0, _xlfn.IFS(COUNTIF($B$28:$C$28, Q$2)&gt;0, VLOOKUP($J296,'Gear Values'!$A$2:$E$13, IF(COUNTBLANK('Attributes &amp; Prefixes'!$B$28:$C$28)&gt;0, "2", "3"), 0), COUNTIF($D$28:$E$28, Q$2)&gt;0, VLOOKUP($J296,'Gear Values'!$A$2:$E$13, IF(COUNTBLANK('Attributes &amp; Prefixes'!$B$28:$C$28)&gt;0, "4", "5"), 0)), "")</f>
        <v/>
      </c>
      <c r="R296" s="137" t="str" cm="1">
        <f t="array" ref="R296">IF(COUNTIF($B$28:$E$28, R$2)&gt;0, _xlfn.IFS(COUNTIF($B$28:$C$28, R$2)&gt;0, VLOOKUP($J296,'Gear Values'!$A$2:$E$13, IF(COUNTBLANK('Attributes &amp; Prefixes'!$B$28:$C$28)&gt;0, "2", "3"), 0), COUNTIF($D$28:$E$28, R$2)&gt;0, VLOOKUP($J296,'Gear Values'!$A$2:$E$13, IF(COUNTBLANK('Attributes &amp; Prefixes'!$B$28:$C$28)&gt;0, "4", "5"), 0)), "")</f>
        <v/>
      </c>
      <c r="S296" s="138" cm="1">
        <f t="array" ref="S296">IF(COUNTIF($B$28:$E$28, S$2)&gt;0, _xlfn.IFS(COUNTIF($B$28:$C$28, S$2)&gt;0, VLOOKUP($J296,'Gear Values'!$A$2:$E$13, IF(COUNTBLANK('Attributes &amp; Prefixes'!$B$28:$C$28)&gt;0, "2", "3"), 0), COUNTIF($D$28:$E$28, S$2)&gt;0, VLOOKUP($J296,'Gear Values'!$A$2:$E$13, IF(COUNTBLANK('Attributes &amp; Prefixes'!$B$28:$C$28)&gt;0, "4", "5"), 0)), "")</f>
        <v>45</v>
      </c>
      <c r="V296" s="112"/>
      <c r="W296" s="112"/>
    </row>
    <row r="297" spans="6:23">
      <c r="H297" s="130" t="str">
        <f>_xlfn.CONCAT(I$291,J297)</f>
        <v>MagiLegs</v>
      </c>
      <c r="I297" s="520"/>
      <c r="J297" s="144" t="s">
        <v>47</v>
      </c>
      <c r="K297" s="136" t="str" cm="1">
        <f t="array" ref="K297">IF(COUNTIF($B$28:$E$28, K$2)&gt;0, _xlfn.IFS(COUNTIF($B$28:$C$28, K$2)&gt;0, VLOOKUP($J297,'Gear Values'!$A$2:$E$13, IF(COUNTBLANK('Attributes &amp; Prefixes'!$B$28:$C$28)&gt;0, "2", "3"), 0), COUNTIF($D$28:$E$28, K$2)&gt;0, VLOOKUP($J297,'Gear Values'!$A$2:$E$13, IF(COUNTBLANK('Attributes &amp; Prefixes'!$B$28:$C$28)&gt;0, "4", "5"), 0)), "")</f>
        <v/>
      </c>
      <c r="L297" s="137" cm="1">
        <f t="array" ref="L297">IF(COUNTIF($B$28:$E$28, L$2)&gt;0, _xlfn.IFS(COUNTIF($B$28:$C$28, L$2)&gt;0, VLOOKUP($J297,'Gear Values'!$A$2:$E$13, IF(COUNTBLANK('Attributes &amp; Prefixes'!$B$28:$C$28)&gt;0, "2", "3"), 0), COUNTIF($D$28:$E$28, L$2)&gt;0, VLOOKUP($J297,'Gear Values'!$A$2:$E$13, IF(COUNTBLANK('Attributes &amp; Prefixes'!$B$28:$C$28)&gt;0, "4", "5"), 0)), "")</f>
        <v>64</v>
      </c>
      <c r="M297" s="137" t="str" cm="1">
        <f t="array" ref="M297">IF(COUNTIF($B$28:$E$28, M$2)&gt;0, _xlfn.IFS(COUNTIF($B$28:$C$28, M$2)&gt;0, VLOOKUP($J297,'Gear Values'!$A$2:$E$13, IF(COUNTBLANK('Attributes &amp; Prefixes'!$B$28:$C$28)&gt;0, "2", "3"), 0), COUNTIF($D$28:$E$28, M$2)&gt;0, VLOOKUP($J297,'Gear Values'!$A$2:$E$13, IF(COUNTBLANK('Attributes &amp; Prefixes'!$B$28:$C$28)&gt;0, "4", "5"), 0)), "")</f>
        <v/>
      </c>
      <c r="N297" s="137" cm="1">
        <f t="array" ref="N297">IF(COUNTIF($B$28:$E$28, N$2)&gt;0, _xlfn.IFS(COUNTIF($B$28:$C$28, N$2)&gt;0, VLOOKUP($J297,'Gear Values'!$A$2:$E$13, IF(COUNTBLANK('Attributes &amp; Prefixes'!$B$28:$C$28)&gt;0, "2", "3"), 0), COUNTIF($D$28:$E$28, N$2)&gt;0, VLOOKUP($J297,'Gear Values'!$A$2:$E$13, IF(COUNTBLANK('Attributes &amp; Prefixes'!$B$28:$C$28)&gt;0, "4", "5"), 0)), "")</f>
        <v>64</v>
      </c>
      <c r="O297" s="137" t="str" cm="1">
        <f t="array" ref="O297">IF(COUNTIF($B$28:$E$28, O$2)&gt;0, _xlfn.IFS(COUNTIF($B$28:$C$28, O$2)&gt;0, VLOOKUP($J297,'Gear Values'!$A$2:$E$13, IF(COUNTBLANK('Attributes &amp; Prefixes'!$B$28:$C$28)&gt;0, "2", "3"), 0), COUNTIF($D$28:$E$28, O$2)&gt;0, VLOOKUP($J297,'Gear Values'!$A$2:$E$13, IF(COUNTBLANK('Attributes &amp; Prefixes'!$B$28:$C$28)&gt;0, "4", "5"), 0)), "")</f>
        <v/>
      </c>
      <c r="P297" s="137" t="str" cm="1">
        <f t="array" ref="P297">IF(COUNTIF($B$28:$E$28, P$2)&gt;0, _xlfn.IFS(COUNTIF($B$28:$C$28, P$2)&gt;0, VLOOKUP($J297,'Gear Values'!$A$2:$E$13, IF(COUNTBLANK('Attributes &amp; Prefixes'!$B$28:$C$28)&gt;0, "2", "3"), 0), COUNTIF($D$28:$E$28, P$2)&gt;0, VLOOKUP($J297,'Gear Values'!$A$2:$E$13, IF(COUNTBLANK('Attributes &amp; Prefixes'!$B$28:$C$28)&gt;0, "4", "5"), 0)), "")</f>
        <v/>
      </c>
      <c r="Q297" s="137" t="str" cm="1">
        <f t="array" ref="Q297">IF(COUNTIF($B$28:$E$28, Q$2)&gt;0, _xlfn.IFS(COUNTIF($B$28:$C$28, Q$2)&gt;0, VLOOKUP($J297,'Gear Values'!$A$2:$E$13, IF(COUNTBLANK('Attributes &amp; Prefixes'!$B$28:$C$28)&gt;0, "2", "3"), 0), COUNTIF($D$28:$E$28, Q$2)&gt;0, VLOOKUP($J297,'Gear Values'!$A$2:$E$13, IF(COUNTBLANK('Attributes &amp; Prefixes'!$B$28:$C$28)&gt;0, "4", "5"), 0)), "")</f>
        <v/>
      </c>
      <c r="R297" s="137" t="str" cm="1">
        <f t="array" ref="R297">IF(COUNTIF($B$28:$E$28, R$2)&gt;0, _xlfn.IFS(COUNTIF($B$28:$C$28, R$2)&gt;0, VLOOKUP($J297,'Gear Values'!$A$2:$E$13, IF(COUNTBLANK('Attributes &amp; Prefixes'!$B$28:$C$28)&gt;0, "2", "3"), 0), COUNTIF($D$28:$E$28, R$2)&gt;0, VLOOKUP($J297,'Gear Values'!$A$2:$E$13, IF(COUNTBLANK('Attributes &amp; Prefixes'!$B$28:$C$28)&gt;0, "4", "5"), 0)), "")</f>
        <v/>
      </c>
      <c r="S297" s="138" cm="1">
        <f t="array" ref="S297">IF(COUNTIF($B$28:$E$28, S$2)&gt;0, _xlfn.IFS(COUNTIF($B$28:$C$28, S$2)&gt;0, VLOOKUP($J297,'Gear Values'!$A$2:$E$13, IF(COUNTBLANK('Attributes &amp; Prefixes'!$B$28:$C$28)&gt;0, "2", "3"), 0), COUNTIF($D$28:$E$28, S$2)&gt;0, VLOOKUP($J297,'Gear Values'!$A$2:$E$13, IF(COUNTBLANK('Attributes &amp; Prefixes'!$B$28:$C$28)&gt;0, "4", "5"), 0)), "")</f>
        <v>90</v>
      </c>
      <c r="V297" s="112"/>
      <c r="W297" s="112"/>
    </row>
    <row r="298" spans="6:23">
      <c r="H298" s="130" t="str">
        <f>_xlfn.CONCAT(I$291,J298)</f>
        <v>MagiFeet</v>
      </c>
      <c r="I298" s="520"/>
      <c r="J298" s="144" t="s">
        <v>48</v>
      </c>
      <c r="K298" s="136" t="str" cm="1">
        <f t="array" ref="K298">IF(COUNTIF($B$28:$E$28, K$2)&gt;0, _xlfn.IFS(COUNTIF($B$28:$C$28, K$2)&gt;0, VLOOKUP($J298,'Gear Values'!$A$2:$E$13, IF(COUNTBLANK('Attributes &amp; Prefixes'!$B$28:$C$28)&gt;0, "2", "3"), 0), COUNTIF($D$28:$E$28, K$2)&gt;0, VLOOKUP($J298,'Gear Values'!$A$2:$E$13, IF(COUNTBLANK('Attributes &amp; Prefixes'!$B$28:$C$28)&gt;0, "4", "5"), 0)), "")</f>
        <v/>
      </c>
      <c r="L298" s="137" cm="1">
        <f t="array" ref="L298">IF(COUNTIF($B$28:$E$28, L$2)&gt;0, _xlfn.IFS(COUNTIF($B$28:$C$28, L$2)&gt;0, VLOOKUP($J298,'Gear Values'!$A$2:$E$13, IF(COUNTBLANK('Attributes &amp; Prefixes'!$B$28:$C$28)&gt;0, "2", "3"), 0), COUNTIF($D$28:$E$28, L$2)&gt;0, VLOOKUP($J298,'Gear Values'!$A$2:$E$13, IF(COUNTBLANK('Attributes &amp; Prefixes'!$B$28:$C$28)&gt;0, "4", "5"), 0)), "")</f>
        <v>32</v>
      </c>
      <c r="M298" s="137" t="str" cm="1">
        <f t="array" ref="M298">IF(COUNTIF($B$28:$E$28, M$2)&gt;0, _xlfn.IFS(COUNTIF($B$28:$C$28, M$2)&gt;0, VLOOKUP($J298,'Gear Values'!$A$2:$E$13, IF(COUNTBLANK('Attributes &amp; Prefixes'!$B$28:$C$28)&gt;0, "2", "3"), 0), COUNTIF($D$28:$E$28, M$2)&gt;0, VLOOKUP($J298,'Gear Values'!$A$2:$E$13, IF(COUNTBLANK('Attributes &amp; Prefixes'!$B$28:$C$28)&gt;0, "4", "5"), 0)), "")</f>
        <v/>
      </c>
      <c r="N298" s="137" cm="1">
        <f t="array" ref="N298">IF(COUNTIF($B$28:$E$28, N$2)&gt;0, _xlfn.IFS(COUNTIF($B$28:$C$28, N$2)&gt;0, VLOOKUP($J298,'Gear Values'!$A$2:$E$13, IF(COUNTBLANK('Attributes &amp; Prefixes'!$B$28:$C$28)&gt;0, "2", "3"), 0), COUNTIF($D$28:$E$28, N$2)&gt;0, VLOOKUP($J298,'Gear Values'!$A$2:$E$13, IF(COUNTBLANK('Attributes &amp; Prefixes'!$B$28:$C$28)&gt;0, "4", "5"), 0)), "")</f>
        <v>32</v>
      </c>
      <c r="O298" s="137" t="str" cm="1">
        <f t="array" ref="O298">IF(COUNTIF($B$28:$E$28, O$2)&gt;0, _xlfn.IFS(COUNTIF($B$28:$C$28, O$2)&gt;0, VLOOKUP($J298,'Gear Values'!$A$2:$E$13, IF(COUNTBLANK('Attributes &amp; Prefixes'!$B$28:$C$28)&gt;0, "2", "3"), 0), COUNTIF($D$28:$E$28, O$2)&gt;0, VLOOKUP($J298,'Gear Values'!$A$2:$E$13, IF(COUNTBLANK('Attributes &amp; Prefixes'!$B$28:$C$28)&gt;0, "4", "5"), 0)), "")</f>
        <v/>
      </c>
      <c r="P298" s="137" t="str" cm="1">
        <f t="array" ref="P298">IF(COUNTIF($B$28:$E$28, P$2)&gt;0, _xlfn.IFS(COUNTIF($B$28:$C$28, P$2)&gt;0, VLOOKUP($J298,'Gear Values'!$A$2:$E$13, IF(COUNTBLANK('Attributes &amp; Prefixes'!$B$28:$C$28)&gt;0, "2", "3"), 0), COUNTIF($D$28:$E$28, P$2)&gt;0, VLOOKUP($J298,'Gear Values'!$A$2:$E$13, IF(COUNTBLANK('Attributes &amp; Prefixes'!$B$28:$C$28)&gt;0, "4", "5"), 0)), "")</f>
        <v/>
      </c>
      <c r="Q298" s="137" t="str" cm="1">
        <f t="array" ref="Q298">IF(COUNTIF($B$28:$E$28, Q$2)&gt;0, _xlfn.IFS(COUNTIF($B$28:$C$28, Q$2)&gt;0, VLOOKUP($J298,'Gear Values'!$A$2:$E$13, IF(COUNTBLANK('Attributes &amp; Prefixes'!$B$28:$C$28)&gt;0, "2", "3"), 0), COUNTIF($D$28:$E$28, Q$2)&gt;0, VLOOKUP($J298,'Gear Values'!$A$2:$E$13, IF(COUNTBLANK('Attributes &amp; Prefixes'!$B$28:$C$28)&gt;0, "4", "5"), 0)), "")</f>
        <v/>
      </c>
      <c r="R298" s="137" t="str" cm="1">
        <f t="array" ref="R298">IF(COUNTIF($B$28:$E$28, R$2)&gt;0, _xlfn.IFS(COUNTIF($B$28:$C$28, R$2)&gt;0, VLOOKUP($J298,'Gear Values'!$A$2:$E$13, IF(COUNTBLANK('Attributes &amp; Prefixes'!$B$28:$C$28)&gt;0, "2", "3"), 0), COUNTIF($D$28:$E$28, R$2)&gt;0, VLOOKUP($J298,'Gear Values'!$A$2:$E$13, IF(COUNTBLANK('Attributes &amp; Prefixes'!$B$28:$C$28)&gt;0, "4", "5"), 0)), "")</f>
        <v/>
      </c>
      <c r="S298" s="138" cm="1">
        <f t="array" ref="S298">IF(COUNTIF($B$28:$E$28, S$2)&gt;0, _xlfn.IFS(COUNTIF($B$28:$C$28, S$2)&gt;0, VLOOKUP($J298,'Gear Values'!$A$2:$E$13, IF(COUNTBLANK('Attributes &amp; Prefixes'!$B$28:$C$28)&gt;0, "2", "3"), 0), COUNTIF($D$28:$E$28, S$2)&gt;0, VLOOKUP($J298,'Gear Values'!$A$2:$E$13, IF(COUNTBLANK('Attributes &amp; Prefixes'!$B$28:$C$28)&gt;0, "4", "5"), 0)), "")</f>
        <v>45</v>
      </c>
      <c r="V298" s="112"/>
      <c r="W298" s="112"/>
    </row>
    <row r="299" spans="6:23">
      <c r="H299" s="130" t="str">
        <f>_xlfn.CONCAT(I$291,J299)</f>
        <v>MagiEar</v>
      </c>
      <c r="I299" s="520"/>
      <c r="J299" s="144" t="s">
        <v>49</v>
      </c>
      <c r="K299" s="136" t="str" cm="1">
        <f t="array" ref="K299">IF(COUNTIF($B$28:$E$28, K$2)&gt;0, _xlfn.IFS(COUNTIF($B$28:$C$28, K$2)&gt;0, VLOOKUP($J299,'Gear Values'!$A$2:$E$13, IF(COUNTBLANK('Attributes &amp; Prefixes'!$B$28:$C$28)&gt;0, "2", "3"), 0), COUNTIF($D$28:$E$28, K$2)&gt;0, VLOOKUP($J299,'Gear Values'!$A$2:$E$13, IF(COUNTBLANK('Attributes &amp; Prefixes'!$B$28:$C$28)&gt;0, "4", "5"), 0)), "")</f>
        <v/>
      </c>
      <c r="L299" s="137" cm="1">
        <f t="array" ref="L299">IF(COUNTIF($B$28:$E$28, L$2)&gt;0, _xlfn.IFS(COUNTIF($B$28:$C$28, L$2)&gt;0, VLOOKUP($J299,'Gear Values'!$A$2:$E$13, IF(COUNTBLANK('Attributes &amp; Prefixes'!$B$28:$C$28)&gt;0, "2", "3"), 0), COUNTIF($D$28:$E$28, L$2)&gt;0, VLOOKUP($J299,'Gear Values'!$A$2:$E$13, IF(COUNTBLANK('Attributes &amp; Prefixes'!$B$28:$C$28)&gt;0, "4", "5"), 0)), "")</f>
        <v>53</v>
      </c>
      <c r="M299" s="137" t="str" cm="1">
        <f t="array" ref="M299">IF(COUNTIF($B$28:$E$28, M$2)&gt;0, _xlfn.IFS(COUNTIF($B$28:$C$28, M$2)&gt;0, VLOOKUP($J299,'Gear Values'!$A$2:$E$13, IF(COUNTBLANK('Attributes &amp; Prefixes'!$B$28:$C$28)&gt;0, "2", "3"), 0), COUNTIF($D$28:$E$28, M$2)&gt;0, VLOOKUP($J299,'Gear Values'!$A$2:$E$13, IF(COUNTBLANK('Attributes &amp; Prefixes'!$B$28:$C$28)&gt;0, "4", "5"), 0)), "")</f>
        <v/>
      </c>
      <c r="N299" s="137" cm="1">
        <f t="array" ref="N299">IF(COUNTIF($B$28:$E$28, N$2)&gt;0, _xlfn.IFS(COUNTIF($B$28:$C$28, N$2)&gt;0, VLOOKUP($J299,'Gear Values'!$A$2:$E$13, IF(COUNTBLANK('Attributes &amp; Prefixes'!$B$28:$C$28)&gt;0, "2", "3"), 0), COUNTIF($D$28:$E$28, N$2)&gt;0, VLOOKUP($J299,'Gear Values'!$A$2:$E$13, IF(COUNTBLANK('Attributes &amp; Prefixes'!$B$28:$C$28)&gt;0, "4", "5"), 0)), "")</f>
        <v>53</v>
      </c>
      <c r="O299" s="137" t="str" cm="1">
        <f t="array" ref="O299">IF(COUNTIF($B$28:$E$28, O$2)&gt;0, _xlfn.IFS(COUNTIF($B$28:$C$28, O$2)&gt;0, VLOOKUP($J299,'Gear Values'!$A$2:$E$13, IF(COUNTBLANK('Attributes &amp; Prefixes'!$B$28:$C$28)&gt;0, "2", "3"), 0), COUNTIF($D$28:$E$28, O$2)&gt;0, VLOOKUP($J299,'Gear Values'!$A$2:$E$13, IF(COUNTBLANK('Attributes &amp; Prefixes'!$B$28:$C$28)&gt;0, "4", "5"), 0)), "")</f>
        <v/>
      </c>
      <c r="P299" s="137" t="str" cm="1">
        <f t="array" ref="P299">IF(COUNTIF($B$28:$E$28, P$2)&gt;0, _xlfn.IFS(COUNTIF($B$28:$C$28, P$2)&gt;0, VLOOKUP($J299,'Gear Values'!$A$2:$E$13, IF(COUNTBLANK('Attributes &amp; Prefixes'!$B$28:$C$28)&gt;0, "2", "3"), 0), COUNTIF($D$28:$E$28, P$2)&gt;0, VLOOKUP($J299,'Gear Values'!$A$2:$E$13, IF(COUNTBLANK('Attributes &amp; Prefixes'!$B$28:$C$28)&gt;0, "4", "5"), 0)), "")</f>
        <v/>
      </c>
      <c r="Q299" s="137" t="str" cm="1">
        <f t="array" ref="Q299">IF(COUNTIF($B$28:$E$28, Q$2)&gt;0, _xlfn.IFS(COUNTIF($B$28:$C$28, Q$2)&gt;0, VLOOKUP($J299,'Gear Values'!$A$2:$E$13, IF(COUNTBLANK('Attributes &amp; Prefixes'!$B$28:$C$28)&gt;0, "2", "3"), 0), COUNTIF($D$28:$E$28, Q$2)&gt;0, VLOOKUP($J299,'Gear Values'!$A$2:$E$13, IF(COUNTBLANK('Attributes &amp; Prefixes'!$B$28:$C$28)&gt;0, "4", "5"), 0)), "")</f>
        <v/>
      </c>
      <c r="R299" s="137" t="str" cm="1">
        <f t="array" ref="R299">IF(COUNTIF($B$28:$E$28, R$2)&gt;0, _xlfn.IFS(COUNTIF($B$28:$C$28, R$2)&gt;0, VLOOKUP($J299,'Gear Values'!$A$2:$E$13, IF(COUNTBLANK('Attributes &amp; Prefixes'!$B$28:$C$28)&gt;0, "2", "3"), 0), COUNTIF($D$28:$E$28, R$2)&gt;0, VLOOKUP($J299,'Gear Values'!$A$2:$E$13, IF(COUNTBLANK('Attributes &amp; Prefixes'!$B$28:$C$28)&gt;0, "4", "5"), 0)), "")</f>
        <v/>
      </c>
      <c r="S299" s="138" cm="1">
        <f t="array" ref="S299">IF(COUNTIF($B$28:$E$28, S$2)&gt;0, _xlfn.IFS(COUNTIF($B$28:$C$28, S$2)&gt;0, VLOOKUP($J299,'Gear Values'!$A$2:$E$13, IF(COUNTBLANK('Attributes &amp; Prefixes'!$B$28:$C$28)&gt;0, "2", "3"), 0), COUNTIF($D$28:$E$28, S$2)&gt;0, VLOOKUP($J299,'Gear Values'!$A$2:$E$13, IF(COUNTBLANK('Attributes &amp; Prefixes'!$B$28:$C$28)&gt;0, "4", "5"), 0)), "")</f>
        <v>75</v>
      </c>
      <c r="V299" s="112"/>
      <c r="W299" s="112"/>
    </row>
    <row r="300" spans="6:23">
      <c r="H300" s="130" t="str">
        <f>_xlfn.CONCAT(I$291,J300)</f>
        <v>MagiFinger</v>
      </c>
      <c r="I300" s="520"/>
      <c r="J300" s="144" t="s">
        <v>51</v>
      </c>
      <c r="K300" s="136" t="str" cm="1">
        <f t="array" ref="K300">IF(COUNTIF($B$28:$E$28, K$2)&gt;0, _xlfn.IFS(COUNTIF($B$28:$C$28, K$2)&gt;0, VLOOKUP($J300,'Gear Values'!$A$2:$E$13, IF(COUNTBLANK('Attributes &amp; Prefixes'!$B$28:$C$28)&gt;0, "2", "3"), 0), COUNTIF($D$28:$E$28, K$2)&gt;0, VLOOKUP($J300,'Gear Values'!$A$2:$E$13, IF(COUNTBLANK('Attributes &amp; Prefixes'!$B$28:$C$28)&gt;0, "4", "5"), 0)), "")</f>
        <v/>
      </c>
      <c r="L300" s="137" cm="1">
        <f t="array" ref="L300">IF(COUNTIF($B$28:$E$28, L$2)&gt;0, _xlfn.IFS(COUNTIF($B$28:$C$28, L$2)&gt;0, VLOOKUP($J300,'Gear Values'!$A$2:$E$13, IF(COUNTBLANK('Attributes &amp; Prefixes'!$B$28:$C$28)&gt;0, "2", "3"), 0), COUNTIF($D$28:$E$28, L$2)&gt;0, VLOOKUP($J300,'Gear Values'!$A$2:$E$13, IF(COUNTBLANK('Attributes &amp; Prefixes'!$B$28:$C$28)&gt;0, "4", "5"), 0)), "")</f>
        <v>64</v>
      </c>
      <c r="M300" s="137" t="str" cm="1">
        <f t="array" ref="M300">IF(COUNTIF($B$28:$E$28, M$2)&gt;0, _xlfn.IFS(COUNTIF($B$28:$C$28, M$2)&gt;0, VLOOKUP($J300,'Gear Values'!$A$2:$E$13, IF(COUNTBLANK('Attributes &amp; Prefixes'!$B$28:$C$28)&gt;0, "2", "3"), 0), COUNTIF($D$28:$E$28, M$2)&gt;0, VLOOKUP($J300,'Gear Values'!$A$2:$E$13, IF(COUNTBLANK('Attributes &amp; Prefixes'!$B$28:$C$28)&gt;0, "4", "5"), 0)), "")</f>
        <v/>
      </c>
      <c r="N300" s="137" cm="1">
        <f t="array" ref="N300">IF(COUNTIF($B$28:$E$28, N$2)&gt;0, _xlfn.IFS(COUNTIF($B$28:$C$28, N$2)&gt;0, VLOOKUP($J300,'Gear Values'!$A$2:$E$13, IF(COUNTBLANK('Attributes &amp; Prefixes'!$B$28:$C$28)&gt;0, "2", "3"), 0), COUNTIF($D$28:$E$28, N$2)&gt;0, VLOOKUP($J300,'Gear Values'!$A$2:$E$13, IF(COUNTBLANK('Attributes &amp; Prefixes'!$B$28:$C$28)&gt;0, "4", "5"), 0)), "")</f>
        <v>64</v>
      </c>
      <c r="O300" s="137" t="str" cm="1">
        <f t="array" ref="O300">IF(COUNTIF($B$28:$E$28, O$2)&gt;0, _xlfn.IFS(COUNTIF($B$28:$C$28, O$2)&gt;0, VLOOKUP($J300,'Gear Values'!$A$2:$E$13, IF(COUNTBLANK('Attributes &amp; Prefixes'!$B$28:$C$28)&gt;0, "2", "3"), 0), COUNTIF($D$28:$E$28, O$2)&gt;0, VLOOKUP($J300,'Gear Values'!$A$2:$E$13, IF(COUNTBLANK('Attributes &amp; Prefixes'!$B$28:$C$28)&gt;0, "4", "5"), 0)), "")</f>
        <v/>
      </c>
      <c r="P300" s="137" t="str" cm="1">
        <f t="array" ref="P300">IF(COUNTIF($B$28:$E$28, P$2)&gt;0, _xlfn.IFS(COUNTIF($B$28:$C$28, P$2)&gt;0, VLOOKUP($J300,'Gear Values'!$A$2:$E$13, IF(COUNTBLANK('Attributes &amp; Prefixes'!$B$28:$C$28)&gt;0, "2", "3"), 0), COUNTIF($D$28:$E$28, P$2)&gt;0, VLOOKUP($J300,'Gear Values'!$A$2:$E$13, IF(COUNTBLANK('Attributes &amp; Prefixes'!$B$28:$C$28)&gt;0, "4", "5"), 0)), "")</f>
        <v/>
      </c>
      <c r="Q300" s="137" t="str" cm="1">
        <f t="array" ref="Q300">IF(COUNTIF($B$28:$E$28, Q$2)&gt;0, _xlfn.IFS(COUNTIF($B$28:$C$28, Q$2)&gt;0, VLOOKUP($J300,'Gear Values'!$A$2:$E$13, IF(COUNTBLANK('Attributes &amp; Prefixes'!$B$28:$C$28)&gt;0, "2", "3"), 0), COUNTIF($D$28:$E$28, Q$2)&gt;0, VLOOKUP($J300,'Gear Values'!$A$2:$E$13, IF(COUNTBLANK('Attributes &amp; Prefixes'!$B$28:$C$28)&gt;0, "4", "5"), 0)), "")</f>
        <v/>
      </c>
      <c r="R300" s="137" t="str" cm="1">
        <f t="array" ref="R300">IF(COUNTIF($B$28:$E$28, R$2)&gt;0, _xlfn.IFS(COUNTIF($B$28:$C$28, R$2)&gt;0, VLOOKUP($J300,'Gear Values'!$A$2:$E$13, IF(COUNTBLANK('Attributes &amp; Prefixes'!$B$28:$C$28)&gt;0, "2", "3"), 0), COUNTIF($D$28:$E$28, R$2)&gt;0, VLOOKUP($J300,'Gear Values'!$A$2:$E$13, IF(COUNTBLANK('Attributes &amp; Prefixes'!$B$28:$C$28)&gt;0, "4", "5"), 0)), "")</f>
        <v/>
      </c>
      <c r="S300" s="138" cm="1">
        <f t="array" ref="S300">IF(COUNTIF($B$28:$E$28, S$2)&gt;0, _xlfn.IFS(COUNTIF($B$28:$C$28, S$2)&gt;0, VLOOKUP($J300,'Gear Values'!$A$2:$E$13, IF(COUNTBLANK('Attributes &amp; Prefixes'!$B$28:$C$28)&gt;0, "2", "3"), 0), COUNTIF($D$28:$E$28, S$2)&gt;0, VLOOKUP($J300,'Gear Values'!$A$2:$E$13, IF(COUNTBLANK('Attributes &amp; Prefixes'!$B$28:$C$28)&gt;0, "4", "5"), 0)), "")</f>
        <v>90</v>
      </c>
      <c r="V300" s="112"/>
      <c r="W300" s="112"/>
    </row>
    <row r="301" spans="6:23">
      <c r="H301" s="130" t="str">
        <f>_xlfn.CONCAT(I$291,J301)</f>
        <v>MagiNeck</v>
      </c>
      <c r="I301" s="520"/>
      <c r="J301" s="144" t="s">
        <v>52</v>
      </c>
      <c r="K301" s="136" t="str" cm="1">
        <f t="array" ref="K301">IF(COUNTIF($B$28:$E$28, K$2)&gt;0, _xlfn.IFS(COUNTIF($B$28:$C$28, K$2)&gt;0, VLOOKUP($J301,'Gear Values'!$A$2:$E$13, IF(COUNTBLANK('Attributes &amp; Prefixes'!$B$28:$C$28)&gt;0, "2", "3"), 0), COUNTIF($D$28:$E$28, K$2)&gt;0, VLOOKUP($J301,'Gear Values'!$A$2:$E$13, IF(COUNTBLANK('Attributes &amp; Prefixes'!$B$28:$C$28)&gt;0, "4", "5"), 0)), "")</f>
        <v/>
      </c>
      <c r="L301" s="137" cm="1">
        <f t="array" ref="L301">IF(COUNTIF($B$28:$E$28, L$2)&gt;0, _xlfn.IFS(COUNTIF($B$28:$C$28, L$2)&gt;0, VLOOKUP($J301,'Gear Values'!$A$2:$E$13, IF(COUNTBLANK('Attributes &amp; Prefixes'!$B$28:$C$28)&gt;0, "2", "3"), 0), COUNTIF($D$28:$E$28, L$2)&gt;0, VLOOKUP($J301,'Gear Values'!$A$2:$E$13, IF(COUNTBLANK('Attributes &amp; Prefixes'!$B$28:$C$28)&gt;0, "4", "5"), 0)), "")</f>
        <v>85</v>
      </c>
      <c r="M301" s="137" t="str" cm="1">
        <f t="array" ref="M301">IF(COUNTIF($B$28:$E$28, M$2)&gt;0, _xlfn.IFS(COUNTIF($B$28:$C$28, M$2)&gt;0, VLOOKUP($J301,'Gear Values'!$A$2:$E$13, IF(COUNTBLANK('Attributes &amp; Prefixes'!$B$28:$C$28)&gt;0, "2", "3"), 0), COUNTIF($D$28:$E$28, M$2)&gt;0, VLOOKUP($J301,'Gear Values'!$A$2:$E$13, IF(COUNTBLANK('Attributes &amp; Prefixes'!$B$28:$C$28)&gt;0, "4", "5"), 0)), "")</f>
        <v/>
      </c>
      <c r="N301" s="137" cm="1">
        <f t="array" ref="N301">IF(COUNTIF($B$28:$E$28, N$2)&gt;0, _xlfn.IFS(COUNTIF($B$28:$C$28, N$2)&gt;0, VLOOKUP($J301,'Gear Values'!$A$2:$E$13, IF(COUNTBLANK('Attributes &amp; Prefixes'!$B$28:$C$28)&gt;0, "2", "3"), 0), COUNTIF($D$28:$E$28, N$2)&gt;0, VLOOKUP($J301,'Gear Values'!$A$2:$E$13, IF(COUNTBLANK('Attributes &amp; Prefixes'!$B$28:$C$28)&gt;0, "4", "5"), 0)), "")</f>
        <v>85</v>
      </c>
      <c r="O301" s="137" t="str" cm="1">
        <f t="array" ref="O301">IF(COUNTIF($B$28:$E$28, O$2)&gt;0, _xlfn.IFS(COUNTIF($B$28:$C$28, O$2)&gt;0, VLOOKUP($J301,'Gear Values'!$A$2:$E$13, IF(COUNTBLANK('Attributes &amp; Prefixes'!$B$28:$C$28)&gt;0, "2", "3"), 0), COUNTIF($D$28:$E$28, O$2)&gt;0, VLOOKUP($J301,'Gear Values'!$A$2:$E$13, IF(COUNTBLANK('Attributes &amp; Prefixes'!$B$28:$C$28)&gt;0, "4", "5"), 0)), "")</f>
        <v/>
      </c>
      <c r="P301" s="137" t="str" cm="1">
        <f t="array" ref="P301">IF(COUNTIF($B$28:$E$28, P$2)&gt;0, _xlfn.IFS(COUNTIF($B$28:$C$28, P$2)&gt;0, VLOOKUP($J301,'Gear Values'!$A$2:$E$13, IF(COUNTBLANK('Attributes &amp; Prefixes'!$B$28:$C$28)&gt;0, "2", "3"), 0), COUNTIF($D$28:$E$28, P$2)&gt;0, VLOOKUP($J301,'Gear Values'!$A$2:$E$13, IF(COUNTBLANK('Attributes &amp; Prefixes'!$B$28:$C$28)&gt;0, "4", "5"), 0)), "")</f>
        <v/>
      </c>
      <c r="Q301" s="137" t="str" cm="1">
        <f t="array" ref="Q301">IF(COUNTIF($B$28:$E$28, Q$2)&gt;0, _xlfn.IFS(COUNTIF($B$28:$C$28, Q$2)&gt;0, VLOOKUP($J301,'Gear Values'!$A$2:$E$13, IF(COUNTBLANK('Attributes &amp; Prefixes'!$B$28:$C$28)&gt;0, "2", "3"), 0), COUNTIF($D$28:$E$28, Q$2)&gt;0, VLOOKUP($J301,'Gear Values'!$A$2:$E$13, IF(COUNTBLANK('Attributes &amp; Prefixes'!$B$28:$C$28)&gt;0, "4", "5"), 0)), "")</f>
        <v/>
      </c>
      <c r="R301" s="137" t="str" cm="1">
        <f t="array" ref="R301">IF(COUNTIF($B$28:$E$28, R$2)&gt;0, _xlfn.IFS(COUNTIF($B$28:$C$28, R$2)&gt;0, VLOOKUP($J301,'Gear Values'!$A$2:$E$13, IF(COUNTBLANK('Attributes &amp; Prefixes'!$B$28:$C$28)&gt;0, "2", "3"), 0), COUNTIF($D$28:$E$28, R$2)&gt;0, VLOOKUP($J301,'Gear Values'!$A$2:$E$13, IF(COUNTBLANK('Attributes &amp; Prefixes'!$B$28:$C$28)&gt;0, "4", "5"), 0)), "")</f>
        <v/>
      </c>
      <c r="S301" s="138" cm="1">
        <f t="array" ref="S301">IF(COUNTIF($B$28:$E$28, S$2)&gt;0, _xlfn.IFS(COUNTIF($B$28:$C$28, S$2)&gt;0, VLOOKUP($J301,'Gear Values'!$A$2:$E$13, IF(COUNTBLANK('Attributes &amp; Prefixes'!$B$28:$C$28)&gt;0, "2", "3"), 0), COUNTIF($D$28:$E$28, S$2)&gt;0, VLOOKUP($J301,'Gear Values'!$A$2:$E$13, IF(COUNTBLANK('Attributes &amp; Prefixes'!$B$28:$C$28)&gt;0, "4", "5"), 0)), "")</f>
        <v>120</v>
      </c>
      <c r="V301" s="112"/>
      <c r="W301" s="112"/>
    </row>
    <row r="302" spans="6:23">
      <c r="F302" s="114"/>
      <c r="G302" s="114"/>
      <c r="H302" s="130" t="str">
        <f>_xlfn.CONCAT(I$291,J302)</f>
        <v>MagiBack</v>
      </c>
      <c r="I302" s="521"/>
      <c r="J302" s="146" t="s">
        <v>53</v>
      </c>
      <c r="K302" s="147" t="str" cm="1">
        <f t="array" ref="K302">IF(COUNTIF($B$28:$E$28, K$2)&gt;0, _xlfn.IFS(COUNTIF($B$28:$C$28, K$2)&gt;0, VLOOKUP($J302,'Gear Values'!$A$2:$E$13, IF(COUNTBLANK('Attributes &amp; Prefixes'!$B$28:$C$28)&gt;0, "2", "3"), 0), COUNTIF($D$28:$E$28, K$2)&gt;0, VLOOKUP($J302,'Gear Values'!$A$2:$E$13, IF(COUNTBLANK('Attributes &amp; Prefixes'!$B$28:$C$28)&gt;0, "4", "5"), 0)), "")</f>
        <v/>
      </c>
      <c r="L302" s="148" cm="1">
        <f t="array" ref="L302">IF(COUNTIF($B$28:$E$28, L$2)&gt;0, _xlfn.IFS(COUNTIF($B$28:$C$28, L$2)&gt;0, VLOOKUP($J302,'Gear Values'!$A$2:$E$13, IF(COUNTBLANK('Attributes &amp; Prefixes'!$B$28:$C$28)&gt;0, "2", "3"), 0), COUNTIF($D$28:$E$28, L$2)&gt;0, VLOOKUP($J302,'Gear Values'!$A$2:$E$13, IF(COUNTBLANK('Attributes &amp; Prefixes'!$B$28:$C$28)&gt;0, "4", "5"), 0)), "")</f>
        <v>18</v>
      </c>
      <c r="M302" s="148" t="str" cm="1">
        <f t="array" ref="M302">IF(COUNTIF($B$28:$E$28, M$2)&gt;0, _xlfn.IFS(COUNTIF($B$28:$C$28, M$2)&gt;0, VLOOKUP($J302,'Gear Values'!$A$2:$E$13, IF(COUNTBLANK('Attributes &amp; Prefixes'!$B$28:$C$28)&gt;0, "2", "3"), 0), COUNTIF($D$28:$E$28, M$2)&gt;0, VLOOKUP($J302,'Gear Values'!$A$2:$E$13, IF(COUNTBLANK('Attributes &amp; Prefixes'!$B$28:$C$28)&gt;0, "4", "5"), 0)), "")</f>
        <v/>
      </c>
      <c r="N302" s="148" cm="1">
        <f t="array" ref="N302">IF(COUNTIF($B$28:$E$28, N$2)&gt;0, _xlfn.IFS(COUNTIF($B$28:$C$28, N$2)&gt;0, VLOOKUP($J302,'Gear Values'!$A$2:$E$13, IF(COUNTBLANK('Attributes &amp; Prefixes'!$B$28:$C$28)&gt;0, "2", "3"), 0), COUNTIF($D$28:$E$28, N$2)&gt;0, VLOOKUP($J302,'Gear Values'!$A$2:$E$13, IF(COUNTBLANK('Attributes &amp; Prefixes'!$B$28:$C$28)&gt;0, "4", "5"), 0)), "")</f>
        <v>18</v>
      </c>
      <c r="O302" s="148" t="str" cm="1">
        <f t="array" ref="O302">IF(COUNTIF($B$28:$E$28, O$2)&gt;0, _xlfn.IFS(COUNTIF($B$28:$C$28, O$2)&gt;0, VLOOKUP($J302,'Gear Values'!$A$2:$E$13, IF(COUNTBLANK('Attributes &amp; Prefixes'!$B$28:$C$28)&gt;0, "2", "3"), 0), COUNTIF($D$28:$E$28, O$2)&gt;0, VLOOKUP($J302,'Gear Values'!$A$2:$E$13, IF(COUNTBLANK('Attributes &amp; Prefixes'!$B$28:$C$28)&gt;0, "4", "5"), 0)), "")</f>
        <v/>
      </c>
      <c r="P302" s="148" t="str" cm="1">
        <f t="array" ref="P302">IF(COUNTIF($B$28:$E$28, P$2)&gt;0, _xlfn.IFS(COUNTIF($B$28:$C$28, P$2)&gt;0, VLOOKUP($J302,'Gear Values'!$A$2:$E$13, IF(COUNTBLANK('Attributes &amp; Prefixes'!$B$28:$C$28)&gt;0, "2", "3"), 0), COUNTIF($D$28:$E$28, P$2)&gt;0, VLOOKUP($J302,'Gear Values'!$A$2:$E$13, IF(COUNTBLANK('Attributes &amp; Prefixes'!$B$28:$C$28)&gt;0, "4", "5"), 0)), "")</f>
        <v/>
      </c>
      <c r="Q302" s="148" t="str" cm="1">
        <f t="array" ref="Q302">IF(COUNTIF($B$28:$E$28, Q$2)&gt;0, _xlfn.IFS(COUNTIF($B$28:$C$28, Q$2)&gt;0, VLOOKUP($J302,'Gear Values'!$A$2:$E$13, IF(COUNTBLANK('Attributes &amp; Prefixes'!$B$28:$C$28)&gt;0, "2", "3"), 0), COUNTIF($D$28:$E$28, Q$2)&gt;0, VLOOKUP($J302,'Gear Values'!$A$2:$E$13, IF(COUNTBLANK('Attributes &amp; Prefixes'!$B$28:$C$28)&gt;0, "4", "5"), 0)), "")</f>
        <v/>
      </c>
      <c r="R302" s="148" t="str" cm="1">
        <f t="array" ref="R302">IF(COUNTIF($B$28:$E$28, R$2)&gt;0, _xlfn.IFS(COUNTIF($B$28:$C$28, R$2)&gt;0, VLOOKUP($J302,'Gear Values'!$A$2:$E$13, IF(COUNTBLANK('Attributes &amp; Prefixes'!$B$28:$C$28)&gt;0, "2", "3"), 0), COUNTIF($D$28:$E$28, R$2)&gt;0, VLOOKUP($J302,'Gear Values'!$A$2:$E$13, IF(COUNTBLANK('Attributes &amp; Prefixes'!$B$28:$C$28)&gt;0, "4", "5"), 0)), "")</f>
        <v/>
      </c>
      <c r="S302" s="150" cm="1">
        <f t="array" ref="S302">IF(COUNTIF($B$28:$E$28, S$2)&gt;0, _xlfn.IFS(COUNTIF($B$28:$C$28, S$2)&gt;0, VLOOKUP($J302,'Gear Values'!$A$2:$E$13, IF(COUNTBLANK('Attributes &amp; Prefixes'!$B$28:$C$28)&gt;0, "2", "3"), 0), COUNTIF($D$28:$E$28, S$2)&gt;0, VLOOKUP($J302,'Gear Values'!$A$2:$E$13, IF(COUNTBLANK('Attributes &amp; Prefixes'!$B$28:$C$28)&gt;0, "4", "5"), 0)), "")</f>
        <v>32</v>
      </c>
      <c r="V302" s="112"/>
      <c r="W302" s="112"/>
    </row>
    <row r="303" spans="6:23">
      <c r="F303" s="114"/>
      <c r="G303" s="114"/>
      <c r="H303" s="130" t="str">
        <f>_xlfn.CONCAT(I$303,J303)</f>
        <v>MarauderWeapon (1H)</v>
      </c>
      <c r="I303" s="519" t="str">
        <f>A29</f>
        <v>Marauder</v>
      </c>
      <c r="J303" s="145" t="s">
        <v>37</v>
      </c>
      <c r="K303" s="133" cm="1">
        <f t="array" ref="K303">IF(COUNTIF($B$29:$E$29, K$2)&gt;0, _xlfn.IFS(COUNTIF($B$29:$C$29, K$2)&gt;0, VLOOKUP($J303,'Gear Values'!$A$2:$E$13, IF(COUNTBLANK('Attributes &amp; Prefixes'!$B$29:$C$29)&gt;0, "2", "3"), 0), COUNTIF($D$29:$E$29, K$2)&gt;0, VLOOKUP($J303,'Gear Values'!$A$2:$E$13, IF(COUNTBLANK('Attributes &amp; Prefixes'!$B$29:$C$29)&gt;0, "4", "5"), 0)), "")</f>
        <v>102</v>
      </c>
      <c r="L303" s="134" cm="1">
        <f t="array" ref="L303">IF(COUNTIF($B$29:$E$29, L$2)&gt;0, _xlfn.IFS(COUNTIF($B$29:$C$29, L$2)&gt;0, VLOOKUP($J303,'Gear Values'!$A$2:$E$13, IF(COUNTBLANK('Attributes &amp; Prefixes'!$B$29:$C$29)&gt;0, "2", "3"), 0), COUNTIF($D$29:$E$29, L$2)&gt;0, VLOOKUP($J303,'Gear Values'!$A$2:$E$13, IF(COUNTBLANK('Attributes &amp; Prefixes'!$B$29:$C$29)&gt;0, "4", "5"), 0)), "")</f>
        <v>102</v>
      </c>
      <c r="M303" s="134" t="str" cm="1">
        <f t="array" ref="M303">IF(COUNTIF($B$29:$E$29, M$2)&gt;0, _xlfn.IFS(COUNTIF($B$29:$C$29, M$2)&gt;0, VLOOKUP($J303,'Gear Values'!$A$2:$E$13, IF(COUNTBLANK('Attributes &amp; Prefixes'!$B$29:$C$29)&gt;0, "2", "3"), 0), COUNTIF($D$29:$E$29, M$2)&gt;0, VLOOKUP($J303,'Gear Values'!$A$2:$E$13, IF(COUNTBLANK('Attributes &amp; Prefixes'!$B$29:$C$29)&gt;0, "4", "5"), 0)), "")</f>
        <v/>
      </c>
      <c r="N303" s="134" cm="1">
        <f t="array" ref="N303">IF(COUNTIF($B$29:$E$29, N$2)&gt;0, _xlfn.IFS(COUNTIF($B$29:$C$29, N$2)&gt;0, VLOOKUP($J303,'Gear Values'!$A$2:$E$13, IF(COUNTBLANK('Attributes &amp; Prefixes'!$B$29:$C$29)&gt;0, "2", "3"), 0), COUNTIF($D$29:$E$29, N$2)&gt;0, VLOOKUP($J303,'Gear Values'!$A$2:$E$13, IF(COUNTBLANK('Attributes &amp; Prefixes'!$B$29:$C$29)&gt;0, "4", "5"), 0)), "")</f>
        <v>56</v>
      </c>
      <c r="O303" s="134" t="str" cm="1">
        <f t="array" ref="O303">IF(COUNTIF($B$29:$E$29, O$2)&gt;0, _xlfn.IFS(COUNTIF($B$29:$C$29, O$2)&gt;0, VLOOKUP($J303,'Gear Values'!$A$2:$E$13, IF(COUNTBLANK('Attributes &amp; Prefixes'!$B$29:$C$29)&gt;0, "2", "3"), 0), COUNTIF($D$29:$E$29, O$2)&gt;0, VLOOKUP($J303,'Gear Values'!$A$2:$E$13, IF(COUNTBLANK('Attributes &amp; Prefixes'!$B$29:$C$29)&gt;0, "4", "5"), 0)), "")</f>
        <v/>
      </c>
      <c r="P303" s="134" t="str" cm="1">
        <f t="array" ref="P303">IF(COUNTIF($B$29:$E$29, P$2)&gt;0, _xlfn.IFS(COUNTIF($B$29:$C$29, P$2)&gt;0, VLOOKUP($J303,'Gear Values'!$A$2:$E$13, IF(COUNTBLANK('Attributes &amp; Prefixes'!$B$29:$C$29)&gt;0, "2", "3"), 0), COUNTIF($D$29:$E$29, P$2)&gt;0, VLOOKUP($J303,'Gear Values'!$A$2:$E$13, IF(COUNTBLANK('Attributes &amp; Prefixes'!$B$29:$C$29)&gt;0, "4", "5"), 0)), "")</f>
        <v/>
      </c>
      <c r="Q303" s="134" t="str" cm="1">
        <f t="array" ref="Q303">IF(COUNTIF($B$29:$E$29, Q$2)&gt;0, _xlfn.IFS(COUNTIF($B$29:$C$29, Q$2)&gt;0, VLOOKUP($J303,'Gear Values'!$A$2:$E$13, IF(COUNTBLANK('Attributes &amp; Prefixes'!$B$29:$C$29)&gt;0, "2", "3"), 0), COUNTIF($D$29:$E$29, Q$2)&gt;0, VLOOKUP($J303,'Gear Values'!$A$2:$E$13, IF(COUNTBLANK('Attributes &amp; Prefixes'!$B$29:$C$29)&gt;0, "4", "5"), 0)), "")</f>
        <v/>
      </c>
      <c r="R303" s="134" cm="1">
        <f t="array" ref="R303">IF(COUNTIF($B$29:$E$29, R$2)&gt;0, _xlfn.IFS(COUNTIF($B$29:$C$29, R$2)&gt;0, VLOOKUP($J303,'Gear Values'!$A$2:$E$13, IF(COUNTBLANK('Attributes &amp; Prefixes'!$B$29:$C$29)&gt;0, "2", "3"), 0), COUNTIF($D$29:$E$29, R$2)&gt;0, VLOOKUP($J303,'Gear Values'!$A$2:$E$13, IF(COUNTBLANK('Attributes &amp; Prefixes'!$B$29:$C$29)&gt;0, "4", "5"), 0)), "")</f>
        <v>56</v>
      </c>
      <c r="S303" s="135" t="str" cm="1">
        <f t="array" ref="S303">IF(COUNTIF($B$29:$E$29, S$2)&gt;0, _xlfn.IFS(COUNTIF($B$29:$C$29, S$2)&gt;0, VLOOKUP($J303,'Gear Values'!$A$2:$E$13, IF(COUNTBLANK('Attributes &amp; Prefixes'!$B$29:$C$29)&gt;0, "2", "3"), 0), COUNTIF($D$29:$E$29, S$2)&gt;0, VLOOKUP($J303,'Gear Values'!$A$2:$E$13, IF(COUNTBLANK('Attributes &amp; Prefixes'!$B$29:$C$29)&gt;0, "4", "5"), 0)), "")</f>
        <v/>
      </c>
      <c r="V303" s="112"/>
      <c r="W303" s="112"/>
    </row>
    <row r="304" spans="6:23">
      <c r="F304" s="114"/>
      <c r="G304" s="114"/>
      <c r="H304" s="130" t="str">
        <f>_xlfn.CONCAT(I$303,J304)</f>
        <v>MarauderWeapon (2H)</v>
      </c>
      <c r="I304" s="520"/>
      <c r="J304" s="144" t="s">
        <v>39</v>
      </c>
      <c r="K304" s="136" cm="1">
        <f t="array" ref="K304">IF(COUNTIF($B$29:$E$29, K$2)&gt;0, _xlfn.IFS(COUNTIF($B$29:$C$29, K$2)&gt;0, VLOOKUP($J304,'Gear Values'!$A$2:$E$13, IF(COUNTBLANK('Attributes &amp; Prefixes'!$B$29:$C$29)&gt;0, "2", "3"), 0), COUNTIF($D$29:$E$29, K$2)&gt;0, VLOOKUP($J304,'Gear Values'!$A$2:$E$13, IF(COUNTBLANK('Attributes &amp; Prefixes'!$B$29:$C$29)&gt;0, "4", "5"), 0)), "")</f>
        <v>205</v>
      </c>
      <c r="L304" s="137" cm="1">
        <f t="array" ref="L304">IF(COUNTIF($B$29:$E$29, L$2)&gt;0, _xlfn.IFS(COUNTIF($B$29:$C$29, L$2)&gt;0, VLOOKUP($J304,'Gear Values'!$A$2:$E$13, IF(COUNTBLANK('Attributes &amp; Prefixes'!$B$29:$C$29)&gt;0, "2", "3"), 0), COUNTIF($D$29:$E$29, L$2)&gt;0, VLOOKUP($J304,'Gear Values'!$A$2:$E$13, IF(COUNTBLANK('Attributes &amp; Prefixes'!$B$29:$C$29)&gt;0, "4", "5"), 0)), "")</f>
        <v>205</v>
      </c>
      <c r="M304" s="137" t="str" cm="1">
        <f t="array" ref="M304">IF(COUNTIF($B$29:$E$29, M$2)&gt;0, _xlfn.IFS(COUNTIF($B$29:$C$29, M$2)&gt;0, VLOOKUP($J304,'Gear Values'!$A$2:$E$13, IF(COUNTBLANK('Attributes &amp; Prefixes'!$B$29:$C$29)&gt;0, "2", "3"), 0), COUNTIF($D$29:$E$29, M$2)&gt;0, VLOOKUP($J304,'Gear Values'!$A$2:$E$13, IF(COUNTBLANK('Attributes &amp; Prefixes'!$B$29:$C$29)&gt;0, "4", "5"), 0)), "")</f>
        <v/>
      </c>
      <c r="N304" s="137" cm="1">
        <f t="array" ref="N304">IF(COUNTIF($B$29:$E$29, N$2)&gt;0, _xlfn.IFS(COUNTIF($B$29:$C$29, N$2)&gt;0, VLOOKUP($J304,'Gear Values'!$A$2:$E$13, IF(COUNTBLANK('Attributes &amp; Prefixes'!$B$29:$C$29)&gt;0, "2", "3"), 0), COUNTIF($D$29:$E$29, N$2)&gt;0, VLOOKUP($J304,'Gear Values'!$A$2:$E$13, IF(COUNTBLANK('Attributes &amp; Prefixes'!$B$29:$C$29)&gt;0, "4", "5"), 0)), "")</f>
        <v>113</v>
      </c>
      <c r="O304" s="137" t="str" cm="1">
        <f t="array" ref="O304">IF(COUNTIF($B$29:$E$29, O$2)&gt;0, _xlfn.IFS(COUNTIF($B$29:$C$29, O$2)&gt;0, VLOOKUP($J304,'Gear Values'!$A$2:$E$13, IF(COUNTBLANK('Attributes &amp; Prefixes'!$B$29:$C$29)&gt;0, "2", "3"), 0), COUNTIF($D$29:$E$29, O$2)&gt;0, VLOOKUP($J304,'Gear Values'!$A$2:$E$13, IF(COUNTBLANK('Attributes &amp; Prefixes'!$B$29:$C$29)&gt;0, "4", "5"), 0)), "")</f>
        <v/>
      </c>
      <c r="P304" s="137" t="str" cm="1">
        <f t="array" ref="P304">IF(COUNTIF($B$29:$E$29, P$2)&gt;0, _xlfn.IFS(COUNTIF($B$29:$C$29, P$2)&gt;0, VLOOKUP($J304,'Gear Values'!$A$2:$E$13, IF(COUNTBLANK('Attributes &amp; Prefixes'!$B$29:$C$29)&gt;0, "2", "3"), 0), COUNTIF($D$29:$E$29, P$2)&gt;0, VLOOKUP($J304,'Gear Values'!$A$2:$E$13, IF(COUNTBLANK('Attributes &amp; Prefixes'!$B$29:$C$29)&gt;0, "4", "5"), 0)), "")</f>
        <v/>
      </c>
      <c r="Q304" s="137" t="str" cm="1">
        <f t="array" ref="Q304">IF(COUNTIF($B$29:$E$29, Q$2)&gt;0, _xlfn.IFS(COUNTIF($B$29:$C$29, Q$2)&gt;0, VLOOKUP($J304,'Gear Values'!$A$2:$E$13, IF(COUNTBLANK('Attributes &amp; Prefixes'!$B$29:$C$29)&gt;0, "2", "3"), 0), COUNTIF($D$29:$E$29, Q$2)&gt;0, VLOOKUP($J304,'Gear Values'!$A$2:$E$13, IF(COUNTBLANK('Attributes &amp; Prefixes'!$B$29:$C$29)&gt;0, "4", "5"), 0)), "")</f>
        <v/>
      </c>
      <c r="R304" s="137" cm="1">
        <f t="array" ref="R304">IF(COUNTIF($B$29:$E$29, R$2)&gt;0, _xlfn.IFS(COUNTIF($B$29:$C$29, R$2)&gt;0, VLOOKUP($J304,'Gear Values'!$A$2:$E$13, IF(COUNTBLANK('Attributes &amp; Prefixes'!$B$29:$C$29)&gt;0, "2", "3"), 0), COUNTIF($D$29:$E$29, R$2)&gt;0, VLOOKUP($J304,'Gear Values'!$A$2:$E$13, IF(COUNTBLANK('Attributes &amp; Prefixes'!$B$29:$C$29)&gt;0, "4", "5"), 0)), "")</f>
        <v>113</v>
      </c>
      <c r="S304" s="138" t="str" cm="1">
        <f t="array" ref="S304">IF(COUNTIF($B$29:$E$29, S$2)&gt;0, _xlfn.IFS(COUNTIF($B$29:$C$29, S$2)&gt;0, VLOOKUP($J304,'Gear Values'!$A$2:$E$13, IF(COUNTBLANK('Attributes &amp; Prefixes'!$B$29:$C$29)&gt;0, "2", "3"), 0), COUNTIF($D$29:$E$29, S$2)&gt;0, VLOOKUP($J304,'Gear Values'!$A$2:$E$13, IF(COUNTBLANK('Attributes &amp; Prefixes'!$B$29:$C$29)&gt;0, "4", "5"), 0)), "")</f>
        <v/>
      </c>
      <c r="V304" s="112"/>
      <c r="W304" s="113"/>
    </row>
    <row r="305" spans="6:23">
      <c r="F305" s="114"/>
      <c r="G305" s="114"/>
      <c r="H305" s="130" t="str">
        <f>_xlfn.CONCAT(I$303,J305)</f>
        <v>MarauderHead</v>
      </c>
      <c r="I305" s="520"/>
      <c r="J305" s="144" t="s">
        <v>40</v>
      </c>
      <c r="K305" s="136" cm="1">
        <f t="array" ref="K305">IF(COUNTIF($B$29:$E$29, K$2)&gt;0, _xlfn.IFS(COUNTIF($B$29:$C$29, K$2)&gt;0, VLOOKUP($J305,'Gear Values'!$A$2:$E$13, IF(COUNTBLANK('Attributes &amp; Prefixes'!$B$29:$C$29)&gt;0, "2", "3"), 0), COUNTIF($D$29:$E$29, K$2)&gt;0, VLOOKUP($J305,'Gear Values'!$A$2:$E$13, IF(COUNTBLANK('Attributes &amp; Prefixes'!$B$29:$C$29)&gt;0, "4", "5"), 0)), "")</f>
        <v>51</v>
      </c>
      <c r="L305" s="137" cm="1">
        <f t="array" ref="L305">IF(COUNTIF($B$29:$E$29, L$2)&gt;0, _xlfn.IFS(COUNTIF($B$29:$C$29, L$2)&gt;0, VLOOKUP($J305,'Gear Values'!$A$2:$E$13, IF(COUNTBLANK('Attributes &amp; Prefixes'!$B$29:$C$29)&gt;0, "2", "3"), 0), COUNTIF($D$29:$E$29, L$2)&gt;0, VLOOKUP($J305,'Gear Values'!$A$2:$E$13, IF(COUNTBLANK('Attributes &amp; Prefixes'!$B$29:$C$29)&gt;0, "4", "5"), 0)), "")</f>
        <v>51</v>
      </c>
      <c r="M305" s="137" t="str" cm="1">
        <f t="array" ref="M305">IF(COUNTIF($B$29:$E$29, M$2)&gt;0, _xlfn.IFS(COUNTIF($B$29:$C$29, M$2)&gt;0, VLOOKUP($J305,'Gear Values'!$A$2:$E$13, IF(COUNTBLANK('Attributes &amp; Prefixes'!$B$29:$C$29)&gt;0, "2", "3"), 0), COUNTIF($D$29:$E$29, M$2)&gt;0, VLOOKUP($J305,'Gear Values'!$A$2:$E$13, IF(COUNTBLANK('Attributes &amp; Prefixes'!$B$29:$C$29)&gt;0, "4", "5"), 0)), "")</f>
        <v/>
      </c>
      <c r="N305" s="137" cm="1">
        <f t="array" ref="N305">IF(COUNTIF($B$29:$E$29, N$2)&gt;0, _xlfn.IFS(COUNTIF($B$29:$C$29, N$2)&gt;0, VLOOKUP($J305,'Gear Values'!$A$2:$E$13, IF(COUNTBLANK('Attributes &amp; Prefixes'!$B$29:$C$29)&gt;0, "2", "3"), 0), COUNTIF($D$29:$E$29, N$2)&gt;0, VLOOKUP($J305,'Gear Values'!$A$2:$E$13, IF(COUNTBLANK('Attributes &amp; Prefixes'!$B$29:$C$29)&gt;0, "4", "5"), 0)), "")</f>
        <v>28</v>
      </c>
      <c r="O305" s="137" t="str" cm="1">
        <f t="array" ref="O305">IF(COUNTIF($B$29:$E$29, O$2)&gt;0, _xlfn.IFS(COUNTIF($B$29:$C$29, O$2)&gt;0, VLOOKUP($J305,'Gear Values'!$A$2:$E$13, IF(COUNTBLANK('Attributes &amp; Prefixes'!$B$29:$C$29)&gt;0, "2", "3"), 0), COUNTIF($D$29:$E$29, O$2)&gt;0, VLOOKUP($J305,'Gear Values'!$A$2:$E$13, IF(COUNTBLANK('Attributes &amp; Prefixes'!$B$29:$C$29)&gt;0, "4", "5"), 0)), "")</f>
        <v/>
      </c>
      <c r="P305" s="137" t="str" cm="1">
        <f t="array" ref="P305">IF(COUNTIF($B$29:$E$29, P$2)&gt;0, _xlfn.IFS(COUNTIF($B$29:$C$29, P$2)&gt;0, VLOOKUP($J305,'Gear Values'!$A$2:$E$13, IF(COUNTBLANK('Attributes &amp; Prefixes'!$B$29:$C$29)&gt;0, "2", "3"), 0), COUNTIF($D$29:$E$29, P$2)&gt;0, VLOOKUP($J305,'Gear Values'!$A$2:$E$13, IF(COUNTBLANK('Attributes &amp; Prefixes'!$B$29:$C$29)&gt;0, "4", "5"), 0)), "")</f>
        <v/>
      </c>
      <c r="Q305" s="137" t="str" cm="1">
        <f t="array" ref="Q305">IF(COUNTIF($B$29:$E$29, Q$2)&gt;0, _xlfn.IFS(COUNTIF($B$29:$C$29, Q$2)&gt;0, VLOOKUP($J305,'Gear Values'!$A$2:$E$13, IF(COUNTBLANK('Attributes &amp; Prefixes'!$B$29:$C$29)&gt;0, "2", "3"), 0), COUNTIF($D$29:$E$29, Q$2)&gt;0, VLOOKUP($J305,'Gear Values'!$A$2:$E$13, IF(COUNTBLANK('Attributes &amp; Prefixes'!$B$29:$C$29)&gt;0, "4", "5"), 0)), "")</f>
        <v/>
      </c>
      <c r="R305" s="137" cm="1">
        <f t="array" ref="R305">IF(COUNTIF($B$29:$E$29, R$2)&gt;0, _xlfn.IFS(COUNTIF($B$29:$C$29, R$2)&gt;0, VLOOKUP($J305,'Gear Values'!$A$2:$E$13, IF(COUNTBLANK('Attributes &amp; Prefixes'!$B$29:$C$29)&gt;0, "2", "3"), 0), COUNTIF($D$29:$E$29, R$2)&gt;0, VLOOKUP($J305,'Gear Values'!$A$2:$E$13, IF(COUNTBLANK('Attributes &amp; Prefixes'!$B$29:$C$29)&gt;0, "4", "5"), 0)), "")</f>
        <v>28</v>
      </c>
      <c r="S305" s="138" t="str" cm="1">
        <f t="array" ref="S305">IF(COUNTIF($B$29:$E$29, S$2)&gt;0, _xlfn.IFS(COUNTIF($B$29:$C$29, S$2)&gt;0, VLOOKUP($J305,'Gear Values'!$A$2:$E$13, IF(COUNTBLANK('Attributes &amp; Prefixes'!$B$29:$C$29)&gt;0, "2", "3"), 0), COUNTIF($D$29:$E$29, S$2)&gt;0, VLOOKUP($J305,'Gear Values'!$A$2:$E$13, IF(COUNTBLANK('Attributes &amp; Prefixes'!$B$29:$C$29)&gt;0, "4", "5"), 0)), "")</f>
        <v/>
      </c>
      <c r="V305" s="112"/>
      <c r="W305" s="112"/>
    </row>
    <row r="306" spans="6:23">
      <c r="F306" s="114"/>
      <c r="G306" s="114"/>
      <c r="H306" s="130" t="str">
        <f>_xlfn.CONCAT(I$303,J306)</f>
        <v>MarauderShoulders</v>
      </c>
      <c r="I306" s="520"/>
      <c r="J306" s="144" t="s">
        <v>42</v>
      </c>
      <c r="K306" s="136" cm="1">
        <f t="array" ref="K306">IF(COUNTIF($B$29:$E$29, K$2)&gt;0, _xlfn.IFS(COUNTIF($B$29:$C$29, K$2)&gt;0, VLOOKUP($J306,'Gear Values'!$A$2:$E$13, IF(COUNTBLANK('Attributes &amp; Prefixes'!$B$29:$C$29)&gt;0, "2", "3"), 0), COUNTIF($D$29:$E$29, K$2)&gt;0, VLOOKUP($J306,'Gear Values'!$A$2:$E$13, IF(COUNTBLANK('Attributes &amp; Prefixes'!$B$29:$C$29)&gt;0, "4", "5"), 0)), "")</f>
        <v>38</v>
      </c>
      <c r="L306" s="137" cm="1">
        <f t="array" ref="L306">IF(COUNTIF($B$29:$E$29, L$2)&gt;0, _xlfn.IFS(COUNTIF($B$29:$C$29, L$2)&gt;0, VLOOKUP($J306,'Gear Values'!$A$2:$E$13, IF(COUNTBLANK('Attributes &amp; Prefixes'!$B$29:$C$29)&gt;0, "2", "3"), 0), COUNTIF($D$29:$E$29, L$2)&gt;0, VLOOKUP($J306,'Gear Values'!$A$2:$E$13, IF(COUNTBLANK('Attributes &amp; Prefixes'!$B$29:$C$29)&gt;0, "4", "5"), 0)), "")</f>
        <v>38</v>
      </c>
      <c r="M306" s="137" t="str" cm="1">
        <f t="array" ref="M306">IF(COUNTIF($B$29:$E$29, M$2)&gt;0, _xlfn.IFS(COUNTIF($B$29:$C$29, M$2)&gt;0, VLOOKUP($J306,'Gear Values'!$A$2:$E$13, IF(COUNTBLANK('Attributes &amp; Prefixes'!$B$29:$C$29)&gt;0, "2", "3"), 0), COUNTIF($D$29:$E$29, M$2)&gt;0, VLOOKUP($J306,'Gear Values'!$A$2:$E$13, IF(COUNTBLANK('Attributes &amp; Prefixes'!$B$29:$C$29)&gt;0, "4", "5"), 0)), "")</f>
        <v/>
      </c>
      <c r="N306" s="137" cm="1">
        <f t="array" ref="N306">IF(COUNTIF($B$29:$E$29, N$2)&gt;0, _xlfn.IFS(COUNTIF($B$29:$C$29, N$2)&gt;0, VLOOKUP($J306,'Gear Values'!$A$2:$E$13, IF(COUNTBLANK('Attributes &amp; Prefixes'!$B$29:$C$29)&gt;0, "2", "3"), 0), COUNTIF($D$29:$E$29, N$2)&gt;0, VLOOKUP($J306,'Gear Values'!$A$2:$E$13, IF(COUNTBLANK('Attributes &amp; Prefixes'!$B$29:$C$29)&gt;0, "4", "5"), 0)), "")</f>
        <v>21</v>
      </c>
      <c r="O306" s="137" t="str" cm="1">
        <f t="array" ref="O306">IF(COUNTIF($B$29:$E$29, O$2)&gt;0, _xlfn.IFS(COUNTIF($B$29:$C$29, O$2)&gt;0, VLOOKUP($J306,'Gear Values'!$A$2:$E$13, IF(COUNTBLANK('Attributes &amp; Prefixes'!$B$29:$C$29)&gt;0, "2", "3"), 0), COUNTIF($D$29:$E$29, O$2)&gt;0, VLOOKUP($J306,'Gear Values'!$A$2:$E$13, IF(COUNTBLANK('Attributes &amp; Prefixes'!$B$29:$C$29)&gt;0, "4", "5"), 0)), "")</f>
        <v/>
      </c>
      <c r="P306" s="137" t="str" cm="1">
        <f t="array" ref="P306">IF(COUNTIF($B$29:$E$29, P$2)&gt;0, _xlfn.IFS(COUNTIF($B$29:$C$29, P$2)&gt;0, VLOOKUP($J306,'Gear Values'!$A$2:$E$13, IF(COUNTBLANK('Attributes &amp; Prefixes'!$B$29:$C$29)&gt;0, "2", "3"), 0), COUNTIF($D$29:$E$29, P$2)&gt;0, VLOOKUP($J306,'Gear Values'!$A$2:$E$13, IF(COUNTBLANK('Attributes &amp; Prefixes'!$B$29:$C$29)&gt;0, "4", "5"), 0)), "")</f>
        <v/>
      </c>
      <c r="Q306" s="137" t="str" cm="1">
        <f t="array" ref="Q306">IF(COUNTIF($B$29:$E$29, Q$2)&gt;0, _xlfn.IFS(COUNTIF($B$29:$C$29, Q$2)&gt;0, VLOOKUP($J306,'Gear Values'!$A$2:$E$13, IF(COUNTBLANK('Attributes &amp; Prefixes'!$B$29:$C$29)&gt;0, "2", "3"), 0), COUNTIF($D$29:$E$29, Q$2)&gt;0, VLOOKUP($J306,'Gear Values'!$A$2:$E$13, IF(COUNTBLANK('Attributes &amp; Prefixes'!$B$29:$C$29)&gt;0, "4", "5"), 0)), "")</f>
        <v/>
      </c>
      <c r="R306" s="137" cm="1">
        <f t="array" ref="R306">IF(COUNTIF($B$29:$E$29, R$2)&gt;0, _xlfn.IFS(COUNTIF($B$29:$C$29, R$2)&gt;0, VLOOKUP($J306,'Gear Values'!$A$2:$E$13, IF(COUNTBLANK('Attributes &amp; Prefixes'!$B$29:$C$29)&gt;0, "2", "3"), 0), COUNTIF($D$29:$E$29, R$2)&gt;0, VLOOKUP($J306,'Gear Values'!$A$2:$E$13, IF(COUNTBLANK('Attributes &amp; Prefixes'!$B$29:$C$29)&gt;0, "4", "5"), 0)), "")</f>
        <v>21</v>
      </c>
      <c r="S306" s="138" t="str" cm="1">
        <f t="array" ref="S306">IF(COUNTIF($B$29:$E$29, S$2)&gt;0, _xlfn.IFS(COUNTIF($B$29:$C$29, S$2)&gt;0, VLOOKUP($J306,'Gear Values'!$A$2:$E$13, IF(COUNTBLANK('Attributes &amp; Prefixes'!$B$29:$C$29)&gt;0, "2", "3"), 0), COUNTIF($D$29:$E$29, S$2)&gt;0, VLOOKUP($J306,'Gear Values'!$A$2:$E$13, IF(COUNTBLANK('Attributes &amp; Prefixes'!$B$29:$C$29)&gt;0, "4", "5"), 0)), "")</f>
        <v/>
      </c>
      <c r="V306" s="112"/>
      <c r="W306" s="113"/>
    </row>
    <row r="307" spans="6:23">
      <c r="F307" s="114"/>
      <c r="G307" s="114"/>
      <c r="H307" s="130" t="str">
        <f>_xlfn.CONCAT(I$303,J307)</f>
        <v>MarauderChest</v>
      </c>
      <c r="I307" s="520"/>
      <c r="J307" s="144" t="s">
        <v>44</v>
      </c>
      <c r="K307" s="136" cm="1">
        <f t="array" ref="K307">IF(COUNTIF($B$29:$E$29, K$2)&gt;0, _xlfn.IFS(COUNTIF($B$29:$C$29, K$2)&gt;0, VLOOKUP($J307,'Gear Values'!$A$2:$E$13, IF(COUNTBLANK('Attributes &amp; Prefixes'!$B$29:$C$29)&gt;0, "2", "3"), 0), COUNTIF($D$29:$E$29, K$2)&gt;0, VLOOKUP($J307,'Gear Values'!$A$2:$E$13, IF(COUNTBLANK('Attributes &amp; Prefixes'!$B$29:$C$29)&gt;0, "4", "5"), 0)), "")</f>
        <v>115</v>
      </c>
      <c r="L307" s="137" cm="1">
        <f t="array" ref="L307">IF(COUNTIF($B$29:$E$29, L$2)&gt;0, _xlfn.IFS(COUNTIF($B$29:$C$29, L$2)&gt;0, VLOOKUP($J307,'Gear Values'!$A$2:$E$13, IF(COUNTBLANK('Attributes &amp; Prefixes'!$B$29:$C$29)&gt;0, "2", "3"), 0), COUNTIF($D$29:$E$29, L$2)&gt;0, VLOOKUP($J307,'Gear Values'!$A$2:$E$13, IF(COUNTBLANK('Attributes &amp; Prefixes'!$B$29:$C$29)&gt;0, "4", "5"), 0)), "")</f>
        <v>115</v>
      </c>
      <c r="M307" s="137" t="str" cm="1">
        <f t="array" ref="M307">IF(COUNTIF($B$29:$E$29, M$2)&gt;0, _xlfn.IFS(COUNTIF($B$29:$C$29, M$2)&gt;0, VLOOKUP($J307,'Gear Values'!$A$2:$E$13, IF(COUNTBLANK('Attributes &amp; Prefixes'!$B$29:$C$29)&gt;0, "2", "3"), 0), COUNTIF($D$29:$E$29, M$2)&gt;0, VLOOKUP($J307,'Gear Values'!$A$2:$E$13, IF(COUNTBLANK('Attributes &amp; Prefixes'!$B$29:$C$29)&gt;0, "4", "5"), 0)), "")</f>
        <v/>
      </c>
      <c r="N307" s="137" cm="1">
        <f t="array" ref="N307">IF(COUNTIF($B$29:$E$29, N$2)&gt;0, _xlfn.IFS(COUNTIF($B$29:$C$29, N$2)&gt;0, VLOOKUP($J307,'Gear Values'!$A$2:$E$13, IF(COUNTBLANK('Attributes &amp; Prefixes'!$B$29:$C$29)&gt;0, "2", "3"), 0), COUNTIF($D$29:$E$29, N$2)&gt;0, VLOOKUP($J307,'Gear Values'!$A$2:$E$13, IF(COUNTBLANK('Attributes &amp; Prefixes'!$B$29:$C$29)&gt;0, "4", "5"), 0)), "")</f>
        <v>63</v>
      </c>
      <c r="O307" s="137" t="str" cm="1">
        <f t="array" ref="O307">IF(COUNTIF($B$29:$E$29, O$2)&gt;0, _xlfn.IFS(COUNTIF($B$29:$C$29, O$2)&gt;0, VLOOKUP($J307,'Gear Values'!$A$2:$E$13, IF(COUNTBLANK('Attributes &amp; Prefixes'!$B$29:$C$29)&gt;0, "2", "3"), 0), COUNTIF($D$29:$E$29, O$2)&gt;0, VLOOKUP($J307,'Gear Values'!$A$2:$E$13, IF(COUNTBLANK('Attributes &amp; Prefixes'!$B$29:$C$29)&gt;0, "4", "5"), 0)), "")</f>
        <v/>
      </c>
      <c r="P307" s="137" t="str" cm="1">
        <f t="array" ref="P307">IF(COUNTIF($B$29:$E$29, P$2)&gt;0, _xlfn.IFS(COUNTIF($B$29:$C$29, P$2)&gt;0, VLOOKUP($J307,'Gear Values'!$A$2:$E$13, IF(COUNTBLANK('Attributes &amp; Prefixes'!$B$29:$C$29)&gt;0, "2", "3"), 0), COUNTIF($D$29:$E$29, P$2)&gt;0, VLOOKUP($J307,'Gear Values'!$A$2:$E$13, IF(COUNTBLANK('Attributes &amp; Prefixes'!$B$29:$C$29)&gt;0, "4", "5"), 0)), "")</f>
        <v/>
      </c>
      <c r="Q307" s="137" t="str" cm="1">
        <f t="array" ref="Q307">IF(COUNTIF($B$29:$E$29, Q$2)&gt;0, _xlfn.IFS(COUNTIF($B$29:$C$29, Q$2)&gt;0, VLOOKUP($J307,'Gear Values'!$A$2:$E$13, IF(COUNTBLANK('Attributes &amp; Prefixes'!$B$29:$C$29)&gt;0, "2", "3"), 0), COUNTIF($D$29:$E$29, Q$2)&gt;0, VLOOKUP($J307,'Gear Values'!$A$2:$E$13, IF(COUNTBLANK('Attributes &amp; Prefixes'!$B$29:$C$29)&gt;0, "4", "5"), 0)), "")</f>
        <v/>
      </c>
      <c r="R307" s="137" cm="1">
        <f t="array" ref="R307">IF(COUNTIF($B$29:$E$29, R$2)&gt;0, _xlfn.IFS(COUNTIF($B$29:$C$29, R$2)&gt;0, VLOOKUP($J307,'Gear Values'!$A$2:$E$13, IF(COUNTBLANK('Attributes &amp; Prefixes'!$B$29:$C$29)&gt;0, "2", "3"), 0), COUNTIF($D$29:$E$29, R$2)&gt;0, VLOOKUP($J307,'Gear Values'!$A$2:$E$13, IF(COUNTBLANK('Attributes &amp; Prefixes'!$B$29:$C$29)&gt;0, "4", "5"), 0)), "")</f>
        <v>63</v>
      </c>
      <c r="S307" s="138" t="str" cm="1">
        <f t="array" ref="S307">IF(COUNTIF($B$29:$E$29, S$2)&gt;0, _xlfn.IFS(COUNTIF($B$29:$C$29, S$2)&gt;0, VLOOKUP($J307,'Gear Values'!$A$2:$E$13, IF(COUNTBLANK('Attributes &amp; Prefixes'!$B$29:$C$29)&gt;0, "2", "3"), 0), COUNTIF($D$29:$E$29, S$2)&gt;0, VLOOKUP($J307,'Gear Values'!$A$2:$E$13, IF(COUNTBLANK('Attributes &amp; Prefixes'!$B$29:$C$29)&gt;0, "4", "5"), 0)), "")</f>
        <v/>
      </c>
      <c r="V307" s="112"/>
      <c r="W307" s="113"/>
    </row>
    <row r="308" spans="6:23">
      <c r="F308" s="114"/>
      <c r="G308" s="114"/>
      <c r="H308" s="130" t="str">
        <f>_xlfn.CONCAT(I$303,J308)</f>
        <v>MarauderHands</v>
      </c>
      <c r="I308" s="520"/>
      <c r="J308" s="144" t="s">
        <v>45</v>
      </c>
      <c r="K308" s="136" cm="1">
        <f t="array" ref="K308">IF(COUNTIF($B$29:$E$29, K$2)&gt;0, _xlfn.IFS(COUNTIF($B$29:$C$29, K$2)&gt;0, VLOOKUP($J308,'Gear Values'!$A$2:$E$13, IF(COUNTBLANK('Attributes &amp; Prefixes'!$B$29:$C$29)&gt;0, "2", "3"), 0), COUNTIF($D$29:$E$29, K$2)&gt;0, VLOOKUP($J308,'Gear Values'!$A$2:$E$13, IF(COUNTBLANK('Attributes &amp; Prefixes'!$B$29:$C$29)&gt;0, "4", "5"), 0)), "")</f>
        <v>38</v>
      </c>
      <c r="L308" s="137" cm="1">
        <f t="array" ref="L308">IF(COUNTIF($B$29:$E$29, L$2)&gt;0, _xlfn.IFS(COUNTIF($B$29:$C$29, L$2)&gt;0, VLOOKUP($J308,'Gear Values'!$A$2:$E$13, IF(COUNTBLANK('Attributes &amp; Prefixes'!$B$29:$C$29)&gt;0, "2", "3"), 0), COUNTIF($D$29:$E$29, L$2)&gt;0, VLOOKUP($J308,'Gear Values'!$A$2:$E$13, IF(COUNTBLANK('Attributes &amp; Prefixes'!$B$29:$C$29)&gt;0, "4", "5"), 0)), "")</f>
        <v>38</v>
      </c>
      <c r="M308" s="137" t="str" cm="1">
        <f t="array" ref="M308">IF(COUNTIF($B$29:$E$29, M$2)&gt;0, _xlfn.IFS(COUNTIF($B$29:$C$29, M$2)&gt;0, VLOOKUP($J308,'Gear Values'!$A$2:$E$13, IF(COUNTBLANK('Attributes &amp; Prefixes'!$B$29:$C$29)&gt;0, "2", "3"), 0), COUNTIF($D$29:$E$29, M$2)&gt;0, VLOOKUP($J308,'Gear Values'!$A$2:$E$13, IF(COUNTBLANK('Attributes &amp; Prefixes'!$B$29:$C$29)&gt;0, "4", "5"), 0)), "")</f>
        <v/>
      </c>
      <c r="N308" s="137" cm="1">
        <f t="array" ref="N308">IF(COUNTIF($B$29:$E$29, N$2)&gt;0, _xlfn.IFS(COUNTIF($B$29:$C$29, N$2)&gt;0, VLOOKUP($J308,'Gear Values'!$A$2:$E$13, IF(COUNTBLANK('Attributes &amp; Prefixes'!$B$29:$C$29)&gt;0, "2", "3"), 0), COUNTIF($D$29:$E$29, N$2)&gt;0, VLOOKUP($J308,'Gear Values'!$A$2:$E$13, IF(COUNTBLANK('Attributes &amp; Prefixes'!$B$29:$C$29)&gt;0, "4", "5"), 0)), "")</f>
        <v>21</v>
      </c>
      <c r="O308" s="137" t="str" cm="1">
        <f t="array" ref="O308">IF(COUNTIF($B$29:$E$29, O$2)&gt;0, _xlfn.IFS(COUNTIF($B$29:$C$29, O$2)&gt;0, VLOOKUP($J308,'Gear Values'!$A$2:$E$13, IF(COUNTBLANK('Attributes &amp; Prefixes'!$B$29:$C$29)&gt;0, "2", "3"), 0), COUNTIF($D$29:$E$29, O$2)&gt;0, VLOOKUP($J308,'Gear Values'!$A$2:$E$13, IF(COUNTBLANK('Attributes &amp; Prefixes'!$B$29:$C$29)&gt;0, "4", "5"), 0)), "")</f>
        <v/>
      </c>
      <c r="P308" s="137" t="str" cm="1">
        <f t="array" ref="P308">IF(COUNTIF($B$29:$E$29, P$2)&gt;0, _xlfn.IFS(COUNTIF($B$29:$C$29, P$2)&gt;0, VLOOKUP($J308,'Gear Values'!$A$2:$E$13, IF(COUNTBLANK('Attributes &amp; Prefixes'!$B$29:$C$29)&gt;0, "2", "3"), 0), COUNTIF($D$29:$E$29, P$2)&gt;0, VLOOKUP($J308,'Gear Values'!$A$2:$E$13, IF(COUNTBLANK('Attributes &amp; Prefixes'!$B$29:$C$29)&gt;0, "4", "5"), 0)), "")</f>
        <v/>
      </c>
      <c r="Q308" s="137" t="str" cm="1">
        <f t="array" ref="Q308">IF(COUNTIF($B$29:$E$29, Q$2)&gt;0, _xlfn.IFS(COUNTIF($B$29:$C$29, Q$2)&gt;0, VLOOKUP($J308,'Gear Values'!$A$2:$E$13, IF(COUNTBLANK('Attributes &amp; Prefixes'!$B$29:$C$29)&gt;0, "2", "3"), 0), COUNTIF($D$29:$E$29, Q$2)&gt;0, VLOOKUP($J308,'Gear Values'!$A$2:$E$13, IF(COUNTBLANK('Attributes &amp; Prefixes'!$B$29:$C$29)&gt;0, "4", "5"), 0)), "")</f>
        <v/>
      </c>
      <c r="R308" s="137" cm="1">
        <f t="array" ref="R308">IF(COUNTIF($B$29:$E$29, R$2)&gt;0, _xlfn.IFS(COUNTIF($B$29:$C$29, R$2)&gt;0, VLOOKUP($J308,'Gear Values'!$A$2:$E$13, IF(COUNTBLANK('Attributes &amp; Prefixes'!$B$29:$C$29)&gt;0, "2", "3"), 0), COUNTIF($D$29:$E$29, R$2)&gt;0, VLOOKUP($J308,'Gear Values'!$A$2:$E$13, IF(COUNTBLANK('Attributes &amp; Prefixes'!$B$29:$C$29)&gt;0, "4", "5"), 0)), "")</f>
        <v>21</v>
      </c>
      <c r="S308" s="138" t="str" cm="1">
        <f t="array" ref="S308">IF(COUNTIF($B$29:$E$29, S$2)&gt;0, _xlfn.IFS(COUNTIF($B$29:$C$29, S$2)&gt;0, VLOOKUP($J308,'Gear Values'!$A$2:$E$13, IF(COUNTBLANK('Attributes &amp; Prefixes'!$B$29:$C$29)&gt;0, "2", "3"), 0), COUNTIF($D$29:$E$29, S$2)&gt;0, VLOOKUP($J308,'Gear Values'!$A$2:$E$13, IF(COUNTBLANK('Attributes &amp; Prefixes'!$B$29:$C$29)&gt;0, "4", "5"), 0)), "")</f>
        <v/>
      </c>
      <c r="V308" s="112"/>
      <c r="W308" s="113"/>
    </row>
    <row r="309" spans="6:23">
      <c r="F309" s="114"/>
      <c r="G309" s="114"/>
      <c r="H309" s="130" t="str">
        <f>_xlfn.CONCAT(I$303,J309)</f>
        <v>MarauderLegs</v>
      </c>
      <c r="I309" s="520"/>
      <c r="J309" s="144" t="s">
        <v>47</v>
      </c>
      <c r="K309" s="136" cm="1">
        <f t="array" ref="K309">IF(COUNTIF($B$29:$E$29, K$2)&gt;0, _xlfn.IFS(COUNTIF($B$29:$C$29, K$2)&gt;0, VLOOKUP($J309,'Gear Values'!$A$2:$E$13, IF(COUNTBLANK('Attributes &amp; Prefixes'!$B$29:$C$29)&gt;0, "2", "3"), 0), COUNTIF($D$29:$E$29, K$2)&gt;0, VLOOKUP($J309,'Gear Values'!$A$2:$E$13, IF(COUNTBLANK('Attributes &amp; Prefixes'!$B$29:$C$29)&gt;0, "4", "5"), 0)), "")</f>
        <v>77</v>
      </c>
      <c r="L309" s="137" cm="1">
        <f t="array" ref="L309">IF(COUNTIF($B$29:$E$29, L$2)&gt;0, _xlfn.IFS(COUNTIF($B$29:$C$29, L$2)&gt;0, VLOOKUP($J309,'Gear Values'!$A$2:$E$13, IF(COUNTBLANK('Attributes &amp; Prefixes'!$B$29:$C$29)&gt;0, "2", "3"), 0), COUNTIF($D$29:$E$29, L$2)&gt;0, VLOOKUP($J309,'Gear Values'!$A$2:$E$13, IF(COUNTBLANK('Attributes &amp; Prefixes'!$B$29:$C$29)&gt;0, "4", "5"), 0)), "")</f>
        <v>77</v>
      </c>
      <c r="M309" s="137" t="str" cm="1">
        <f t="array" ref="M309">IF(COUNTIF($B$29:$E$29, M$2)&gt;0, _xlfn.IFS(COUNTIF($B$29:$C$29, M$2)&gt;0, VLOOKUP($J309,'Gear Values'!$A$2:$E$13, IF(COUNTBLANK('Attributes &amp; Prefixes'!$B$29:$C$29)&gt;0, "2", "3"), 0), COUNTIF($D$29:$E$29, M$2)&gt;0, VLOOKUP($J309,'Gear Values'!$A$2:$E$13, IF(COUNTBLANK('Attributes &amp; Prefixes'!$B$29:$C$29)&gt;0, "4", "5"), 0)), "")</f>
        <v/>
      </c>
      <c r="N309" s="137" cm="1">
        <f t="array" ref="N309">IF(COUNTIF($B$29:$E$29, N$2)&gt;0, _xlfn.IFS(COUNTIF($B$29:$C$29, N$2)&gt;0, VLOOKUP($J309,'Gear Values'!$A$2:$E$13, IF(COUNTBLANK('Attributes &amp; Prefixes'!$B$29:$C$29)&gt;0, "2", "3"), 0), COUNTIF($D$29:$E$29, N$2)&gt;0, VLOOKUP($J309,'Gear Values'!$A$2:$E$13, IF(COUNTBLANK('Attributes &amp; Prefixes'!$B$29:$C$29)&gt;0, "4", "5"), 0)), "")</f>
        <v>42</v>
      </c>
      <c r="O309" s="137" t="str" cm="1">
        <f t="array" ref="O309">IF(COUNTIF($B$29:$E$29, O$2)&gt;0, _xlfn.IFS(COUNTIF($B$29:$C$29, O$2)&gt;0, VLOOKUP($J309,'Gear Values'!$A$2:$E$13, IF(COUNTBLANK('Attributes &amp; Prefixes'!$B$29:$C$29)&gt;0, "2", "3"), 0), COUNTIF($D$29:$E$29, O$2)&gt;0, VLOOKUP($J309,'Gear Values'!$A$2:$E$13, IF(COUNTBLANK('Attributes &amp; Prefixes'!$B$29:$C$29)&gt;0, "4", "5"), 0)), "")</f>
        <v/>
      </c>
      <c r="P309" s="137" t="str" cm="1">
        <f t="array" ref="P309">IF(COUNTIF($B$29:$E$29, P$2)&gt;0, _xlfn.IFS(COUNTIF($B$29:$C$29, P$2)&gt;0, VLOOKUP($J309,'Gear Values'!$A$2:$E$13, IF(COUNTBLANK('Attributes &amp; Prefixes'!$B$29:$C$29)&gt;0, "2", "3"), 0), COUNTIF($D$29:$E$29, P$2)&gt;0, VLOOKUP($J309,'Gear Values'!$A$2:$E$13, IF(COUNTBLANK('Attributes &amp; Prefixes'!$B$29:$C$29)&gt;0, "4", "5"), 0)), "")</f>
        <v/>
      </c>
      <c r="Q309" s="137" t="str" cm="1">
        <f t="array" ref="Q309">IF(COUNTIF($B$29:$E$29, Q$2)&gt;0, _xlfn.IFS(COUNTIF($B$29:$C$29, Q$2)&gt;0, VLOOKUP($J309,'Gear Values'!$A$2:$E$13, IF(COUNTBLANK('Attributes &amp; Prefixes'!$B$29:$C$29)&gt;0, "2", "3"), 0), COUNTIF($D$29:$E$29, Q$2)&gt;0, VLOOKUP($J309,'Gear Values'!$A$2:$E$13, IF(COUNTBLANK('Attributes &amp; Prefixes'!$B$29:$C$29)&gt;0, "4", "5"), 0)), "")</f>
        <v/>
      </c>
      <c r="R309" s="137" cm="1">
        <f t="array" ref="R309">IF(COUNTIF($B$29:$E$29, R$2)&gt;0, _xlfn.IFS(COUNTIF($B$29:$C$29, R$2)&gt;0, VLOOKUP($J309,'Gear Values'!$A$2:$E$13, IF(COUNTBLANK('Attributes &amp; Prefixes'!$B$29:$C$29)&gt;0, "2", "3"), 0), COUNTIF($D$29:$E$29, R$2)&gt;0, VLOOKUP($J309,'Gear Values'!$A$2:$E$13, IF(COUNTBLANK('Attributes &amp; Prefixes'!$B$29:$C$29)&gt;0, "4", "5"), 0)), "")</f>
        <v>42</v>
      </c>
      <c r="S309" s="138" t="str" cm="1">
        <f t="array" ref="S309">IF(COUNTIF($B$29:$E$29, S$2)&gt;0, _xlfn.IFS(COUNTIF($B$29:$C$29, S$2)&gt;0, VLOOKUP($J309,'Gear Values'!$A$2:$E$13, IF(COUNTBLANK('Attributes &amp; Prefixes'!$B$29:$C$29)&gt;0, "2", "3"), 0), COUNTIF($D$29:$E$29, S$2)&gt;0, VLOOKUP($J309,'Gear Values'!$A$2:$E$13, IF(COUNTBLANK('Attributes &amp; Prefixes'!$B$29:$C$29)&gt;0, "4", "5"), 0)), "")</f>
        <v/>
      </c>
      <c r="V309" s="112"/>
      <c r="W309" s="113"/>
    </row>
    <row r="310" spans="6:23">
      <c r="F310" s="114"/>
      <c r="G310" s="114"/>
      <c r="H310" s="130" t="str">
        <f>_xlfn.CONCAT(I$303,J310)</f>
        <v>MarauderFeet</v>
      </c>
      <c r="I310" s="520"/>
      <c r="J310" s="144" t="s">
        <v>48</v>
      </c>
      <c r="K310" s="136" cm="1">
        <f t="array" ref="K310">IF(COUNTIF($B$29:$E$29, K$2)&gt;0, _xlfn.IFS(COUNTIF($B$29:$C$29, K$2)&gt;0, VLOOKUP($J310,'Gear Values'!$A$2:$E$13, IF(COUNTBLANK('Attributes &amp; Prefixes'!$B$29:$C$29)&gt;0, "2", "3"), 0), COUNTIF($D$29:$E$29, K$2)&gt;0, VLOOKUP($J310,'Gear Values'!$A$2:$E$13, IF(COUNTBLANK('Attributes &amp; Prefixes'!$B$29:$C$29)&gt;0, "4", "5"), 0)), "")</f>
        <v>38</v>
      </c>
      <c r="L310" s="137" cm="1">
        <f t="array" ref="L310">IF(COUNTIF($B$29:$E$29, L$2)&gt;0, _xlfn.IFS(COUNTIF($B$29:$C$29, L$2)&gt;0, VLOOKUP($J310,'Gear Values'!$A$2:$E$13, IF(COUNTBLANK('Attributes &amp; Prefixes'!$B$29:$C$29)&gt;0, "2", "3"), 0), COUNTIF($D$29:$E$29, L$2)&gt;0, VLOOKUP($J310,'Gear Values'!$A$2:$E$13, IF(COUNTBLANK('Attributes &amp; Prefixes'!$B$29:$C$29)&gt;0, "4", "5"), 0)), "")</f>
        <v>38</v>
      </c>
      <c r="M310" s="137" t="str" cm="1">
        <f t="array" ref="M310">IF(COUNTIF($B$29:$E$29, M$2)&gt;0, _xlfn.IFS(COUNTIF($B$29:$C$29, M$2)&gt;0, VLOOKUP($J310,'Gear Values'!$A$2:$E$13, IF(COUNTBLANK('Attributes &amp; Prefixes'!$B$29:$C$29)&gt;0, "2", "3"), 0), COUNTIF($D$29:$E$29, M$2)&gt;0, VLOOKUP($J310,'Gear Values'!$A$2:$E$13, IF(COUNTBLANK('Attributes &amp; Prefixes'!$B$29:$C$29)&gt;0, "4", "5"), 0)), "")</f>
        <v/>
      </c>
      <c r="N310" s="137" cm="1">
        <f t="array" ref="N310">IF(COUNTIF($B$29:$E$29, N$2)&gt;0, _xlfn.IFS(COUNTIF($B$29:$C$29, N$2)&gt;0, VLOOKUP($J310,'Gear Values'!$A$2:$E$13, IF(COUNTBLANK('Attributes &amp; Prefixes'!$B$29:$C$29)&gt;0, "2", "3"), 0), COUNTIF($D$29:$E$29, N$2)&gt;0, VLOOKUP($J310,'Gear Values'!$A$2:$E$13, IF(COUNTBLANK('Attributes &amp; Prefixes'!$B$29:$C$29)&gt;0, "4", "5"), 0)), "")</f>
        <v>21</v>
      </c>
      <c r="O310" s="137" t="str" cm="1">
        <f t="array" ref="O310">IF(COUNTIF($B$29:$E$29, O$2)&gt;0, _xlfn.IFS(COUNTIF($B$29:$C$29, O$2)&gt;0, VLOOKUP($J310,'Gear Values'!$A$2:$E$13, IF(COUNTBLANK('Attributes &amp; Prefixes'!$B$29:$C$29)&gt;0, "2", "3"), 0), COUNTIF($D$29:$E$29, O$2)&gt;0, VLOOKUP($J310,'Gear Values'!$A$2:$E$13, IF(COUNTBLANK('Attributes &amp; Prefixes'!$B$29:$C$29)&gt;0, "4", "5"), 0)), "")</f>
        <v/>
      </c>
      <c r="P310" s="137" t="str" cm="1">
        <f t="array" ref="P310">IF(COUNTIF($B$29:$E$29, P$2)&gt;0, _xlfn.IFS(COUNTIF($B$29:$C$29, P$2)&gt;0, VLOOKUP($J310,'Gear Values'!$A$2:$E$13, IF(COUNTBLANK('Attributes &amp; Prefixes'!$B$29:$C$29)&gt;0, "2", "3"), 0), COUNTIF($D$29:$E$29, P$2)&gt;0, VLOOKUP($J310,'Gear Values'!$A$2:$E$13, IF(COUNTBLANK('Attributes &amp; Prefixes'!$B$29:$C$29)&gt;0, "4", "5"), 0)), "")</f>
        <v/>
      </c>
      <c r="Q310" s="137" t="str" cm="1">
        <f t="array" ref="Q310">IF(COUNTIF($B$29:$E$29, Q$2)&gt;0, _xlfn.IFS(COUNTIF($B$29:$C$29, Q$2)&gt;0, VLOOKUP($J310,'Gear Values'!$A$2:$E$13, IF(COUNTBLANK('Attributes &amp; Prefixes'!$B$29:$C$29)&gt;0, "2", "3"), 0), COUNTIF($D$29:$E$29, Q$2)&gt;0, VLOOKUP($J310,'Gear Values'!$A$2:$E$13, IF(COUNTBLANK('Attributes &amp; Prefixes'!$B$29:$C$29)&gt;0, "4", "5"), 0)), "")</f>
        <v/>
      </c>
      <c r="R310" s="137" cm="1">
        <f t="array" ref="R310">IF(COUNTIF($B$29:$E$29, R$2)&gt;0, _xlfn.IFS(COUNTIF($B$29:$C$29, R$2)&gt;0, VLOOKUP($J310,'Gear Values'!$A$2:$E$13, IF(COUNTBLANK('Attributes &amp; Prefixes'!$B$29:$C$29)&gt;0, "2", "3"), 0), COUNTIF($D$29:$E$29, R$2)&gt;0, VLOOKUP($J310,'Gear Values'!$A$2:$E$13, IF(COUNTBLANK('Attributes &amp; Prefixes'!$B$29:$C$29)&gt;0, "4", "5"), 0)), "")</f>
        <v>21</v>
      </c>
      <c r="S310" s="138" t="str" cm="1">
        <f t="array" ref="S310">IF(COUNTIF($B$29:$E$29, S$2)&gt;0, _xlfn.IFS(COUNTIF($B$29:$C$29, S$2)&gt;0, VLOOKUP($J310,'Gear Values'!$A$2:$E$13, IF(COUNTBLANK('Attributes &amp; Prefixes'!$B$29:$C$29)&gt;0, "2", "3"), 0), COUNTIF($D$29:$E$29, S$2)&gt;0, VLOOKUP($J310,'Gear Values'!$A$2:$E$13, IF(COUNTBLANK('Attributes &amp; Prefixes'!$B$29:$C$29)&gt;0, "4", "5"), 0)), "")</f>
        <v/>
      </c>
      <c r="V310" s="112"/>
      <c r="W310" s="113"/>
    </row>
    <row r="311" spans="6:23">
      <c r="F311" s="114"/>
      <c r="G311" s="114"/>
      <c r="H311" s="130" t="str">
        <f>_xlfn.CONCAT(A$65,J311)</f>
        <v>EbonyEar</v>
      </c>
      <c r="I311" s="520"/>
      <c r="J311" s="144" t="s">
        <v>49</v>
      </c>
      <c r="K311" s="136" cm="1">
        <f t="array" ref="K311">IF(COUNTIF($B$29:$E$29, K$2)&gt;0, _xlfn.IFS(COUNTIF($B$29:$C$29, K$2)&gt;0, VLOOKUP($J311,'Gear Values'!$A$2:$E$13, IF(COUNTBLANK('Attributes &amp; Prefixes'!$B$29:$C$29)&gt;0, "2", "3"), 0), COUNTIF($D$29:$E$29, K$2)&gt;0, VLOOKUP($J311,'Gear Values'!$A$2:$E$13, IF(COUNTBLANK('Attributes &amp; Prefixes'!$B$29:$C$29)&gt;0, "4", "5"), 0)), "")</f>
        <v>64</v>
      </c>
      <c r="L311" s="137" cm="1">
        <f t="array" ref="L311">IF(COUNTIF($B$29:$E$29, L$2)&gt;0, _xlfn.IFS(COUNTIF($B$29:$C$29, L$2)&gt;0, VLOOKUP($J311,'Gear Values'!$A$2:$E$13, IF(COUNTBLANK('Attributes &amp; Prefixes'!$B$29:$C$29)&gt;0, "2", "3"), 0), COUNTIF($D$29:$E$29, L$2)&gt;0, VLOOKUP($J311,'Gear Values'!$A$2:$E$13, IF(COUNTBLANK('Attributes &amp; Prefixes'!$B$29:$C$29)&gt;0, "4", "5"), 0)), "")</f>
        <v>64</v>
      </c>
      <c r="M311" s="137" t="str" cm="1">
        <f t="array" ref="M311">IF(COUNTIF($B$29:$E$29, M$2)&gt;0, _xlfn.IFS(COUNTIF($B$29:$C$29, M$2)&gt;0, VLOOKUP($J311,'Gear Values'!$A$2:$E$13, IF(COUNTBLANK('Attributes &amp; Prefixes'!$B$29:$C$29)&gt;0, "2", "3"), 0), COUNTIF($D$29:$E$29, M$2)&gt;0, VLOOKUP($J311,'Gear Values'!$A$2:$E$13, IF(COUNTBLANK('Attributes &amp; Prefixes'!$B$29:$C$29)&gt;0, "4", "5"), 0)), "")</f>
        <v/>
      </c>
      <c r="N311" s="137" cm="1">
        <f t="array" ref="N311">IF(COUNTIF($B$29:$E$29, N$2)&gt;0, _xlfn.IFS(COUNTIF($B$29:$C$29, N$2)&gt;0, VLOOKUP($J311,'Gear Values'!$A$2:$E$13, IF(COUNTBLANK('Attributes &amp; Prefixes'!$B$29:$C$29)&gt;0, "2", "3"), 0), COUNTIF($D$29:$E$29, N$2)&gt;0, VLOOKUP($J311,'Gear Values'!$A$2:$E$13, IF(COUNTBLANK('Attributes &amp; Prefixes'!$B$29:$C$29)&gt;0, "4", "5"), 0)), "")</f>
        <v>35</v>
      </c>
      <c r="O311" s="137" t="str" cm="1">
        <f t="array" ref="O311">IF(COUNTIF($B$29:$E$29, O$2)&gt;0, _xlfn.IFS(COUNTIF($B$29:$C$29, O$2)&gt;0, VLOOKUP($J311,'Gear Values'!$A$2:$E$13, IF(COUNTBLANK('Attributes &amp; Prefixes'!$B$29:$C$29)&gt;0, "2", "3"), 0), COUNTIF($D$29:$E$29, O$2)&gt;0, VLOOKUP($J311,'Gear Values'!$A$2:$E$13, IF(COUNTBLANK('Attributes &amp; Prefixes'!$B$29:$C$29)&gt;0, "4", "5"), 0)), "")</f>
        <v/>
      </c>
      <c r="P311" s="137" t="str" cm="1">
        <f t="array" ref="P311">IF(COUNTIF($B$29:$E$29, P$2)&gt;0, _xlfn.IFS(COUNTIF($B$29:$C$29, P$2)&gt;0, VLOOKUP($J311,'Gear Values'!$A$2:$E$13, IF(COUNTBLANK('Attributes &amp; Prefixes'!$B$29:$C$29)&gt;0, "2", "3"), 0), COUNTIF($D$29:$E$29, P$2)&gt;0, VLOOKUP($J311,'Gear Values'!$A$2:$E$13, IF(COUNTBLANK('Attributes &amp; Prefixes'!$B$29:$C$29)&gt;0, "4", "5"), 0)), "")</f>
        <v/>
      </c>
      <c r="Q311" s="137" t="str" cm="1">
        <f t="array" ref="Q311">IF(COUNTIF($B$29:$E$29, Q$2)&gt;0, _xlfn.IFS(COUNTIF($B$29:$C$29, Q$2)&gt;0, VLOOKUP($J311,'Gear Values'!$A$2:$E$13, IF(COUNTBLANK('Attributes &amp; Prefixes'!$B$29:$C$29)&gt;0, "2", "3"), 0), COUNTIF($D$29:$E$29, Q$2)&gt;0, VLOOKUP($J311,'Gear Values'!$A$2:$E$13, IF(COUNTBLANK('Attributes &amp; Prefixes'!$B$29:$C$29)&gt;0, "4", "5"), 0)), "")</f>
        <v/>
      </c>
      <c r="R311" s="137" cm="1">
        <f t="array" ref="R311">IF(COUNTIF($B$29:$E$29, R$2)&gt;0, _xlfn.IFS(COUNTIF($B$29:$C$29, R$2)&gt;0, VLOOKUP($J311,'Gear Values'!$A$2:$E$13, IF(COUNTBLANK('Attributes &amp; Prefixes'!$B$29:$C$29)&gt;0, "2", "3"), 0), COUNTIF($D$29:$E$29, R$2)&gt;0, VLOOKUP($J311,'Gear Values'!$A$2:$E$13, IF(COUNTBLANK('Attributes &amp; Prefixes'!$B$29:$C$29)&gt;0, "4", "5"), 0)), "")</f>
        <v>35</v>
      </c>
      <c r="S311" s="138" t="str" cm="1">
        <f t="array" ref="S311">IF(COUNTIF($B$29:$E$29, S$2)&gt;0, _xlfn.IFS(COUNTIF($B$29:$C$29, S$2)&gt;0, VLOOKUP($J311,'Gear Values'!$A$2:$E$13, IF(COUNTBLANK('Attributes &amp; Prefixes'!$B$29:$C$29)&gt;0, "2", "3"), 0), COUNTIF($D$29:$E$29, S$2)&gt;0, VLOOKUP($J311,'Gear Values'!$A$2:$E$13, IF(COUNTBLANK('Attributes &amp; Prefixes'!$B$29:$C$29)&gt;0, "4", "5"), 0)), "")</f>
        <v/>
      </c>
      <c r="V311" s="112"/>
      <c r="W311" s="113"/>
    </row>
    <row r="312" spans="6:23">
      <c r="F312" s="114"/>
      <c r="G312" s="114"/>
      <c r="H312" s="130" t="str">
        <f>_xlfn.CONCAT(A$65,J312)</f>
        <v>EbonyFinger</v>
      </c>
      <c r="I312" s="520"/>
      <c r="J312" s="144" t="s">
        <v>51</v>
      </c>
      <c r="K312" s="136" cm="1">
        <f t="array" ref="K312">IF(COUNTIF($B$29:$E$29, K$2)&gt;0, _xlfn.IFS(COUNTIF($B$29:$C$29, K$2)&gt;0, VLOOKUP($J312,'Gear Values'!$A$2:$E$13, IF(COUNTBLANK('Attributes &amp; Prefixes'!$B$29:$C$29)&gt;0, "2", "3"), 0), COUNTIF($D$29:$E$29, K$2)&gt;0, VLOOKUP($J312,'Gear Values'!$A$2:$E$13, IF(COUNTBLANK('Attributes &amp; Prefixes'!$B$29:$C$29)&gt;0, "4", "5"), 0)), "")</f>
        <v>77</v>
      </c>
      <c r="L312" s="137" cm="1">
        <f t="array" ref="L312">IF(COUNTIF($B$29:$E$29, L$2)&gt;0, _xlfn.IFS(COUNTIF($B$29:$C$29, L$2)&gt;0, VLOOKUP($J312,'Gear Values'!$A$2:$E$13, IF(COUNTBLANK('Attributes &amp; Prefixes'!$B$29:$C$29)&gt;0, "2", "3"), 0), COUNTIF($D$29:$E$29, L$2)&gt;0, VLOOKUP($J312,'Gear Values'!$A$2:$E$13, IF(COUNTBLANK('Attributes &amp; Prefixes'!$B$29:$C$29)&gt;0, "4", "5"), 0)), "")</f>
        <v>77</v>
      </c>
      <c r="M312" s="137" t="str" cm="1">
        <f t="array" ref="M312">IF(COUNTIF($B$29:$E$29, M$2)&gt;0, _xlfn.IFS(COUNTIF($B$29:$C$29, M$2)&gt;0, VLOOKUP($J312,'Gear Values'!$A$2:$E$13, IF(COUNTBLANK('Attributes &amp; Prefixes'!$B$29:$C$29)&gt;0, "2", "3"), 0), COUNTIF($D$29:$E$29, M$2)&gt;0, VLOOKUP($J312,'Gear Values'!$A$2:$E$13, IF(COUNTBLANK('Attributes &amp; Prefixes'!$B$29:$C$29)&gt;0, "4", "5"), 0)), "")</f>
        <v/>
      </c>
      <c r="N312" s="137" cm="1">
        <f t="array" ref="N312">IF(COUNTIF($B$29:$E$29, N$2)&gt;0, _xlfn.IFS(COUNTIF($B$29:$C$29, N$2)&gt;0, VLOOKUP($J312,'Gear Values'!$A$2:$E$13, IF(COUNTBLANK('Attributes &amp; Prefixes'!$B$29:$C$29)&gt;0, "2", "3"), 0), COUNTIF($D$29:$E$29, N$2)&gt;0, VLOOKUP($J312,'Gear Values'!$A$2:$E$13, IF(COUNTBLANK('Attributes &amp; Prefixes'!$B$29:$C$29)&gt;0, "4", "5"), 0)), "")</f>
        <v>42</v>
      </c>
      <c r="O312" s="137" t="str" cm="1">
        <f t="array" ref="O312">IF(COUNTIF($B$29:$E$29, O$2)&gt;0, _xlfn.IFS(COUNTIF($B$29:$C$29, O$2)&gt;0, VLOOKUP($J312,'Gear Values'!$A$2:$E$13, IF(COUNTBLANK('Attributes &amp; Prefixes'!$B$29:$C$29)&gt;0, "2", "3"), 0), COUNTIF($D$29:$E$29, O$2)&gt;0, VLOOKUP($J312,'Gear Values'!$A$2:$E$13, IF(COUNTBLANK('Attributes &amp; Prefixes'!$B$29:$C$29)&gt;0, "4", "5"), 0)), "")</f>
        <v/>
      </c>
      <c r="P312" s="137" t="str" cm="1">
        <f t="array" ref="P312">IF(COUNTIF($B$29:$E$29, P$2)&gt;0, _xlfn.IFS(COUNTIF($B$29:$C$29, P$2)&gt;0, VLOOKUP($J312,'Gear Values'!$A$2:$E$13, IF(COUNTBLANK('Attributes &amp; Prefixes'!$B$29:$C$29)&gt;0, "2", "3"), 0), COUNTIF($D$29:$E$29, P$2)&gt;0, VLOOKUP($J312,'Gear Values'!$A$2:$E$13, IF(COUNTBLANK('Attributes &amp; Prefixes'!$B$29:$C$29)&gt;0, "4", "5"), 0)), "")</f>
        <v/>
      </c>
      <c r="Q312" s="137" t="str" cm="1">
        <f t="array" ref="Q312">IF(COUNTIF($B$29:$E$29, Q$2)&gt;0, _xlfn.IFS(COUNTIF($B$29:$C$29, Q$2)&gt;0, VLOOKUP($J312,'Gear Values'!$A$2:$E$13, IF(COUNTBLANK('Attributes &amp; Prefixes'!$B$29:$C$29)&gt;0, "2", "3"), 0), COUNTIF($D$29:$E$29, Q$2)&gt;0, VLOOKUP($J312,'Gear Values'!$A$2:$E$13, IF(COUNTBLANK('Attributes &amp; Prefixes'!$B$29:$C$29)&gt;0, "4", "5"), 0)), "")</f>
        <v/>
      </c>
      <c r="R312" s="137" cm="1">
        <f t="array" ref="R312">IF(COUNTIF($B$29:$E$29, R$2)&gt;0, _xlfn.IFS(COUNTIF($B$29:$C$29, R$2)&gt;0, VLOOKUP($J312,'Gear Values'!$A$2:$E$13, IF(COUNTBLANK('Attributes &amp; Prefixes'!$B$29:$C$29)&gt;0, "2", "3"), 0), COUNTIF($D$29:$E$29, R$2)&gt;0, VLOOKUP($J312,'Gear Values'!$A$2:$E$13, IF(COUNTBLANK('Attributes &amp; Prefixes'!$B$29:$C$29)&gt;0, "4", "5"), 0)), "")</f>
        <v>42</v>
      </c>
      <c r="S312" s="138" t="str" cm="1">
        <f t="array" ref="S312">IF(COUNTIF($B$29:$E$29, S$2)&gt;0, _xlfn.IFS(COUNTIF($B$29:$C$29, S$2)&gt;0, VLOOKUP($J312,'Gear Values'!$A$2:$E$13, IF(COUNTBLANK('Attributes &amp; Prefixes'!$B$29:$C$29)&gt;0, "2", "3"), 0), COUNTIF($D$29:$E$29, S$2)&gt;0, VLOOKUP($J312,'Gear Values'!$A$2:$E$13, IF(COUNTBLANK('Attributes &amp; Prefixes'!$B$29:$C$29)&gt;0, "4", "5"), 0)), "")</f>
        <v/>
      </c>
      <c r="V312" s="112"/>
      <c r="W312" s="113"/>
    </row>
    <row r="313" spans="6:23">
      <c r="F313" s="114"/>
      <c r="G313" s="114"/>
      <c r="H313" s="130" t="str">
        <f>_xlfn.CONCAT(A$65,J313)</f>
        <v>EbonyNeck</v>
      </c>
      <c r="I313" s="520"/>
      <c r="J313" s="144" t="s">
        <v>52</v>
      </c>
      <c r="K313" s="136" cm="1">
        <f t="array" ref="K313">IF(COUNTIF($B$29:$E$29, K$2)&gt;0, _xlfn.IFS(COUNTIF($B$29:$C$29, K$2)&gt;0, VLOOKUP($J313,'Gear Values'!$A$2:$E$13, IF(COUNTBLANK('Attributes &amp; Prefixes'!$B$29:$C$29)&gt;0, "2", "3"), 0), COUNTIF($D$29:$E$29, K$2)&gt;0, VLOOKUP($J313,'Gear Values'!$A$2:$E$13, IF(COUNTBLANK('Attributes &amp; Prefixes'!$B$29:$C$29)&gt;0, "4", "5"), 0)), "")</f>
        <v>102</v>
      </c>
      <c r="L313" s="137" cm="1">
        <f t="array" ref="L313">IF(COUNTIF($B$29:$E$29, L$2)&gt;0, _xlfn.IFS(COUNTIF($B$29:$C$29, L$2)&gt;0, VLOOKUP($J313,'Gear Values'!$A$2:$E$13, IF(COUNTBLANK('Attributes &amp; Prefixes'!$B$29:$C$29)&gt;0, "2", "3"), 0), COUNTIF($D$29:$E$29, L$2)&gt;0, VLOOKUP($J313,'Gear Values'!$A$2:$E$13, IF(COUNTBLANK('Attributes &amp; Prefixes'!$B$29:$C$29)&gt;0, "4", "5"), 0)), "")</f>
        <v>102</v>
      </c>
      <c r="M313" s="137" t="str" cm="1">
        <f t="array" ref="M313">IF(COUNTIF($B$29:$E$29, M$2)&gt;0, _xlfn.IFS(COUNTIF($B$29:$C$29, M$2)&gt;0, VLOOKUP($J313,'Gear Values'!$A$2:$E$13, IF(COUNTBLANK('Attributes &amp; Prefixes'!$B$29:$C$29)&gt;0, "2", "3"), 0), COUNTIF($D$29:$E$29, M$2)&gt;0, VLOOKUP($J313,'Gear Values'!$A$2:$E$13, IF(COUNTBLANK('Attributes &amp; Prefixes'!$B$29:$C$29)&gt;0, "4", "5"), 0)), "")</f>
        <v/>
      </c>
      <c r="N313" s="137" cm="1">
        <f t="array" ref="N313">IF(COUNTIF($B$29:$E$29, N$2)&gt;0, _xlfn.IFS(COUNTIF($B$29:$C$29, N$2)&gt;0, VLOOKUP($J313,'Gear Values'!$A$2:$E$13, IF(COUNTBLANK('Attributes &amp; Prefixes'!$B$29:$C$29)&gt;0, "2", "3"), 0), COUNTIF($D$29:$E$29, N$2)&gt;0, VLOOKUP($J313,'Gear Values'!$A$2:$E$13, IF(COUNTBLANK('Attributes &amp; Prefixes'!$B$29:$C$29)&gt;0, "4", "5"), 0)), "")</f>
        <v>56</v>
      </c>
      <c r="O313" s="137" t="str" cm="1">
        <f t="array" ref="O313">IF(COUNTIF($B$29:$E$29, O$2)&gt;0, _xlfn.IFS(COUNTIF($B$29:$C$29, O$2)&gt;0, VLOOKUP($J313,'Gear Values'!$A$2:$E$13, IF(COUNTBLANK('Attributes &amp; Prefixes'!$B$29:$C$29)&gt;0, "2", "3"), 0), COUNTIF($D$29:$E$29, O$2)&gt;0, VLOOKUP($J313,'Gear Values'!$A$2:$E$13, IF(COUNTBLANK('Attributes &amp; Prefixes'!$B$29:$C$29)&gt;0, "4", "5"), 0)), "")</f>
        <v/>
      </c>
      <c r="P313" s="137" t="str" cm="1">
        <f t="array" ref="P313">IF(COUNTIF($B$29:$E$29, P$2)&gt;0, _xlfn.IFS(COUNTIF($B$29:$C$29, P$2)&gt;0, VLOOKUP($J313,'Gear Values'!$A$2:$E$13, IF(COUNTBLANK('Attributes &amp; Prefixes'!$B$29:$C$29)&gt;0, "2", "3"), 0), COUNTIF($D$29:$E$29, P$2)&gt;0, VLOOKUP($J313,'Gear Values'!$A$2:$E$13, IF(COUNTBLANK('Attributes &amp; Prefixes'!$B$29:$C$29)&gt;0, "4", "5"), 0)), "")</f>
        <v/>
      </c>
      <c r="Q313" s="137" t="str" cm="1">
        <f t="array" ref="Q313">IF(COUNTIF($B$29:$E$29, Q$2)&gt;0, _xlfn.IFS(COUNTIF($B$29:$C$29, Q$2)&gt;0, VLOOKUP($J313,'Gear Values'!$A$2:$E$13, IF(COUNTBLANK('Attributes &amp; Prefixes'!$B$29:$C$29)&gt;0, "2", "3"), 0), COUNTIF($D$29:$E$29, Q$2)&gt;0, VLOOKUP($J313,'Gear Values'!$A$2:$E$13, IF(COUNTBLANK('Attributes &amp; Prefixes'!$B$29:$C$29)&gt;0, "4", "5"), 0)), "")</f>
        <v/>
      </c>
      <c r="R313" s="137" cm="1">
        <f t="array" ref="R313">IF(COUNTIF($B$29:$E$29, R$2)&gt;0, _xlfn.IFS(COUNTIF($B$29:$C$29, R$2)&gt;0, VLOOKUP($J313,'Gear Values'!$A$2:$E$13, IF(COUNTBLANK('Attributes &amp; Prefixes'!$B$29:$C$29)&gt;0, "2", "3"), 0), COUNTIF($D$29:$E$29, R$2)&gt;0, VLOOKUP($J313,'Gear Values'!$A$2:$E$13, IF(COUNTBLANK('Attributes &amp; Prefixes'!$B$29:$C$29)&gt;0, "4", "5"), 0)), "")</f>
        <v>56</v>
      </c>
      <c r="S313" s="138" t="str" cm="1">
        <f t="array" ref="S313">IF(COUNTIF($B$29:$E$29, S$2)&gt;0, _xlfn.IFS(COUNTIF($B$29:$C$29, S$2)&gt;0, VLOOKUP($J313,'Gear Values'!$A$2:$E$13, IF(COUNTBLANK('Attributes &amp; Prefixes'!$B$29:$C$29)&gt;0, "2", "3"), 0), COUNTIF($D$29:$E$29, S$2)&gt;0, VLOOKUP($J313,'Gear Values'!$A$2:$E$13, IF(COUNTBLANK('Attributes &amp; Prefixes'!$B$29:$C$29)&gt;0, "4", "5"), 0)), "")</f>
        <v/>
      </c>
      <c r="V313" s="112"/>
      <c r="W313" s="113"/>
    </row>
    <row r="314" spans="6:23">
      <c r="F314" s="114"/>
      <c r="G314" s="114"/>
      <c r="H314" s="130" t="str">
        <f>_xlfn.CONCAT(I$303,J314)</f>
        <v>MarauderBack</v>
      </c>
      <c r="I314" s="521"/>
      <c r="J314" s="146" t="s">
        <v>53</v>
      </c>
      <c r="K314" s="147" t="str" cm="1">
        <f t="array" ref="K314">IF(COUNTIF($B$29:$E$29, K$2)&gt;0, _xlfn.IFS(COUNTIF($B$29:$C$29, K$2)&gt;0, VLOOKUP($J314,'Gear Values'!$A$2:$E$13, IF(COUNTBLANK('Attributes &amp; Prefixes'!$B$29:$C$29)&gt;0, "2", "3"), 0), COUNTIF($D$29:$E$29, K$2)&gt;0, VLOOKUP($J314,'Gear Values'!$A$2:$E$13, IF(COUNTBLANK('Attributes &amp; Prefixes'!$B$29:$C$29)&gt;0, "4", "5"), 0)), "")</f>
        <v>N/A</v>
      </c>
      <c r="L314" s="148" t="str" cm="1">
        <f t="array" ref="L314">IF(COUNTIF($B$29:$E$29, L$2)&gt;0, _xlfn.IFS(COUNTIF($B$29:$C$29, L$2)&gt;0, VLOOKUP($J314,'Gear Values'!$A$2:$E$13, IF(COUNTBLANK('Attributes &amp; Prefixes'!$B$29:$C$29)&gt;0, "2", "3"), 0), COUNTIF($D$29:$E$29, L$2)&gt;0, VLOOKUP($J314,'Gear Values'!$A$2:$E$13, IF(COUNTBLANK('Attributes &amp; Prefixes'!$B$29:$C$29)&gt;0, "4", "5"), 0)), "")</f>
        <v>N/A</v>
      </c>
      <c r="M314" s="148" t="str" cm="1">
        <f t="array" ref="M314">IF(COUNTIF($B$29:$E$29, M$2)&gt;0, _xlfn.IFS(COUNTIF($B$29:$C$29, M$2)&gt;0, VLOOKUP($J314,'Gear Values'!$A$2:$E$13, IF(COUNTBLANK('Attributes &amp; Prefixes'!$B$29:$C$29)&gt;0, "2", "3"), 0), COUNTIF($D$29:$E$29, M$2)&gt;0, VLOOKUP($J314,'Gear Values'!$A$2:$E$13, IF(COUNTBLANK('Attributes &amp; Prefixes'!$B$29:$C$29)&gt;0, "4", "5"), 0)), "")</f>
        <v/>
      </c>
      <c r="N314" s="148" t="str" cm="1">
        <f t="array" ref="N314">IF(COUNTIF($B$29:$E$29, N$2)&gt;0, _xlfn.IFS(COUNTIF($B$29:$C$29, N$2)&gt;0, VLOOKUP($J314,'Gear Values'!$A$2:$E$13, IF(COUNTBLANK('Attributes &amp; Prefixes'!$B$29:$C$29)&gt;0, "2", "3"), 0), COUNTIF($D$29:$E$29, N$2)&gt;0, VLOOKUP($J314,'Gear Values'!$A$2:$E$13, IF(COUNTBLANK('Attributes &amp; Prefixes'!$B$29:$C$29)&gt;0, "4", "5"), 0)), "")</f>
        <v>N/A</v>
      </c>
      <c r="O314" s="148" t="str" cm="1">
        <f t="array" ref="O314">IF(COUNTIF($B$29:$E$29, O$2)&gt;0, _xlfn.IFS(COUNTIF($B$29:$C$29, O$2)&gt;0, VLOOKUP($J314,'Gear Values'!$A$2:$E$13, IF(COUNTBLANK('Attributes &amp; Prefixes'!$B$29:$C$29)&gt;0, "2", "3"), 0), COUNTIF($D$29:$E$29, O$2)&gt;0, VLOOKUP($J314,'Gear Values'!$A$2:$E$13, IF(COUNTBLANK('Attributes &amp; Prefixes'!$B$29:$C$29)&gt;0, "4", "5"), 0)), "")</f>
        <v/>
      </c>
      <c r="P314" s="148" t="str" cm="1">
        <f t="array" ref="P314">IF(COUNTIF($B$29:$E$29, P$2)&gt;0, _xlfn.IFS(COUNTIF($B$29:$C$29, P$2)&gt;0, VLOOKUP($J314,'Gear Values'!$A$2:$E$13, IF(COUNTBLANK('Attributes &amp; Prefixes'!$B$29:$C$29)&gt;0, "2", "3"), 0), COUNTIF($D$29:$E$29, P$2)&gt;0, VLOOKUP($J314,'Gear Values'!$A$2:$E$13, IF(COUNTBLANK('Attributes &amp; Prefixes'!$B$29:$C$29)&gt;0, "4", "5"), 0)), "")</f>
        <v/>
      </c>
      <c r="Q314" s="148" t="str" cm="1">
        <f t="array" ref="Q314">IF(COUNTIF($B$29:$E$29, Q$2)&gt;0, _xlfn.IFS(COUNTIF($B$29:$C$29, Q$2)&gt;0, VLOOKUP($J314,'Gear Values'!$A$2:$E$13, IF(COUNTBLANK('Attributes &amp; Prefixes'!$B$29:$C$29)&gt;0, "2", "3"), 0), COUNTIF($D$29:$E$29, Q$2)&gt;0, VLOOKUP($J314,'Gear Values'!$A$2:$E$13, IF(COUNTBLANK('Attributes &amp; Prefixes'!$B$29:$C$29)&gt;0, "4", "5"), 0)), "")</f>
        <v/>
      </c>
      <c r="R314" s="148" t="str" cm="1">
        <f t="array" ref="R314">IF(COUNTIF($B$29:$E$29, R$2)&gt;0, _xlfn.IFS(COUNTIF($B$29:$C$29, R$2)&gt;0, VLOOKUP($J314,'Gear Values'!$A$2:$E$13, IF(COUNTBLANK('Attributes &amp; Prefixes'!$B$29:$C$29)&gt;0, "2", "3"), 0), COUNTIF($D$29:$E$29, R$2)&gt;0, VLOOKUP($J314,'Gear Values'!$A$2:$E$13, IF(COUNTBLANK('Attributes &amp; Prefixes'!$B$29:$C$29)&gt;0, "4", "5"), 0)), "")</f>
        <v>N/A</v>
      </c>
      <c r="S314" s="150" t="str" cm="1">
        <f t="array" ref="S314">IF(COUNTIF($B$29:$E$29, S$2)&gt;0, _xlfn.IFS(COUNTIF($B$29:$C$29, S$2)&gt;0, VLOOKUP($J314,'Gear Values'!$A$2:$E$13, IF(COUNTBLANK('Attributes &amp; Prefixes'!$B$29:$C$29)&gt;0, "2", "3"), 0), COUNTIF($D$29:$E$29, S$2)&gt;0, VLOOKUP($J314,'Gear Values'!$A$2:$E$13, IF(COUNTBLANK('Attributes &amp; Prefixes'!$B$29:$C$29)&gt;0, "4", "5"), 0)), "")</f>
        <v/>
      </c>
      <c r="V314" s="112"/>
      <c r="W314" s="113"/>
    </row>
    <row r="315" spans="6:23">
      <c r="F315" s="114"/>
      <c r="G315" s="114"/>
      <c r="H315" s="130" t="str">
        <f>_xlfn.CONCAT(I$315,J315)</f>
        <v>MarshalWeapon (1H)</v>
      </c>
      <c r="I315" s="519" t="str">
        <f>A30</f>
        <v>Marshal</v>
      </c>
      <c r="J315" s="145" t="s">
        <v>37</v>
      </c>
      <c r="K315" s="133" cm="1">
        <f t="array" ref="K315">IF(COUNTIF($B$30:$E$30, K$2)&gt;0, _xlfn.IFS(COUNTIF($B$30:$C$30, K$2)&gt;0, VLOOKUP($J315,'Gear Values'!$A$2:$E$13, IF(COUNTBLANK('Attributes &amp; Prefixes'!$B$30:$C$30)&gt;0, "2", "3"), 0), COUNTIF($D$30:$E$30, K$2)&gt;0, VLOOKUP($J315,'Gear Values'!$A$2:$E$13, IF(COUNTBLANK('Attributes &amp; Prefixes'!$B$30:$C$30)&gt;0, "4", "5"), 0)), "")</f>
        <v>102</v>
      </c>
      <c r="L315" s="134" cm="1">
        <f t="array" ref="L315">IF(COUNTIF($B$30:$E$30, L$2)&gt;0, _xlfn.IFS(COUNTIF($B$30:$C$30, L$2)&gt;0, VLOOKUP($J315,'Gear Values'!$A$2:$E$13, IF(COUNTBLANK('Attributes &amp; Prefixes'!$B$30:$C$30)&gt;0, "2", "3"), 0), COUNTIF($D$30:$E$30, L$2)&gt;0, VLOOKUP($J315,'Gear Values'!$A$2:$E$13, IF(COUNTBLANK('Attributes &amp; Prefixes'!$B$30:$C$30)&gt;0, "4", "5"), 0)), "")</f>
        <v>56</v>
      </c>
      <c r="M315" s="134" t="str" cm="1">
        <f t="array" ref="M315">IF(COUNTIF($B$30:$E$30, M$2)&gt;0, _xlfn.IFS(COUNTIF($B$30:$C$30, M$2)&gt;0, VLOOKUP($J315,'Gear Values'!$A$2:$E$13, IF(COUNTBLANK('Attributes &amp; Prefixes'!$B$30:$C$30)&gt;0, "2", "3"), 0), COUNTIF($D$30:$E$30, M$2)&gt;0, VLOOKUP($J315,'Gear Values'!$A$2:$E$13, IF(COUNTBLANK('Attributes &amp; Prefixes'!$B$30:$C$30)&gt;0, "4", "5"), 0)), "")</f>
        <v/>
      </c>
      <c r="N315" s="134" t="str" cm="1">
        <f t="array" ref="N315">IF(COUNTIF($B$30:$E$30, N$2)&gt;0, _xlfn.IFS(COUNTIF($B$30:$C$30, N$2)&gt;0, VLOOKUP($J315,'Gear Values'!$A$2:$E$13, IF(COUNTBLANK('Attributes &amp; Prefixes'!$B$30:$C$30)&gt;0, "2", "3"), 0), COUNTIF($D$30:$E$30, N$2)&gt;0, VLOOKUP($J315,'Gear Values'!$A$2:$E$13, IF(COUNTBLANK('Attributes &amp; Prefixes'!$B$30:$C$30)&gt;0, "4", "5"), 0)), "")</f>
        <v/>
      </c>
      <c r="O315" s="134" t="str" cm="1">
        <f t="array" ref="O315">IF(COUNTIF($B$30:$E$30, O$2)&gt;0, _xlfn.IFS(COUNTIF($B$30:$C$30, O$2)&gt;0, VLOOKUP($J315,'Gear Values'!$A$2:$E$13, IF(COUNTBLANK('Attributes &amp; Prefixes'!$B$30:$C$30)&gt;0, "2", "3"), 0), COUNTIF($D$30:$E$30, O$2)&gt;0, VLOOKUP($J315,'Gear Values'!$A$2:$E$13, IF(COUNTBLANK('Attributes &amp; Prefixes'!$B$30:$C$30)&gt;0, "4", "5"), 0)), "")</f>
        <v/>
      </c>
      <c r="P315" s="134" cm="1">
        <f t="array" ref="P315">IF(COUNTIF($B$30:$E$30, P$2)&gt;0, _xlfn.IFS(COUNTIF($B$30:$C$30, P$2)&gt;0, VLOOKUP($J315,'Gear Values'!$A$2:$E$13, IF(COUNTBLANK('Attributes &amp; Prefixes'!$B$30:$C$30)&gt;0, "2", "3"), 0), COUNTIF($D$30:$E$30, P$2)&gt;0, VLOOKUP($J315,'Gear Values'!$A$2:$E$13, IF(COUNTBLANK('Attributes &amp; Prefixes'!$B$30:$C$30)&gt;0, "4", "5"), 0)), "")</f>
        <v>56</v>
      </c>
      <c r="Q315" s="134" t="str" cm="1">
        <f t="array" ref="Q315">IF(COUNTIF($B$30:$E$30, Q$2)&gt;0, _xlfn.IFS(COUNTIF($B$30:$C$30, Q$2)&gt;0, VLOOKUP($J315,'Gear Values'!$A$2:$E$13, IF(COUNTBLANK('Attributes &amp; Prefixes'!$B$30:$C$30)&gt;0, "2", "3"), 0), COUNTIF($D$30:$E$30, Q$2)&gt;0, VLOOKUP($J315,'Gear Values'!$A$2:$E$13, IF(COUNTBLANK('Attributes &amp; Prefixes'!$B$30:$C$30)&gt;0, "4", "5"), 0)), "")</f>
        <v/>
      </c>
      <c r="R315" s="134" t="str" cm="1">
        <f t="array" ref="R315">IF(COUNTIF($B$30:$E$30, R$2)&gt;0, _xlfn.IFS(COUNTIF($B$30:$C$30, R$2)&gt;0, VLOOKUP($J315,'Gear Values'!$A$2:$E$13, IF(COUNTBLANK('Attributes &amp; Prefixes'!$B$30:$C$30)&gt;0, "2", "3"), 0), COUNTIF($D$30:$E$30, R$2)&gt;0, VLOOKUP($J315,'Gear Values'!$A$2:$E$13, IF(COUNTBLANK('Attributes &amp; Prefixes'!$B$30:$C$30)&gt;0, "4", "5"), 0)), "")</f>
        <v/>
      </c>
      <c r="S315" s="135" cm="1">
        <f t="array" ref="S315">IF(COUNTIF($B$30:$E$30, S$2)&gt;0, _xlfn.IFS(COUNTIF($B$30:$C$30, S$2)&gt;0, VLOOKUP($J315,'Gear Values'!$A$2:$E$13, IF(COUNTBLANK('Attributes &amp; Prefixes'!$B$30:$C$30)&gt;0, "2", "3"), 0), COUNTIF($D$30:$E$30, S$2)&gt;0, VLOOKUP($J315,'Gear Values'!$A$2:$E$13, IF(COUNTBLANK('Attributes &amp; Prefixes'!$B$30:$C$30)&gt;0, "4", "5"), 0)), "")</f>
        <v>102</v>
      </c>
      <c r="V315" s="112"/>
      <c r="W315" s="113"/>
    </row>
    <row r="316" spans="6:23">
      <c r="F316" s="114"/>
      <c r="G316" s="114"/>
      <c r="H316" s="130" t="str">
        <f>_xlfn.CONCAT(I$315,J316)</f>
        <v>MarshalWeapon (2H)</v>
      </c>
      <c r="I316" s="520"/>
      <c r="J316" s="144" t="s">
        <v>39</v>
      </c>
      <c r="K316" s="136" cm="1">
        <f t="array" ref="K316">IF(COUNTIF($B$30:$E$30, K$2)&gt;0, _xlfn.IFS(COUNTIF($B$30:$C$30, K$2)&gt;0, VLOOKUP($J316,'Gear Values'!$A$2:$E$13, IF(COUNTBLANK('Attributes &amp; Prefixes'!$B$30:$C$30)&gt;0, "2", "3"), 0), COUNTIF($D$30:$E$30, K$2)&gt;0, VLOOKUP($J316,'Gear Values'!$A$2:$E$13, IF(COUNTBLANK('Attributes &amp; Prefixes'!$B$30:$C$30)&gt;0, "4", "5"), 0)), "")</f>
        <v>205</v>
      </c>
      <c r="L316" s="137" cm="1">
        <f t="array" ref="L316">IF(COUNTIF($B$30:$E$30, L$2)&gt;0, _xlfn.IFS(COUNTIF($B$30:$C$30, L$2)&gt;0, VLOOKUP($J316,'Gear Values'!$A$2:$E$13, IF(COUNTBLANK('Attributes &amp; Prefixes'!$B$30:$C$30)&gt;0, "2", "3"), 0), COUNTIF($D$30:$E$30, L$2)&gt;0, VLOOKUP($J316,'Gear Values'!$A$2:$E$13, IF(COUNTBLANK('Attributes &amp; Prefixes'!$B$30:$C$30)&gt;0, "4", "5"), 0)), "")</f>
        <v>113</v>
      </c>
      <c r="M316" s="137" t="str" cm="1">
        <f t="array" ref="M316">IF(COUNTIF($B$30:$E$30, M$2)&gt;0, _xlfn.IFS(COUNTIF($B$30:$C$30, M$2)&gt;0, VLOOKUP($J316,'Gear Values'!$A$2:$E$13, IF(COUNTBLANK('Attributes &amp; Prefixes'!$B$30:$C$30)&gt;0, "2", "3"), 0), COUNTIF($D$30:$E$30, M$2)&gt;0, VLOOKUP($J316,'Gear Values'!$A$2:$E$13, IF(COUNTBLANK('Attributes &amp; Prefixes'!$B$30:$C$30)&gt;0, "4", "5"), 0)), "")</f>
        <v/>
      </c>
      <c r="N316" s="137" t="str" cm="1">
        <f t="array" ref="N316">IF(COUNTIF($B$30:$E$30, N$2)&gt;0, _xlfn.IFS(COUNTIF($B$30:$C$30, N$2)&gt;0, VLOOKUP($J316,'Gear Values'!$A$2:$E$13, IF(COUNTBLANK('Attributes &amp; Prefixes'!$B$30:$C$30)&gt;0, "2", "3"), 0), COUNTIF($D$30:$E$30, N$2)&gt;0, VLOOKUP($J316,'Gear Values'!$A$2:$E$13, IF(COUNTBLANK('Attributes &amp; Prefixes'!$B$30:$C$30)&gt;0, "4", "5"), 0)), "")</f>
        <v/>
      </c>
      <c r="O316" s="137" t="str" cm="1">
        <f t="array" ref="O316">IF(COUNTIF($B$30:$E$30, O$2)&gt;0, _xlfn.IFS(COUNTIF($B$30:$C$30, O$2)&gt;0, VLOOKUP($J316,'Gear Values'!$A$2:$E$13, IF(COUNTBLANK('Attributes &amp; Prefixes'!$B$30:$C$30)&gt;0, "2", "3"), 0), COUNTIF($D$30:$E$30, O$2)&gt;0, VLOOKUP($J316,'Gear Values'!$A$2:$E$13, IF(COUNTBLANK('Attributes &amp; Prefixes'!$B$30:$C$30)&gt;0, "4", "5"), 0)), "")</f>
        <v/>
      </c>
      <c r="P316" s="137" cm="1">
        <f t="array" ref="P316">IF(COUNTIF($B$30:$E$30, P$2)&gt;0, _xlfn.IFS(COUNTIF($B$30:$C$30, P$2)&gt;0, VLOOKUP($J316,'Gear Values'!$A$2:$E$13, IF(COUNTBLANK('Attributes &amp; Prefixes'!$B$30:$C$30)&gt;0, "2", "3"), 0), COUNTIF($D$30:$E$30, P$2)&gt;0, VLOOKUP($J316,'Gear Values'!$A$2:$E$13, IF(COUNTBLANK('Attributes &amp; Prefixes'!$B$30:$C$30)&gt;0, "4", "5"), 0)), "")</f>
        <v>113</v>
      </c>
      <c r="Q316" s="137" t="str" cm="1">
        <f t="array" ref="Q316">IF(COUNTIF($B$30:$E$30, Q$2)&gt;0, _xlfn.IFS(COUNTIF($B$30:$C$30, Q$2)&gt;0, VLOOKUP($J316,'Gear Values'!$A$2:$E$13, IF(COUNTBLANK('Attributes &amp; Prefixes'!$B$30:$C$30)&gt;0, "2", "3"), 0), COUNTIF($D$30:$E$30, Q$2)&gt;0, VLOOKUP($J316,'Gear Values'!$A$2:$E$13, IF(COUNTBLANK('Attributes &amp; Prefixes'!$B$30:$C$30)&gt;0, "4", "5"), 0)), "")</f>
        <v/>
      </c>
      <c r="R316" s="137" t="str" cm="1">
        <f t="array" ref="R316">IF(COUNTIF($B$30:$E$30, R$2)&gt;0, _xlfn.IFS(COUNTIF($B$30:$C$30, R$2)&gt;0, VLOOKUP($J316,'Gear Values'!$A$2:$E$13, IF(COUNTBLANK('Attributes &amp; Prefixes'!$B$30:$C$30)&gt;0, "2", "3"), 0), COUNTIF($D$30:$E$30, R$2)&gt;0, VLOOKUP($J316,'Gear Values'!$A$2:$E$13, IF(COUNTBLANK('Attributes &amp; Prefixes'!$B$30:$C$30)&gt;0, "4", "5"), 0)), "")</f>
        <v/>
      </c>
      <c r="S316" s="138" cm="1">
        <f t="array" ref="S316">IF(COUNTIF($B$30:$E$30, S$2)&gt;0, _xlfn.IFS(COUNTIF($B$30:$C$30, S$2)&gt;0, VLOOKUP($J316,'Gear Values'!$A$2:$E$13, IF(COUNTBLANK('Attributes &amp; Prefixes'!$B$30:$C$30)&gt;0, "2", "3"), 0), COUNTIF($D$30:$E$30, S$2)&gt;0, VLOOKUP($J316,'Gear Values'!$A$2:$E$13, IF(COUNTBLANK('Attributes &amp; Prefixes'!$B$30:$C$30)&gt;0, "4", "5"), 0)), "")</f>
        <v>205</v>
      </c>
      <c r="V316" s="112"/>
      <c r="W316" s="113"/>
    </row>
    <row r="317" spans="6:23">
      <c r="F317" s="114"/>
      <c r="G317" s="114"/>
      <c r="H317" s="130" t="str">
        <f>_xlfn.CONCAT(I$315,J317)</f>
        <v>MarshalHead</v>
      </c>
      <c r="I317" s="520"/>
      <c r="J317" s="144" t="s">
        <v>40</v>
      </c>
      <c r="K317" s="136" cm="1">
        <f t="array" ref="K317">IF(COUNTIF($B$30:$E$30, K$2)&gt;0, _xlfn.IFS(COUNTIF($B$30:$C$30, K$2)&gt;0, VLOOKUP($J317,'Gear Values'!$A$2:$E$13, IF(COUNTBLANK('Attributes &amp; Prefixes'!$B$30:$C$30)&gt;0, "2", "3"), 0), COUNTIF($D$30:$E$30, K$2)&gt;0, VLOOKUP($J317,'Gear Values'!$A$2:$E$13, IF(COUNTBLANK('Attributes &amp; Prefixes'!$B$30:$C$30)&gt;0, "4", "5"), 0)), "")</f>
        <v>51</v>
      </c>
      <c r="L317" s="137" cm="1">
        <f t="array" ref="L317">IF(COUNTIF($B$30:$E$30, L$2)&gt;0, _xlfn.IFS(COUNTIF($B$30:$C$30, L$2)&gt;0, VLOOKUP($J317,'Gear Values'!$A$2:$E$13, IF(COUNTBLANK('Attributes &amp; Prefixes'!$B$30:$C$30)&gt;0, "2", "3"), 0), COUNTIF($D$30:$E$30, L$2)&gt;0, VLOOKUP($J317,'Gear Values'!$A$2:$E$13, IF(COUNTBLANK('Attributes &amp; Prefixes'!$B$30:$C$30)&gt;0, "4", "5"), 0)), "")</f>
        <v>28</v>
      </c>
      <c r="M317" s="137" t="str" cm="1">
        <f t="array" ref="M317">IF(COUNTIF($B$30:$E$30, M$2)&gt;0, _xlfn.IFS(COUNTIF($B$30:$C$30, M$2)&gt;0, VLOOKUP($J317,'Gear Values'!$A$2:$E$13, IF(COUNTBLANK('Attributes &amp; Prefixes'!$B$30:$C$30)&gt;0, "2", "3"), 0), COUNTIF($D$30:$E$30, M$2)&gt;0, VLOOKUP($J317,'Gear Values'!$A$2:$E$13, IF(COUNTBLANK('Attributes &amp; Prefixes'!$B$30:$C$30)&gt;0, "4", "5"), 0)), "")</f>
        <v/>
      </c>
      <c r="N317" s="137" t="str" cm="1">
        <f t="array" ref="N317">IF(COUNTIF($B$30:$E$30, N$2)&gt;0, _xlfn.IFS(COUNTIF($B$30:$C$30, N$2)&gt;0, VLOOKUP($J317,'Gear Values'!$A$2:$E$13, IF(COUNTBLANK('Attributes &amp; Prefixes'!$B$30:$C$30)&gt;0, "2", "3"), 0), COUNTIF($D$30:$E$30, N$2)&gt;0, VLOOKUP($J317,'Gear Values'!$A$2:$E$13, IF(COUNTBLANK('Attributes &amp; Prefixes'!$B$30:$C$30)&gt;0, "4", "5"), 0)), "")</f>
        <v/>
      </c>
      <c r="O317" s="137" t="str" cm="1">
        <f t="array" ref="O317">IF(COUNTIF($B$30:$E$30, O$2)&gt;0, _xlfn.IFS(COUNTIF($B$30:$C$30, O$2)&gt;0, VLOOKUP($J317,'Gear Values'!$A$2:$E$13, IF(COUNTBLANK('Attributes &amp; Prefixes'!$B$30:$C$30)&gt;0, "2", "3"), 0), COUNTIF($D$30:$E$30, O$2)&gt;0, VLOOKUP($J317,'Gear Values'!$A$2:$E$13, IF(COUNTBLANK('Attributes &amp; Prefixes'!$B$30:$C$30)&gt;0, "4", "5"), 0)), "")</f>
        <v/>
      </c>
      <c r="P317" s="137" cm="1">
        <f t="array" ref="P317">IF(COUNTIF($B$30:$E$30, P$2)&gt;0, _xlfn.IFS(COUNTIF($B$30:$C$30, P$2)&gt;0, VLOOKUP($J317,'Gear Values'!$A$2:$E$13, IF(COUNTBLANK('Attributes &amp; Prefixes'!$B$30:$C$30)&gt;0, "2", "3"), 0), COUNTIF($D$30:$E$30, P$2)&gt;0, VLOOKUP($J317,'Gear Values'!$A$2:$E$13, IF(COUNTBLANK('Attributes &amp; Prefixes'!$B$30:$C$30)&gt;0, "4", "5"), 0)), "")</f>
        <v>28</v>
      </c>
      <c r="Q317" s="137" t="str" cm="1">
        <f t="array" ref="Q317">IF(COUNTIF($B$30:$E$30, Q$2)&gt;0, _xlfn.IFS(COUNTIF($B$30:$C$30, Q$2)&gt;0, VLOOKUP($J317,'Gear Values'!$A$2:$E$13, IF(COUNTBLANK('Attributes &amp; Prefixes'!$B$30:$C$30)&gt;0, "2", "3"), 0), COUNTIF($D$30:$E$30, Q$2)&gt;0, VLOOKUP($J317,'Gear Values'!$A$2:$E$13, IF(COUNTBLANK('Attributes &amp; Prefixes'!$B$30:$C$30)&gt;0, "4", "5"), 0)), "")</f>
        <v/>
      </c>
      <c r="R317" s="137" t="str" cm="1">
        <f t="array" ref="R317">IF(COUNTIF($B$30:$E$30, R$2)&gt;0, _xlfn.IFS(COUNTIF($B$30:$C$30, R$2)&gt;0, VLOOKUP($J317,'Gear Values'!$A$2:$E$13, IF(COUNTBLANK('Attributes &amp; Prefixes'!$B$30:$C$30)&gt;0, "2", "3"), 0), COUNTIF($D$30:$E$30, R$2)&gt;0, VLOOKUP($J317,'Gear Values'!$A$2:$E$13, IF(COUNTBLANK('Attributes &amp; Prefixes'!$B$30:$C$30)&gt;0, "4", "5"), 0)), "")</f>
        <v/>
      </c>
      <c r="S317" s="138" cm="1">
        <f t="array" ref="S317">IF(COUNTIF($B$30:$E$30, S$2)&gt;0, _xlfn.IFS(COUNTIF($B$30:$C$30, S$2)&gt;0, VLOOKUP($J317,'Gear Values'!$A$2:$E$13, IF(COUNTBLANK('Attributes &amp; Prefixes'!$B$30:$C$30)&gt;0, "2", "3"), 0), COUNTIF($D$30:$E$30, S$2)&gt;0, VLOOKUP($J317,'Gear Values'!$A$2:$E$13, IF(COUNTBLANK('Attributes &amp; Prefixes'!$B$30:$C$30)&gt;0, "4", "5"), 0)), "")</f>
        <v>51</v>
      </c>
      <c r="V317" s="112"/>
      <c r="W317" s="113"/>
    </row>
    <row r="318" spans="6:23">
      <c r="F318" s="114"/>
      <c r="G318" s="114"/>
      <c r="H318" s="130" t="str">
        <f>_xlfn.CONCAT(I$315,J318)</f>
        <v>MarshalShoulders</v>
      </c>
      <c r="I318" s="520"/>
      <c r="J318" s="144" t="s">
        <v>42</v>
      </c>
      <c r="K318" s="136" cm="1">
        <f t="array" ref="K318">IF(COUNTIF($B$30:$E$30, K$2)&gt;0, _xlfn.IFS(COUNTIF($B$30:$C$30, K$2)&gt;0, VLOOKUP($J318,'Gear Values'!$A$2:$E$13, IF(COUNTBLANK('Attributes &amp; Prefixes'!$B$30:$C$30)&gt;0, "2", "3"), 0), COUNTIF($D$30:$E$30, K$2)&gt;0, VLOOKUP($J318,'Gear Values'!$A$2:$E$13, IF(COUNTBLANK('Attributes &amp; Prefixes'!$B$30:$C$30)&gt;0, "4", "5"), 0)), "")</f>
        <v>38</v>
      </c>
      <c r="L318" s="137" cm="1">
        <f t="array" ref="L318">IF(COUNTIF($B$30:$E$30, L$2)&gt;0, _xlfn.IFS(COUNTIF($B$30:$C$30, L$2)&gt;0, VLOOKUP($J318,'Gear Values'!$A$2:$E$13, IF(COUNTBLANK('Attributes &amp; Prefixes'!$B$30:$C$30)&gt;0, "2", "3"), 0), COUNTIF($D$30:$E$30, L$2)&gt;0, VLOOKUP($J318,'Gear Values'!$A$2:$E$13, IF(COUNTBLANK('Attributes &amp; Prefixes'!$B$30:$C$30)&gt;0, "4", "5"), 0)), "")</f>
        <v>21</v>
      </c>
      <c r="M318" s="137" t="str" cm="1">
        <f t="array" ref="M318">IF(COUNTIF($B$30:$E$30, M$2)&gt;0, _xlfn.IFS(COUNTIF($B$30:$C$30, M$2)&gt;0, VLOOKUP($J318,'Gear Values'!$A$2:$E$13, IF(COUNTBLANK('Attributes &amp; Prefixes'!$B$30:$C$30)&gt;0, "2", "3"), 0), COUNTIF($D$30:$E$30, M$2)&gt;0, VLOOKUP($J318,'Gear Values'!$A$2:$E$13, IF(COUNTBLANK('Attributes &amp; Prefixes'!$B$30:$C$30)&gt;0, "4", "5"), 0)), "")</f>
        <v/>
      </c>
      <c r="N318" s="137" t="str" cm="1">
        <f t="array" ref="N318">IF(COUNTIF($B$30:$E$30, N$2)&gt;0, _xlfn.IFS(COUNTIF($B$30:$C$30, N$2)&gt;0, VLOOKUP($J318,'Gear Values'!$A$2:$E$13, IF(COUNTBLANK('Attributes &amp; Prefixes'!$B$30:$C$30)&gt;0, "2", "3"), 0), COUNTIF($D$30:$E$30, N$2)&gt;0, VLOOKUP($J318,'Gear Values'!$A$2:$E$13, IF(COUNTBLANK('Attributes &amp; Prefixes'!$B$30:$C$30)&gt;0, "4", "5"), 0)), "")</f>
        <v/>
      </c>
      <c r="O318" s="137" t="str" cm="1">
        <f t="array" ref="O318">IF(COUNTIF($B$30:$E$30, O$2)&gt;0, _xlfn.IFS(COUNTIF($B$30:$C$30, O$2)&gt;0, VLOOKUP($J318,'Gear Values'!$A$2:$E$13, IF(COUNTBLANK('Attributes &amp; Prefixes'!$B$30:$C$30)&gt;0, "2", "3"), 0), COUNTIF($D$30:$E$30, O$2)&gt;0, VLOOKUP($J318,'Gear Values'!$A$2:$E$13, IF(COUNTBLANK('Attributes &amp; Prefixes'!$B$30:$C$30)&gt;0, "4", "5"), 0)), "")</f>
        <v/>
      </c>
      <c r="P318" s="137" cm="1">
        <f t="array" ref="P318">IF(COUNTIF($B$30:$E$30, P$2)&gt;0, _xlfn.IFS(COUNTIF($B$30:$C$30, P$2)&gt;0, VLOOKUP($J318,'Gear Values'!$A$2:$E$13, IF(COUNTBLANK('Attributes &amp; Prefixes'!$B$30:$C$30)&gt;0, "2", "3"), 0), COUNTIF($D$30:$E$30, P$2)&gt;0, VLOOKUP($J318,'Gear Values'!$A$2:$E$13, IF(COUNTBLANK('Attributes &amp; Prefixes'!$B$30:$C$30)&gt;0, "4", "5"), 0)), "")</f>
        <v>21</v>
      </c>
      <c r="Q318" s="137" t="str" cm="1">
        <f t="array" ref="Q318">IF(COUNTIF($B$30:$E$30, Q$2)&gt;0, _xlfn.IFS(COUNTIF($B$30:$C$30, Q$2)&gt;0, VLOOKUP($J318,'Gear Values'!$A$2:$E$13, IF(COUNTBLANK('Attributes &amp; Prefixes'!$B$30:$C$30)&gt;0, "2", "3"), 0), COUNTIF($D$30:$E$30, Q$2)&gt;0, VLOOKUP($J318,'Gear Values'!$A$2:$E$13, IF(COUNTBLANK('Attributes &amp; Prefixes'!$B$30:$C$30)&gt;0, "4", "5"), 0)), "")</f>
        <v/>
      </c>
      <c r="R318" s="137" t="str" cm="1">
        <f t="array" ref="R318">IF(COUNTIF($B$30:$E$30, R$2)&gt;0, _xlfn.IFS(COUNTIF($B$30:$C$30, R$2)&gt;0, VLOOKUP($J318,'Gear Values'!$A$2:$E$13, IF(COUNTBLANK('Attributes &amp; Prefixes'!$B$30:$C$30)&gt;0, "2", "3"), 0), COUNTIF($D$30:$E$30, R$2)&gt;0, VLOOKUP($J318,'Gear Values'!$A$2:$E$13, IF(COUNTBLANK('Attributes &amp; Prefixes'!$B$30:$C$30)&gt;0, "4", "5"), 0)), "")</f>
        <v/>
      </c>
      <c r="S318" s="138" cm="1">
        <f t="array" ref="S318">IF(COUNTIF($B$30:$E$30, S$2)&gt;0, _xlfn.IFS(COUNTIF($B$30:$C$30, S$2)&gt;0, VLOOKUP($J318,'Gear Values'!$A$2:$E$13, IF(COUNTBLANK('Attributes &amp; Prefixes'!$B$30:$C$30)&gt;0, "2", "3"), 0), COUNTIF($D$30:$E$30, S$2)&gt;0, VLOOKUP($J318,'Gear Values'!$A$2:$E$13, IF(COUNTBLANK('Attributes &amp; Prefixes'!$B$30:$C$30)&gt;0, "4", "5"), 0)), "")</f>
        <v>38</v>
      </c>
      <c r="V318" s="112"/>
      <c r="W318" s="113"/>
    </row>
    <row r="319" spans="6:23">
      <c r="F319" s="114"/>
      <c r="G319" s="114"/>
      <c r="H319" s="130" t="str">
        <f>_xlfn.CONCAT(I$315,J319)</f>
        <v>MarshalChest</v>
      </c>
      <c r="I319" s="520"/>
      <c r="J319" s="144" t="s">
        <v>44</v>
      </c>
      <c r="K319" s="136" cm="1">
        <f t="array" ref="K319">IF(COUNTIF($B$30:$E$30, K$2)&gt;0, _xlfn.IFS(COUNTIF($B$30:$C$30, K$2)&gt;0, VLOOKUP($J319,'Gear Values'!$A$2:$E$13, IF(COUNTBLANK('Attributes &amp; Prefixes'!$B$30:$C$30)&gt;0, "2", "3"), 0), COUNTIF($D$30:$E$30, K$2)&gt;0, VLOOKUP($J319,'Gear Values'!$A$2:$E$13, IF(COUNTBLANK('Attributes &amp; Prefixes'!$B$30:$C$30)&gt;0, "4", "5"), 0)), "")</f>
        <v>115</v>
      </c>
      <c r="L319" s="137" cm="1">
        <f t="array" ref="L319">IF(COUNTIF($B$30:$E$30, L$2)&gt;0, _xlfn.IFS(COUNTIF($B$30:$C$30, L$2)&gt;0, VLOOKUP($J319,'Gear Values'!$A$2:$E$13, IF(COUNTBLANK('Attributes &amp; Prefixes'!$B$30:$C$30)&gt;0, "2", "3"), 0), COUNTIF($D$30:$E$30, L$2)&gt;0, VLOOKUP($J319,'Gear Values'!$A$2:$E$13, IF(COUNTBLANK('Attributes &amp; Prefixes'!$B$30:$C$30)&gt;0, "4", "5"), 0)), "")</f>
        <v>63</v>
      </c>
      <c r="M319" s="137" t="str" cm="1">
        <f t="array" ref="M319">IF(COUNTIF($B$30:$E$30, M$2)&gt;0, _xlfn.IFS(COUNTIF($B$30:$C$30, M$2)&gt;0, VLOOKUP($J319,'Gear Values'!$A$2:$E$13, IF(COUNTBLANK('Attributes &amp; Prefixes'!$B$30:$C$30)&gt;0, "2", "3"), 0), COUNTIF($D$30:$E$30, M$2)&gt;0, VLOOKUP($J319,'Gear Values'!$A$2:$E$13, IF(COUNTBLANK('Attributes &amp; Prefixes'!$B$30:$C$30)&gt;0, "4", "5"), 0)), "")</f>
        <v/>
      </c>
      <c r="N319" s="137" t="str" cm="1">
        <f t="array" ref="N319">IF(COUNTIF($B$30:$E$30, N$2)&gt;0, _xlfn.IFS(COUNTIF($B$30:$C$30, N$2)&gt;0, VLOOKUP($J319,'Gear Values'!$A$2:$E$13, IF(COUNTBLANK('Attributes &amp; Prefixes'!$B$30:$C$30)&gt;0, "2", "3"), 0), COUNTIF($D$30:$E$30, N$2)&gt;0, VLOOKUP($J319,'Gear Values'!$A$2:$E$13, IF(COUNTBLANK('Attributes &amp; Prefixes'!$B$30:$C$30)&gt;0, "4", "5"), 0)), "")</f>
        <v/>
      </c>
      <c r="O319" s="137" t="str" cm="1">
        <f t="array" ref="O319">IF(COUNTIF($B$30:$E$30, O$2)&gt;0, _xlfn.IFS(COUNTIF($B$30:$C$30, O$2)&gt;0, VLOOKUP($J319,'Gear Values'!$A$2:$E$13, IF(COUNTBLANK('Attributes &amp; Prefixes'!$B$30:$C$30)&gt;0, "2", "3"), 0), COUNTIF($D$30:$E$30, O$2)&gt;0, VLOOKUP($J319,'Gear Values'!$A$2:$E$13, IF(COUNTBLANK('Attributes &amp; Prefixes'!$B$30:$C$30)&gt;0, "4", "5"), 0)), "")</f>
        <v/>
      </c>
      <c r="P319" s="137" cm="1">
        <f t="array" ref="P319">IF(COUNTIF($B$30:$E$30, P$2)&gt;0, _xlfn.IFS(COUNTIF($B$30:$C$30, P$2)&gt;0, VLOOKUP($J319,'Gear Values'!$A$2:$E$13, IF(COUNTBLANK('Attributes &amp; Prefixes'!$B$30:$C$30)&gt;0, "2", "3"), 0), COUNTIF($D$30:$E$30, P$2)&gt;0, VLOOKUP($J319,'Gear Values'!$A$2:$E$13, IF(COUNTBLANK('Attributes &amp; Prefixes'!$B$30:$C$30)&gt;0, "4", "5"), 0)), "")</f>
        <v>63</v>
      </c>
      <c r="Q319" s="137" t="str" cm="1">
        <f t="array" ref="Q319">IF(COUNTIF($B$30:$E$30, Q$2)&gt;0, _xlfn.IFS(COUNTIF($B$30:$C$30, Q$2)&gt;0, VLOOKUP($J319,'Gear Values'!$A$2:$E$13, IF(COUNTBLANK('Attributes &amp; Prefixes'!$B$30:$C$30)&gt;0, "2", "3"), 0), COUNTIF($D$30:$E$30, Q$2)&gt;0, VLOOKUP($J319,'Gear Values'!$A$2:$E$13, IF(COUNTBLANK('Attributes &amp; Prefixes'!$B$30:$C$30)&gt;0, "4", "5"), 0)), "")</f>
        <v/>
      </c>
      <c r="R319" s="137" t="str" cm="1">
        <f t="array" ref="R319">IF(COUNTIF($B$30:$E$30, R$2)&gt;0, _xlfn.IFS(COUNTIF($B$30:$C$30, R$2)&gt;0, VLOOKUP($J319,'Gear Values'!$A$2:$E$13, IF(COUNTBLANK('Attributes &amp; Prefixes'!$B$30:$C$30)&gt;0, "2", "3"), 0), COUNTIF($D$30:$E$30, R$2)&gt;0, VLOOKUP($J319,'Gear Values'!$A$2:$E$13, IF(COUNTBLANK('Attributes &amp; Prefixes'!$B$30:$C$30)&gt;0, "4", "5"), 0)), "")</f>
        <v/>
      </c>
      <c r="S319" s="138" cm="1">
        <f t="array" ref="S319">IF(COUNTIF($B$30:$E$30, S$2)&gt;0, _xlfn.IFS(COUNTIF($B$30:$C$30, S$2)&gt;0, VLOOKUP($J319,'Gear Values'!$A$2:$E$13, IF(COUNTBLANK('Attributes &amp; Prefixes'!$B$30:$C$30)&gt;0, "2", "3"), 0), COUNTIF($D$30:$E$30, S$2)&gt;0, VLOOKUP($J319,'Gear Values'!$A$2:$E$13, IF(COUNTBLANK('Attributes &amp; Prefixes'!$B$30:$C$30)&gt;0, "4", "5"), 0)), "")</f>
        <v>115</v>
      </c>
      <c r="V319" s="112"/>
      <c r="W319" s="113"/>
    </row>
    <row r="320" spans="6:23">
      <c r="F320" s="114"/>
      <c r="G320" s="114"/>
      <c r="H320" s="130" t="str">
        <f>_xlfn.CONCAT(I$315,J320)</f>
        <v>MarshalHands</v>
      </c>
      <c r="I320" s="520"/>
      <c r="J320" s="144" t="s">
        <v>45</v>
      </c>
      <c r="K320" s="136" cm="1">
        <f t="array" ref="K320">IF(COUNTIF($B$30:$E$30, K$2)&gt;0, _xlfn.IFS(COUNTIF($B$30:$C$30, K$2)&gt;0, VLOOKUP($J320,'Gear Values'!$A$2:$E$13, IF(COUNTBLANK('Attributes &amp; Prefixes'!$B$30:$C$30)&gt;0, "2", "3"), 0), COUNTIF($D$30:$E$30, K$2)&gt;0, VLOOKUP($J320,'Gear Values'!$A$2:$E$13, IF(COUNTBLANK('Attributes &amp; Prefixes'!$B$30:$C$30)&gt;0, "4", "5"), 0)), "")</f>
        <v>38</v>
      </c>
      <c r="L320" s="137" cm="1">
        <f t="array" ref="L320">IF(COUNTIF($B$30:$E$30, L$2)&gt;0, _xlfn.IFS(COUNTIF($B$30:$C$30, L$2)&gt;0, VLOOKUP($J320,'Gear Values'!$A$2:$E$13, IF(COUNTBLANK('Attributes &amp; Prefixes'!$B$30:$C$30)&gt;0, "2", "3"), 0), COUNTIF($D$30:$E$30, L$2)&gt;0, VLOOKUP($J320,'Gear Values'!$A$2:$E$13, IF(COUNTBLANK('Attributes &amp; Prefixes'!$B$30:$C$30)&gt;0, "4", "5"), 0)), "")</f>
        <v>21</v>
      </c>
      <c r="M320" s="137" t="str" cm="1">
        <f t="array" ref="M320">IF(COUNTIF($B$30:$E$30, M$2)&gt;0, _xlfn.IFS(COUNTIF($B$30:$C$30, M$2)&gt;0, VLOOKUP($J320,'Gear Values'!$A$2:$E$13, IF(COUNTBLANK('Attributes &amp; Prefixes'!$B$30:$C$30)&gt;0, "2", "3"), 0), COUNTIF($D$30:$E$30, M$2)&gt;0, VLOOKUP($J320,'Gear Values'!$A$2:$E$13, IF(COUNTBLANK('Attributes &amp; Prefixes'!$B$30:$C$30)&gt;0, "4", "5"), 0)), "")</f>
        <v/>
      </c>
      <c r="N320" s="137" t="str" cm="1">
        <f t="array" ref="N320">IF(COUNTIF($B$30:$E$30, N$2)&gt;0, _xlfn.IFS(COUNTIF($B$30:$C$30, N$2)&gt;0, VLOOKUP($J320,'Gear Values'!$A$2:$E$13, IF(COUNTBLANK('Attributes &amp; Prefixes'!$B$30:$C$30)&gt;0, "2", "3"), 0), COUNTIF($D$30:$E$30, N$2)&gt;0, VLOOKUP($J320,'Gear Values'!$A$2:$E$13, IF(COUNTBLANK('Attributes &amp; Prefixes'!$B$30:$C$30)&gt;0, "4", "5"), 0)), "")</f>
        <v/>
      </c>
      <c r="O320" s="137" t="str" cm="1">
        <f t="array" ref="O320">IF(COUNTIF($B$30:$E$30, O$2)&gt;0, _xlfn.IFS(COUNTIF($B$30:$C$30, O$2)&gt;0, VLOOKUP($J320,'Gear Values'!$A$2:$E$13, IF(COUNTBLANK('Attributes &amp; Prefixes'!$B$30:$C$30)&gt;0, "2", "3"), 0), COUNTIF($D$30:$E$30, O$2)&gt;0, VLOOKUP($J320,'Gear Values'!$A$2:$E$13, IF(COUNTBLANK('Attributes &amp; Prefixes'!$B$30:$C$30)&gt;0, "4", "5"), 0)), "")</f>
        <v/>
      </c>
      <c r="P320" s="137" cm="1">
        <f t="array" ref="P320">IF(COUNTIF($B$30:$E$30, P$2)&gt;0, _xlfn.IFS(COUNTIF($B$30:$C$30, P$2)&gt;0, VLOOKUP($J320,'Gear Values'!$A$2:$E$13, IF(COUNTBLANK('Attributes &amp; Prefixes'!$B$30:$C$30)&gt;0, "2", "3"), 0), COUNTIF($D$30:$E$30, P$2)&gt;0, VLOOKUP($J320,'Gear Values'!$A$2:$E$13, IF(COUNTBLANK('Attributes &amp; Prefixes'!$B$30:$C$30)&gt;0, "4", "5"), 0)), "")</f>
        <v>21</v>
      </c>
      <c r="Q320" s="137" t="str" cm="1">
        <f t="array" ref="Q320">IF(COUNTIF($B$30:$E$30, Q$2)&gt;0, _xlfn.IFS(COUNTIF($B$30:$C$30, Q$2)&gt;0, VLOOKUP($J320,'Gear Values'!$A$2:$E$13, IF(COUNTBLANK('Attributes &amp; Prefixes'!$B$30:$C$30)&gt;0, "2", "3"), 0), COUNTIF($D$30:$E$30, Q$2)&gt;0, VLOOKUP($J320,'Gear Values'!$A$2:$E$13, IF(COUNTBLANK('Attributes &amp; Prefixes'!$B$30:$C$30)&gt;0, "4", "5"), 0)), "")</f>
        <v/>
      </c>
      <c r="R320" s="137" t="str" cm="1">
        <f t="array" ref="R320">IF(COUNTIF($B$30:$E$30, R$2)&gt;0, _xlfn.IFS(COUNTIF($B$30:$C$30, R$2)&gt;0, VLOOKUP($J320,'Gear Values'!$A$2:$E$13, IF(COUNTBLANK('Attributes &amp; Prefixes'!$B$30:$C$30)&gt;0, "2", "3"), 0), COUNTIF($D$30:$E$30, R$2)&gt;0, VLOOKUP($J320,'Gear Values'!$A$2:$E$13, IF(COUNTBLANK('Attributes &amp; Prefixes'!$B$30:$C$30)&gt;0, "4", "5"), 0)), "")</f>
        <v/>
      </c>
      <c r="S320" s="138" cm="1">
        <f t="array" ref="S320">IF(COUNTIF($B$30:$E$30, S$2)&gt;0, _xlfn.IFS(COUNTIF($B$30:$C$30, S$2)&gt;0, VLOOKUP($J320,'Gear Values'!$A$2:$E$13, IF(COUNTBLANK('Attributes &amp; Prefixes'!$B$30:$C$30)&gt;0, "2", "3"), 0), COUNTIF($D$30:$E$30, S$2)&gt;0, VLOOKUP($J320,'Gear Values'!$A$2:$E$13, IF(COUNTBLANK('Attributes &amp; Prefixes'!$B$30:$C$30)&gt;0, "4", "5"), 0)), "")</f>
        <v>38</v>
      </c>
      <c r="V320" s="112"/>
      <c r="W320" s="113"/>
    </row>
    <row r="321" spans="6:23">
      <c r="F321" s="114"/>
      <c r="G321" s="114"/>
      <c r="H321" s="130" t="str">
        <f>_xlfn.CONCAT(I$315,J321)</f>
        <v>MarshalLegs</v>
      </c>
      <c r="I321" s="520"/>
      <c r="J321" s="144" t="s">
        <v>47</v>
      </c>
      <c r="K321" s="136" cm="1">
        <f t="array" ref="K321">IF(COUNTIF($B$30:$E$30, K$2)&gt;0, _xlfn.IFS(COUNTIF($B$30:$C$30, K$2)&gt;0, VLOOKUP($J321,'Gear Values'!$A$2:$E$13, IF(COUNTBLANK('Attributes &amp; Prefixes'!$B$30:$C$30)&gt;0, "2", "3"), 0), COUNTIF($D$30:$E$30, K$2)&gt;0, VLOOKUP($J321,'Gear Values'!$A$2:$E$13, IF(COUNTBLANK('Attributes &amp; Prefixes'!$B$30:$C$30)&gt;0, "4", "5"), 0)), "")</f>
        <v>77</v>
      </c>
      <c r="L321" s="137" cm="1">
        <f t="array" ref="L321">IF(COUNTIF($B$30:$E$30, L$2)&gt;0, _xlfn.IFS(COUNTIF($B$30:$C$30, L$2)&gt;0, VLOOKUP($J321,'Gear Values'!$A$2:$E$13, IF(COUNTBLANK('Attributes &amp; Prefixes'!$B$30:$C$30)&gt;0, "2", "3"), 0), COUNTIF($D$30:$E$30, L$2)&gt;0, VLOOKUP($J321,'Gear Values'!$A$2:$E$13, IF(COUNTBLANK('Attributes &amp; Prefixes'!$B$30:$C$30)&gt;0, "4", "5"), 0)), "")</f>
        <v>42</v>
      </c>
      <c r="M321" s="137" t="str" cm="1">
        <f t="array" ref="M321">IF(COUNTIF($B$30:$E$30, M$2)&gt;0, _xlfn.IFS(COUNTIF($B$30:$C$30, M$2)&gt;0, VLOOKUP($J321,'Gear Values'!$A$2:$E$13, IF(COUNTBLANK('Attributes &amp; Prefixes'!$B$30:$C$30)&gt;0, "2", "3"), 0), COUNTIF($D$30:$E$30, M$2)&gt;0, VLOOKUP($J321,'Gear Values'!$A$2:$E$13, IF(COUNTBLANK('Attributes &amp; Prefixes'!$B$30:$C$30)&gt;0, "4", "5"), 0)), "")</f>
        <v/>
      </c>
      <c r="N321" s="137" t="str" cm="1">
        <f t="array" ref="N321">IF(COUNTIF($B$30:$E$30, N$2)&gt;0, _xlfn.IFS(COUNTIF($B$30:$C$30, N$2)&gt;0, VLOOKUP($J321,'Gear Values'!$A$2:$E$13, IF(COUNTBLANK('Attributes &amp; Prefixes'!$B$30:$C$30)&gt;0, "2", "3"), 0), COUNTIF($D$30:$E$30, N$2)&gt;0, VLOOKUP($J321,'Gear Values'!$A$2:$E$13, IF(COUNTBLANK('Attributes &amp; Prefixes'!$B$30:$C$30)&gt;0, "4", "5"), 0)), "")</f>
        <v/>
      </c>
      <c r="O321" s="137" t="str" cm="1">
        <f t="array" ref="O321">IF(COUNTIF($B$30:$E$30, O$2)&gt;0, _xlfn.IFS(COUNTIF($B$30:$C$30, O$2)&gt;0, VLOOKUP($J321,'Gear Values'!$A$2:$E$13, IF(COUNTBLANK('Attributes &amp; Prefixes'!$B$30:$C$30)&gt;0, "2", "3"), 0), COUNTIF($D$30:$E$30, O$2)&gt;0, VLOOKUP($J321,'Gear Values'!$A$2:$E$13, IF(COUNTBLANK('Attributes &amp; Prefixes'!$B$30:$C$30)&gt;0, "4", "5"), 0)), "")</f>
        <v/>
      </c>
      <c r="P321" s="137" cm="1">
        <f t="array" ref="P321">IF(COUNTIF($B$30:$E$30, P$2)&gt;0, _xlfn.IFS(COUNTIF($B$30:$C$30, P$2)&gt;0, VLOOKUP($J321,'Gear Values'!$A$2:$E$13, IF(COUNTBLANK('Attributes &amp; Prefixes'!$B$30:$C$30)&gt;0, "2", "3"), 0), COUNTIF($D$30:$E$30, P$2)&gt;0, VLOOKUP($J321,'Gear Values'!$A$2:$E$13, IF(COUNTBLANK('Attributes &amp; Prefixes'!$B$30:$C$30)&gt;0, "4", "5"), 0)), "")</f>
        <v>42</v>
      </c>
      <c r="Q321" s="137" t="str" cm="1">
        <f t="array" ref="Q321">IF(COUNTIF($B$30:$E$30, Q$2)&gt;0, _xlfn.IFS(COUNTIF($B$30:$C$30, Q$2)&gt;0, VLOOKUP($J321,'Gear Values'!$A$2:$E$13, IF(COUNTBLANK('Attributes &amp; Prefixes'!$B$30:$C$30)&gt;0, "2", "3"), 0), COUNTIF($D$30:$E$30, Q$2)&gt;0, VLOOKUP($J321,'Gear Values'!$A$2:$E$13, IF(COUNTBLANK('Attributes &amp; Prefixes'!$B$30:$C$30)&gt;0, "4", "5"), 0)), "")</f>
        <v/>
      </c>
      <c r="R321" s="137" t="str" cm="1">
        <f t="array" ref="R321">IF(COUNTIF($B$30:$E$30, R$2)&gt;0, _xlfn.IFS(COUNTIF($B$30:$C$30, R$2)&gt;0, VLOOKUP($J321,'Gear Values'!$A$2:$E$13, IF(COUNTBLANK('Attributes &amp; Prefixes'!$B$30:$C$30)&gt;0, "2", "3"), 0), COUNTIF($D$30:$E$30, R$2)&gt;0, VLOOKUP($J321,'Gear Values'!$A$2:$E$13, IF(COUNTBLANK('Attributes &amp; Prefixes'!$B$30:$C$30)&gt;0, "4", "5"), 0)), "")</f>
        <v/>
      </c>
      <c r="S321" s="138" cm="1">
        <f t="array" ref="S321">IF(COUNTIF($B$30:$E$30, S$2)&gt;0, _xlfn.IFS(COUNTIF($B$30:$C$30, S$2)&gt;0, VLOOKUP($J321,'Gear Values'!$A$2:$E$13, IF(COUNTBLANK('Attributes &amp; Prefixes'!$B$30:$C$30)&gt;0, "2", "3"), 0), COUNTIF($D$30:$E$30, S$2)&gt;0, VLOOKUP($J321,'Gear Values'!$A$2:$E$13, IF(COUNTBLANK('Attributes &amp; Prefixes'!$B$30:$C$30)&gt;0, "4", "5"), 0)), "")</f>
        <v>77</v>
      </c>
      <c r="V321" s="112"/>
      <c r="W321" s="113"/>
    </row>
    <row r="322" spans="6:23">
      <c r="F322" s="114"/>
      <c r="G322" s="114"/>
      <c r="H322" s="130" t="str">
        <f>_xlfn.CONCAT(I$315,J322)</f>
        <v>MarshalFeet</v>
      </c>
      <c r="I322" s="520"/>
      <c r="J322" s="144" t="s">
        <v>48</v>
      </c>
      <c r="K322" s="136" cm="1">
        <f t="array" ref="K322">IF(COUNTIF($B$30:$E$30, K$2)&gt;0, _xlfn.IFS(COUNTIF($B$30:$C$30, K$2)&gt;0, VLOOKUP($J322,'Gear Values'!$A$2:$E$13, IF(COUNTBLANK('Attributes &amp; Prefixes'!$B$30:$C$30)&gt;0, "2", "3"), 0), COUNTIF($D$30:$E$30, K$2)&gt;0, VLOOKUP($J322,'Gear Values'!$A$2:$E$13, IF(COUNTBLANK('Attributes &amp; Prefixes'!$B$30:$C$30)&gt;0, "4", "5"), 0)), "")</f>
        <v>38</v>
      </c>
      <c r="L322" s="137" cm="1">
        <f t="array" ref="L322">IF(COUNTIF($B$30:$E$30, L$2)&gt;0, _xlfn.IFS(COUNTIF($B$30:$C$30, L$2)&gt;0, VLOOKUP($J322,'Gear Values'!$A$2:$E$13, IF(COUNTBLANK('Attributes &amp; Prefixes'!$B$30:$C$30)&gt;0, "2", "3"), 0), COUNTIF($D$30:$E$30, L$2)&gt;0, VLOOKUP($J322,'Gear Values'!$A$2:$E$13, IF(COUNTBLANK('Attributes &amp; Prefixes'!$B$30:$C$30)&gt;0, "4", "5"), 0)), "")</f>
        <v>21</v>
      </c>
      <c r="M322" s="137" t="str" cm="1">
        <f t="array" ref="M322">IF(COUNTIF($B$30:$E$30, M$2)&gt;0, _xlfn.IFS(COUNTIF($B$30:$C$30, M$2)&gt;0, VLOOKUP($J322,'Gear Values'!$A$2:$E$13, IF(COUNTBLANK('Attributes &amp; Prefixes'!$B$30:$C$30)&gt;0, "2", "3"), 0), COUNTIF($D$30:$E$30, M$2)&gt;0, VLOOKUP($J322,'Gear Values'!$A$2:$E$13, IF(COUNTBLANK('Attributes &amp; Prefixes'!$B$30:$C$30)&gt;0, "4", "5"), 0)), "")</f>
        <v/>
      </c>
      <c r="N322" s="137" t="str" cm="1">
        <f t="array" ref="N322">IF(COUNTIF($B$30:$E$30, N$2)&gt;0, _xlfn.IFS(COUNTIF($B$30:$C$30, N$2)&gt;0, VLOOKUP($J322,'Gear Values'!$A$2:$E$13, IF(COUNTBLANK('Attributes &amp; Prefixes'!$B$30:$C$30)&gt;0, "2", "3"), 0), COUNTIF($D$30:$E$30, N$2)&gt;0, VLOOKUP($J322,'Gear Values'!$A$2:$E$13, IF(COUNTBLANK('Attributes &amp; Prefixes'!$B$30:$C$30)&gt;0, "4", "5"), 0)), "")</f>
        <v/>
      </c>
      <c r="O322" s="137" t="str" cm="1">
        <f t="array" ref="O322">IF(COUNTIF($B$30:$E$30, O$2)&gt;0, _xlfn.IFS(COUNTIF($B$30:$C$30, O$2)&gt;0, VLOOKUP($J322,'Gear Values'!$A$2:$E$13, IF(COUNTBLANK('Attributes &amp; Prefixes'!$B$30:$C$30)&gt;0, "2", "3"), 0), COUNTIF($D$30:$E$30, O$2)&gt;0, VLOOKUP($J322,'Gear Values'!$A$2:$E$13, IF(COUNTBLANK('Attributes &amp; Prefixes'!$B$30:$C$30)&gt;0, "4", "5"), 0)), "")</f>
        <v/>
      </c>
      <c r="P322" s="137" cm="1">
        <f t="array" ref="P322">IF(COUNTIF($B$30:$E$30, P$2)&gt;0, _xlfn.IFS(COUNTIF($B$30:$C$30, P$2)&gt;0, VLOOKUP($J322,'Gear Values'!$A$2:$E$13, IF(COUNTBLANK('Attributes &amp; Prefixes'!$B$30:$C$30)&gt;0, "2", "3"), 0), COUNTIF($D$30:$E$30, P$2)&gt;0, VLOOKUP($J322,'Gear Values'!$A$2:$E$13, IF(COUNTBLANK('Attributes &amp; Prefixes'!$B$30:$C$30)&gt;0, "4", "5"), 0)), "")</f>
        <v>21</v>
      </c>
      <c r="Q322" s="137" t="str" cm="1">
        <f t="array" ref="Q322">IF(COUNTIF($B$30:$E$30, Q$2)&gt;0, _xlfn.IFS(COUNTIF($B$30:$C$30, Q$2)&gt;0, VLOOKUP($J322,'Gear Values'!$A$2:$E$13, IF(COUNTBLANK('Attributes &amp; Prefixes'!$B$30:$C$30)&gt;0, "2", "3"), 0), COUNTIF($D$30:$E$30, Q$2)&gt;0, VLOOKUP($J322,'Gear Values'!$A$2:$E$13, IF(COUNTBLANK('Attributes &amp; Prefixes'!$B$30:$C$30)&gt;0, "4", "5"), 0)), "")</f>
        <v/>
      </c>
      <c r="R322" s="137" t="str" cm="1">
        <f t="array" ref="R322">IF(COUNTIF($B$30:$E$30, R$2)&gt;0, _xlfn.IFS(COUNTIF($B$30:$C$30, R$2)&gt;0, VLOOKUP($J322,'Gear Values'!$A$2:$E$13, IF(COUNTBLANK('Attributes &amp; Prefixes'!$B$30:$C$30)&gt;0, "2", "3"), 0), COUNTIF($D$30:$E$30, R$2)&gt;0, VLOOKUP($J322,'Gear Values'!$A$2:$E$13, IF(COUNTBLANK('Attributes &amp; Prefixes'!$B$30:$C$30)&gt;0, "4", "5"), 0)), "")</f>
        <v/>
      </c>
      <c r="S322" s="138" cm="1">
        <f t="array" ref="S322">IF(COUNTIF($B$30:$E$30, S$2)&gt;0, _xlfn.IFS(COUNTIF($B$30:$C$30, S$2)&gt;0, VLOOKUP($J322,'Gear Values'!$A$2:$E$13, IF(COUNTBLANK('Attributes &amp; Prefixes'!$B$30:$C$30)&gt;0, "2", "3"), 0), COUNTIF($D$30:$E$30, S$2)&gt;0, VLOOKUP($J322,'Gear Values'!$A$2:$E$13, IF(COUNTBLANK('Attributes &amp; Prefixes'!$B$30:$C$30)&gt;0, "4", "5"), 0)), "")</f>
        <v>38</v>
      </c>
      <c r="V322" s="112"/>
      <c r="W322" s="113"/>
    </row>
    <row r="323" spans="6:23">
      <c r="F323" s="114"/>
      <c r="G323" s="114"/>
      <c r="H323" s="130" t="str">
        <f>_xlfn.CONCAT(I$315,J323)</f>
        <v>MarshalEar</v>
      </c>
      <c r="I323" s="520"/>
      <c r="J323" s="144" t="s">
        <v>49</v>
      </c>
      <c r="K323" s="136" cm="1">
        <f t="array" ref="K323">IF(COUNTIF($B$30:$E$30, K$2)&gt;0, _xlfn.IFS(COUNTIF($B$30:$C$30, K$2)&gt;0, VLOOKUP($J323,'Gear Values'!$A$2:$E$13, IF(COUNTBLANK('Attributes &amp; Prefixes'!$B$30:$C$30)&gt;0, "2", "3"), 0), COUNTIF($D$30:$E$30, K$2)&gt;0, VLOOKUP($J323,'Gear Values'!$A$2:$E$13, IF(COUNTBLANK('Attributes &amp; Prefixes'!$B$30:$C$30)&gt;0, "4", "5"), 0)), "")</f>
        <v>64</v>
      </c>
      <c r="L323" s="137" cm="1">
        <f t="array" ref="L323">IF(COUNTIF($B$30:$E$30, L$2)&gt;0, _xlfn.IFS(COUNTIF($B$30:$C$30, L$2)&gt;0, VLOOKUP($J323,'Gear Values'!$A$2:$E$13, IF(COUNTBLANK('Attributes &amp; Prefixes'!$B$30:$C$30)&gt;0, "2", "3"), 0), COUNTIF($D$30:$E$30, L$2)&gt;0, VLOOKUP($J323,'Gear Values'!$A$2:$E$13, IF(COUNTBLANK('Attributes &amp; Prefixes'!$B$30:$C$30)&gt;0, "4", "5"), 0)), "")</f>
        <v>35</v>
      </c>
      <c r="M323" s="137" t="str" cm="1">
        <f t="array" ref="M323">IF(COUNTIF($B$30:$E$30, M$2)&gt;0, _xlfn.IFS(COUNTIF($B$30:$C$30, M$2)&gt;0, VLOOKUP($J323,'Gear Values'!$A$2:$E$13, IF(COUNTBLANK('Attributes &amp; Prefixes'!$B$30:$C$30)&gt;0, "2", "3"), 0), COUNTIF($D$30:$E$30, M$2)&gt;0, VLOOKUP($J323,'Gear Values'!$A$2:$E$13, IF(COUNTBLANK('Attributes &amp; Prefixes'!$B$30:$C$30)&gt;0, "4", "5"), 0)), "")</f>
        <v/>
      </c>
      <c r="N323" s="137" t="str" cm="1">
        <f t="array" ref="N323">IF(COUNTIF($B$30:$E$30, N$2)&gt;0, _xlfn.IFS(COUNTIF($B$30:$C$30, N$2)&gt;0, VLOOKUP($J323,'Gear Values'!$A$2:$E$13, IF(COUNTBLANK('Attributes &amp; Prefixes'!$B$30:$C$30)&gt;0, "2", "3"), 0), COUNTIF($D$30:$E$30, N$2)&gt;0, VLOOKUP($J323,'Gear Values'!$A$2:$E$13, IF(COUNTBLANK('Attributes &amp; Prefixes'!$B$30:$C$30)&gt;0, "4", "5"), 0)), "")</f>
        <v/>
      </c>
      <c r="O323" s="137" t="str" cm="1">
        <f t="array" ref="O323">IF(COUNTIF($B$30:$E$30, O$2)&gt;0, _xlfn.IFS(COUNTIF($B$30:$C$30, O$2)&gt;0, VLOOKUP($J323,'Gear Values'!$A$2:$E$13, IF(COUNTBLANK('Attributes &amp; Prefixes'!$B$30:$C$30)&gt;0, "2", "3"), 0), COUNTIF($D$30:$E$30, O$2)&gt;0, VLOOKUP($J323,'Gear Values'!$A$2:$E$13, IF(COUNTBLANK('Attributes &amp; Prefixes'!$B$30:$C$30)&gt;0, "4", "5"), 0)), "")</f>
        <v/>
      </c>
      <c r="P323" s="137" cm="1">
        <f t="array" ref="P323">IF(COUNTIF($B$30:$E$30, P$2)&gt;0, _xlfn.IFS(COUNTIF($B$30:$C$30, P$2)&gt;0, VLOOKUP($J323,'Gear Values'!$A$2:$E$13, IF(COUNTBLANK('Attributes &amp; Prefixes'!$B$30:$C$30)&gt;0, "2", "3"), 0), COUNTIF($D$30:$E$30, P$2)&gt;0, VLOOKUP($J323,'Gear Values'!$A$2:$E$13, IF(COUNTBLANK('Attributes &amp; Prefixes'!$B$30:$C$30)&gt;0, "4", "5"), 0)), "")</f>
        <v>35</v>
      </c>
      <c r="Q323" s="137" t="str" cm="1">
        <f t="array" ref="Q323">IF(COUNTIF($B$30:$E$30, Q$2)&gt;0, _xlfn.IFS(COUNTIF($B$30:$C$30, Q$2)&gt;0, VLOOKUP($J323,'Gear Values'!$A$2:$E$13, IF(COUNTBLANK('Attributes &amp; Prefixes'!$B$30:$C$30)&gt;0, "2", "3"), 0), COUNTIF($D$30:$E$30, Q$2)&gt;0, VLOOKUP($J323,'Gear Values'!$A$2:$E$13, IF(COUNTBLANK('Attributes &amp; Prefixes'!$B$30:$C$30)&gt;0, "4", "5"), 0)), "")</f>
        <v/>
      </c>
      <c r="R323" s="137" t="str" cm="1">
        <f t="array" ref="R323">IF(COUNTIF($B$30:$E$30, R$2)&gt;0, _xlfn.IFS(COUNTIF($B$30:$C$30, R$2)&gt;0, VLOOKUP($J323,'Gear Values'!$A$2:$E$13, IF(COUNTBLANK('Attributes &amp; Prefixes'!$B$30:$C$30)&gt;0, "2", "3"), 0), COUNTIF($D$30:$E$30, R$2)&gt;0, VLOOKUP($J323,'Gear Values'!$A$2:$E$13, IF(COUNTBLANK('Attributes &amp; Prefixes'!$B$30:$C$30)&gt;0, "4", "5"), 0)), "")</f>
        <v/>
      </c>
      <c r="S323" s="138" cm="1">
        <f t="array" ref="S323">IF(COUNTIF($B$30:$E$30, S$2)&gt;0, _xlfn.IFS(COUNTIF($B$30:$C$30, S$2)&gt;0, VLOOKUP($J323,'Gear Values'!$A$2:$E$13, IF(COUNTBLANK('Attributes &amp; Prefixes'!$B$30:$C$30)&gt;0, "2", "3"), 0), COUNTIF($D$30:$E$30, S$2)&gt;0, VLOOKUP($J323,'Gear Values'!$A$2:$E$13, IF(COUNTBLANK('Attributes &amp; Prefixes'!$B$30:$C$30)&gt;0, "4", "5"), 0)), "")</f>
        <v>64</v>
      </c>
      <c r="V323" s="112"/>
      <c r="W323" s="113"/>
    </row>
    <row r="324" spans="6:23">
      <c r="F324" s="114"/>
      <c r="G324" s="114"/>
      <c r="H324" s="130" t="str">
        <f>_xlfn.CONCAT(I$315,J324)</f>
        <v>MarshalFinger</v>
      </c>
      <c r="I324" s="520"/>
      <c r="J324" s="144" t="s">
        <v>51</v>
      </c>
      <c r="K324" s="136" cm="1">
        <f t="array" ref="K324">IF(COUNTIF($B$30:$E$30, K$2)&gt;0, _xlfn.IFS(COUNTIF($B$30:$C$30, K$2)&gt;0, VLOOKUP($J324,'Gear Values'!$A$2:$E$13, IF(COUNTBLANK('Attributes &amp; Prefixes'!$B$30:$C$30)&gt;0, "2", "3"), 0), COUNTIF($D$30:$E$30, K$2)&gt;0, VLOOKUP($J324,'Gear Values'!$A$2:$E$13, IF(COUNTBLANK('Attributes &amp; Prefixes'!$B$30:$C$30)&gt;0, "4", "5"), 0)), "")</f>
        <v>77</v>
      </c>
      <c r="L324" s="137" cm="1">
        <f t="array" ref="L324">IF(COUNTIF($B$30:$E$30, L$2)&gt;0, _xlfn.IFS(COUNTIF($B$30:$C$30, L$2)&gt;0, VLOOKUP($J324,'Gear Values'!$A$2:$E$13, IF(COUNTBLANK('Attributes &amp; Prefixes'!$B$30:$C$30)&gt;0, "2", "3"), 0), COUNTIF($D$30:$E$30, L$2)&gt;0, VLOOKUP($J324,'Gear Values'!$A$2:$E$13, IF(COUNTBLANK('Attributes &amp; Prefixes'!$B$30:$C$30)&gt;0, "4", "5"), 0)), "")</f>
        <v>42</v>
      </c>
      <c r="M324" s="137" t="str" cm="1">
        <f t="array" ref="M324">IF(COUNTIF($B$30:$E$30, M$2)&gt;0, _xlfn.IFS(COUNTIF($B$30:$C$30, M$2)&gt;0, VLOOKUP($J324,'Gear Values'!$A$2:$E$13, IF(COUNTBLANK('Attributes &amp; Prefixes'!$B$30:$C$30)&gt;0, "2", "3"), 0), COUNTIF($D$30:$E$30, M$2)&gt;0, VLOOKUP($J324,'Gear Values'!$A$2:$E$13, IF(COUNTBLANK('Attributes &amp; Prefixes'!$B$30:$C$30)&gt;0, "4", "5"), 0)), "")</f>
        <v/>
      </c>
      <c r="N324" s="137" t="str" cm="1">
        <f t="array" ref="N324">IF(COUNTIF($B$30:$E$30, N$2)&gt;0, _xlfn.IFS(COUNTIF($B$30:$C$30, N$2)&gt;0, VLOOKUP($J324,'Gear Values'!$A$2:$E$13, IF(COUNTBLANK('Attributes &amp; Prefixes'!$B$30:$C$30)&gt;0, "2", "3"), 0), COUNTIF($D$30:$E$30, N$2)&gt;0, VLOOKUP($J324,'Gear Values'!$A$2:$E$13, IF(COUNTBLANK('Attributes &amp; Prefixes'!$B$30:$C$30)&gt;0, "4", "5"), 0)), "")</f>
        <v/>
      </c>
      <c r="O324" s="137" t="str" cm="1">
        <f t="array" ref="O324">IF(COUNTIF($B$30:$E$30, O$2)&gt;0, _xlfn.IFS(COUNTIF($B$30:$C$30, O$2)&gt;0, VLOOKUP($J324,'Gear Values'!$A$2:$E$13, IF(COUNTBLANK('Attributes &amp; Prefixes'!$B$30:$C$30)&gt;0, "2", "3"), 0), COUNTIF($D$30:$E$30, O$2)&gt;0, VLOOKUP($J324,'Gear Values'!$A$2:$E$13, IF(COUNTBLANK('Attributes &amp; Prefixes'!$B$30:$C$30)&gt;0, "4", "5"), 0)), "")</f>
        <v/>
      </c>
      <c r="P324" s="137" cm="1">
        <f t="array" ref="P324">IF(COUNTIF($B$30:$E$30, P$2)&gt;0, _xlfn.IFS(COUNTIF($B$30:$C$30, P$2)&gt;0, VLOOKUP($J324,'Gear Values'!$A$2:$E$13, IF(COUNTBLANK('Attributes &amp; Prefixes'!$B$30:$C$30)&gt;0, "2", "3"), 0), COUNTIF($D$30:$E$30, P$2)&gt;0, VLOOKUP($J324,'Gear Values'!$A$2:$E$13, IF(COUNTBLANK('Attributes &amp; Prefixes'!$B$30:$C$30)&gt;0, "4", "5"), 0)), "")</f>
        <v>42</v>
      </c>
      <c r="Q324" s="137" t="str" cm="1">
        <f t="array" ref="Q324">IF(COUNTIF($B$30:$E$30, Q$2)&gt;0, _xlfn.IFS(COUNTIF($B$30:$C$30, Q$2)&gt;0, VLOOKUP($J324,'Gear Values'!$A$2:$E$13, IF(COUNTBLANK('Attributes &amp; Prefixes'!$B$30:$C$30)&gt;0, "2", "3"), 0), COUNTIF($D$30:$E$30, Q$2)&gt;0, VLOOKUP($J324,'Gear Values'!$A$2:$E$13, IF(COUNTBLANK('Attributes &amp; Prefixes'!$B$30:$C$30)&gt;0, "4", "5"), 0)), "")</f>
        <v/>
      </c>
      <c r="R324" s="137" t="str" cm="1">
        <f t="array" ref="R324">IF(COUNTIF($B$30:$E$30, R$2)&gt;0, _xlfn.IFS(COUNTIF($B$30:$C$30, R$2)&gt;0, VLOOKUP($J324,'Gear Values'!$A$2:$E$13, IF(COUNTBLANK('Attributes &amp; Prefixes'!$B$30:$C$30)&gt;0, "2", "3"), 0), COUNTIF($D$30:$E$30, R$2)&gt;0, VLOOKUP($J324,'Gear Values'!$A$2:$E$13, IF(COUNTBLANK('Attributes &amp; Prefixes'!$B$30:$C$30)&gt;0, "4", "5"), 0)), "")</f>
        <v/>
      </c>
      <c r="S324" s="138" cm="1">
        <f t="array" ref="S324">IF(COUNTIF($B$30:$E$30, S$2)&gt;0, _xlfn.IFS(COUNTIF($B$30:$C$30, S$2)&gt;0, VLOOKUP($J324,'Gear Values'!$A$2:$E$13, IF(COUNTBLANK('Attributes &amp; Prefixes'!$B$30:$C$30)&gt;0, "2", "3"), 0), COUNTIF($D$30:$E$30, S$2)&gt;0, VLOOKUP($J324,'Gear Values'!$A$2:$E$13, IF(COUNTBLANK('Attributes &amp; Prefixes'!$B$30:$C$30)&gt;0, "4", "5"), 0)), "")</f>
        <v>77</v>
      </c>
      <c r="V324" s="112"/>
      <c r="W324" s="113"/>
    </row>
    <row r="325" spans="6:23">
      <c r="F325" s="114"/>
      <c r="G325" s="114"/>
      <c r="H325" s="130" t="str">
        <f>_xlfn.CONCAT(I$315,J325)</f>
        <v>MarshalNeck</v>
      </c>
      <c r="I325" s="520"/>
      <c r="J325" s="144" t="s">
        <v>52</v>
      </c>
      <c r="K325" s="136" cm="1">
        <f t="array" ref="K325">IF(COUNTIF($B$30:$E$30, K$2)&gt;0, _xlfn.IFS(COUNTIF($B$30:$C$30, K$2)&gt;0, VLOOKUP($J325,'Gear Values'!$A$2:$E$13, IF(COUNTBLANK('Attributes &amp; Prefixes'!$B$30:$C$30)&gt;0, "2", "3"), 0), COUNTIF($D$30:$E$30, K$2)&gt;0, VLOOKUP($J325,'Gear Values'!$A$2:$E$13, IF(COUNTBLANK('Attributes &amp; Prefixes'!$B$30:$C$30)&gt;0, "4", "5"), 0)), "")</f>
        <v>102</v>
      </c>
      <c r="L325" s="137" cm="1">
        <f t="array" ref="L325">IF(COUNTIF($B$30:$E$30, L$2)&gt;0, _xlfn.IFS(COUNTIF($B$30:$C$30, L$2)&gt;0, VLOOKUP($J325,'Gear Values'!$A$2:$E$13, IF(COUNTBLANK('Attributes &amp; Prefixes'!$B$30:$C$30)&gt;0, "2", "3"), 0), COUNTIF($D$30:$E$30, L$2)&gt;0, VLOOKUP($J325,'Gear Values'!$A$2:$E$13, IF(COUNTBLANK('Attributes &amp; Prefixes'!$B$30:$C$30)&gt;0, "4", "5"), 0)), "")</f>
        <v>56</v>
      </c>
      <c r="M325" s="137" t="str" cm="1">
        <f t="array" ref="M325">IF(COUNTIF($B$30:$E$30, M$2)&gt;0, _xlfn.IFS(COUNTIF($B$30:$C$30, M$2)&gt;0, VLOOKUP($J325,'Gear Values'!$A$2:$E$13, IF(COUNTBLANK('Attributes &amp; Prefixes'!$B$30:$C$30)&gt;0, "2", "3"), 0), COUNTIF($D$30:$E$30, M$2)&gt;0, VLOOKUP($J325,'Gear Values'!$A$2:$E$13, IF(COUNTBLANK('Attributes &amp; Prefixes'!$B$30:$C$30)&gt;0, "4", "5"), 0)), "")</f>
        <v/>
      </c>
      <c r="N325" s="137" t="str" cm="1">
        <f t="array" ref="N325">IF(COUNTIF($B$30:$E$30, N$2)&gt;0, _xlfn.IFS(COUNTIF($B$30:$C$30, N$2)&gt;0, VLOOKUP($J325,'Gear Values'!$A$2:$E$13, IF(COUNTBLANK('Attributes &amp; Prefixes'!$B$30:$C$30)&gt;0, "2", "3"), 0), COUNTIF($D$30:$E$30, N$2)&gt;0, VLOOKUP($J325,'Gear Values'!$A$2:$E$13, IF(COUNTBLANK('Attributes &amp; Prefixes'!$B$30:$C$30)&gt;0, "4", "5"), 0)), "")</f>
        <v/>
      </c>
      <c r="O325" s="137" t="str" cm="1">
        <f t="array" ref="O325">IF(COUNTIF($B$30:$E$30, O$2)&gt;0, _xlfn.IFS(COUNTIF($B$30:$C$30, O$2)&gt;0, VLOOKUP($J325,'Gear Values'!$A$2:$E$13, IF(COUNTBLANK('Attributes &amp; Prefixes'!$B$30:$C$30)&gt;0, "2", "3"), 0), COUNTIF($D$30:$E$30, O$2)&gt;0, VLOOKUP($J325,'Gear Values'!$A$2:$E$13, IF(COUNTBLANK('Attributes &amp; Prefixes'!$B$30:$C$30)&gt;0, "4", "5"), 0)), "")</f>
        <v/>
      </c>
      <c r="P325" s="137" cm="1">
        <f t="array" ref="P325">IF(COUNTIF($B$30:$E$30, P$2)&gt;0, _xlfn.IFS(COUNTIF($B$30:$C$30, P$2)&gt;0, VLOOKUP($J325,'Gear Values'!$A$2:$E$13, IF(COUNTBLANK('Attributes &amp; Prefixes'!$B$30:$C$30)&gt;0, "2", "3"), 0), COUNTIF($D$30:$E$30, P$2)&gt;0, VLOOKUP($J325,'Gear Values'!$A$2:$E$13, IF(COUNTBLANK('Attributes &amp; Prefixes'!$B$30:$C$30)&gt;0, "4", "5"), 0)), "")</f>
        <v>56</v>
      </c>
      <c r="Q325" s="137" t="str" cm="1">
        <f t="array" ref="Q325">IF(COUNTIF($B$30:$E$30, Q$2)&gt;0, _xlfn.IFS(COUNTIF($B$30:$C$30, Q$2)&gt;0, VLOOKUP($J325,'Gear Values'!$A$2:$E$13, IF(COUNTBLANK('Attributes &amp; Prefixes'!$B$30:$C$30)&gt;0, "2", "3"), 0), COUNTIF($D$30:$E$30, Q$2)&gt;0, VLOOKUP($J325,'Gear Values'!$A$2:$E$13, IF(COUNTBLANK('Attributes &amp; Prefixes'!$B$30:$C$30)&gt;0, "4", "5"), 0)), "")</f>
        <v/>
      </c>
      <c r="R325" s="137" t="str" cm="1">
        <f t="array" ref="R325">IF(COUNTIF($B$30:$E$30, R$2)&gt;0, _xlfn.IFS(COUNTIF($B$30:$C$30, R$2)&gt;0, VLOOKUP($J325,'Gear Values'!$A$2:$E$13, IF(COUNTBLANK('Attributes &amp; Prefixes'!$B$30:$C$30)&gt;0, "2", "3"), 0), COUNTIF($D$30:$E$30, R$2)&gt;0, VLOOKUP($J325,'Gear Values'!$A$2:$E$13, IF(COUNTBLANK('Attributes &amp; Prefixes'!$B$30:$C$30)&gt;0, "4", "5"), 0)), "")</f>
        <v/>
      </c>
      <c r="S325" s="138" cm="1">
        <f t="array" ref="S325">IF(COUNTIF($B$30:$E$30, S$2)&gt;0, _xlfn.IFS(COUNTIF($B$30:$C$30, S$2)&gt;0, VLOOKUP($J325,'Gear Values'!$A$2:$E$13, IF(COUNTBLANK('Attributes &amp; Prefixes'!$B$30:$C$30)&gt;0, "2", "3"), 0), COUNTIF($D$30:$E$30, S$2)&gt;0, VLOOKUP($J325,'Gear Values'!$A$2:$E$13, IF(COUNTBLANK('Attributes &amp; Prefixes'!$B$30:$C$30)&gt;0, "4", "5"), 0)), "")</f>
        <v>102</v>
      </c>
      <c r="V325" s="112"/>
      <c r="W325" s="112"/>
    </row>
    <row r="326" spans="6:23">
      <c r="F326" s="114"/>
      <c r="G326" s="114"/>
      <c r="H326" s="130" t="str">
        <f>_xlfn.CONCAT(I$315,J326)</f>
        <v>MarshalBack</v>
      </c>
      <c r="I326" s="521"/>
      <c r="J326" s="146" t="s">
        <v>53</v>
      </c>
      <c r="K326" s="147" t="str" cm="1">
        <f t="array" ref="K326">IF(COUNTIF($B$30:$E$30, K$2)&gt;0, _xlfn.IFS(COUNTIF($B$30:$C$30, K$2)&gt;0, VLOOKUP($J326,'Gear Values'!$A$2:$E$13, IF(COUNTBLANK('Attributes &amp; Prefixes'!$B$30:$C$30)&gt;0, "2", "3"), 0), COUNTIF($D$30:$E$30, K$2)&gt;0, VLOOKUP($J326,'Gear Values'!$A$2:$E$13, IF(COUNTBLANK('Attributes &amp; Prefixes'!$B$30:$C$30)&gt;0, "4", "5"), 0)), "")</f>
        <v>N/A</v>
      </c>
      <c r="L326" s="148" t="str" cm="1">
        <f t="array" ref="L326">IF(COUNTIF($B$30:$E$30, L$2)&gt;0, _xlfn.IFS(COUNTIF($B$30:$C$30, L$2)&gt;0, VLOOKUP($J326,'Gear Values'!$A$2:$E$13, IF(COUNTBLANK('Attributes &amp; Prefixes'!$B$30:$C$30)&gt;0, "2", "3"), 0), COUNTIF($D$30:$E$30, L$2)&gt;0, VLOOKUP($J326,'Gear Values'!$A$2:$E$13, IF(COUNTBLANK('Attributes &amp; Prefixes'!$B$30:$C$30)&gt;0, "4", "5"), 0)), "")</f>
        <v>N/A</v>
      </c>
      <c r="M326" s="148" t="str" cm="1">
        <f t="array" ref="M326">IF(COUNTIF($B$30:$E$30, M$2)&gt;0, _xlfn.IFS(COUNTIF($B$30:$C$30, M$2)&gt;0, VLOOKUP($J326,'Gear Values'!$A$2:$E$13, IF(COUNTBLANK('Attributes &amp; Prefixes'!$B$30:$C$30)&gt;0, "2", "3"), 0), COUNTIF($D$30:$E$30, M$2)&gt;0, VLOOKUP($J326,'Gear Values'!$A$2:$E$13, IF(COUNTBLANK('Attributes &amp; Prefixes'!$B$30:$C$30)&gt;0, "4", "5"), 0)), "")</f>
        <v/>
      </c>
      <c r="N326" s="148" t="str" cm="1">
        <f t="array" ref="N326">IF(COUNTIF($B$30:$E$30, N$2)&gt;0, _xlfn.IFS(COUNTIF($B$30:$C$30, N$2)&gt;0, VLOOKUP($J326,'Gear Values'!$A$2:$E$13, IF(COUNTBLANK('Attributes &amp; Prefixes'!$B$30:$C$30)&gt;0, "2", "3"), 0), COUNTIF($D$30:$E$30, N$2)&gt;0, VLOOKUP($J326,'Gear Values'!$A$2:$E$13, IF(COUNTBLANK('Attributes &amp; Prefixes'!$B$30:$C$30)&gt;0, "4", "5"), 0)), "")</f>
        <v/>
      </c>
      <c r="O326" s="148" t="str" cm="1">
        <f t="array" ref="O326">IF(COUNTIF($B$30:$E$30, O$2)&gt;0, _xlfn.IFS(COUNTIF($B$30:$C$30, O$2)&gt;0, VLOOKUP($J326,'Gear Values'!$A$2:$E$13, IF(COUNTBLANK('Attributes &amp; Prefixes'!$B$30:$C$30)&gt;0, "2", "3"), 0), COUNTIF($D$30:$E$30, O$2)&gt;0, VLOOKUP($J326,'Gear Values'!$A$2:$E$13, IF(COUNTBLANK('Attributes &amp; Prefixes'!$B$30:$C$30)&gt;0, "4", "5"), 0)), "")</f>
        <v/>
      </c>
      <c r="P326" s="148" t="str" cm="1">
        <f t="array" ref="P326">IF(COUNTIF($B$30:$E$30, P$2)&gt;0, _xlfn.IFS(COUNTIF($B$30:$C$30, P$2)&gt;0, VLOOKUP($J326,'Gear Values'!$A$2:$E$13, IF(COUNTBLANK('Attributes &amp; Prefixes'!$B$30:$C$30)&gt;0, "2", "3"), 0), COUNTIF($D$30:$E$30, P$2)&gt;0, VLOOKUP($J326,'Gear Values'!$A$2:$E$13, IF(COUNTBLANK('Attributes &amp; Prefixes'!$B$30:$C$30)&gt;0, "4", "5"), 0)), "")</f>
        <v>N/A</v>
      </c>
      <c r="Q326" s="148" t="str" cm="1">
        <f t="array" ref="Q326">IF(COUNTIF($B$30:$E$30, Q$2)&gt;0, _xlfn.IFS(COUNTIF($B$30:$C$30, Q$2)&gt;0, VLOOKUP($J326,'Gear Values'!$A$2:$E$13, IF(COUNTBLANK('Attributes &amp; Prefixes'!$B$30:$C$30)&gt;0, "2", "3"), 0), COUNTIF($D$30:$E$30, Q$2)&gt;0, VLOOKUP($J326,'Gear Values'!$A$2:$E$13, IF(COUNTBLANK('Attributes &amp; Prefixes'!$B$30:$C$30)&gt;0, "4", "5"), 0)), "")</f>
        <v/>
      </c>
      <c r="R326" s="148" t="str" cm="1">
        <f t="array" ref="R326">IF(COUNTIF($B$30:$E$30, R$2)&gt;0, _xlfn.IFS(COUNTIF($B$30:$C$30, R$2)&gt;0, VLOOKUP($J326,'Gear Values'!$A$2:$E$13, IF(COUNTBLANK('Attributes &amp; Prefixes'!$B$30:$C$30)&gt;0, "2", "3"), 0), COUNTIF($D$30:$E$30, R$2)&gt;0, VLOOKUP($J326,'Gear Values'!$A$2:$E$13, IF(COUNTBLANK('Attributes &amp; Prefixes'!$B$30:$C$30)&gt;0, "4", "5"), 0)), "")</f>
        <v/>
      </c>
      <c r="S326" s="150" t="str" cm="1">
        <f t="array" ref="S326">IF(COUNTIF($B$30:$E$30, S$2)&gt;0, _xlfn.IFS(COUNTIF($B$30:$C$30, S$2)&gt;0, VLOOKUP($J326,'Gear Values'!$A$2:$E$13, IF(COUNTBLANK('Attributes &amp; Prefixes'!$B$30:$C$30)&gt;0, "2", "3"), 0), COUNTIF($D$30:$E$30, S$2)&gt;0, VLOOKUP($J326,'Gear Values'!$A$2:$E$13, IF(COUNTBLANK('Attributes &amp; Prefixes'!$B$30:$C$30)&gt;0, "4", "5"), 0)), "")</f>
        <v>N/A</v>
      </c>
      <c r="V326" s="112"/>
      <c r="W326" s="113"/>
    </row>
    <row r="327" spans="6:23">
      <c r="F327" s="114"/>
      <c r="G327" s="114"/>
      <c r="H327" s="130" t="str">
        <f>_xlfn.CONCAT(I$327,J327)</f>
        <v>MinstrelWeapon (1H)</v>
      </c>
      <c r="I327" s="519" t="str">
        <f>A31</f>
        <v>Minstrel</v>
      </c>
      <c r="J327" s="145" t="s">
        <v>37</v>
      </c>
      <c r="K327" s="133" t="str" cm="1">
        <f t="array" ref="K327">IF(COUNTIF($B$31:$E$31, K$2)&gt;0, _xlfn.IFS(COUNTIF($B$31:$C$31, K$2)&gt;0, VLOOKUP($J327,'Gear Values'!$A$2:$E$13, IF(COUNTBLANK('Attributes &amp; Prefixes'!$B$31:$C$31)&gt;0, "2", "3"), 0), COUNTIF($D$31:$E$31, K$2)&gt;0, VLOOKUP($J327,'Gear Values'!$A$2:$E$13, IF(COUNTBLANK('Attributes &amp; Prefixes'!$B$31:$C$31)&gt;0, "4", "5"), 0)), "")</f>
        <v/>
      </c>
      <c r="L327" s="134" t="str" cm="1">
        <f t="array" ref="L327">IF(COUNTIF($B$31:$E$31, L$2)&gt;0, _xlfn.IFS(COUNTIF($B$31:$C$31, L$2)&gt;0, VLOOKUP($J327,'Gear Values'!$A$2:$E$13, IF(COUNTBLANK('Attributes &amp; Prefixes'!$B$31:$C$31)&gt;0, "2", "3"), 0), COUNTIF($D$31:$E$31, L$2)&gt;0, VLOOKUP($J327,'Gear Values'!$A$2:$E$13, IF(COUNTBLANK('Attributes &amp; Prefixes'!$B$31:$C$31)&gt;0, "4", "5"), 0)), "")</f>
        <v/>
      </c>
      <c r="M327" s="134" cm="1">
        <f t="array" ref="M327">IF(COUNTIF($B$31:$E$31, M$2)&gt;0, _xlfn.IFS(COUNTIF($B$31:$C$31, M$2)&gt;0, VLOOKUP($J327,'Gear Values'!$A$2:$E$13, IF(COUNTBLANK('Attributes &amp; Prefixes'!$B$31:$C$31)&gt;0, "2", "3"), 0), COUNTIF($D$31:$E$31, M$2)&gt;0, VLOOKUP($J327,'Gear Values'!$A$2:$E$13, IF(COUNTBLANK('Attributes &amp; Prefixes'!$B$31:$C$31)&gt;0, "4", "5"), 0)), "")</f>
        <v>102</v>
      </c>
      <c r="N327" s="134" cm="1">
        <f t="array" ref="N327">IF(COUNTIF($B$31:$E$31, N$2)&gt;0, _xlfn.IFS(COUNTIF($B$31:$C$31, N$2)&gt;0, VLOOKUP($J327,'Gear Values'!$A$2:$E$13, IF(COUNTBLANK('Attributes &amp; Prefixes'!$B$31:$C$31)&gt;0, "2", "3"), 0), COUNTIF($D$31:$E$31, N$2)&gt;0, VLOOKUP($J327,'Gear Values'!$A$2:$E$13, IF(COUNTBLANK('Attributes &amp; Prefixes'!$B$31:$C$31)&gt;0, "4", "5"), 0)), "")</f>
        <v>56</v>
      </c>
      <c r="O327" s="134" cm="1">
        <f t="array" ref="O327">IF(COUNTIF($B$31:$E$31, O$2)&gt;0, _xlfn.IFS(COUNTIF($B$31:$C$31, O$2)&gt;0, VLOOKUP($J327,'Gear Values'!$A$2:$E$13, IF(COUNTBLANK('Attributes &amp; Prefixes'!$B$31:$C$31)&gt;0, "2", "3"), 0), COUNTIF($D$31:$E$31, O$2)&gt;0, VLOOKUP($J327,'Gear Values'!$A$2:$E$13, IF(COUNTBLANK('Attributes &amp; Prefixes'!$B$31:$C$31)&gt;0, "4", "5"), 0)), "")</f>
        <v>56</v>
      </c>
      <c r="P327" s="134" t="str" cm="1">
        <f t="array" ref="P327">IF(COUNTIF($B$31:$E$31, P$2)&gt;0, _xlfn.IFS(COUNTIF($B$31:$C$31, P$2)&gt;0, VLOOKUP($J327,'Gear Values'!$A$2:$E$13, IF(COUNTBLANK('Attributes &amp; Prefixes'!$B$31:$C$31)&gt;0, "2", "3"), 0), COUNTIF($D$31:$E$31, P$2)&gt;0, VLOOKUP($J327,'Gear Values'!$A$2:$E$13, IF(COUNTBLANK('Attributes &amp; Prefixes'!$B$31:$C$31)&gt;0, "4", "5"), 0)), "")</f>
        <v/>
      </c>
      <c r="Q327" s="134" t="str" cm="1">
        <f t="array" ref="Q327">IF(COUNTIF($B$31:$E$31, Q$2)&gt;0, _xlfn.IFS(COUNTIF($B$31:$C$31, Q$2)&gt;0, VLOOKUP($J327,'Gear Values'!$A$2:$E$13, IF(COUNTBLANK('Attributes &amp; Prefixes'!$B$31:$C$31)&gt;0, "2", "3"), 0), COUNTIF($D$31:$E$31, Q$2)&gt;0, VLOOKUP($J327,'Gear Values'!$A$2:$E$13, IF(COUNTBLANK('Attributes &amp; Prefixes'!$B$31:$C$31)&gt;0, "4", "5"), 0)), "")</f>
        <v/>
      </c>
      <c r="R327" s="134" t="str" cm="1">
        <f t="array" ref="R327">IF(COUNTIF($B$31:$E$31, R$2)&gt;0, _xlfn.IFS(COUNTIF($B$31:$C$31, R$2)&gt;0, VLOOKUP($J327,'Gear Values'!$A$2:$E$13, IF(COUNTBLANK('Attributes &amp; Prefixes'!$B$31:$C$31)&gt;0, "2", "3"), 0), COUNTIF($D$31:$E$31, R$2)&gt;0, VLOOKUP($J327,'Gear Values'!$A$2:$E$13, IF(COUNTBLANK('Attributes &amp; Prefixes'!$B$31:$C$31)&gt;0, "4", "5"), 0)), "")</f>
        <v/>
      </c>
      <c r="S327" s="135" cm="1">
        <f t="array" ref="S327">IF(COUNTIF($B$31:$E$31, S$2)&gt;0, _xlfn.IFS(COUNTIF($B$31:$C$31, S$2)&gt;0, VLOOKUP($J327,'Gear Values'!$A$2:$E$13, IF(COUNTBLANK('Attributes &amp; Prefixes'!$B$31:$C$31)&gt;0, "2", "3"), 0), COUNTIF($D$31:$E$31, S$2)&gt;0, VLOOKUP($J327,'Gear Values'!$A$2:$E$13, IF(COUNTBLANK('Attributes &amp; Prefixes'!$B$31:$C$31)&gt;0, "4", "5"), 0)), "")</f>
        <v>102</v>
      </c>
      <c r="V327" s="112"/>
      <c r="W327" s="113"/>
    </row>
    <row r="328" spans="6:23">
      <c r="F328" s="114"/>
      <c r="G328" s="114"/>
      <c r="H328" s="130" t="str">
        <f>_xlfn.CONCAT(I$327,J328)</f>
        <v>MinstrelWeapon (2H)</v>
      </c>
      <c r="I328" s="520"/>
      <c r="J328" s="144" t="s">
        <v>39</v>
      </c>
      <c r="K328" s="136" t="str" cm="1">
        <f t="array" ref="K328">IF(COUNTIF($B$31:$E$31, K$2)&gt;0, _xlfn.IFS(COUNTIF($B$31:$C$31, K$2)&gt;0, VLOOKUP($J328,'Gear Values'!$A$2:$E$13, IF(COUNTBLANK('Attributes &amp; Prefixes'!$B$31:$C$31)&gt;0, "2", "3"), 0), COUNTIF($D$31:$E$31, K$2)&gt;0, VLOOKUP($J328,'Gear Values'!$A$2:$E$13, IF(COUNTBLANK('Attributes &amp; Prefixes'!$B$31:$C$31)&gt;0, "4", "5"), 0)), "")</f>
        <v/>
      </c>
      <c r="L328" s="137" t="str" cm="1">
        <f t="array" ref="L328">IF(COUNTIF($B$31:$E$31, L$2)&gt;0, _xlfn.IFS(COUNTIF($B$31:$C$31, L$2)&gt;0, VLOOKUP($J328,'Gear Values'!$A$2:$E$13, IF(COUNTBLANK('Attributes &amp; Prefixes'!$B$31:$C$31)&gt;0, "2", "3"), 0), COUNTIF($D$31:$E$31, L$2)&gt;0, VLOOKUP($J328,'Gear Values'!$A$2:$E$13, IF(COUNTBLANK('Attributes &amp; Prefixes'!$B$31:$C$31)&gt;0, "4", "5"), 0)), "")</f>
        <v/>
      </c>
      <c r="M328" s="137" cm="1">
        <f t="array" ref="M328">IF(COUNTIF($B$31:$E$31, M$2)&gt;0, _xlfn.IFS(COUNTIF($B$31:$C$31, M$2)&gt;0, VLOOKUP($J328,'Gear Values'!$A$2:$E$13, IF(COUNTBLANK('Attributes &amp; Prefixes'!$B$31:$C$31)&gt;0, "2", "3"), 0), COUNTIF($D$31:$E$31, M$2)&gt;0, VLOOKUP($J328,'Gear Values'!$A$2:$E$13, IF(COUNTBLANK('Attributes &amp; Prefixes'!$B$31:$C$31)&gt;0, "4", "5"), 0)), "")</f>
        <v>205</v>
      </c>
      <c r="N328" s="137" cm="1">
        <f t="array" ref="N328">IF(COUNTIF($B$31:$E$31, N$2)&gt;0, _xlfn.IFS(COUNTIF($B$31:$C$31, N$2)&gt;0, VLOOKUP($J328,'Gear Values'!$A$2:$E$13, IF(COUNTBLANK('Attributes &amp; Prefixes'!$B$31:$C$31)&gt;0, "2", "3"), 0), COUNTIF($D$31:$E$31, N$2)&gt;0, VLOOKUP($J328,'Gear Values'!$A$2:$E$13, IF(COUNTBLANK('Attributes &amp; Prefixes'!$B$31:$C$31)&gt;0, "4", "5"), 0)), "")</f>
        <v>113</v>
      </c>
      <c r="O328" s="137" cm="1">
        <f t="array" ref="O328">IF(COUNTIF($B$31:$E$31, O$2)&gt;0, _xlfn.IFS(COUNTIF($B$31:$C$31, O$2)&gt;0, VLOOKUP($J328,'Gear Values'!$A$2:$E$13, IF(COUNTBLANK('Attributes &amp; Prefixes'!$B$31:$C$31)&gt;0, "2", "3"), 0), COUNTIF($D$31:$E$31, O$2)&gt;0, VLOOKUP($J328,'Gear Values'!$A$2:$E$13, IF(COUNTBLANK('Attributes &amp; Prefixes'!$B$31:$C$31)&gt;0, "4", "5"), 0)), "")</f>
        <v>113</v>
      </c>
      <c r="P328" s="137" t="str" cm="1">
        <f t="array" ref="P328">IF(COUNTIF($B$31:$E$31, P$2)&gt;0, _xlfn.IFS(COUNTIF($B$31:$C$31, P$2)&gt;0, VLOOKUP($J328,'Gear Values'!$A$2:$E$13, IF(COUNTBLANK('Attributes &amp; Prefixes'!$B$31:$C$31)&gt;0, "2", "3"), 0), COUNTIF($D$31:$E$31, P$2)&gt;0, VLOOKUP($J328,'Gear Values'!$A$2:$E$13, IF(COUNTBLANK('Attributes &amp; Prefixes'!$B$31:$C$31)&gt;0, "4", "5"), 0)), "")</f>
        <v/>
      </c>
      <c r="Q328" s="137" t="str" cm="1">
        <f t="array" ref="Q328">IF(COUNTIF($B$31:$E$31, Q$2)&gt;0, _xlfn.IFS(COUNTIF($B$31:$C$31, Q$2)&gt;0, VLOOKUP($J328,'Gear Values'!$A$2:$E$13, IF(COUNTBLANK('Attributes &amp; Prefixes'!$B$31:$C$31)&gt;0, "2", "3"), 0), COUNTIF($D$31:$E$31, Q$2)&gt;0, VLOOKUP($J328,'Gear Values'!$A$2:$E$13, IF(COUNTBLANK('Attributes &amp; Prefixes'!$B$31:$C$31)&gt;0, "4", "5"), 0)), "")</f>
        <v/>
      </c>
      <c r="R328" s="137" t="str" cm="1">
        <f t="array" ref="R328">IF(COUNTIF($B$31:$E$31, R$2)&gt;0, _xlfn.IFS(COUNTIF($B$31:$C$31, R$2)&gt;0, VLOOKUP($J328,'Gear Values'!$A$2:$E$13, IF(COUNTBLANK('Attributes &amp; Prefixes'!$B$31:$C$31)&gt;0, "2", "3"), 0), COUNTIF($D$31:$E$31, R$2)&gt;0, VLOOKUP($J328,'Gear Values'!$A$2:$E$13, IF(COUNTBLANK('Attributes &amp; Prefixes'!$B$31:$C$31)&gt;0, "4", "5"), 0)), "")</f>
        <v/>
      </c>
      <c r="S328" s="138" cm="1">
        <f t="array" ref="S328">IF(COUNTIF($B$31:$E$31, S$2)&gt;0, _xlfn.IFS(COUNTIF($B$31:$C$31, S$2)&gt;0, VLOOKUP($J328,'Gear Values'!$A$2:$E$13, IF(COUNTBLANK('Attributes &amp; Prefixes'!$B$31:$C$31)&gt;0, "2", "3"), 0), COUNTIF($D$31:$E$31, S$2)&gt;0, VLOOKUP($J328,'Gear Values'!$A$2:$E$13, IF(COUNTBLANK('Attributes &amp; Prefixes'!$B$31:$C$31)&gt;0, "4", "5"), 0)), "")</f>
        <v>205</v>
      </c>
      <c r="V328" s="112"/>
      <c r="W328" s="113"/>
    </row>
    <row r="329" spans="6:23">
      <c r="F329" s="114"/>
      <c r="G329" s="114"/>
      <c r="H329" s="130" t="str">
        <f>_xlfn.CONCAT(I$327,J329)</f>
        <v>MinstrelHead</v>
      </c>
      <c r="I329" s="520"/>
      <c r="J329" s="144" t="s">
        <v>40</v>
      </c>
      <c r="K329" s="136" t="str" cm="1">
        <f t="array" ref="K329">IF(COUNTIF($B$31:$E$31, K$2)&gt;0, _xlfn.IFS(COUNTIF($B$31:$C$31, K$2)&gt;0, VLOOKUP($J329,'Gear Values'!$A$2:$E$13, IF(COUNTBLANK('Attributes &amp; Prefixes'!$B$31:$C$31)&gt;0, "2", "3"), 0), COUNTIF($D$31:$E$31, K$2)&gt;0, VLOOKUP($J329,'Gear Values'!$A$2:$E$13, IF(COUNTBLANK('Attributes &amp; Prefixes'!$B$31:$C$31)&gt;0, "4", "5"), 0)), "")</f>
        <v/>
      </c>
      <c r="L329" s="137" t="str" cm="1">
        <f t="array" ref="L329">IF(COUNTIF($B$31:$E$31, L$2)&gt;0, _xlfn.IFS(COUNTIF($B$31:$C$31, L$2)&gt;0, VLOOKUP($J329,'Gear Values'!$A$2:$E$13, IF(COUNTBLANK('Attributes &amp; Prefixes'!$B$31:$C$31)&gt;0, "2", "3"), 0), COUNTIF($D$31:$E$31, L$2)&gt;0, VLOOKUP($J329,'Gear Values'!$A$2:$E$13, IF(COUNTBLANK('Attributes &amp; Prefixes'!$B$31:$C$31)&gt;0, "4", "5"), 0)), "")</f>
        <v/>
      </c>
      <c r="M329" s="137" cm="1">
        <f t="array" ref="M329">IF(COUNTIF($B$31:$E$31, M$2)&gt;0, _xlfn.IFS(COUNTIF($B$31:$C$31, M$2)&gt;0, VLOOKUP($J329,'Gear Values'!$A$2:$E$13, IF(COUNTBLANK('Attributes &amp; Prefixes'!$B$31:$C$31)&gt;0, "2", "3"), 0), COUNTIF($D$31:$E$31, M$2)&gt;0, VLOOKUP($J329,'Gear Values'!$A$2:$E$13, IF(COUNTBLANK('Attributes &amp; Prefixes'!$B$31:$C$31)&gt;0, "4", "5"), 0)), "")</f>
        <v>51</v>
      </c>
      <c r="N329" s="137" cm="1">
        <f t="array" ref="N329">IF(COUNTIF($B$31:$E$31, N$2)&gt;0, _xlfn.IFS(COUNTIF($B$31:$C$31, N$2)&gt;0, VLOOKUP($J329,'Gear Values'!$A$2:$E$13, IF(COUNTBLANK('Attributes &amp; Prefixes'!$B$31:$C$31)&gt;0, "2", "3"), 0), COUNTIF($D$31:$E$31, N$2)&gt;0, VLOOKUP($J329,'Gear Values'!$A$2:$E$13, IF(COUNTBLANK('Attributes &amp; Prefixes'!$B$31:$C$31)&gt;0, "4", "5"), 0)), "")</f>
        <v>28</v>
      </c>
      <c r="O329" s="137" cm="1">
        <f t="array" ref="O329">IF(COUNTIF($B$31:$E$31, O$2)&gt;0, _xlfn.IFS(COUNTIF($B$31:$C$31, O$2)&gt;0, VLOOKUP($J329,'Gear Values'!$A$2:$E$13, IF(COUNTBLANK('Attributes &amp; Prefixes'!$B$31:$C$31)&gt;0, "2", "3"), 0), COUNTIF($D$31:$E$31, O$2)&gt;0, VLOOKUP($J329,'Gear Values'!$A$2:$E$13, IF(COUNTBLANK('Attributes &amp; Prefixes'!$B$31:$C$31)&gt;0, "4", "5"), 0)), "")</f>
        <v>28</v>
      </c>
      <c r="P329" s="137" t="str" cm="1">
        <f t="array" ref="P329">IF(COUNTIF($B$31:$E$31, P$2)&gt;0, _xlfn.IFS(COUNTIF($B$31:$C$31, P$2)&gt;0, VLOOKUP($J329,'Gear Values'!$A$2:$E$13, IF(COUNTBLANK('Attributes &amp; Prefixes'!$B$31:$C$31)&gt;0, "2", "3"), 0), COUNTIF($D$31:$E$31, P$2)&gt;0, VLOOKUP($J329,'Gear Values'!$A$2:$E$13, IF(COUNTBLANK('Attributes &amp; Prefixes'!$B$31:$C$31)&gt;0, "4", "5"), 0)), "")</f>
        <v/>
      </c>
      <c r="Q329" s="137" t="str" cm="1">
        <f t="array" ref="Q329">IF(COUNTIF($B$31:$E$31, Q$2)&gt;0, _xlfn.IFS(COUNTIF($B$31:$C$31, Q$2)&gt;0, VLOOKUP($J329,'Gear Values'!$A$2:$E$13, IF(COUNTBLANK('Attributes &amp; Prefixes'!$B$31:$C$31)&gt;0, "2", "3"), 0), COUNTIF($D$31:$E$31, Q$2)&gt;0, VLOOKUP($J329,'Gear Values'!$A$2:$E$13, IF(COUNTBLANK('Attributes &amp; Prefixes'!$B$31:$C$31)&gt;0, "4", "5"), 0)), "")</f>
        <v/>
      </c>
      <c r="R329" s="137" t="str" cm="1">
        <f t="array" ref="R329">IF(COUNTIF($B$31:$E$31, R$2)&gt;0, _xlfn.IFS(COUNTIF($B$31:$C$31, R$2)&gt;0, VLOOKUP($J329,'Gear Values'!$A$2:$E$13, IF(COUNTBLANK('Attributes &amp; Prefixes'!$B$31:$C$31)&gt;0, "2", "3"), 0), COUNTIF($D$31:$E$31, R$2)&gt;0, VLOOKUP($J329,'Gear Values'!$A$2:$E$13, IF(COUNTBLANK('Attributes &amp; Prefixes'!$B$31:$C$31)&gt;0, "4", "5"), 0)), "")</f>
        <v/>
      </c>
      <c r="S329" s="138" cm="1">
        <f t="array" ref="S329">IF(COUNTIF($B$31:$E$31, S$2)&gt;0, _xlfn.IFS(COUNTIF($B$31:$C$31, S$2)&gt;0, VLOOKUP($J329,'Gear Values'!$A$2:$E$13, IF(COUNTBLANK('Attributes &amp; Prefixes'!$B$31:$C$31)&gt;0, "2", "3"), 0), COUNTIF($D$31:$E$31, S$2)&gt;0, VLOOKUP($J329,'Gear Values'!$A$2:$E$13, IF(COUNTBLANK('Attributes &amp; Prefixes'!$B$31:$C$31)&gt;0, "4", "5"), 0)), "")</f>
        <v>51</v>
      </c>
      <c r="V329" s="112"/>
      <c r="W329" s="113"/>
    </row>
    <row r="330" spans="6:23">
      <c r="H330" s="130" t="str">
        <f>_xlfn.CONCAT(I$327,J330)</f>
        <v>MinstrelShoulders</v>
      </c>
      <c r="I330" s="520"/>
      <c r="J330" s="144" t="s">
        <v>42</v>
      </c>
      <c r="K330" s="136" t="str" cm="1">
        <f t="array" ref="K330">IF(COUNTIF($B$31:$E$31, K$2)&gt;0, _xlfn.IFS(COUNTIF($B$31:$C$31, K$2)&gt;0, VLOOKUP($J330,'Gear Values'!$A$2:$E$13, IF(COUNTBLANK('Attributes &amp; Prefixes'!$B$31:$C$31)&gt;0, "2", "3"), 0), COUNTIF($D$31:$E$31, K$2)&gt;0, VLOOKUP($J330,'Gear Values'!$A$2:$E$13, IF(COUNTBLANK('Attributes &amp; Prefixes'!$B$31:$C$31)&gt;0, "4", "5"), 0)), "")</f>
        <v/>
      </c>
      <c r="L330" s="137" t="str" cm="1">
        <f t="array" ref="L330">IF(COUNTIF($B$31:$E$31, L$2)&gt;0, _xlfn.IFS(COUNTIF($B$31:$C$31, L$2)&gt;0, VLOOKUP($J330,'Gear Values'!$A$2:$E$13, IF(COUNTBLANK('Attributes &amp; Prefixes'!$B$31:$C$31)&gt;0, "2", "3"), 0), COUNTIF($D$31:$E$31, L$2)&gt;0, VLOOKUP($J330,'Gear Values'!$A$2:$E$13, IF(COUNTBLANK('Attributes &amp; Prefixes'!$B$31:$C$31)&gt;0, "4", "5"), 0)), "")</f>
        <v/>
      </c>
      <c r="M330" s="137" cm="1">
        <f t="array" ref="M330">IF(COUNTIF($B$31:$E$31, M$2)&gt;0, _xlfn.IFS(COUNTIF($B$31:$C$31, M$2)&gt;0, VLOOKUP($J330,'Gear Values'!$A$2:$E$13, IF(COUNTBLANK('Attributes &amp; Prefixes'!$B$31:$C$31)&gt;0, "2", "3"), 0), COUNTIF($D$31:$E$31, M$2)&gt;0, VLOOKUP($J330,'Gear Values'!$A$2:$E$13, IF(COUNTBLANK('Attributes &amp; Prefixes'!$B$31:$C$31)&gt;0, "4", "5"), 0)), "")</f>
        <v>38</v>
      </c>
      <c r="N330" s="137" cm="1">
        <f t="array" ref="N330">IF(COUNTIF($B$31:$E$31, N$2)&gt;0, _xlfn.IFS(COUNTIF($B$31:$C$31, N$2)&gt;0, VLOOKUP($J330,'Gear Values'!$A$2:$E$13, IF(COUNTBLANK('Attributes &amp; Prefixes'!$B$31:$C$31)&gt;0, "2", "3"), 0), COUNTIF($D$31:$E$31, N$2)&gt;0, VLOOKUP($J330,'Gear Values'!$A$2:$E$13, IF(COUNTBLANK('Attributes &amp; Prefixes'!$B$31:$C$31)&gt;0, "4", "5"), 0)), "")</f>
        <v>21</v>
      </c>
      <c r="O330" s="137" cm="1">
        <f t="array" ref="O330">IF(COUNTIF($B$31:$E$31, O$2)&gt;0, _xlfn.IFS(COUNTIF($B$31:$C$31, O$2)&gt;0, VLOOKUP($J330,'Gear Values'!$A$2:$E$13, IF(COUNTBLANK('Attributes &amp; Prefixes'!$B$31:$C$31)&gt;0, "2", "3"), 0), COUNTIF($D$31:$E$31, O$2)&gt;0, VLOOKUP($J330,'Gear Values'!$A$2:$E$13, IF(COUNTBLANK('Attributes &amp; Prefixes'!$B$31:$C$31)&gt;0, "4", "5"), 0)), "")</f>
        <v>21</v>
      </c>
      <c r="P330" s="137" t="str" cm="1">
        <f t="array" ref="P330">IF(COUNTIF($B$31:$E$31, P$2)&gt;0, _xlfn.IFS(COUNTIF($B$31:$C$31, P$2)&gt;0, VLOOKUP($J330,'Gear Values'!$A$2:$E$13, IF(COUNTBLANK('Attributes &amp; Prefixes'!$B$31:$C$31)&gt;0, "2", "3"), 0), COUNTIF($D$31:$E$31, P$2)&gt;0, VLOOKUP($J330,'Gear Values'!$A$2:$E$13, IF(COUNTBLANK('Attributes &amp; Prefixes'!$B$31:$C$31)&gt;0, "4", "5"), 0)), "")</f>
        <v/>
      </c>
      <c r="Q330" s="137" t="str" cm="1">
        <f t="array" ref="Q330">IF(COUNTIF($B$31:$E$31, Q$2)&gt;0, _xlfn.IFS(COUNTIF($B$31:$C$31, Q$2)&gt;0, VLOOKUP($J330,'Gear Values'!$A$2:$E$13, IF(COUNTBLANK('Attributes &amp; Prefixes'!$B$31:$C$31)&gt;0, "2", "3"), 0), COUNTIF($D$31:$E$31, Q$2)&gt;0, VLOOKUP($J330,'Gear Values'!$A$2:$E$13, IF(COUNTBLANK('Attributes &amp; Prefixes'!$B$31:$C$31)&gt;0, "4", "5"), 0)), "")</f>
        <v/>
      </c>
      <c r="R330" s="137" t="str" cm="1">
        <f t="array" ref="R330">IF(COUNTIF($B$31:$E$31, R$2)&gt;0, _xlfn.IFS(COUNTIF($B$31:$C$31, R$2)&gt;0, VLOOKUP($J330,'Gear Values'!$A$2:$E$13, IF(COUNTBLANK('Attributes &amp; Prefixes'!$B$31:$C$31)&gt;0, "2", "3"), 0), COUNTIF($D$31:$E$31, R$2)&gt;0, VLOOKUP($J330,'Gear Values'!$A$2:$E$13, IF(COUNTBLANK('Attributes &amp; Prefixes'!$B$31:$C$31)&gt;0, "4", "5"), 0)), "")</f>
        <v/>
      </c>
      <c r="S330" s="138" cm="1">
        <f t="array" ref="S330">IF(COUNTIF($B$31:$E$31, S$2)&gt;0, _xlfn.IFS(COUNTIF($B$31:$C$31, S$2)&gt;0, VLOOKUP($J330,'Gear Values'!$A$2:$E$13, IF(COUNTBLANK('Attributes &amp; Prefixes'!$B$31:$C$31)&gt;0, "2", "3"), 0), COUNTIF($D$31:$E$31, S$2)&gt;0, VLOOKUP($J330,'Gear Values'!$A$2:$E$13, IF(COUNTBLANK('Attributes &amp; Prefixes'!$B$31:$C$31)&gt;0, "4", "5"), 0)), "")</f>
        <v>38</v>
      </c>
      <c r="V330" s="112"/>
      <c r="W330" s="113"/>
    </row>
    <row r="331" spans="6:23">
      <c r="H331" s="130" t="str">
        <f>_xlfn.CONCAT(I$327,J331)</f>
        <v>MinstrelChest</v>
      </c>
      <c r="I331" s="520"/>
      <c r="J331" s="144" t="s">
        <v>44</v>
      </c>
      <c r="K331" s="136" t="str" cm="1">
        <f t="array" ref="K331">IF(COUNTIF($B$31:$E$31, K$2)&gt;0, _xlfn.IFS(COUNTIF($B$31:$C$31, K$2)&gt;0, VLOOKUP($J331,'Gear Values'!$A$2:$E$13, IF(COUNTBLANK('Attributes &amp; Prefixes'!$B$31:$C$31)&gt;0, "2", "3"), 0), COUNTIF($D$31:$E$31, K$2)&gt;0, VLOOKUP($J331,'Gear Values'!$A$2:$E$13, IF(COUNTBLANK('Attributes &amp; Prefixes'!$B$31:$C$31)&gt;0, "4", "5"), 0)), "")</f>
        <v/>
      </c>
      <c r="L331" s="137" t="str" cm="1">
        <f t="array" ref="L331">IF(COUNTIF($B$31:$E$31, L$2)&gt;0, _xlfn.IFS(COUNTIF($B$31:$C$31, L$2)&gt;0, VLOOKUP($J331,'Gear Values'!$A$2:$E$13, IF(COUNTBLANK('Attributes &amp; Prefixes'!$B$31:$C$31)&gt;0, "2", "3"), 0), COUNTIF($D$31:$E$31, L$2)&gt;0, VLOOKUP($J331,'Gear Values'!$A$2:$E$13, IF(COUNTBLANK('Attributes &amp; Prefixes'!$B$31:$C$31)&gt;0, "4", "5"), 0)), "")</f>
        <v/>
      </c>
      <c r="M331" s="137" cm="1">
        <f t="array" ref="M331">IF(COUNTIF($B$31:$E$31, M$2)&gt;0, _xlfn.IFS(COUNTIF($B$31:$C$31, M$2)&gt;0, VLOOKUP($J331,'Gear Values'!$A$2:$E$13, IF(COUNTBLANK('Attributes &amp; Prefixes'!$B$31:$C$31)&gt;0, "2", "3"), 0), COUNTIF($D$31:$E$31, M$2)&gt;0, VLOOKUP($J331,'Gear Values'!$A$2:$E$13, IF(COUNTBLANK('Attributes &amp; Prefixes'!$B$31:$C$31)&gt;0, "4", "5"), 0)), "")</f>
        <v>115</v>
      </c>
      <c r="N331" s="137" cm="1">
        <f t="array" ref="N331">IF(COUNTIF($B$31:$E$31, N$2)&gt;0, _xlfn.IFS(COUNTIF($B$31:$C$31, N$2)&gt;0, VLOOKUP($J331,'Gear Values'!$A$2:$E$13, IF(COUNTBLANK('Attributes &amp; Prefixes'!$B$31:$C$31)&gt;0, "2", "3"), 0), COUNTIF($D$31:$E$31, N$2)&gt;0, VLOOKUP($J331,'Gear Values'!$A$2:$E$13, IF(COUNTBLANK('Attributes &amp; Prefixes'!$B$31:$C$31)&gt;0, "4", "5"), 0)), "")</f>
        <v>63</v>
      </c>
      <c r="O331" s="137" cm="1">
        <f t="array" ref="O331">IF(COUNTIF($B$31:$E$31, O$2)&gt;0, _xlfn.IFS(COUNTIF($B$31:$C$31, O$2)&gt;0, VLOOKUP($J331,'Gear Values'!$A$2:$E$13, IF(COUNTBLANK('Attributes &amp; Prefixes'!$B$31:$C$31)&gt;0, "2", "3"), 0), COUNTIF($D$31:$E$31, O$2)&gt;0, VLOOKUP($J331,'Gear Values'!$A$2:$E$13, IF(COUNTBLANK('Attributes &amp; Prefixes'!$B$31:$C$31)&gt;0, "4", "5"), 0)), "")</f>
        <v>63</v>
      </c>
      <c r="P331" s="137" t="str" cm="1">
        <f t="array" ref="P331">IF(COUNTIF($B$31:$E$31, P$2)&gt;0, _xlfn.IFS(COUNTIF($B$31:$C$31, P$2)&gt;0, VLOOKUP($J331,'Gear Values'!$A$2:$E$13, IF(COUNTBLANK('Attributes &amp; Prefixes'!$B$31:$C$31)&gt;0, "2", "3"), 0), COUNTIF($D$31:$E$31, P$2)&gt;0, VLOOKUP($J331,'Gear Values'!$A$2:$E$13, IF(COUNTBLANK('Attributes &amp; Prefixes'!$B$31:$C$31)&gt;0, "4", "5"), 0)), "")</f>
        <v/>
      </c>
      <c r="Q331" s="137" t="str" cm="1">
        <f t="array" ref="Q331">IF(COUNTIF($B$31:$E$31, Q$2)&gt;0, _xlfn.IFS(COUNTIF($B$31:$C$31, Q$2)&gt;0, VLOOKUP($J331,'Gear Values'!$A$2:$E$13, IF(COUNTBLANK('Attributes &amp; Prefixes'!$B$31:$C$31)&gt;0, "2", "3"), 0), COUNTIF($D$31:$E$31, Q$2)&gt;0, VLOOKUP($J331,'Gear Values'!$A$2:$E$13, IF(COUNTBLANK('Attributes &amp; Prefixes'!$B$31:$C$31)&gt;0, "4", "5"), 0)), "")</f>
        <v/>
      </c>
      <c r="R331" s="137" t="str" cm="1">
        <f t="array" ref="R331">IF(COUNTIF($B$31:$E$31, R$2)&gt;0, _xlfn.IFS(COUNTIF($B$31:$C$31, R$2)&gt;0, VLOOKUP($J331,'Gear Values'!$A$2:$E$13, IF(COUNTBLANK('Attributes &amp; Prefixes'!$B$31:$C$31)&gt;0, "2", "3"), 0), COUNTIF($D$31:$E$31, R$2)&gt;0, VLOOKUP($J331,'Gear Values'!$A$2:$E$13, IF(COUNTBLANK('Attributes &amp; Prefixes'!$B$31:$C$31)&gt;0, "4", "5"), 0)), "")</f>
        <v/>
      </c>
      <c r="S331" s="138" cm="1">
        <f t="array" ref="S331">IF(COUNTIF($B$31:$E$31, S$2)&gt;0, _xlfn.IFS(COUNTIF($B$31:$C$31, S$2)&gt;0, VLOOKUP($J331,'Gear Values'!$A$2:$E$13, IF(COUNTBLANK('Attributes &amp; Prefixes'!$B$31:$C$31)&gt;0, "2", "3"), 0), COUNTIF($D$31:$E$31, S$2)&gt;0, VLOOKUP($J331,'Gear Values'!$A$2:$E$13, IF(COUNTBLANK('Attributes &amp; Prefixes'!$B$31:$C$31)&gt;0, "4", "5"), 0)), "")</f>
        <v>115</v>
      </c>
      <c r="V331" s="112"/>
      <c r="W331" s="113"/>
    </row>
    <row r="332" spans="6:23">
      <c r="H332" s="130" t="str">
        <f>_xlfn.CONCAT(I$327,J332)</f>
        <v>MinstrelHands</v>
      </c>
      <c r="I332" s="520"/>
      <c r="J332" s="144" t="s">
        <v>45</v>
      </c>
      <c r="K332" s="136" t="str" cm="1">
        <f t="array" ref="K332">IF(COUNTIF($B$31:$E$31, K$2)&gt;0, _xlfn.IFS(COUNTIF($B$31:$C$31, K$2)&gt;0, VLOOKUP($J332,'Gear Values'!$A$2:$E$13, IF(COUNTBLANK('Attributes &amp; Prefixes'!$B$31:$C$31)&gt;0, "2", "3"), 0), COUNTIF($D$31:$E$31, K$2)&gt;0, VLOOKUP($J332,'Gear Values'!$A$2:$E$13, IF(COUNTBLANK('Attributes &amp; Prefixes'!$B$31:$C$31)&gt;0, "4", "5"), 0)), "")</f>
        <v/>
      </c>
      <c r="L332" s="137" t="str" cm="1">
        <f t="array" ref="L332">IF(COUNTIF($B$31:$E$31, L$2)&gt;0, _xlfn.IFS(COUNTIF($B$31:$C$31, L$2)&gt;0, VLOOKUP($J332,'Gear Values'!$A$2:$E$13, IF(COUNTBLANK('Attributes &amp; Prefixes'!$B$31:$C$31)&gt;0, "2", "3"), 0), COUNTIF($D$31:$E$31, L$2)&gt;0, VLOOKUP($J332,'Gear Values'!$A$2:$E$13, IF(COUNTBLANK('Attributes &amp; Prefixes'!$B$31:$C$31)&gt;0, "4", "5"), 0)), "")</f>
        <v/>
      </c>
      <c r="M332" s="137" cm="1">
        <f t="array" ref="M332">IF(COUNTIF($B$31:$E$31, M$2)&gt;0, _xlfn.IFS(COUNTIF($B$31:$C$31, M$2)&gt;0, VLOOKUP($J332,'Gear Values'!$A$2:$E$13, IF(COUNTBLANK('Attributes &amp; Prefixes'!$B$31:$C$31)&gt;0, "2", "3"), 0), COUNTIF($D$31:$E$31, M$2)&gt;0, VLOOKUP($J332,'Gear Values'!$A$2:$E$13, IF(COUNTBLANK('Attributes &amp; Prefixes'!$B$31:$C$31)&gt;0, "4", "5"), 0)), "")</f>
        <v>38</v>
      </c>
      <c r="N332" s="137" cm="1">
        <f t="array" ref="N332">IF(COUNTIF($B$31:$E$31, N$2)&gt;0, _xlfn.IFS(COUNTIF($B$31:$C$31, N$2)&gt;0, VLOOKUP($J332,'Gear Values'!$A$2:$E$13, IF(COUNTBLANK('Attributes &amp; Prefixes'!$B$31:$C$31)&gt;0, "2", "3"), 0), COUNTIF($D$31:$E$31, N$2)&gt;0, VLOOKUP($J332,'Gear Values'!$A$2:$E$13, IF(COUNTBLANK('Attributes &amp; Prefixes'!$B$31:$C$31)&gt;0, "4", "5"), 0)), "")</f>
        <v>21</v>
      </c>
      <c r="O332" s="137" cm="1">
        <f t="array" ref="O332">IF(COUNTIF($B$31:$E$31, O$2)&gt;0, _xlfn.IFS(COUNTIF($B$31:$C$31, O$2)&gt;0, VLOOKUP($J332,'Gear Values'!$A$2:$E$13, IF(COUNTBLANK('Attributes &amp; Prefixes'!$B$31:$C$31)&gt;0, "2", "3"), 0), COUNTIF($D$31:$E$31, O$2)&gt;0, VLOOKUP($J332,'Gear Values'!$A$2:$E$13, IF(COUNTBLANK('Attributes &amp; Prefixes'!$B$31:$C$31)&gt;0, "4", "5"), 0)), "")</f>
        <v>21</v>
      </c>
      <c r="P332" s="137" t="str" cm="1">
        <f t="array" ref="P332">IF(COUNTIF($B$31:$E$31, P$2)&gt;0, _xlfn.IFS(COUNTIF($B$31:$C$31, P$2)&gt;0, VLOOKUP($J332,'Gear Values'!$A$2:$E$13, IF(COUNTBLANK('Attributes &amp; Prefixes'!$B$31:$C$31)&gt;0, "2", "3"), 0), COUNTIF($D$31:$E$31, P$2)&gt;0, VLOOKUP($J332,'Gear Values'!$A$2:$E$13, IF(COUNTBLANK('Attributes &amp; Prefixes'!$B$31:$C$31)&gt;0, "4", "5"), 0)), "")</f>
        <v/>
      </c>
      <c r="Q332" s="137" t="str" cm="1">
        <f t="array" ref="Q332">IF(COUNTIF($B$31:$E$31, Q$2)&gt;0, _xlfn.IFS(COUNTIF($B$31:$C$31, Q$2)&gt;0, VLOOKUP($J332,'Gear Values'!$A$2:$E$13, IF(COUNTBLANK('Attributes &amp; Prefixes'!$B$31:$C$31)&gt;0, "2", "3"), 0), COUNTIF($D$31:$E$31, Q$2)&gt;0, VLOOKUP($J332,'Gear Values'!$A$2:$E$13, IF(COUNTBLANK('Attributes &amp; Prefixes'!$B$31:$C$31)&gt;0, "4", "5"), 0)), "")</f>
        <v/>
      </c>
      <c r="R332" s="137" t="str" cm="1">
        <f t="array" ref="R332">IF(COUNTIF($B$31:$E$31, R$2)&gt;0, _xlfn.IFS(COUNTIF($B$31:$C$31, R$2)&gt;0, VLOOKUP($J332,'Gear Values'!$A$2:$E$13, IF(COUNTBLANK('Attributes &amp; Prefixes'!$B$31:$C$31)&gt;0, "2", "3"), 0), COUNTIF($D$31:$E$31, R$2)&gt;0, VLOOKUP($J332,'Gear Values'!$A$2:$E$13, IF(COUNTBLANK('Attributes &amp; Prefixes'!$B$31:$C$31)&gt;0, "4", "5"), 0)), "")</f>
        <v/>
      </c>
      <c r="S332" s="138" cm="1">
        <f t="array" ref="S332">IF(COUNTIF($B$31:$E$31, S$2)&gt;0, _xlfn.IFS(COUNTIF($B$31:$C$31, S$2)&gt;0, VLOOKUP($J332,'Gear Values'!$A$2:$E$13, IF(COUNTBLANK('Attributes &amp; Prefixes'!$B$31:$C$31)&gt;0, "2", "3"), 0), COUNTIF($D$31:$E$31, S$2)&gt;0, VLOOKUP($J332,'Gear Values'!$A$2:$E$13, IF(COUNTBLANK('Attributes &amp; Prefixes'!$B$31:$C$31)&gt;0, "4", "5"), 0)), "")</f>
        <v>38</v>
      </c>
      <c r="V332" s="112"/>
      <c r="W332" s="113"/>
    </row>
    <row r="333" spans="6:23">
      <c r="H333" s="130" t="str">
        <f>_xlfn.CONCAT(I$327,J333)</f>
        <v>MinstrelLegs</v>
      </c>
      <c r="I333" s="520"/>
      <c r="J333" s="144" t="s">
        <v>47</v>
      </c>
      <c r="K333" s="136" t="str" cm="1">
        <f t="array" ref="K333">IF(COUNTIF($B$31:$E$31, K$2)&gt;0, _xlfn.IFS(COUNTIF($B$31:$C$31, K$2)&gt;0, VLOOKUP($J333,'Gear Values'!$A$2:$E$13, IF(COUNTBLANK('Attributes &amp; Prefixes'!$B$31:$C$31)&gt;0, "2", "3"), 0), COUNTIF($D$31:$E$31, K$2)&gt;0, VLOOKUP($J333,'Gear Values'!$A$2:$E$13, IF(COUNTBLANK('Attributes &amp; Prefixes'!$B$31:$C$31)&gt;0, "4", "5"), 0)), "")</f>
        <v/>
      </c>
      <c r="L333" s="137" t="str" cm="1">
        <f t="array" ref="L333">IF(COUNTIF($B$31:$E$31, L$2)&gt;0, _xlfn.IFS(COUNTIF($B$31:$C$31, L$2)&gt;0, VLOOKUP($J333,'Gear Values'!$A$2:$E$13, IF(COUNTBLANK('Attributes &amp; Prefixes'!$B$31:$C$31)&gt;0, "2", "3"), 0), COUNTIF($D$31:$E$31, L$2)&gt;0, VLOOKUP($J333,'Gear Values'!$A$2:$E$13, IF(COUNTBLANK('Attributes &amp; Prefixes'!$B$31:$C$31)&gt;0, "4", "5"), 0)), "")</f>
        <v/>
      </c>
      <c r="M333" s="137" cm="1">
        <f t="array" ref="M333">IF(COUNTIF($B$31:$E$31, M$2)&gt;0, _xlfn.IFS(COUNTIF($B$31:$C$31, M$2)&gt;0, VLOOKUP($J333,'Gear Values'!$A$2:$E$13, IF(COUNTBLANK('Attributes &amp; Prefixes'!$B$31:$C$31)&gt;0, "2", "3"), 0), COUNTIF($D$31:$E$31, M$2)&gt;0, VLOOKUP($J333,'Gear Values'!$A$2:$E$13, IF(COUNTBLANK('Attributes &amp; Prefixes'!$B$31:$C$31)&gt;0, "4", "5"), 0)), "")</f>
        <v>77</v>
      </c>
      <c r="N333" s="137" cm="1">
        <f t="array" ref="N333">IF(COUNTIF($B$31:$E$31, N$2)&gt;0, _xlfn.IFS(COUNTIF($B$31:$C$31, N$2)&gt;0, VLOOKUP($J333,'Gear Values'!$A$2:$E$13, IF(COUNTBLANK('Attributes &amp; Prefixes'!$B$31:$C$31)&gt;0, "2", "3"), 0), COUNTIF($D$31:$E$31, N$2)&gt;0, VLOOKUP($J333,'Gear Values'!$A$2:$E$13, IF(COUNTBLANK('Attributes &amp; Prefixes'!$B$31:$C$31)&gt;0, "4", "5"), 0)), "")</f>
        <v>42</v>
      </c>
      <c r="O333" s="137" cm="1">
        <f t="array" ref="O333">IF(COUNTIF($B$31:$E$31, O$2)&gt;0, _xlfn.IFS(COUNTIF($B$31:$C$31, O$2)&gt;0, VLOOKUP($J333,'Gear Values'!$A$2:$E$13, IF(COUNTBLANK('Attributes &amp; Prefixes'!$B$31:$C$31)&gt;0, "2", "3"), 0), COUNTIF($D$31:$E$31, O$2)&gt;0, VLOOKUP($J333,'Gear Values'!$A$2:$E$13, IF(COUNTBLANK('Attributes &amp; Prefixes'!$B$31:$C$31)&gt;0, "4", "5"), 0)), "")</f>
        <v>42</v>
      </c>
      <c r="P333" s="137" t="str" cm="1">
        <f t="array" ref="P333">IF(COUNTIF($B$31:$E$31, P$2)&gt;0, _xlfn.IFS(COUNTIF($B$31:$C$31, P$2)&gt;0, VLOOKUP($J333,'Gear Values'!$A$2:$E$13, IF(COUNTBLANK('Attributes &amp; Prefixes'!$B$31:$C$31)&gt;0, "2", "3"), 0), COUNTIF($D$31:$E$31, P$2)&gt;0, VLOOKUP($J333,'Gear Values'!$A$2:$E$13, IF(COUNTBLANK('Attributes &amp; Prefixes'!$B$31:$C$31)&gt;0, "4", "5"), 0)), "")</f>
        <v/>
      </c>
      <c r="Q333" s="137" t="str" cm="1">
        <f t="array" ref="Q333">IF(COUNTIF($B$31:$E$31, Q$2)&gt;0, _xlfn.IFS(COUNTIF($B$31:$C$31, Q$2)&gt;0, VLOOKUP($J333,'Gear Values'!$A$2:$E$13, IF(COUNTBLANK('Attributes &amp; Prefixes'!$B$31:$C$31)&gt;0, "2", "3"), 0), COUNTIF($D$31:$E$31, Q$2)&gt;0, VLOOKUP($J333,'Gear Values'!$A$2:$E$13, IF(COUNTBLANK('Attributes &amp; Prefixes'!$B$31:$C$31)&gt;0, "4", "5"), 0)), "")</f>
        <v/>
      </c>
      <c r="R333" s="137" t="str" cm="1">
        <f t="array" ref="R333">IF(COUNTIF($B$31:$E$31, R$2)&gt;0, _xlfn.IFS(COUNTIF($B$31:$C$31, R$2)&gt;0, VLOOKUP($J333,'Gear Values'!$A$2:$E$13, IF(COUNTBLANK('Attributes &amp; Prefixes'!$B$31:$C$31)&gt;0, "2", "3"), 0), COUNTIF($D$31:$E$31, R$2)&gt;0, VLOOKUP($J333,'Gear Values'!$A$2:$E$13, IF(COUNTBLANK('Attributes &amp; Prefixes'!$B$31:$C$31)&gt;0, "4", "5"), 0)), "")</f>
        <v/>
      </c>
      <c r="S333" s="138" cm="1">
        <f t="array" ref="S333">IF(COUNTIF($B$31:$E$31, S$2)&gt;0, _xlfn.IFS(COUNTIF($B$31:$C$31, S$2)&gt;0, VLOOKUP($J333,'Gear Values'!$A$2:$E$13, IF(COUNTBLANK('Attributes &amp; Prefixes'!$B$31:$C$31)&gt;0, "2", "3"), 0), COUNTIF($D$31:$E$31, S$2)&gt;0, VLOOKUP($J333,'Gear Values'!$A$2:$E$13, IF(COUNTBLANK('Attributes &amp; Prefixes'!$B$31:$C$31)&gt;0, "4", "5"), 0)), "")</f>
        <v>77</v>
      </c>
      <c r="V333" s="112"/>
      <c r="W333" s="113"/>
    </row>
    <row r="334" spans="6:23">
      <c r="H334" s="130" t="str">
        <f>_xlfn.CONCAT(I$327,J334)</f>
        <v>MinstrelFeet</v>
      </c>
      <c r="I334" s="520"/>
      <c r="J334" s="144" t="s">
        <v>48</v>
      </c>
      <c r="K334" s="136" t="str" cm="1">
        <f t="array" ref="K334">IF(COUNTIF($B$31:$E$31, K$2)&gt;0, _xlfn.IFS(COUNTIF($B$31:$C$31, K$2)&gt;0, VLOOKUP($J334,'Gear Values'!$A$2:$E$13, IF(COUNTBLANK('Attributes &amp; Prefixes'!$B$31:$C$31)&gt;0, "2", "3"), 0), COUNTIF($D$31:$E$31, K$2)&gt;0, VLOOKUP($J334,'Gear Values'!$A$2:$E$13, IF(COUNTBLANK('Attributes &amp; Prefixes'!$B$31:$C$31)&gt;0, "4", "5"), 0)), "")</f>
        <v/>
      </c>
      <c r="L334" s="137" t="str" cm="1">
        <f t="array" ref="L334">IF(COUNTIF($B$31:$E$31, L$2)&gt;0, _xlfn.IFS(COUNTIF($B$31:$C$31, L$2)&gt;0, VLOOKUP($J334,'Gear Values'!$A$2:$E$13, IF(COUNTBLANK('Attributes &amp; Prefixes'!$B$31:$C$31)&gt;0, "2", "3"), 0), COUNTIF($D$31:$E$31, L$2)&gt;0, VLOOKUP($J334,'Gear Values'!$A$2:$E$13, IF(COUNTBLANK('Attributes &amp; Prefixes'!$B$31:$C$31)&gt;0, "4", "5"), 0)), "")</f>
        <v/>
      </c>
      <c r="M334" s="137" cm="1">
        <f t="array" ref="M334">IF(COUNTIF($B$31:$E$31, M$2)&gt;0, _xlfn.IFS(COUNTIF($B$31:$C$31, M$2)&gt;0, VLOOKUP($J334,'Gear Values'!$A$2:$E$13, IF(COUNTBLANK('Attributes &amp; Prefixes'!$B$31:$C$31)&gt;0, "2", "3"), 0), COUNTIF($D$31:$E$31, M$2)&gt;0, VLOOKUP($J334,'Gear Values'!$A$2:$E$13, IF(COUNTBLANK('Attributes &amp; Prefixes'!$B$31:$C$31)&gt;0, "4", "5"), 0)), "")</f>
        <v>38</v>
      </c>
      <c r="N334" s="137" cm="1">
        <f t="array" ref="N334">IF(COUNTIF($B$31:$E$31, N$2)&gt;0, _xlfn.IFS(COUNTIF($B$31:$C$31, N$2)&gt;0, VLOOKUP($J334,'Gear Values'!$A$2:$E$13, IF(COUNTBLANK('Attributes &amp; Prefixes'!$B$31:$C$31)&gt;0, "2", "3"), 0), COUNTIF($D$31:$E$31, N$2)&gt;0, VLOOKUP($J334,'Gear Values'!$A$2:$E$13, IF(COUNTBLANK('Attributes &amp; Prefixes'!$B$31:$C$31)&gt;0, "4", "5"), 0)), "")</f>
        <v>21</v>
      </c>
      <c r="O334" s="137" cm="1">
        <f t="array" ref="O334">IF(COUNTIF($B$31:$E$31, O$2)&gt;0, _xlfn.IFS(COUNTIF($B$31:$C$31, O$2)&gt;0, VLOOKUP($J334,'Gear Values'!$A$2:$E$13, IF(COUNTBLANK('Attributes &amp; Prefixes'!$B$31:$C$31)&gt;0, "2", "3"), 0), COUNTIF($D$31:$E$31, O$2)&gt;0, VLOOKUP($J334,'Gear Values'!$A$2:$E$13, IF(COUNTBLANK('Attributes &amp; Prefixes'!$B$31:$C$31)&gt;0, "4", "5"), 0)), "")</f>
        <v>21</v>
      </c>
      <c r="P334" s="137" t="str" cm="1">
        <f t="array" ref="P334">IF(COUNTIF($B$31:$E$31, P$2)&gt;0, _xlfn.IFS(COUNTIF($B$31:$C$31, P$2)&gt;0, VLOOKUP($J334,'Gear Values'!$A$2:$E$13, IF(COUNTBLANK('Attributes &amp; Prefixes'!$B$31:$C$31)&gt;0, "2", "3"), 0), COUNTIF($D$31:$E$31, P$2)&gt;0, VLOOKUP($J334,'Gear Values'!$A$2:$E$13, IF(COUNTBLANK('Attributes &amp; Prefixes'!$B$31:$C$31)&gt;0, "4", "5"), 0)), "")</f>
        <v/>
      </c>
      <c r="Q334" s="137" t="str" cm="1">
        <f t="array" ref="Q334">IF(COUNTIF($B$31:$E$31, Q$2)&gt;0, _xlfn.IFS(COUNTIF($B$31:$C$31, Q$2)&gt;0, VLOOKUP($J334,'Gear Values'!$A$2:$E$13, IF(COUNTBLANK('Attributes &amp; Prefixes'!$B$31:$C$31)&gt;0, "2", "3"), 0), COUNTIF($D$31:$E$31, Q$2)&gt;0, VLOOKUP($J334,'Gear Values'!$A$2:$E$13, IF(COUNTBLANK('Attributes &amp; Prefixes'!$B$31:$C$31)&gt;0, "4", "5"), 0)), "")</f>
        <v/>
      </c>
      <c r="R334" s="137" t="str" cm="1">
        <f t="array" ref="R334">IF(COUNTIF($B$31:$E$31, R$2)&gt;0, _xlfn.IFS(COUNTIF($B$31:$C$31, R$2)&gt;0, VLOOKUP($J334,'Gear Values'!$A$2:$E$13, IF(COUNTBLANK('Attributes &amp; Prefixes'!$B$31:$C$31)&gt;0, "2", "3"), 0), COUNTIF($D$31:$E$31, R$2)&gt;0, VLOOKUP($J334,'Gear Values'!$A$2:$E$13, IF(COUNTBLANK('Attributes &amp; Prefixes'!$B$31:$C$31)&gt;0, "4", "5"), 0)), "")</f>
        <v/>
      </c>
      <c r="S334" s="138" cm="1">
        <f t="array" ref="S334">IF(COUNTIF($B$31:$E$31, S$2)&gt;0, _xlfn.IFS(COUNTIF($B$31:$C$31, S$2)&gt;0, VLOOKUP($J334,'Gear Values'!$A$2:$E$13, IF(COUNTBLANK('Attributes &amp; Prefixes'!$B$31:$C$31)&gt;0, "2", "3"), 0), COUNTIF($D$31:$E$31, S$2)&gt;0, VLOOKUP($J334,'Gear Values'!$A$2:$E$13, IF(COUNTBLANK('Attributes &amp; Prefixes'!$B$31:$C$31)&gt;0, "4", "5"), 0)), "")</f>
        <v>38</v>
      </c>
      <c r="V334" s="112"/>
      <c r="W334" s="113"/>
    </row>
    <row r="335" spans="6:23">
      <c r="H335" s="130" t="str">
        <f>_xlfn.CONCAT(A$68,J335)</f>
        <v>Freshwater PearlEar</v>
      </c>
      <c r="I335" s="520"/>
      <c r="J335" s="144" t="s">
        <v>49</v>
      </c>
      <c r="K335" s="136" t="str" cm="1">
        <f t="array" ref="K335">IF(COUNTIF($B$31:$E$31, K$2)&gt;0, _xlfn.IFS(COUNTIF($B$31:$C$31, K$2)&gt;0, VLOOKUP($J335,'Gear Values'!$A$2:$E$13, IF(COUNTBLANK('Attributes &amp; Prefixes'!$B$31:$C$31)&gt;0, "2", "3"), 0), COUNTIF($D$31:$E$31, K$2)&gt;0, VLOOKUP($J335,'Gear Values'!$A$2:$E$13, IF(COUNTBLANK('Attributes &amp; Prefixes'!$B$31:$C$31)&gt;0, "4", "5"), 0)), "")</f>
        <v/>
      </c>
      <c r="L335" s="137" t="str" cm="1">
        <f t="array" ref="L335">IF(COUNTIF($B$31:$E$31, L$2)&gt;0, _xlfn.IFS(COUNTIF($B$31:$C$31, L$2)&gt;0, VLOOKUP($J335,'Gear Values'!$A$2:$E$13, IF(COUNTBLANK('Attributes &amp; Prefixes'!$B$31:$C$31)&gt;0, "2", "3"), 0), COUNTIF($D$31:$E$31, L$2)&gt;0, VLOOKUP($J335,'Gear Values'!$A$2:$E$13, IF(COUNTBLANK('Attributes &amp; Prefixes'!$B$31:$C$31)&gt;0, "4", "5"), 0)), "")</f>
        <v/>
      </c>
      <c r="M335" s="137" cm="1">
        <f t="array" ref="M335">IF(COUNTIF($B$31:$E$31, M$2)&gt;0, _xlfn.IFS(COUNTIF($B$31:$C$31, M$2)&gt;0, VLOOKUP($J335,'Gear Values'!$A$2:$E$13, IF(COUNTBLANK('Attributes &amp; Prefixes'!$B$31:$C$31)&gt;0, "2", "3"), 0), COUNTIF($D$31:$E$31, M$2)&gt;0, VLOOKUP($J335,'Gear Values'!$A$2:$E$13, IF(COUNTBLANK('Attributes &amp; Prefixes'!$B$31:$C$31)&gt;0, "4", "5"), 0)), "")</f>
        <v>64</v>
      </c>
      <c r="N335" s="137" cm="1">
        <f t="array" ref="N335">IF(COUNTIF($B$31:$E$31, N$2)&gt;0, _xlfn.IFS(COUNTIF($B$31:$C$31, N$2)&gt;0, VLOOKUP($J335,'Gear Values'!$A$2:$E$13, IF(COUNTBLANK('Attributes &amp; Prefixes'!$B$31:$C$31)&gt;0, "2", "3"), 0), COUNTIF($D$31:$E$31, N$2)&gt;0, VLOOKUP($J335,'Gear Values'!$A$2:$E$13, IF(COUNTBLANK('Attributes &amp; Prefixes'!$B$31:$C$31)&gt;0, "4", "5"), 0)), "")</f>
        <v>35</v>
      </c>
      <c r="O335" s="137" cm="1">
        <f t="array" ref="O335">IF(COUNTIF($B$31:$E$31, O$2)&gt;0, _xlfn.IFS(COUNTIF($B$31:$C$31, O$2)&gt;0, VLOOKUP($J335,'Gear Values'!$A$2:$E$13, IF(COUNTBLANK('Attributes &amp; Prefixes'!$B$31:$C$31)&gt;0, "2", "3"), 0), COUNTIF($D$31:$E$31, O$2)&gt;0, VLOOKUP($J335,'Gear Values'!$A$2:$E$13, IF(COUNTBLANK('Attributes &amp; Prefixes'!$B$31:$C$31)&gt;0, "4", "5"), 0)), "")</f>
        <v>35</v>
      </c>
      <c r="P335" s="137" t="str" cm="1">
        <f t="array" ref="P335">IF(COUNTIF($B$31:$E$31, P$2)&gt;0, _xlfn.IFS(COUNTIF($B$31:$C$31, P$2)&gt;0, VLOOKUP($J335,'Gear Values'!$A$2:$E$13, IF(COUNTBLANK('Attributes &amp; Prefixes'!$B$31:$C$31)&gt;0, "2", "3"), 0), COUNTIF($D$31:$E$31, P$2)&gt;0, VLOOKUP($J335,'Gear Values'!$A$2:$E$13, IF(COUNTBLANK('Attributes &amp; Prefixes'!$B$31:$C$31)&gt;0, "4", "5"), 0)), "")</f>
        <v/>
      </c>
      <c r="Q335" s="137" t="str" cm="1">
        <f t="array" ref="Q335">IF(COUNTIF($B$31:$E$31, Q$2)&gt;0, _xlfn.IFS(COUNTIF($B$31:$C$31, Q$2)&gt;0, VLOOKUP($J335,'Gear Values'!$A$2:$E$13, IF(COUNTBLANK('Attributes &amp; Prefixes'!$B$31:$C$31)&gt;0, "2", "3"), 0), COUNTIF($D$31:$E$31, Q$2)&gt;0, VLOOKUP($J335,'Gear Values'!$A$2:$E$13, IF(COUNTBLANK('Attributes &amp; Prefixes'!$B$31:$C$31)&gt;0, "4", "5"), 0)), "")</f>
        <v/>
      </c>
      <c r="R335" s="137" t="str" cm="1">
        <f t="array" ref="R335">IF(COUNTIF($B$31:$E$31, R$2)&gt;0, _xlfn.IFS(COUNTIF($B$31:$C$31, R$2)&gt;0, VLOOKUP($J335,'Gear Values'!$A$2:$E$13, IF(COUNTBLANK('Attributes &amp; Prefixes'!$B$31:$C$31)&gt;0, "2", "3"), 0), COUNTIF($D$31:$E$31, R$2)&gt;0, VLOOKUP($J335,'Gear Values'!$A$2:$E$13, IF(COUNTBLANK('Attributes &amp; Prefixes'!$B$31:$C$31)&gt;0, "4", "5"), 0)), "")</f>
        <v/>
      </c>
      <c r="S335" s="138" cm="1">
        <f t="array" ref="S335">IF(COUNTIF($B$31:$E$31, S$2)&gt;0, _xlfn.IFS(COUNTIF($B$31:$C$31, S$2)&gt;0, VLOOKUP($J335,'Gear Values'!$A$2:$E$13, IF(COUNTBLANK('Attributes &amp; Prefixes'!$B$31:$C$31)&gt;0, "2", "3"), 0), COUNTIF($D$31:$E$31, S$2)&gt;0, VLOOKUP($J335,'Gear Values'!$A$2:$E$13, IF(COUNTBLANK('Attributes &amp; Prefixes'!$B$31:$C$31)&gt;0, "4", "5"), 0)), "")</f>
        <v>64</v>
      </c>
      <c r="V335" s="112"/>
      <c r="W335" s="113"/>
    </row>
    <row r="336" spans="6:23">
      <c r="H336" s="130" t="str">
        <f>_xlfn.CONCAT(A$68,J336)</f>
        <v>Freshwater PearlFinger</v>
      </c>
      <c r="I336" s="520"/>
      <c r="J336" s="144" t="s">
        <v>51</v>
      </c>
      <c r="K336" s="136" t="str" cm="1">
        <f t="array" ref="K336">IF(COUNTIF($B$31:$E$31, K$2)&gt;0, _xlfn.IFS(COUNTIF($B$31:$C$31, K$2)&gt;0, VLOOKUP($J336,'Gear Values'!$A$2:$E$13, IF(COUNTBLANK('Attributes &amp; Prefixes'!$B$31:$C$31)&gt;0, "2", "3"), 0), COUNTIF($D$31:$E$31, K$2)&gt;0, VLOOKUP($J336,'Gear Values'!$A$2:$E$13, IF(COUNTBLANK('Attributes &amp; Prefixes'!$B$31:$C$31)&gt;0, "4", "5"), 0)), "")</f>
        <v/>
      </c>
      <c r="L336" s="137" t="str" cm="1">
        <f t="array" ref="L336">IF(COUNTIF($B$31:$E$31, L$2)&gt;0, _xlfn.IFS(COUNTIF($B$31:$C$31, L$2)&gt;0, VLOOKUP($J336,'Gear Values'!$A$2:$E$13, IF(COUNTBLANK('Attributes &amp; Prefixes'!$B$31:$C$31)&gt;0, "2", "3"), 0), COUNTIF($D$31:$E$31, L$2)&gt;0, VLOOKUP($J336,'Gear Values'!$A$2:$E$13, IF(COUNTBLANK('Attributes &amp; Prefixes'!$B$31:$C$31)&gt;0, "4", "5"), 0)), "")</f>
        <v/>
      </c>
      <c r="M336" s="137" cm="1">
        <f t="array" ref="M336">IF(COUNTIF($B$31:$E$31, M$2)&gt;0, _xlfn.IFS(COUNTIF($B$31:$C$31, M$2)&gt;0, VLOOKUP($J336,'Gear Values'!$A$2:$E$13, IF(COUNTBLANK('Attributes &amp; Prefixes'!$B$31:$C$31)&gt;0, "2", "3"), 0), COUNTIF($D$31:$E$31, M$2)&gt;0, VLOOKUP($J336,'Gear Values'!$A$2:$E$13, IF(COUNTBLANK('Attributes &amp; Prefixes'!$B$31:$C$31)&gt;0, "4", "5"), 0)), "")</f>
        <v>77</v>
      </c>
      <c r="N336" s="137" cm="1">
        <f t="array" ref="N336">IF(COUNTIF($B$31:$E$31, N$2)&gt;0, _xlfn.IFS(COUNTIF($B$31:$C$31, N$2)&gt;0, VLOOKUP($J336,'Gear Values'!$A$2:$E$13, IF(COUNTBLANK('Attributes &amp; Prefixes'!$B$31:$C$31)&gt;0, "2", "3"), 0), COUNTIF($D$31:$E$31, N$2)&gt;0, VLOOKUP($J336,'Gear Values'!$A$2:$E$13, IF(COUNTBLANK('Attributes &amp; Prefixes'!$B$31:$C$31)&gt;0, "4", "5"), 0)), "")</f>
        <v>42</v>
      </c>
      <c r="O336" s="137" cm="1">
        <f t="array" ref="O336">IF(COUNTIF($B$31:$E$31, O$2)&gt;0, _xlfn.IFS(COUNTIF($B$31:$C$31, O$2)&gt;0, VLOOKUP($J336,'Gear Values'!$A$2:$E$13, IF(COUNTBLANK('Attributes &amp; Prefixes'!$B$31:$C$31)&gt;0, "2", "3"), 0), COUNTIF($D$31:$E$31, O$2)&gt;0, VLOOKUP($J336,'Gear Values'!$A$2:$E$13, IF(COUNTBLANK('Attributes &amp; Prefixes'!$B$31:$C$31)&gt;0, "4", "5"), 0)), "")</f>
        <v>42</v>
      </c>
      <c r="P336" s="137" t="str" cm="1">
        <f t="array" ref="P336">IF(COUNTIF($B$31:$E$31, P$2)&gt;0, _xlfn.IFS(COUNTIF($B$31:$C$31, P$2)&gt;0, VLOOKUP($J336,'Gear Values'!$A$2:$E$13, IF(COUNTBLANK('Attributes &amp; Prefixes'!$B$31:$C$31)&gt;0, "2", "3"), 0), COUNTIF($D$31:$E$31, P$2)&gt;0, VLOOKUP($J336,'Gear Values'!$A$2:$E$13, IF(COUNTBLANK('Attributes &amp; Prefixes'!$B$31:$C$31)&gt;0, "4", "5"), 0)), "")</f>
        <v/>
      </c>
      <c r="Q336" s="137" t="str" cm="1">
        <f t="array" ref="Q336">IF(COUNTIF($B$31:$E$31, Q$2)&gt;0, _xlfn.IFS(COUNTIF($B$31:$C$31, Q$2)&gt;0, VLOOKUP($J336,'Gear Values'!$A$2:$E$13, IF(COUNTBLANK('Attributes &amp; Prefixes'!$B$31:$C$31)&gt;0, "2", "3"), 0), COUNTIF($D$31:$E$31, Q$2)&gt;0, VLOOKUP($J336,'Gear Values'!$A$2:$E$13, IF(COUNTBLANK('Attributes &amp; Prefixes'!$B$31:$C$31)&gt;0, "4", "5"), 0)), "")</f>
        <v/>
      </c>
      <c r="R336" s="137" t="str" cm="1">
        <f t="array" ref="R336">IF(COUNTIF($B$31:$E$31, R$2)&gt;0, _xlfn.IFS(COUNTIF($B$31:$C$31, R$2)&gt;0, VLOOKUP($J336,'Gear Values'!$A$2:$E$13, IF(COUNTBLANK('Attributes &amp; Prefixes'!$B$31:$C$31)&gt;0, "2", "3"), 0), COUNTIF($D$31:$E$31, R$2)&gt;0, VLOOKUP($J336,'Gear Values'!$A$2:$E$13, IF(COUNTBLANK('Attributes &amp; Prefixes'!$B$31:$C$31)&gt;0, "4", "5"), 0)), "")</f>
        <v/>
      </c>
      <c r="S336" s="138" cm="1">
        <f t="array" ref="S336">IF(COUNTIF($B$31:$E$31, S$2)&gt;0, _xlfn.IFS(COUNTIF($B$31:$C$31, S$2)&gt;0, VLOOKUP($J336,'Gear Values'!$A$2:$E$13, IF(COUNTBLANK('Attributes &amp; Prefixes'!$B$31:$C$31)&gt;0, "2", "3"), 0), COUNTIF($D$31:$E$31, S$2)&gt;0, VLOOKUP($J336,'Gear Values'!$A$2:$E$13, IF(COUNTBLANK('Attributes &amp; Prefixes'!$B$31:$C$31)&gt;0, "4", "5"), 0)), "")</f>
        <v>77</v>
      </c>
      <c r="V336" s="112"/>
      <c r="W336" s="113"/>
    </row>
    <row r="337" spans="6:23">
      <c r="H337" s="130" t="str">
        <f>_xlfn.CONCAT(A$68,J337)</f>
        <v>Freshwater PearlNeck</v>
      </c>
      <c r="I337" s="520"/>
      <c r="J337" s="144" t="s">
        <v>52</v>
      </c>
      <c r="K337" s="136" t="str" cm="1">
        <f t="array" ref="K337">IF(COUNTIF($B$31:$E$31, K$2)&gt;0, _xlfn.IFS(COUNTIF($B$31:$C$31, K$2)&gt;0, VLOOKUP($J337,'Gear Values'!$A$2:$E$13, IF(COUNTBLANK('Attributes &amp; Prefixes'!$B$31:$C$31)&gt;0, "2", "3"), 0), COUNTIF($D$31:$E$31, K$2)&gt;0, VLOOKUP($J337,'Gear Values'!$A$2:$E$13, IF(COUNTBLANK('Attributes &amp; Prefixes'!$B$31:$C$31)&gt;0, "4", "5"), 0)), "")</f>
        <v/>
      </c>
      <c r="L337" s="137" t="str" cm="1">
        <f t="array" ref="L337">IF(COUNTIF($B$31:$E$31, L$2)&gt;0, _xlfn.IFS(COUNTIF($B$31:$C$31, L$2)&gt;0, VLOOKUP($J337,'Gear Values'!$A$2:$E$13, IF(COUNTBLANK('Attributes &amp; Prefixes'!$B$31:$C$31)&gt;0, "2", "3"), 0), COUNTIF($D$31:$E$31, L$2)&gt;0, VLOOKUP($J337,'Gear Values'!$A$2:$E$13, IF(COUNTBLANK('Attributes &amp; Prefixes'!$B$31:$C$31)&gt;0, "4", "5"), 0)), "")</f>
        <v/>
      </c>
      <c r="M337" s="137" cm="1">
        <f t="array" ref="M337">IF(COUNTIF($B$31:$E$31, M$2)&gt;0, _xlfn.IFS(COUNTIF($B$31:$C$31, M$2)&gt;0, VLOOKUP($J337,'Gear Values'!$A$2:$E$13, IF(COUNTBLANK('Attributes &amp; Prefixes'!$B$31:$C$31)&gt;0, "2", "3"), 0), COUNTIF($D$31:$E$31, M$2)&gt;0, VLOOKUP($J337,'Gear Values'!$A$2:$E$13, IF(COUNTBLANK('Attributes &amp; Prefixes'!$B$31:$C$31)&gt;0, "4", "5"), 0)), "")</f>
        <v>102</v>
      </c>
      <c r="N337" s="137" cm="1">
        <f t="array" ref="N337">IF(COUNTIF($B$31:$E$31, N$2)&gt;0, _xlfn.IFS(COUNTIF($B$31:$C$31, N$2)&gt;0, VLOOKUP($J337,'Gear Values'!$A$2:$E$13, IF(COUNTBLANK('Attributes &amp; Prefixes'!$B$31:$C$31)&gt;0, "2", "3"), 0), COUNTIF($D$31:$E$31, N$2)&gt;0, VLOOKUP($J337,'Gear Values'!$A$2:$E$13, IF(COUNTBLANK('Attributes &amp; Prefixes'!$B$31:$C$31)&gt;0, "4", "5"), 0)), "")</f>
        <v>56</v>
      </c>
      <c r="O337" s="137" cm="1">
        <f t="array" ref="O337">IF(COUNTIF($B$31:$E$31, O$2)&gt;0, _xlfn.IFS(COUNTIF($B$31:$C$31, O$2)&gt;0, VLOOKUP($J337,'Gear Values'!$A$2:$E$13, IF(COUNTBLANK('Attributes &amp; Prefixes'!$B$31:$C$31)&gt;0, "2", "3"), 0), COUNTIF($D$31:$E$31, O$2)&gt;0, VLOOKUP($J337,'Gear Values'!$A$2:$E$13, IF(COUNTBLANK('Attributes &amp; Prefixes'!$B$31:$C$31)&gt;0, "4", "5"), 0)), "")</f>
        <v>56</v>
      </c>
      <c r="P337" s="137" t="str" cm="1">
        <f t="array" ref="P337">IF(COUNTIF($B$31:$E$31, P$2)&gt;0, _xlfn.IFS(COUNTIF($B$31:$C$31, P$2)&gt;0, VLOOKUP($J337,'Gear Values'!$A$2:$E$13, IF(COUNTBLANK('Attributes &amp; Prefixes'!$B$31:$C$31)&gt;0, "2", "3"), 0), COUNTIF($D$31:$E$31, P$2)&gt;0, VLOOKUP($J337,'Gear Values'!$A$2:$E$13, IF(COUNTBLANK('Attributes &amp; Prefixes'!$B$31:$C$31)&gt;0, "4", "5"), 0)), "")</f>
        <v/>
      </c>
      <c r="Q337" s="137" t="str" cm="1">
        <f t="array" ref="Q337">IF(COUNTIF($B$31:$E$31, Q$2)&gt;0, _xlfn.IFS(COUNTIF($B$31:$C$31, Q$2)&gt;0, VLOOKUP($J337,'Gear Values'!$A$2:$E$13, IF(COUNTBLANK('Attributes &amp; Prefixes'!$B$31:$C$31)&gt;0, "2", "3"), 0), COUNTIF($D$31:$E$31, Q$2)&gt;0, VLOOKUP($J337,'Gear Values'!$A$2:$E$13, IF(COUNTBLANK('Attributes &amp; Prefixes'!$B$31:$C$31)&gt;0, "4", "5"), 0)), "")</f>
        <v/>
      </c>
      <c r="R337" s="137" t="str" cm="1">
        <f t="array" ref="R337">IF(COUNTIF($B$31:$E$31, R$2)&gt;0, _xlfn.IFS(COUNTIF($B$31:$C$31, R$2)&gt;0, VLOOKUP($J337,'Gear Values'!$A$2:$E$13, IF(COUNTBLANK('Attributes &amp; Prefixes'!$B$31:$C$31)&gt;0, "2", "3"), 0), COUNTIF($D$31:$E$31, R$2)&gt;0, VLOOKUP($J337,'Gear Values'!$A$2:$E$13, IF(COUNTBLANK('Attributes &amp; Prefixes'!$B$31:$C$31)&gt;0, "4", "5"), 0)), "")</f>
        <v/>
      </c>
      <c r="S337" s="138" cm="1">
        <f t="array" ref="S337">IF(COUNTIF($B$31:$E$31, S$2)&gt;0, _xlfn.IFS(COUNTIF($B$31:$C$31, S$2)&gt;0, VLOOKUP($J337,'Gear Values'!$A$2:$E$13, IF(COUNTBLANK('Attributes &amp; Prefixes'!$B$31:$C$31)&gt;0, "2", "3"), 0), COUNTIF($D$31:$E$31, S$2)&gt;0, VLOOKUP($J337,'Gear Values'!$A$2:$E$13, IF(COUNTBLANK('Attributes &amp; Prefixes'!$B$31:$C$31)&gt;0, "4", "5"), 0)), "")</f>
        <v>102</v>
      </c>
      <c r="V337" s="112"/>
      <c r="W337" s="112"/>
    </row>
    <row r="338" spans="6:23">
      <c r="H338" s="130" t="str">
        <f>_xlfn.CONCAT(I$327,J338)</f>
        <v>MinstrelBack</v>
      </c>
      <c r="I338" s="521"/>
      <c r="J338" s="146" t="s">
        <v>53</v>
      </c>
      <c r="K338" s="147" t="str" cm="1">
        <f t="array" ref="K338">IF(COUNTIF($B$31:$E$31, K$2)&gt;0, _xlfn.IFS(COUNTIF($B$31:$C$31, K$2)&gt;0, VLOOKUP($J338,'Gear Values'!$A$2:$E$13, IF(COUNTBLANK('Attributes &amp; Prefixes'!$B$31:$C$31)&gt;0, "2", "3"), 0), COUNTIF($D$31:$E$31, K$2)&gt;0, VLOOKUP($J338,'Gear Values'!$A$2:$E$13, IF(COUNTBLANK('Attributes &amp; Prefixes'!$B$31:$C$31)&gt;0, "4", "5"), 0)), "")</f>
        <v/>
      </c>
      <c r="L338" s="148" t="str" cm="1">
        <f t="array" ref="L338">IF(COUNTIF($B$31:$E$31, L$2)&gt;0, _xlfn.IFS(COUNTIF($B$31:$C$31, L$2)&gt;0, VLOOKUP($J338,'Gear Values'!$A$2:$E$13, IF(COUNTBLANK('Attributes &amp; Prefixes'!$B$31:$C$31)&gt;0, "2", "3"), 0), COUNTIF($D$31:$E$31, L$2)&gt;0, VLOOKUP($J338,'Gear Values'!$A$2:$E$13, IF(COUNTBLANK('Attributes &amp; Prefixes'!$B$31:$C$31)&gt;0, "4", "5"), 0)), "")</f>
        <v/>
      </c>
      <c r="M338" s="148" t="str" cm="1">
        <f t="array" ref="M338">IF(COUNTIF($B$31:$E$31, M$2)&gt;0, _xlfn.IFS(COUNTIF($B$31:$C$31, M$2)&gt;0, VLOOKUP($J338,'Gear Values'!$A$2:$E$13, IF(COUNTBLANK('Attributes &amp; Prefixes'!$B$31:$C$31)&gt;0, "2", "3"), 0), COUNTIF($D$31:$E$31, M$2)&gt;0, VLOOKUP($J338,'Gear Values'!$A$2:$E$13, IF(COUNTBLANK('Attributes &amp; Prefixes'!$B$31:$C$31)&gt;0, "4", "5"), 0)), "")</f>
        <v>N/A</v>
      </c>
      <c r="N338" s="148" t="str" cm="1">
        <f t="array" ref="N338">IF(COUNTIF($B$31:$E$31, N$2)&gt;0, _xlfn.IFS(COUNTIF($B$31:$C$31, N$2)&gt;0, VLOOKUP($J338,'Gear Values'!$A$2:$E$13, IF(COUNTBLANK('Attributes &amp; Prefixes'!$B$31:$C$31)&gt;0, "2", "3"), 0), COUNTIF($D$31:$E$31, N$2)&gt;0, VLOOKUP($J338,'Gear Values'!$A$2:$E$13, IF(COUNTBLANK('Attributes &amp; Prefixes'!$B$31:$C$31)&gt;0, "4", "5"), 0)), "")</f>
        <v>N/A</v>
      </c>
      <c r="O338" s="148" t="str" cm="1">
        <f t="array" ref="O338">IF(COUNTIF($B$31:$E$31, O$2)&gt;0, _xlfn.IFS(COUNTIF($B$31:$C$31, O$2)&gt;0, VLOOKUP($J338,'Gear Values'!$A$2:$E$13, IF(COUNTBLANK('Attributes &amp; Prefixes'!$B$31:$C$31)&gt;0, "2", "3"), 0), COUNTIF($D$31:$E$31, O$2)&gt;0, VLOOKUP($J338,'Gear Values'!$A$2:$E$13, IF(COUNTBLANK('Attributes &amp; Prefixes'!$B$31:$C$31)&gt;0, "4", "5"), 0)), "")</f>
        <v>N/A</v>
      </c>
      <c r="P338" s="148" t="str" cm="1">
        <f t="array" ref="P338">IF(COUNTIF($B$31:$E$31, P$2)&gt;0, _xlfn.IFS(COUNTIF($B$31:$C$31, P$2)&gt;0, VLOOKUP($J338,'Gear Values'!$A$2:$E$13, IF(COUNTBLANK('Attributes &amp; Prefixes'!$B$31:$C$31)&gt;0, "2", "3"), 0), COUNTIF($D$31:$E$31, P$2)&gt;0, VLOOKUP($J338,'Gear Values'!$A$2:$E$13, IF(COUNTBLANK('Attributes &amp; Prefixes'!$B$31:$C$31)&gt;0, "4", "5"), 0)), "")</f>
        <v/>
      </c>
      <c r="Q338" s="148" t="str" cm="1">
        <f t="array" ref="Q338">IF(COUNTIF($B$31:$E$31, Q$2)&gt;0, _xlfn.IFS(COUNTIF($B$31:$C$31, Q$2)&gt;0, VLOOKUP($J338,'Gear Values'!$A$2:$E$13, IF(COUNTBLANK('Attributes &amp; Prefixes'!$B$31:$C$31)&gt;0, "2", "3"), 0), COUNTIF($D$31:$E$31, Q$2)&gt;0, VLOOKUP($J338,'Gear Values'!$A$2:$E$13, IF(COUNTBLANK('Attributes &amp; Prefixes'!$B$31:$C$31)&gt;0, "4", "5"), 0)), "")</f>
        <v/>
      </c>
      <c r="R338" s="148" t="str" cm="1">
        <f t="array" ref="R338">IF(COUNTIF($B$31:$E$31, R$2)&gt;0, _xlfn.IFS(COUNTIF($B$31:$C$31, R$2)&gt;0, VLOOKUP($J338,'Gear Values'!$A$2:$E$13, IF(COUNTBLANK('Attributes &amp; Prefixes'!$B$31:$C$31)&gt;0, "2", "3"), 0), COUNTIF($D$31:$E$31, R$2)&gt;0, VLOOKUP($J338,'Gear Values'!$A$2:$E$13, IF(COUNTBLANK('Attributes &amp; Prefixes'!$B$31:$C$31)&gt;0, "4", "5"), 0)), "")</f>
        <v/>
      </c>
      <c r="S338" s="150" t="str" cm="1">
        <f t="array" ref="S338">IF(COUNTIF($B$31:$E$31, S$2)&gt;0, _xlfn.IFS(COUNTIF($B$31:$C$31, S$2)&gt;0, VLOOKUP($J338,'Gear Values'!$A$2:$E$13, IF(COUNTBLANK('Attributes &amp; Prefixes'!$B$31:$C$31)&gt;0, "2", "3"), 0), COUNTIF($D$31:$E$31, S$2)&gt;0, VLOOKUP($J338,'Gear Values'!$A$2:$E$13, IF(COUNTBLANK('Attributes &amp; Prefixes'!$B$31:$C$31)&gt;0, "4", "5"), 0)), "")</f>
        <v>N/A</v>
      </c>
      <c r="V338" s="112"/>
      <c r="W338" s="113"/>
    </row>
    <row r="339" spans="6:23">
      <c r="H339" s="130" t="str">
        <f>_xlfn.CONCAT(I$339,J339)</f>
        <v>NomadWeapon (1H)</v>
      </c>
      <c r="I339" s="519" t="str">
        <f>A32</f>
        <v>Nomad</v>
      </c>
      <c r="J339" s="145" t="s">
        <v>37</v>
      </c>
      <c r="K339" s="133" t="str" cm="1">
        <f t="array" ref="K339">IF(COUNTIF($B$32:$E$32, K$2)&gt;0, _xlfn.IFS(COUNTIF($B$32:$C$32, K$2)&gt;0, VLOOKUP($J339,'Gear Values'!$A$2:$E$13, IF(COUNTBLANK('Attributes &amp; Prefixes'!$B$32:$C$32)&gt;0, "2", "3"), 0), COUNTIF($D$32:$E$32, K$2)&gt;0, VLOOKUP($J339,'Gear Values'!$A$2:$E$13, IF(COUNTBLANK('Attributes &amp; Prefixes'!$B$32:$C$32)&gt;0, "4", "5"), 0)), "")</f>
        <v/>
      </c>
      <c r="L339" s="134" t="str" cm="1">
        <f t="array" ref="L339">IF(COUNTIF($B$32:$E$32, L$2)&gt;0, _xlfn.IFS(COUNTIF($B$32:$C$32, L$2)&gt;0, VLOOKUP($J339,'Gear Values'!$A$2:$E$13, IF(COUNTBLANK('Attributes &amp; Prefixes'!$B$32:$C$32)&gt;0, "2", "3"), 0), COUNTIF($D$32:$E$32, L$2)&gt;0, VLOOKUP($J339,'Gear Values'!$A$2:$E$13, IF(COUNTBLANK('Attributes &amp; Prefixes'!$B$32:$C$32)&gt;0, "4", "5"), 0)), "")</f>
        <v/>
      </c>
      <c r="M339" s="134" cm="1">
        <f t="array" ref="M339">IF(COUNTIF($B$32:$E$32, M$2)&gt;0, _xlfn.IFS(COUNTIF($B$32:$C$32, M$2)&gt;0, VLOOKUP($J339,'Gear Values'!$A$2:$E$13, IF(COUNTBLANK('Attributes &amp; Prefixes'!$B$32:$C$32)&gt;0, "2", "3"), 0), COUNTIF($D$32:$E$32, M$2)&gt;0, VLOOKUP($J339,'Gear Values'!$A$2:$E$13, IF(COUNTBLANK('Attributes &amp; Prefixes'!$B$32:$C$32)&gt;0, "4", "5"), 0)), "")</f>
        <v>120</v>
      </c>
      <c r="N339" s="134" cm="1">
        <f t="array" ref="N339">IF(COUNTIF($B$32:$E$32, N$2)&gt;0, _xlfn.IFS(COUNTIF($B$32:$C$32, N$2)&gt;0, VLOOKUP($J339,'Gear Values'!$A$2:$E$13, IF(COUNTBLANK('Attributes &amp; Prefixes'!$B$32:$C$32)&gt;0, "2", "3"), 0), COUNTIF($D$32:$E$32, N$2)&gt;0, VLOOKUP($J339,'Gear Values'!$A$2:$E$13, IF(COUNTBLANK('Attributes &amp; Prefixes'!$B$32:$C$32)&gt;0, "4", "5"), 0)), "")</f>
        <v>85</v>
      </c>
      <c r="O339" s="134" t="str" cm="1">
        <f t="array" ref="O339">IF(COUNTIF($B$32:$E$32, O$2)&gt;0, _xlfn.IFS(COUNTIF($B$32:$C$32, O$2)&gt;0, VLOOKUP($J339,'Gear Values'!$A$2:$E$13, IF(COUNTBLANK('Attributes &amp; Prefixes'!$B$32:$C$32)&gt;0, "2", "3"), 0), COUNTIF($D$32:$E$32, O$2)&gt;0, VLOOKUP($J339,'Gear Values'!$A$2:$E$13, IF(COUNTBLANK('Attributes &amp; Prefixes'!$B$32:$C$32)&gt;0, "4", "5"), 0)), "")</f>
        <v/>
      </c>
      <c r="P339" s="134" t="str" cm="1">
        <f t="array" ref="P339">IF(COUNTIF($B$32:$E$32, P$2)&gt;0, _xlfn.IFS(COUNTIF($B$32:$C$32, P$2)&gt;0, VLOOKUP($J339,'Gear Values'!$A$2:$E$13, IF(COUNTBLANK('Attributes &amp; Prefixes'!$B$32:$C$32)&gt;0, "2", "3"), 0), COUNTIF($D$32:$E$32, P$2)&gt;0, VLOOKUP($J339,'Gear Values'!$A$2:$E$13, IF(COUNTBLANK('Attributes &amp; Prefixes'!$B$32:$C$32)&gt;0, "4", "5"), 0)), "")</f>
        <v/>
      </c>
      <c r="Q339" s="134" t="str" cm="1">
        <f t="array" ref="Q339">IF(COUNTIF($B$32:$E$32, Q$2)&gt;0, _xlfn.IFS(COUNTIF($B$32:$C$32, Q$2)&gt;0, VLOOKUP($J339,'Gear Values'!$A$2:$E$13, IF(COUNTBLANK('Attributes &amp; Prefixes'!$B$32:$C$32)&gt;0, "2", "3"), 0), COUNTIF($D$32:$E$32, Q$2)&gt;0, VLOOKUP($J339,'Gear Values'!$A$2:$E$13, IF(COUNTBLANK('Attributes &amp; Prefixes'!$B$32:$C$32)&gt;0, "4", "5"), 0)), "")</f>
        <v/>
      </c>
      <c r="R339" s="134" t="str" cm="1">
        <f t="array" ref="R339">IF(COUNTIF($B$32:$E$32, R$2)&gt;0, _xlfn.IFS(COUNTIF($B$32:$C$32, R$2)&gt;0, VLOOKUP($J339,'Gear Values'!$A$2:$E$13, IF(COUNTBLANK('Attributes &amp; Prefixes'!$B$32:$C$32)&gt;0, "2", "3"), 0), COUNTIF($D$32:$E$32, R$2)&gt;0, VLOOKUP($J339,'Gear Values'!$A$2:$E$13, IF(COUNTBLANK('Attributes &amp; Prefixes'!$B$32:$C$32)&gt;0, "4", "5"), 0)), "")</f>
        <v/>
      </c>
      <c r="S339" s="135" cm="1">
        <f t="array" ref="S339">IF(COUNTIF($B$32:$E$32, S$2)&gt;0, _xlfn.IFS(COUNTIF($B$32:$C$32, S$2)&gt;0, VLOOKUP($J339,'Gear Values'!$A$2:$E$13, IF(COUNTBLANK('Attributes &amp; Prefixes'!$B$32:$C$32)&gt;0, "2", "3"), 0), COUNTIF($D$32:$E$32, S$2)&gt;0, VLOOKUP($J339,'Gear Values'!$A$2:$E$13, IF(COUNTBLANK('Attributes &amp; Prefixes'!$B$32:$C$32)&gt;0, "4", "5"), 0)), "")</f>
        <v>85</v>
      </c>
      <c r="V339" s="112"/>
      <c r="W339" s="113"/>
    </row>
    <row r="340" spans="6:23">
      <c r="H340" s="130" t="str">
        <f>_xlfn.CONCAT(I$339,J340)</f>
        <v>NomadWeapon (2H)</v>
      </c>
      <c r="I340" s="520"/>
      <c r="J340" s="144" t="s">
        <v>39</v>
      </c>
      <c r="K340" s="136" t="str" cm="1">
        <f t="array" ref="K340">IF(COUNTIF($B$32:$E$32, K$2)&gt;0, _xlfn.IFS(COUNTIF($B$32:$C$32, K$2)&gt;0, VLOOKUP($J340,'Gear Values'!$A$2:$E$13, IF(COUNTBLANK('Attributes &amp; Prefixes'!$B$32:$C$32)&gt;0, "2", "3"), 0), COUNTIF($D$32:$E$32, K$2)&gt;0, VLOOKUP($J340,'Gear Values'!$A$2:$E$13, IF(COUNTBLANK('Attributes &amp; Prefixes'!$B$32:$C$32)&gt;0, "4", "5"), 0)), "")</f>
        <v/>
      </c>
      <c r="L340" s="137" t="str" cm="1">
        <f t="array" ref="L340">IF(COUNTIF($B$32:$E$32, L$2)&gt;0, _xlfn.IFS(COUNTIF($B$32:$C$32, L$2)&gt;0, VLOOKUP($J340,'Gear Values'!$A$2:$E$13, IF(COUNTBLANK('Attributes &amp; Prefixes'!$B$32:$C$32)&gt;0, "2", "3"), 0), COUNTIF($D$32:$E$32, L$2)&gt;0, VLOOKUP($J340,'Gear Values'!$A$2:$E$13, IF(COUNTBLANK('Attributes &amp; Prefixes'!$B$32:$C$32)&gt;0, "4", "5"), 0)), "")</f>
        <v/>
      </c>
      <c r="M340" s="137" cm="1">
        <f t="array" ref="M340">IF(COUNTIF($B$32:$E$32, M$2)&gt;0, _xlfn.IFS(COUNTIF($B$32:$C$32, M$2)&gt;0, VLOOKUP($J340,'Gear Values'!$A$2:$E$13, IF(COUNTBLANK('Attributes &amp; Prefixes'!$B$32:$C$32)&gt;0, "2", "3"), 0), COUNTIF($D$32:$E$32, M$2)&gt;0, VLOOKUP($J340,'Gear Values'!$A$2:$E$13, IF(COUNTBLANK('Attributes &amp; Prefixes'!$B$32:$C$32)&gt;0, "4", "5"), 0)), "")</f>
        <v>239</v>
      </c>
      <c r="N340" s="137" cm="1">
        <f t="array" ref="N340">IF(COUNTIF($B$32:$E$32, N$2)&gt;0, _xlfn.IFS(COUNTIF($B$32:$C$32, N$2)&gt;0, VLOOKUP($J340,'Gear Values'!$A$2:$E$13, IF(COUNTBLANK('Attributes &amp; Prefixes'!$B$32:$C$32)&gt;0, "2", "3"), 0), COUNTIF($D$32:$E$32, N$2)&gt;0, VLOOKUP($J340,'Gear Values'!$A$2:$E$13, IF(COUNTBLANK('Attributes &amp; Prefixes'!$B$32:$C$32)&gt;0, "4", "5"), 0)), "")</f>
        <v>171</v>
      </c>
      <c r="O340" s="137" t="str" cm="1">
        <f t="array" ref="O340">IF(COUNTIF($B$32:$E$32, O$2)&gt;0, _xlfn.IFS(COUNTIF($B$32:$C$32, O$2)&gt;0, VLOOKUP($J340,'Gear Values'!$A$2:$E$13, IF(COUNTBLANK('Attributes &amp; Prefixes'!$B$32:$C$32)&gt;0, "2", "3"), 0), COUNTIF($D$32:$E$32, O$2)&gt;0, VLOOKUP($J340,'Gear Values'!$A$2:$E$13, IF(COUNTBLANK('Attributes &amp; Prefixes'!$B$32:$C$32)&gt;0, "4", "5"), 0)), "")</f>
        <v/>
      </c>
      <c r="P340" s="137" t="str" cm="1">
        <f t="array" ref="P340">IF(COUNTIF($B$32:$E$32, P$2)&gt;0, _xlfn.IFS(COUNTIF($B$32:$C$32, P$2)&gt;0, VLOOKUP($J340,'Gear Values'!$A$2:$E$13, IF(COUNTBLANK('Attributes &amp; Prefixes'!$B$32:$C$32)&gt;0, "2", "3"), 0), COUNTIF($D$32:$E$32, P$2)&gt;0, VLOOKUP($J340,'Gear Values'!$A$2:$E$13, IF(COUNTBLANK('Attributes &amp; Prefixes'!$B$32:$C$32)&gt;0, "4", "5"), 0)), "")</f>
        <v/>
      </c>
      <c r="Q340" s="137" t="str" cm="1">
        <f t="array" ref="Q340">IF(COUNTIF($B$32:$E$32, Q$2)&gt;0, _xlfn.IFS(COUNTIF($B$32:$C$32, Q$2)&gt;0, VLOOKUP($J340,'Gear Values'!$A$2:$E$13, IF(COUNTBLANK('Attributes &amp; Prefixes'!$B$32:$C$32)&gt;0, "2", "3"), 0), COUNTIF($D$32:$E$32, Q$2)&gt;0, VLOOKUP($J340,'Gear Values'!$A$2:$E$13, IF(COUNTBLANK('Attributes &amp; Prefixes'!$B$32:$C$32)&gt;0, "4", "5"), 0)), "")</f>
        <v/>
      </c>
      <c r="R340" s="137" t="str" cm="1">
        <f t="array" ref="R340">IF(COUNTIF($B$32:$E$32, R$2)&gt;0, _xlfn.IFS(COUNTIF($B$32:$C$32, R$2)&gt;0, VLOOKUP($J340,'Gear Values'!$A$2:$E$13, IF(COUNTBLANK('Attributes &amp; Prefixes'!$B$32:$C$32)&gt;0, "2", "3"), 0), COUNTIF($D$32:$E$32, R$2)&gt;0, VLOOKUP($J340,'Gear Values'!$A$2:$E$13, IF(COUNTBLANK('Attributes &amp; Prefixes'!$B$32:$C$32)&gt;0, "4", "5"), 0)), "")</f>
        <v/>
      </c>
      <c r="S340" s="138" cm="1">
        <f t="array" ref="S340">IF(COUNTIF($B$32:$E$32, S$2)&gt;0, _xlfn.IFS(COUNTIF($B$32:$C$32, S$2)&gt;0, VLOOKUP($J340,'Gear Values'!$A$2:$E$13, IF(COUNTBLANK('Attributes &amp; Prefixes'!$B$32:$C$32)&gt;0, "2", "3"), 0), COUNTIF($D$32:$E$32, S$2)&gt;0, VLOOKUP($J340,'Gear Values'!$A$2:$E$13, IF(COUNTBLANK('Attributes &amp; Prefixes'!$B$32:$C$32)&gt;0, "4", "5"), 0)), "")</f>
        <v>171</v>
      </c>
      <c r="V340" s="112"/>
      <c r="W340" s="113"/>
    </row>
    <row r="341" spans="6:23">
      <c r="H341" s="130" t="str">
        <f>_xlfn.CONCAT(I$339,J341)</f>
        <v>NomadHead</v>
      </c>
      <c r="I341" s="520"/>
      <c r="J341" s="144" t="s">
        <v>40</v>
      </c>
      <c r="K341" s="136" t="str" cm="1">
        <f t="array" ref="K341">IF(COUNTIF($B$32:$E$32, K$2)&gt;0, _xlfn.IFS(COUNTIF($B$32:$C$32, K$2)&gt;0, VLOOKUP($J341,'Gear Values'!$A$2:$E$13, IF(COUNTBLANK('Attributes &amp; Prefixes'!$B$32:$C$32)&gt;0, "2", "3"), 0), COUNTIF($D$32:$E$32, K$2)&gt;0, VLOOKUP($J341,'Gear Values'!$A$2:$E$13, IF(COUNTBLANK('Attributes &amp; Prefixes'!$B$32:$C$32)&gt;0, "4", "5"), 0)), "")</f>
        <v/>
      </c>
      <c r="L341" s="137" t="str" cm="1">
        <f t="array" ref="L341">IF(COUNTIF($B$32:$E$32, L$2)&gt;0, _xlfn.IFS(COUNTIF($B$32:$C$32, L$2)&gt;0, VLOOKUP($J341,'Gear Values'!$A$2:$E$13, IF(COUNTBLANK('Attributes &amp; Prefixes'!$B$32:$C$32)&gt;0, "2", "3"), 0), COUNTIF($D$32:$E$32, L$2)&gt;0, VLOOKUP($J341,'Gear Values'!$A$2:$E$13, IF(COUNTBLANK('Attributes &amp; Prefixes'!$B$32:$C$32)&gt;0, "4", "5"), 0)), "")</f>
        <v/>
      </c>
      <c r="M341" s="137" cm="1">
        <f t="array" ref="M341">IF(COUNTIF($B$32:$E$32, M$2)&gt;0, _xlfn.IFS(COUNTIF($B$32:$C$32, M$2)&gt;0, VLOOKUP($J341,'Gear Values'!$A$2:$E$13, IF(COUNTBLANK('Attributes &amp; Prefixes'!$B$32:$C$32)&gt;0, "2", "3"), 0), COUNTIF($D$32:$E$32, M$2)&gt;0, VLOOKUP($J341,'Gear Values'!$A$2:$E$13, IF(COUNTBLANK('Attributes &amp; Prefixes'!$B$32:$C$32)&gt;0, "4", "5"), 0)), "")</f>
        <v>60</v>
      </c>
      <c r="N341" s="137" cm="1">
        <f t="array" ref="N341">IF(COUNTIF($B$32:$E$32, N$2)&gt;0, _xlfn.IFS(COUNTIF($B$32:$C$32, N$2)&gt;0, VLOOKUP($J341,'Gear Values'!$A$2:$E$13, IF(COUNTBLANK('Attributes &amp; Prefixes'!$B$32:$C$32)&gt;0, "2", "3"), 0), COUNTIF($D$32:$E$32, N$2)&gt;0, VLOOKUP($J341,'Gear Values'!$A$2:$E$13, IF(COUNTBLANK('Attributes &amp; Prefixes'!$B$32:$C$32)&gt;0, "4", "5"), 0)), "")</f>
        <v>43</v>
      </c>
      <c r="O341" s="137" t="str" cm="1">
        <f t="array" ref="O341">IF(COUNTIF($B$32:$E$32, O$2)&gt;0, _xlfn.IFS(COUNTIF($B$32:$C$32, O$2)&gt;0, VLOOKUP($J341,'Gear Values'!$A$2:$E$13, IF(COUNTBLANK('Attributes &amp; Prefixes'!$B$32:$C$32)&gt;0, "2", "3"), 0), COUNTIF($D$32:$E$32, O$2)&gt;0, VLOOKUP($J341,'Gear Values'!$A$2:$E$13, IF(COUNTBLANK('Attributes &amp; Prefixes'!$B$32:$C$32)&gt;0, "4", "5"), 0)), "")</f>
        <v/>
      </c>
      <c r="P341" s="137" t="str" cm="1">
        <f t="array" ref="P341">IF(COUNTIF($B$32:$E$32, P$2)&gt;0, _xlfn.IFS(COUNTIF($B$32:$C$32, P$2)&gt;0, VLOOKUP($J341,'Gear Values'!$A$2:$E$13, IF(COUNTBLANK('Attributes &amp; Prefixes'!$B$32:$C$32)&gt;0, "2", "3"), 0), COUNTIF($D$32:$E$32, P$2)&gt;0, VLOOKUP($J341,'Gear Values'!$A$2:$E$13, IF(COUNTBLANK('Attributes &amp; Prefixes'!$B$32:$C$32)&gt;0, "4", "5"), 0)), "")</f>
        <v/>
      </c>
      <c r="Q341" s="137" t="str" cm="1">
        <f t="array" ref="Q341">IF(COUNTIF($B$32:$E$32, Q$2)&gt;0, _xlfn.IFS(COUNTIF($B$32:$C$32, Q$2)&gt;0, VLOOKUP($J341,'Gear Values'!$A$2:$E$13, IF(COUNTBLANK('Attributes &amp; Prefixes'!$B$32:$C$32)&gt;0, "2", "3"), 0), COUNTIF($D$32:$E$32, Q$2)&gt;0, VLOOKUP($J341,'Gear Values'!$A$2:$E$13, IF(COUNTBLANK('Attributes &amp; Prefixes'!$B$32:$C$32)&gt;0, "4", "5"), 0)), "")</f>
        <v/>
      </c>
      <c r="R341" s="137" t="str" cm="1">
        <f t="array" ref="R341">IF(COUNTIF($B$32:$E$32, R$2)&gt;0, _xlfn.IFS(COUNTIF($B$32:$C$32, R$2)&gt;0, VLOOKUP($J341,'Gear Values'!$A$2:$E$13, IF(COUNTBLANK('Attributes &amp; Prefixes'!$B$32:$C$32)&gt;0, "2", "3"), 0), COUNTIF($D$32:$E$32, R$2)&gt;0, VLOOKUP($J341,'Gear Values'!$A$2:$E$13, IF(COUNTBLANK('Attributes &amp; Prefixes'!$B$32:$C$32)&gt;0, "4", "5"), 0)), "")</f>
        <v/>
      </c>
      <c r="S341" s="138" cm="1">
        <f t="array" ref="S341">IF(COUNTIF($B$32:$E$32, S$2)&gt;0, _xlfn.IFS(COUNTIF($B$32:$C$32, S$2)&gt;0, VLOOKUP($J341,'Gear Values'!$A$2:$E$13, IF(COUNTBLANK('Attributes &amp; Prefixes'!$B$32:$C$32)&gt;0, "2", "3"), 0), COUNTIF($D$32:$E$32, S$2)&gt;0, VLOOKUP($J341,'Gear Values'!$A$2:$E$13, IF(COUNTBLANK('Attributes &amp; Prefixes'!$B$32:$C$32)&gt;0, "4", "5"), 0)), "")</f>
        <v>43</v>
      </c>
      <c r="V341" s="112"/>
      <c r="W341" s="113"/>
    </row>
    <row r="342" spans="6:23">
      <c r="H342" s="130" t="str">
        <f>_xlfn.CONCAT(I$339,J342)</f>
        <v>NomadShoulders</v>
      </c>
      <c r="I342" s="520"/>
      <c r="J342" s="144" t="s">
        <v>42</v>
      </c>
      <c r="K342" s="136" t="str" cm="1">
        <f t="array" ref="K342">IF(COUNTIF($B$32:$E$32, K$2)&gt;0, _xlfn.IFS(COUNTIF($B$32:$C$32, K$2)&gt;0, VLOOKUP($J342,'Gear Values'!$A$2:$E$13, IF(COUNTBLANK('Attributes &amp; Prefixes'!$B$32:$C$32)&gt;0, "2", "3"), 0), COUNTIF($D$32:$E$32, K$2)&gt;0, VLOOKUP($J342,'Gear Values'!$A$2:$E$13, IF(COUNTBLANK('Attributes &amp; Prefixes'!$B$32:$C$32)&gt;0, "4", "5"), 0)), "")</f>
        <v/>
      </c>
      <c r="L342" s="137" t="str" cm="1">
        <f t="array" ref="L342">IF(COUNTIF($B$32:$E$32, L$2)&gt;0, _xlfn.IFS(COUNTIF($B$32:$C$32, L$2)&gt;0, VLOOKUP($J342,'Gear Values'!$A$2:$E$13, IF(COUNTBLANK('Attributes &amp; Prefixes'!$B$32:$C$32)&gt;0, "2", "3"), 0), COUNTIF($D$32:$E$32, L$2)&gt;0, VLOOKUP($J342,'Gear Values'!$A$2:$E$13, IF(COUNTBLANK('Attributes &amp; Prefixes'!$B$32:$C$32)&gt;0, "4", "5"), 0)), "")</f>
        <v/>
      </c>
      <c r="M342" s="137" cm="1">
        <f t="array" ref="M342">IF(COUNTIF($B$32:$E$32, M$2)&gt;0, _xlfn.IFS(COUNTIF($B$32:$C$32, M$2)&gt;0, VLOOKUP($J342,'Gear Values'!$A$2:$E$13, IF(COUNTBLANK('Attributes &amp; Prefixes'!$B$32:$C$32)&gt;0, "2", "3"), 0), COUNTIF($D$32:$E$32, M$2)&gt;0, VLOOKUP($J342,'Gear Values'!$A$2:$E$13, IF(COUNTBLANK('Attributes &amp; Prefixes'!$B$32:$C$32)&gt;0, "4", "5"), 0)), "")</f>
        <v>45</v>
      </c>
      <c r="N342" s="137" cm="1">
        <f t="array" ref="N342">IF(COUNTIF($B$32:$E$32, N$2)&gt;0, _xlfn.IFS(COUNTIF($B$32:$C$32, N$2)&gt;0, VLOOKUP($J342,'Gear Values'!$A$2:$E$13, IF(COUNTBLANK('Attributes &amp; Prefixes'!$B$32:$C$32)&gt;0, "2", "3"), 0), COUNTIF($D$32:$E$32, N$2)&gt;0, VLOOKUP($J342,'Gear Values'!$A$2:$E$13, IF(COUNTBLANK('Attributes &amp; Prefixes'!$B$32:$C$32)&gt;0, "4", "5"), 0)), "")</f>
        <v>32</v>
      </c>
      <c r="O342" s="137" t="str" cm="1">
        <f t="array" ref="O342">IF(COUNTIF($B$32:$E$32, O$2)&gt;0, _xlfn.IFS(COUNTIF($B$32:$C$32, O$2)&gt;0, VLOOKUP($J342,'Gear Values'!$A$2:$E$13, IF(COUNTBLANK('Attributes &amp; Prefixes'!$B$32:$C$32)&gt;0, "2", "3"), 0), COUNTIF($D$32:$E$32, O$2)&gt;0, VLOOKUP($J342,'Gear Values'!$A$2:$E$13, IF(COUNTBLANK('Attributes &amp; Prefixes'!$B$32:$C$32)&gt;0, "4", "5"), 0)), "")</f>
        <v/>
      </c>
      <c r="P342" s="137" t="str" cm="1">
        <f t="array" ref="P342">IF(COUNTIF($B$32:$E$32, P$2)&gt;0, _xlfn.IFS(COUNTIF($B$32:$C$32, P$2)&gt;0, VLOOKUP($J342,'Gear Values'!$A$2:$E$13, IF(COUNTBLANK('Attributes &amp; Prefixes'!$B$32:$C$32)&gt;0, "2", "3"), 0), COUNTIF($D$32:$E$32, P$2)&gt;0, VLOOKUP($J342,'Gear Values'!$A$2:$E$13, IF(COUNTBLANK('Attributes &amp; Prefixes'!$B$32:$C$32)&gt;0, "4", "5"), 0)), "")</f>
        <v/>
      </c>
      <c r="Q342" s="137" t="str" cm="1">
        <f t="array" ref="Q342">IF(COUNTIF($B$32:$E$32, Q$2)&gt;0, _xlfn.IFS(COUNTIF($B$32:$C$32, Q$2)&gt;0, VLOOKUP($J342,'Gear Values'!$A$2:$E$13, IF(COUNTBLANK('Attributes &amp; Prefixes'!$B$32:$C$32)&gt;0, "2", "3"), 0), COUNTIF($D$32:$E$32, Q$2)&gt;0, VLOOKUP($J342,'Gear Values'!$A$2:$E$13, IF(COUNTBLANK('Attributes &amp; Prefixes'!$B$32:$C$32)&gt;0, "4", "5"), 0)), "")</f>
        <v/>
      </c>
      <c r="R342" s="137" t="str" cm="1">
        <f t="array" ref="R342">IF(COUNTIF($B$32:$E$32, R$2)&gt;0, _xlfn.IFS(COUNTIF($B$32:$C$32, R$2)&gt;0, VLOOKUP($J342,'Gear Values'!$A$2:$E$13, IF(COUNTBLANK('Attributes &amp; Prefixes'!$B$32:$C$32)&gt;0, "2", "3"), 0), COUNTIF($D$32:$E$32, R$2)&gt;0, VLOOKUP($J342,'Gear Values'!$A$2:$E$13, IF(COUNTBLANK('Attributes &amp; Prefixes'!$B$32:$C$32)&gt;0, "4", "5"), 0)), "")</f>
        <v/>
      </c>
      <c r="S342" s="138" cm="1">
        <f t="array" ref="S342">IF(COUNTIF($B$32:$E$32, S$2)&gt;0, _xlfn.IFS(COUNTIF($B$32:$C$32, S$2)&gt;0, VLOOKUP($J342,'Gear Values'!$A$2:$E$13, IF(COUNTBLANK('Attributes &amp; Prefixes'!$B$32:$C$32)&gt;0, "2", "3"), 0), COUNTIF($D$32:$E$32, S$2)&gt;0, VLOOKUP($J342,'Gear Values'!$A$2:$E$13, IF(COUNTBLANK('Attributes &amp; Prefixes'!$B$32:$C$32)&gt;0, "4", "5"), 0)), "")</f>
        <v>32</v>
      </c>
      <c r="V342" s="112"/>
      <c r="W342" s="113"/>
    </row>
    <row r="343" spans="6:23">
      <c r="H343" s="130" t="str">
        <f>_xlfn.CONCAT(I$339,J343)</f>
        <v>NomadChest</v>
      </c>
      <c r="I343" s="520"/>
      <c r="J343" s="144" t="s">
        <v>44</v>
      </c>
      <c r="K343" s="136" t="str" cm="1">
        <f t="array" ref="K343">IF(COUNTIF($B$32:$E$32, K$2)&gt;0, _xlfn.IFS(COUNTIF($B$32:$C$32, K$2)&gt;0, VLOOKUP($J343,'Gear Values'!$A$2:$E$13, IF(COUNTBLANK('Attributes &amp; Prefixes'!$B$32:$C$32)&gt;0, "2", "3"), 0), COUNTIF($D$32:$E$32, K$2)&gt;0, VLOOKUP($J343,'Gear Values'!$A$2:$E$13, IF(COUNTBLANK('Attributes &amp; Prefixes'!$B$32:$C$32)&gt;0, "4", "5"), 0)), "")</f>
        <v/>
      </c>
      <c r="L343" s="137" t="str" cm="1">
        <f t="array" ref="L343">IF(COUNTIF($B$32:$E$32, L$2)&gt;0, _xlfn.IFS(COUNTIF($B$32:$C$32, L$2)&gt;0, VLOOKUP($J343,'Gear Values'!$A$2:$E$13, IF(COUNTBLANK('Attributes &amp; Prefixes'!$B$32:$C$32)&gt;0, "2", "3"), 0), COUNTIF($D$32:$E$32, L$2)&gt;0, VLOOKUP($J343,'Gear Values'!$A$2:$E$13, IF(COUNTBLANK('Attributes &amp; Prefixes'!$B$32:$C$32)&gt;0, "4", "5"), 0)), "")</f>
        <v/>
      </c>
      <c r="M343" s="137" cm="1">
        <f t="array" ref="M343">IF(COUNTIF($B$32:$E$32, M$2)&gt;0, _xlfn.IFS(COUNTIF($B$32:$C$32, M$2)&gt;0, VLOOKUP($J343,'Gear Values'!$A$2:$E$13, IF(COUNTBLANK('Attributes &amp; Prefixes'!$B$32:$C$32)&gt;0, "2", "3"), 0), COUNTIF($D$32:$E$32, M$2)&gt;0, VLOOKUP($J343,'Gear Values'!$A$2:$E$13, IF(COUNTBLANK('Attributes &amp; Prefixes'!$B$32:$C$32)&gt;0, "4", "5"), 0)), "")</f>
        <v>134</v>
      </c>
      <c r="N343" s="137" cm="1">
        <f t="array" ref="N343">IF(COUNTIF($B$32:$E$32, N$2)&gt;0, _xlfn.IFS(COUNTIF($B$32:$C$32, N$2)&gt;0, VLOOKUP($J343,'Gear Values'!$A$2:$E$13, IF(COUNTBLANK('Attributes &amp; Prefixes'!$B$32:$C$32)&gt;0, "2", "3"), 0), COUNTIF($D$32:$E$32, N$2)&gt;0, VLOOKUP($J343,'Gear Values'!$A$2:$E$13, IF(COUNTBLANK('Attributes &amp; Prefixes'!$B$32:$C$32)&gt;0, "4", "5"), 0)), "")</f>
        <v>96</v>
      </c>
      <c r="O343" s="137" t="str" cm="1">
        <f t="array" ref="O343">IF(COUNTIF($B$32:$E$32, O$2)&gt;0, _xlfn.IFS(COUNTIF($B$32:$C$32, O$2)&gt;0, VLOOKUP($J343,'Gear Values'!$A$2:$E$13, IF(COUNTBLANK('Attributes &amp; Prefixes'!$B$32:$C$32)&gt;0, "2", "3"), 0), COUNTIF($D$32:$E$32, O$2)&gt;0, VLOOKUP($J343,'Gear Values'!$A$2:$E$13, IF(COUNTBLANK('Attributes &amp; Prefixes'!$B$32:$C$32)&gt;0, "4", "5"), 0)), "")</f>
        <v/>
      </c>
      <c r="P343" s="137" t="str" cm="1">
        <f t="array" ref="P343">IF(COUNTIF($B$32:$E$32, P$2)&gt;0, _xlfn.IFS(COUNTIF($B$32:$C$32, P$2)&gt;0, VLOOKUP($J343,'Gear Values'!$A$2:$E$13, IF(COUNTBLANK('Attributes &amp; Prefixes'!$B$32:$C$32)&gt;0, "2", "3"), 0), COUNTIF($D$32:$E$32, P$2)&gt;0, VLOOKUP($J343,'Gear Values'!$A$2:$E$13, IF(COUNTBLANK('Attributes &amp; Prefixes'!$B$32:$C$32)&gt;0, "4", "5"), 0)), "")</f>
        <v/>
      </c>
      <c r="Q343" s="137" t="str" cm="1">
        <f t="array" ref="Q343">IF(COUNTIF($B$32:$E$32, Q$2)&gt;0, _xlfn.IFS(COUNTIF($B$32:$C$32, Q$2)&gt;0, VLOOKUP($J343,'Gear Values'!$A$2:$E$13, IF(COUNTBLANK('Attributes &amp; Prefixes'!$B$32:$C$32)&gt;0, "2", "3"), 0), COUNTIF($D$32:$E$32, Q$2)&gt;0, VLOOKUP($J343,'Gear Values'!$A$2:$E$13, IF(COUNTBLANK('Attributes &amp; Prefixes'!$B$32:$C$32)&gt;0, "4", "5"), 0)), "")</f>
        <v/>
      </c>
      <c r="R343" s="137" t="str" cm="1">
        <f t="array" ref="R343">IF(COUNTIF($B$32:$E$32, R$2)&gt;0, _xlfn.IFS(COUNTIF($B$32:$C$32, R$2)&gt;0, VLOOKUP($J343,'Gear Values'!$A$2:$E$13, IF(COUNTBLANK('Attributes &amp; Prefixes'!$B$32:$C$32)&gt;0, "2", "3"), 0), COUNTIF($D$32:$E$32, R$2)&gt;0, VLOOKUP($J343,'Gear Values'!$A$2:$E$13, IF(COUNTBLANK('Attributes &amp; Prefixes'!$B$32:$C$32)&gt;0, "4", "5"), 0)), "")</f>
        <v/>
      </c>
      <c r="S343" s="138" cm="1">
        <f t="array" ref="S343">IF(COUNTIF($B$32:$E$32, S$2)&gt;0, _xlfn.IFS(COUNTIF($B$32:$C$32, S$2)&gt;0, VLOOKUP($J343,'Gear Values'!$A$2:$E$13, IF(COUNTBLANK('Attributes &amp; Prefixes'!$B$32:$C$32)&gt;0, "2", "3"), 0), COUNTIF($D$32:$E$32, S$2)&gt;0, VLOOKUP($J343,'Gear Values'!$A$2:$E$13, IF(COUNTBLANK('Attributes &amp; Prefixes'!$B$32:$C$32)&gt;0, "4", "5"), 0)), "")</f>
        <v>96</v>
      </c>
      <c r="V343" s="112"/>
      <c r="W343" s="113"/>
    </row>
    <row r="344" spans="6:23">
      <c r="H344" s="130" t="str">
        <f>_xlfn.CONCAT(I$339,J344)</f>
        <v>NomadHands</v>
      </c>
      <c r="I344" s="520"/>
      <c r="J344" s="144" t="s">
        <v>45</v>
      </c>
      <c r="K344" s="136" t="str" cm="1">
        <f t="array" ref="K344">IF(COUNTIF($B$32:$E$32, K$2)&gt;0, _xlfn.IFS(COUNTIF($B$32:$C$32, K$2)&gt;0, VLOOKUP($J344,'Gear Values'!$A$2:$E$13, IF(COUNTBLANK('Attributes &amp; Prefixes'!$B$32:$C$32)&gt;0, "2", "3"), 0), COUNTIF($D$32:$E$32, K$2)&gt;0, VLOOKUP($J344,'Gear Values'!$A$2:$E$13, IF(COUNTBLANK('Attributes &amp; Prefixes'!$B$32:$C$32)&gt;0, "4", "5"), 0)), "")</f>
        <v/>
      </c>
      <c r="L344" s="137" t="str" cm="1">
        <f t="array" ref="L344">IF(COUNTIF($B$32:$E$32, L$2)&gt;0, _xlfn.IFS(COUNTIF($B$32:$C$32, L$2)&gt;0, VLOOKUP($J344,'Gear Values'!$A$2:$E$13, IF(COUNTBLANK('Attributes &amp; Prefixes'!$B$32:$C$32)&gt;0, "2", "3"), 0), COUNTIF($D$32:$E$32, L$2)&gt;0, VLOOKUP($J344,'Gear Values'!$A$2:$E$13, IF(COUNTBLANK('Attributes &amp; Prefixes'!$B$32:$C$32)&gt;0, "4", "5"), 0)), "")</f>
        <v/>
      </c>
      <c r="M344" s="137" cm="1">
        <f t="array" ref="M344">IF(COUNTIF($B$32:$E$32, M$2)&gt;0, _xlfn.IFS(COUNTIF($B$32:$C$32, M$2)&gt;0, VLOOKUP($J344,'Gear Values'!$A$2:$E$13, IF(COUNTBLANK('Attributes &amp; Prefixes'!$B$32:$C$32)&gt;0, "2", "3"), 0), COUNTIF($D$32:$E$32, M$2)&gt;0, VLOOKUP($J344,'Gear Values'!$A$2:$E$13, IF(COUNTBLANK('Attributes &amp; Prefixes'!$B$32:$C$32)&gt;0, "4", "5"), 0)), "")</f>
        <v>45</v>
      </c>
      <c r="N344" s="137" cm="1">
        <f t="array" ref="N344">IF(COUNTIF($B$32:$E$32, N$2)&gt;0, _xlfn.IFS(COUNTIF($B$32:$C$32, N$2)&gt;0, VLOOKUP($J344,'Gear Values'!$A$2:$E$13, IF(COUNTBLANK('Attributes &amp; Prefixes'!$B$32:$C$32)&gt;0, "2", "3"), 0), COUNTIF($D$32:$E$32, N$2)&gt;0, VLOOKUP($J344,'Gear Values'!$A$2:$E$13, IF(COUNTBLANK('Attributes &amp; Prefixes'!$B$32:$C$32)&gt;0, "4", "5"), 0)), "")</f>
        <v>32</v>
      </c>
      <c r="O344" s="137" t="str" cm="1">
        <f t="array" ref="O344">IF(COUNTIF($B$32:$E$32, O$2)&gt;0, _xlfn.IFS(COUNTIF($B$32:$C$32, O$2)&gt;0, VLOOKUP($J344,'Gear Values'!$A$2:$E$13, IF(COUNTBLANK('Attributes &amp; Prefixes'!$B$32:$C$32)&gt;0, "2", "3"), 0), COUNTIF($D$32:$E$32, O$2)&gt;0, VLOOKUP($J344,'Gear Values'!$A$2:$E$13, IF(COUNTBLANK('Attributes &amp; Prefixes'!$B$32:$C$32)&gt;0, "4", "5"), 0)), "")</f>
        <v/>
      </c>
      <c r="P344" s="137" t="str" cm="1">
        <f t="array" ref="P344">IF(COUNTIF($B$32:$E$32, P$2)&gt;0, _xlfn.IFS(COUNTIF($B$32:$C$32, P$2)&gt;0, VLOOKUP($J344,'Gear Values'!$A$2:$E$13, IF(COUNTBLANK('Attributes &amp; Prefixes'!$B$32:$C$32)&gt;0, "2", "3"), 0), COUNTIF($D$32:$E$32, P$2)&gt;0, VLOOKUP($J344,'Gear Values'!$A$2:$E$13, IF(COUNTBLANK('Attributes &amp; Prefixes'!$B$32:$C$32)&gt;0, "4", "5"), 0)), "")</f>
        <v/>
      </c>
      <c r="Q344" s="137" t="str" cm="1">
        <f t="array" ref="Q344">IF(COUNTIF($B$32:$E$32, Q$2)&gt;0, _xlfn.IFS(COUNTIF($B$32:$C$32, Q$2)&gt;0, VLOOKUP($J344,'Gear Values'!$A$2:$E$13, IF(COUNTBLANK('Attributes &amp; Prefixes'!$B$32:$C$32)&gt;0, "2", "3"), 0), COUNTIF($D$32:$E$32, Q$2)&gt;0, VLOOKUP($J344,'Gear Values'!$A$2:$E$13, IF(COUNTBLANK('Attributes &amp; Prefixes'!$B$32:$C$32)&gt;0, "4", "5"), 0)), "")</f>
        <v/>
      </c>
      <c r="R344" s="137" t="str" cm="1">
        <f t="array" ref="R344">IF(COUNTIF($B$32:$E$32, R$2)&gt;0, _xlfn.IFS(COUNTIF($B$32:$C$32, R$2)&gt;0, VLOOKUP($J344,'Gear Values'!$A$2:$E$13, IF(COUNTBLANK('Attributes &amp; Prefixes'!$B$32:$C$32)&gt;0, "2", "3"), 0), COUNTIF($D$32:$E$32, R$2)&gt;0, VLOOKUP($J344,'Gear Values'!$A$2:$E$13, IF(COUNTBLANK('Attributes &amp; Prefixes'!$B$32:$C$32)&gt;0, "4", "5"), 0)), "")</f>
        <v/>
      </c>
      <c r="S344" s="138" cm="1">
        <f t="array" ref="S344">IF(COUNTIF($B$32:$E$32, S$2)&gt;0, _xlfn.IFS(COUNTIF($B$32:$C$32, S$2)&gt;0, VLOOKUP($J344,'Gear Values'!$A$2:$E$13, IF(COUNTBLANK('Attributes &amp; Prefixes'!$B$32:$C$32)&gt;0, "2", "3"), 0), COUNTIF($D$32:$E$32, S$2)&gt;0, VLOOKUP($J344,'Gear Values'!$A$2:$E$13, IF(COUNTBLANK('Attributes &amp; Prefixes'!$B$32:$C$32)&gt;0, "4", "5"), 0)), "")</f>
        <v>32</v>
      </c>
      <c r="V344" s="112"/>
      <c r="W344" s="113"/>
    </row>
    <row r="345" spans="6:23">
      <c r="H345" s="130" t="str">
        <f>_xlfn.CONCAT(I$339,J345)</f>
        <v>NomadLegs</v>
      </c>
      <c r="I345" s="520"/>
      <c r="J345" s="144" t="s">
        <v>47</v>
      </c>
      <c r="K345" s="136" t="str" cm="1">
        <f t="array" ref="K345">IF(COUNTIF($B$32:$E$32, K$2)&gt;0, _xlfn.IFS(COUNTIF($B$32:$C$32, K$2)&gt;0, VLOOKUP($J345,'Gear Values'!$A$2:$E$13, IF(COUNTBLANK('Attributes &amp; Prefixes'!$B$32:$C$32)&gt;0, "2", "3"), 0), COUNTIF($D$32:$E$32, K$2)&gt;0, VLOOKUP($J345,'Gear Values'!$A$2:$E$13, IF(COUNTBLANK('Attributes &amp; Prefixes'!$B$32:$C$32)&gt;0, "4", "5"), 0)), "")</f>
        <v/>
      </c>
      <c r="L345" s="137" t="str" cm="1">
        <f t="array" ref="L345">IF(COUNTIF($B$32:$E$32, L$2)&gt;0, _xlfn.IFS(COUNTIF($B$32:$C$32, L$2)&gt;0, VLOOKUP($J345,'Gear Values'!$A$2:$E$13, IF(COUNTBLANK('Attributes &amp; Prefixes'!$B$32:$C$32)&gt;0, "2", "3"), 0), COUNTIF($D$32:$E$32, L$2)&gt;0, VLOOKUP($J345,'Gear Values'!$A$2:$E$13, IF(COUNTBLANK('Attributes &amp; Prefixes'!$B$32:$C$32)&gt;0, "4", "5"), 0)), "")</f>
        <v/>
      </c>
      <c r="M345" s="137" cm="1">
        <f t="array" ref="M345">IF(COUNTIF($B$32:$E$32, M$2)&gt;0, _xlfn.IFS(COUNTIF($B$32:$C$32, M$2)&gt;0, VLOOKUP($J345,'Gear Values'!$A$2:$E$13, IF(COUNTBLANK('Attributes &amp; Prefixes'!$B$32:$C$32)&gt;0, "2", "3"), 0), COUNTIF($D$32:$E$32, M$2)&gt;0, VLOOKUP($J345,'Gear Values'!$A$2:$E$13, IF(COUNTBLANK('Attributes &amp; Prefixes'!$B$32:$C$32)&gt;0, "4", "5"), 0)), "")</f>
        <v>90</v>
      </c>
      <c r="N345" s="137" cm="1">
        <f t="array" ref="N345">IF(COUNTIF($B$32:$E$32, N$2)&gt;0, _xlfn.IFS(COUNTIF($B$32:$C$32, N$2)&gt;0, VLOOKUP($J345,'Gear Values'!$A$2:$E$13, IF(COUNTBLANK('Attributes &amp; Prefixes'!$B$32:$C$32)&gt;0, "2", "3"), 0), COUNTIF($D$32:$E$32, N$2)&gt;0, VLOOKUP($J345,'Gear Values'!$A$2:$E$13, IF(COUNTBLANK('Attributes &amp; Prefixes'!$B$32:$C$32)&gt;0, "4", "5"), 0)), "")</f>
        <v>64</v>
      </c>
      <c r="O345" s="137" t="str" cm="1">
        <f t="array" ref="O345">IF(COUNTIF($B$32:$E$32, O$2)&gt;0, _xlfn.IFS(COUNTIF($B$32:$C$32, O$2)&gt;0, VLOOKUP($J345,'Gear Values'!$A$2:$E$13, IF(COUNTBLANK('Attributes &amp; Prefixes'!$B$32:$C$32)&gt;0, "2", "3"), 0), COUNTIF($D$32:$E$32, O$2)&gt;0, VLOOKUP($J345,'Gear Values'!$A$2:$E$13, IF(COUNTBLANK('Attributes &amp; Prefixes'!$B$32:$C$32)&gt;0, "4", "5"), 0)), "")</f>
        <v/>
      </c>
      <c r="P345" s="137" t="str" cm="1">
        <f t="array" ref="P345">IF(COUNTIF($B$32:$E$32, P$2)&gt;0, _xlfn.IFS(COUNTIF($B$32:$C$32, P$2)&gt;0, VLOOKUP($J345,'Gear Values'!$A$2:$E$13, IF(COUNTBLANK('Attributes &amp; Prefixes'!$B$32:$C$32)&gt;0, "2", "3"), 0), COUNTIF($D$32:$E$32, P$2)&gt;0, VLOOKUP($J345,'Gear Values'!$A$2:$E$13, IF(COUNTBLANK('Attributes &amp; Prefixes'!$B$32:$C$32)&gt;0, "4", "5"), 0)), "")</f>
        <v/>
      </c>
      <c r="Q345" s="137" t="str" cm="1">
        <f t="array" ref="Q345">IF(COUNTIF($B$32:$E$32, Q$2)&gt;0, _xlfn.IFS(COUNTIF($B$32:$C$32, Q$2)&gt;0, VLOOKUP($J345,'Gear Values'!$A$2:$E$13, IF(COUNTBLANK('Attributes &amp; Prefixes'!$B$32:$C$32)&gt;0, "2", "3"), 0), COUNTIF($D$32:$E$32, Q$2)&gt;0, VLOOKUP($J345,'Gear Values'!$A$2:$E$13, IF(COUNTBLANK('Attributes &amp; Prefixes'!$B$32:$C$32)&gt;0, "4", "5"), 0)), "")</f>
        <v/>
      </c>
      <c r="R345" s="137" t="str" cm="1">
        <f t="array" ref="R345">IF(COUNTIF($B$32:$E$32, R$2)&gt;0, _xlfn.IFS(COUNTIF($B$32:$C$32, R$2)&gt;0, VLOOKUP($J345,'Gear Values'!$A$2:$E$13, IF(COUNTBLANK('Attributes &amp; Prefixes'!$B$32:$C$32)&gt;0, "2", "3"), 0), COUNTIF($D$32:$E$32, R$2)&gt;0, VLOOKUP($J345,'Gear Values'!$A$2:$E$13, IF(COUNTBLANK('Attributes &amp; Prefixes'!$B$32:$C$32)&gt;0, "4", "5"), 0)), "")</f>
        <v/>
      </c>
      <c r="S345" s="138" cm="1">
        <f t="array" ref="S345">IF(COUNTIF($B$32:$E$32, S$2)&gt;0, _xlfn.IFS(COUNTIF($B$32:$C$32, S$2)&gt;0, VLOOKUP($J345,'Gear Values'!$A$2:$E$13, IF(COUNTBLANK('Attributes &amp; Prefixes'!$B$32:$C$32)&gt;0, "2", "3"), 0), COUNTIF($D$32:$E$32, S$2)&gt;0, VLOOKUP($J345,'Gear Values'!$A$2:$E$13, IF(COUNTBLANK('Attributes &amp; Prefixes'!$B$32:$C$32)&gt;0, "4", "5"), 0)), "")</f>
        <v>64</v>
      </c>
      <c r="V345" s="112"/>
      <c r="W345" s="113"/>
    </row>
    <row r="346" spans="6:23">
      <c r="H346" s="130" t="str">
        <f>_xlfn.CONCAT(I$339,J346)</f>
        <v>NomadFeet</v>
      </c>
      <c r="I346" s="520"/>
      <c r="J346" s="144" t="s">
        <v>48</v>
      </c>
      <c r="K346" s="136" t="str" cm="1">
        <f t="array" ref="K346">IF(COUNTIF($B$32:$E$32, K$2)&gt;0, _xlfn.IFS(COUNTIF($B$32:$C$32, K$2)&gt;0, VLOOKUP($J346,'Gear Values'!$A$2:$E$13, IF(COUNTBLANK('Attributes &amp; Prefixes'!$B$32:$C$32)&gt;0, "2", "3"), 0), COUNTIF($D$32:$E$32, K$2)&gt;0, VLOOKUP($J346,'Gear Values'!$A$2:$E$13, IF(COUNTBLANK('Attributes &amp; Prefixes'!$B$32:$C$32)&gt;0, "4", "5"), 0)), "")</f>
        <v/>
      </c>
      <c r="L346" s="137" t="str" cm="1">
        <f t="array" ref="L346">IF(COUNTIF($B$32:$E$32, L$2)&gt;0, _xlfn.IFS(COUNTIF($B$32:$C$32, L$2)&gt;0, VLOOKUP($J346,'Gear Values'!$A$2:$E$13, IF(COUNTBLANK('Attributes &amp; Prefixes'!$B$32:$C$32)&gt;0, "2", "3"), 0), COUNTIF($D$32:$E$32, L$2)&gt;0, VLOOKUP($J346,'Gear Values'!$A$2:$E$13, IF(COUNTBLANK('Attributes &amp; Prefixes'!$B$32:$C$32)&gt;0, "4", "5"), 0)), "")</f>
        <v/>
      </c>
      <c r="M346" s="137" cm="1">
        <f t="array" ref="M346">IF(COUNTIF($B$32:$E$32, M$2)&gt;0, _xlfn.IFS(COUNTIF($B$32:$C$32, M$2)&gt;0, VLOOKUP($J346,'Gear Values'!$A$2:$E$13, IF(COUNTBLANK('Attributes &amp; Prefixes'!$B$32:$C$32)&gt;0, "2", "3"), 0), COUNTIF($D$32:$E$32, M$2)&gt;0, VLOOKUP($J346,'Gear Values'!$A$2:$E$13, IF(COUNTBLANK('Attributes &amp; Prefixes'!$B$32:$C$32)&gt;0, "4", "5"), 0)), "")</f>
        <v>45</v>
      </c>
      <c r="N346" s="137" cm="1">
        <f t="array" ref="N346">IF(COUNTIF($B$32:$E$32, N$2)&gt;0, _xlfn.IFS(COUNTIF($B$32:$C$32, N$2)&gt;0, VLOOKUP($J346,'Gear Values'!$A$2:$E$13, IF(COUNTBLANK('Attributes &amp; Prefixes'!$B$32:$C$32)&gt;0, "2", "3"), 0), COUNTIF($D$32:$E$32, N$2)&gt;0, VLOOKUP($J346,'Gear Values'!$A$2:$E$13, IF(COUNTBLANK('Attributes &amp; Prefixes'!$B$32:$C$32)&gt;0, "4", "5"), 0)), "")</f>
        <v>32</v>
      </c>
      <c r="O346" s="137" t="str" cm="1">
        <f t="array" ref="O346">IF(COUNTIF($B$32:$E$32, O$2)&gt;0, _xlfn.IFS(COUNTIF($B$32:$C$32, O$2)&gt;0, VLOOKUP($J346,'Gear Values'!$A$2:$E$13, IF(COUNTBLANK('Attributes &amp; Prefixes'!$B$32:$C$32)&gt;0, "2", "3"), 0), COUNTIF($D$32:$E$32, O$2)&gt;0, VLOOKUP($J346,'Gear Values'!$A$2:$E$13, IF(COUNTBLANK('Attributes &amp; Prefixes'!$B$32:$C$32)&gt;0, "4", "5"), 0)), "")</f>
        <v/>
      </c>
      <c r="P346" s="137" t="str" cm="1">
        <f t="array" ref="P346">IF(COUNTIF($B$32:$E$32, P$2)&gt;0, _xlfn.IFS(COUNTIF($B$32:$C$32, P$2)&gt;0, VLOOKUP($J346,'Gear Values'!$A$2:$E$13, IF(COUNTBLANK('Attributes &amp; Prefixes'!$B$32:$C$32)&gt;0, "2", "3"), 0), COUNTIF($D$32:$E$32, P$2)&gt;0, VLOOKUP($J346,'Gear Values'!$A$2:$E$13, IF(COUNTBLANK('Attributes &amp; Prefixes'!$B$32:$C$32)&gt;0, "4", "5"), 0)), "")</f>
        <v/>
      </c>
      <c r="Q346" s="137" t="str" cm="1">
        <f t="array" ref="Q346">IF(COUNTIF($B$32:$E$32, Q$2)&gt;0, _xlfn.IFS(COUNTIF($B$32:$C$32, Q$2)&gt;0, VLOOKUP($J346,'Gear Values'!$A$2:$E$13, IF(COUNTBLANK('Attributes &amp; Prefixes'!$B$32:$C$32)&gt;0, "2", "3"), 0), COUNTIF($D$32:$E$32, Q$2)&gt;0, VLOOKUP($J346,'Gear Values'!$A$2:$E$13, IF(COUNTBLANK('Attributes &amp; Prefixes'!$B$32:$C$32)&gt;0, "4", "5"), 0)), "")</f>
        <v/>
      </c>
      <c r="R346" s="137" t="str" cm="1">
        <f t="array" ref="R346">IF(COUNTIF($B$32:$E$32, R$2)&gt;0, _xlfn.IFS(COUNTIF($B$32:$C$32, R$2)&gt;0, VLOOKUP($J346,'Gear Values'!$A$2:$E$13, IF(COUNTBLANK('Attributes &amp; Prefixes'!$B$32:$C$32)&gt;0, "2", "3"), 0), COUNTIF($D$32:$E$32, R$2)&gt;0, VLOOKUP($J346,'Gear Values'!$A$2:$E$13, IF(COUNTBLANK('Attributes &amp; Prefixes'!$B$32:$C$32)&gt;0, "4", "5"), 0)), "")</f>
        <v/>
      </c>
      <c r="S346" s="138" cm="1">
        <f t="array" ref="S346">IF(COUNTIF($B$32:$E$32, S$2)&gt;0, _xlfn.IFS(COUNTIF($B$32:$C$32, S$2)&gt;0, VLOOKUP($J346,'Gear Values'!$A$2:$E$13, IF(COUNTBLANK('Attributes &amp; Prefixes'!$B$32:$C$32)&gt;0, "2", "3"), 0), COUNTIF($D$32:$E$32, S$2)&gt;0, VLOOKUP($J346,'Gear Values'!$A$2:$E$13, IF(COUNTBLANK('Attributes &amp; Prefixes'!$B$32:$C$32)&gt;0, "4", "5"), 0)), "")</f>
        <v>32</v>
      </c>
      <c r="V346" s="112"/>
      <c r="W346" s="113"/>
    </row>
    <row r="347" spans="6:23">
      <c r="H347" s="130" t="str">
        <f>_xlfn.CONCAT(I$339,J347)</f>
        <v>NomadEar</v>
      </c>
      <c r="I347" s="520"/>
      <c r="J347" s="144" t="s">
        <v>49</v>
      </c>
      <c r="K347" s="136" t="str" cm="1">
        <f t="array" ref="K347">IF(COUNTIF($B$32:$E$32, K$2)&gt;0, _xlfn.IFS(COUNTIF($B$32:$C$32, K$2)&gt;0, VLOOKUP($J347,'Gear Values'!$A$2:$E$13, IF(COUNTBLANK('Attributes &amp; Prefixes'!$B$32:$C$32)&gt;0, "2", "3"), 0), COUNTIF($D$32:$E$32, K$2)&gt;0, VLOOKUP($J347,'Gear Values'!$A$2:$E$13, IF(COUNTBLANK('Attributes &amp; Prefixes'!$B$32:$C$32)&gt;0, "4", "5"), 0)), "")</f>
        <v/>
      </c>
      <c r="L347" s="137" t="str" cm="1">
        <f t="array" ref="L347">IF(COUNTIF($B$32:$E$32, L$2)&gt;0, _xlfn.IFS(COUNTIF($B$32:$C$32, L$2)&gt;0, VLOOKUP($J347,'Gear Values'!$A$2:$E$13, IF(COUNTBLANK('Attributes &amp; Prefixes'!$B$32:$C$32)&gt;0, "2", "3"), 0), COUNTIF($D$32:$E$32, L$2)&gt;0, VLOOKUP($J347,'Gear Values'!$A$2:$E$13, IF(COUNTBLANK('Attributes &amp; Prefixes'!$B$32:$C$32)&gt;0, "4", "5"), 0)), "")</f>
        <v/>
      </c>
      <c r="M347" s="137" cm="1">
        <f t="array" ref="M347">IF(COUNTIF($B$32:$E$32, M$2)&gt;0, _xlfn.IFS(COUNTIF($B$32:$C$32, M$2)&gt;0, VLOOKUP($J347,'Gear Values'!$A$2:$E$13, IF(COUNTBLANK('Attributes &amp; Prefixes'!$B$32:$C$32)&gt;0, "2", "3"), 0), COUNTIF($D$32:$E$32, M$2)&gt;0, VLOOKUP($J347,'Gear Values'!$A$2:$E$13, IF(COUNTBLANK('Attributes &amp; Prefixes'!$B$32:$C$32)&gt;0, "4", "5"), 0)), "")</f>
        <v>75</v>
      </c>
      <c r="N347" s="137" cm="1">
        <f t="array" ref="N347">IF(COUNTIF($B$32:$E$32, N$2)&gt;0, _xlfn.IFS(COUNTIF($B$32:$C$32, N$2)&gt;0, VLOOKUP($J347,'Gear Values'!$A$2:$E$13, IF(COUNTBLANK('Attributes &amp; Prefixes'!$B$32:$C$32)&gt;0, "2", "3"), 0), COUNTIF($D$32:$E$32, N$2)&gt;0, VLOOKUP($J347,'Gear Values'!$A$2:$E$13, IF(COUNTBLANK('Attributes &amp; Prefixes'!$B$32:$C$32)&gt;0, "4", "5"), 0)), "")</f>
        <v>53</v>
      </c>
      <c r="O347" s="137" t="str" cm="1">
        <f t="array" ref="O347">IF(COUNTIF($B$32:$E$32, O$2)&gt;0, _xlfn.IFS(COUNTIF($B$32:$C$32, O$2)&gt;0, VLOOKUP($J347,'Gear Values'!$A$2:$E$13, IF(COUNTBLANK('Attributes &amp; Prefixes'!$B$32:$C$32)&gt;0, "2", "3"), 0), COUNTIF($D$32:$E$32, O$2)&gt;0, VLOOKUP($J347,'Gear Values'!$A$2:$E$13, IF(COUNTBLANK('Attributes &amp; Prefixes'!$B$32:$C$32)&gt;0, "4", "5"), 0)), "")</f>
        <v/>
      </c>
      <c r="P347" s="137" t="str" cm="1">
        <f t="array" ref="P347">IF(COUNTIF($B$32:$E$32, P$2)&gt;0, _xlfn.IFS(COUNTIF($B$32:$C$32, P$2)&gt;0, VLOOKUP($J347,'Gear Values'!$A$2:$E$13, IF(COUNTBLANK('Attributes &amp; Prefixes'!$B$32:$C$32)&gt;0, "2", "3"), 0), COUNTIF($D$32:$E$32, P$2)&gt;0, VLOOKUP($J347,'Gear Values'!$A$2:$E$13, IF(COUNTBLANK('Attributes &amp; Prefixes'!$B$32:$C$32)&gt;0, "4", "5"), 0)), "")</f>
        <v/>
      </c>
      <c r="Q347" s="137" t="str" cm="1">
        <f t="array" ref="Q347">IF(COUNTIF($B$32:$E$32, Q$2)&gt;0, _xlfn.IFS(COUNTIF($B$32:$C$32, Q$2)&gt;0, VLOOKUP($J347,'Gear Values'!$A$2:$E$13, IF(COUNTBLANK('Attributes &amp; Prefixes'!$B$32:$C$32)&gt;0, "2", "3"), 0), COUNTIF($D$32:$E$32, Q$2)&gt;0, VLOOKUP($J347,'Gear Values'!$A$2:$E$13, IF(COUNTBLANK('Attributes &amp; Prefixes'!$B$32:$C$32)&gt;0, "4", "5"), 0)), "")</f>
        <v/>
      </c>
      <c r="R347" s="137" t="str" cm="1">
        <f t="array" ref="R347">IF(COUNTIF($B$32:$E$32, R$2)&gt;0, _xlfn.IFS(COUNTIF($B$32:$C$32, R$2)&gt;0, VLOOKUP($J347,'Gear Values'!$A$2:$E$13, IF(COUNTBLANK('Attributes &amp; Prefixes'!$B$32:$C$32)&gt;0, "2", "3"), 0), COUNTIF($D$32:$E$32, R$2)&gt;0, VLOOKUP($J347,'Gear Values'!$A$2:$E$13, IF(COUNTBLANK('Attributes &amp; Prefixes'!$B$32:$C$32)&gt;0, "4", "5"), 0)), "")</f>
        <v/>
      </c>
      <c r="S347" s="138" cm="1">
        <f t="array" ref="S347">IF(COUNTIF($B$32:$E$32, S$2)&gt;0, _xlfn.IFS(COUNTIF($B$32:$C$32, S$2)&gt;0, VLOOKUP($J347,'Gear Values'!$A$2:$E$13, IF(COUNTBLANK('Attributes &amp; Prefixes'!$B$32:$C$32)&gt;0, "2", "3"), 0), COUNTIF($D$32:$E$32, S$2)&gt;0, VLOOKUP($J347,'Gear Values'!$A$2:$E$13, IF(COUNTBLANK('Attributes &amp; Prefixes'!$B$32:$C$32)&gt;0, "4", "5"), 0)), "")</f>
        <v>53</v>
      </c>
      <c r="V347" s="112"/>
      <c r="W347" s="113"/>
    </row>
    <row r="348" spans="6:23">
      <c r="H348" s="130" t="str">
        <f>_xlfn.CONCAT(I$339,J348)</f>
        <v>NomadFinger</v>
      </c>
      <c r="I348" s="520"/>
      <c r="J348" s="144" t="s">
        <v>51</v>
      </c>
      <c r="K348" s="136" t="str" cm="1">
        <f t="array" ref="K348">IF(COUNTIF($B$32:$E$32, K$2)&gt;0, _xlfn.IFS(COUNTIF($B$32:$C$32, K$2)&gt;0, VLOOKUP($J348,'Gear Values'!$A$2:$E$13, IF(COUNTBLANK('Attributes &amp; Prefixes'!$B$32:$C$32)&gt;0, "2", "3"), 0), COUNTIF($D$32:$E$32, K$2)&gt;0, VLOOKUP($J348,'Gear Values'!$A$2:$E$13, IF(COUNTBLANK('Attributes &amp; Prefixes'!$B$32:$C$32)&gt;0, "4", "5"), 0)), "")</f>
        <v/>
      </c>
      <c r="L348" s="137" t="str" cm="1">
        <f t="array" ref="L348">IF(COUNTIF($B$32:$E$32, L$2)&gt;0, _xlfn.IFS(COUNTIF($B$32:$C$32, L$2)&gt;0, VLOOKUP($J348,'Gear Values'!$A$2:$E$13, IF(COUNTBLANK('Attributes &amp; Prefixes'!$B$32:$C$32)&gt;0, "2", "3"), 0), COUNTIF($D$32:$E$32, L$2)&gt;0, VLOOKUP($J348,'Gear Values'!$A$2:$E$13, IF(COUNTBLANK('Attributes &amp; Prefixes'!$B$32:$C$32)&gt;0, "4", "5"), 0)), "")</f>
        <v/>
      </c>
      <c r="M348" s="137" cm="1">
        <f t="array" ref="M348">IF(COUNTIF($B$32:$E$32, M$2)&gt;0, _xlfn.IFS(COUNTIF($B$32:$C$32, M$2)&gt;0, VLOOKUP($J348,'Gear Values'!$A$2:$E$13, IF(COUNTBLANK('Attributes &amp; Prefixes'!$B$32:$C$32)&gt;0, "2", "3"), 0), COUNTIF($D$32:$E$32, M$2)&gt;0, VLOOKUP($J348,'Gear Values'!$A$2:$E$13, IF(COUNTBLANK('Attributes &amp; Prefixes'!$B$32:$C$32)&gt;0, "4", "5"), 0)), "")</f>
        <v>90</v>
      </c>
      <c r="N348" s="137" cm="1">
        <f t="array" ref="N348">IF(COUNTIF($B$32:$E$32, N$2)&gt;0, _xlfn.IFS(COUNTIF($B$32:$C$32, N$2)&gt;0, VLOOKUP($J348,'Gear Values'!$A$2:$E$13, IF(COUNTBLANK('Attributes &amp; Prefixes'!$B$32:$C$32)&gt;0, "2", "3"), 0), COUNTIF($D$32:$E$32, N$2)&gt;0, VLOOKUP($J348,'Gear Values'!$A$2:$E$13, IF(COUNTBLANK('Attributes &amp; Prefixes'!$B$32:$C$32)&gt;0, "4", "5"), 0)), "")</f>
        <v>64</v>
      </c>
      <c r="O348" s="137" t="str" cm="1">
        <f t="array" ref="O348">IF(COUNTIF($B$32:$E$32, O$2)&gt;0, _xlfn.IFS(COUNTIF($B$32:$C$32, O$2)&gt;0, VLOOKUP($J348,'Gear Values'!$A$2:$E$13, IF(COUNTBLANK('Attributes &amp; Prefixes'!$B$32:$C$32)&gt;0, "2", "3"), 0), COUNTIF($D$32:$E$32, O$2)&gt;0, VLOOKUP($J348,'Gear Values'!$A$2:$E$13, IF(COUNTBLANK('Attributes &amp; Prefixes'!$B$32:$C$32)&gt;0, "4", "5"), 0)), "")</f>
        <v/>
      </c>
      <c r="P348" s="137" t="str" cm="1">
        <f t="array" ref="P348">IF(COUNTIF($B$32:$E$32, P$2)&gt;0, _xlfn.IFS(COUNTIF($B$32:$C$32, P$2)&gt;0, VLOOKUP($J348,'Gear Values'!$A$2:$E$13, IF(COUNTBLANK('Attributes &amp; Prefixes'!$B$32:$C$32)&gt;0, "2", "3"), 0), COUNTIF($D$32:$E$32, P$2)&gt;0, VLOOKUP($J348,'Gear Values'!$A$2:$E$13, IF(COUNTBLANK('Attributes &amp; Prefixes'!$B$32:$C$32)&gt;0, "4", "5"), 0)), "")</f>
        <v/>
      </c>
      <c r="Q348" s="137" t="str" cm="1">
        <f t="array" ref="Q348">IF(COUNTIF($B$32:$E$32, Q$2)&gt;0, _xlfn.IFS(COUNTIF($B$32:$C$32, Q$2)&gt;0, VLOOKUP($J348,'Gear Values'!$A$2:$E$13, IF(COUNTBLANK('Attributes &amp; Prefixes'!$B$32:$C$32)&gt;0, "2", "3"), 0), COUNTIF($D$32:$E$32, Q$2)&gt;0, VLOOKUP($J348,'Gear Values'!$A$2:$E$13, IF(COUNTBLANK('Attributes &amp; Prefixes'!$B$32:$C$32)&gt;0, "4", "5"), 0)), "")</f>
        <v/>
      </c>
      <c r="R348" s="137" t="str" cm="1">
        <f t="array" ref="R348">IF(COUNTIF($B$32:$E$32, R$2)&gt;0, _xlfn.IFS(COUNTIF($B$32:$C$32, R$2)&gt;0, VLOOKUP($J348,'Gear Values'!$A$2:$E$13, IF(COUNTBLANK('Attributes &amp; Prefixes'!$B$32:$C$32)&gt;0, "2", "3"), 0), COUNTIF($D$32:$E$32, R$2)&gt;0, VLOOKUP($J348,'Gear Values'!$A$2:$E$13, IF(COUNTBLANK('Attributes &amp; Prefixes'!$B$32:$C$32)&gt;0, "4", "5"), 0)), "")</f>
        <v/>
      </c>
      <c r="S348" s="138" cm="1">
        <f t="array" ref="S348">IF(COUNTIF($B$32:$E$32, S$2)&gt;0, _xlfn.IFS(COUNTIF($B$32:$C$32, S$2)&gt;0, VLOOKUP($J348,'Gear Values'!$A$2:$E$13, IF(COUNTBLANK('Attributes &amp; Prefixes'!$B$32:$C$32)&gt;0, "2", "3"), 0), COUNTIF($D$32:$E$32, S$2)&gt;0, VLOOKUP($J348,'Gear Values'!$A$2:$E$13, IF(COUNTBLANK('Attributes &amp; Prefixes'!$B$32:$C$32)&gt;0, "4", "5"), 0)), "")</f>
        <v>64</v>
      </c>
      <c r="V348" s="112"/>
      <c r="W348" s="113"/>
    </row>
    <row r="349" spans="6:23">
      <c r="H349" s="130" t="str">
        <f>_xlfn.CONCAT(I$339,J349)</f>
        <v>NomadNeck</v>
      </c>
      <c r="I349" s="520"/>
      <c r="J349" s="144" t="s">
        <v>52</v>
      </c>
      <c r="K349" s="136" t="str" cm="1">
        <f t="array" ref="K349">IF(COUNTIF($B$32:$E$32, K$2)&gt;0, _xlfn.IFS(COUNTIF($B$32:$C$32, K$2)&gt;0, VLOOKUP($J349,'Gear Values'!$A$2:$E$13, IF(COUNTBLANK('Attributes &amp; Prefixes'!$B$32:$C$32)&gt;0, "2", "3"), 0), COUNTIF($D$32:$E$32, K$2)&gt;0, VLOOKUP($J349,'Gear Values'!$A$2:$E$13, IF(COUNTBLANK('Attributes &amp; Prefixes'!$B$32:$C$32)&gt;0, "4", "5"), 0)), "")</f>
        <v/>
      </c>
      <c r="L349" s="137" t="str" cm="1">
        <f t="array" ref="L349">IF(COUNTIF($B$32:$E$32, L$2)&gt;0, _xlfn.IFS(COUNTIF($B$32:$C$32, L$2)&gt;0, VLOOKUP($J349,'Gear Values'!$A$2:$E$13, IF(COUNTBLANK('Attributes &amp; Prefixes'!$B$32:$C$32)&gt;0, "2", "3"), 0), COUNTIF($D$32:$E$32, L$2)&gt;0, VLOOKUP($J349,'Gear Values'!$A$2:$E$13, IF(COUNTBLANK('Attributes &amp; Prefixes'!$B$32:$C$32)&gt;0, "4", "5"), 0)), "")</f>
        <v/>
      </c>
      <c r="M349" s="137" cm="1">
        <f t="array" ref="M349">IF(COUNTIF($B$32:$E$32, M$2)&gt;0, _xlfn.IFS(COUNTIF($B$32:$C$32, M$2)&gt;0, VLOOKUP($J349,'Gear Values'!$A$2:$E$13, IF(COUNTBLANK('Attributes &amp; Prefixes'!$B$32:$C$32)&gt;0, "2", "3"), 0), COUNTIF($D$32:$E$32, M$2)&gt;0, VLOOKUP($J349,'Gear Values'!$A$2:$E$13, IF(COUNTBLANK('Attributes &amp; Prefixes'!$B$32:$C$32)&gt;0, "4", "5"), 0)), "")</f>
        <v>120</v>
      </c>
      <c r="N349" s="137" cm="1">
        <f t="array" ref="N349">IF(COUNTIF($B$32:$E$32, N$2)&gt;0, _xlfn.IFS(COUNTIF($B$32:$C$32, N$2)&gt;0, VLOOKUP($J349,'Gear Values'!$A$2:$E$13, IF(COUNTBLANK('Attributes &amp; Prefixes'!$B$32:$C$32)&gt;0, "2", "3"), 0), COUNTIF($D$32:$E$32, N$2)&gt;0, VLOOKUP($J349,'Gear Values'!$A$2:$E$13, IF(COUNTBLANK('Attributes &amp; Prefixes'!$B$32:$C$32)&gt;0, "4", "5"), 0)), "")</f>
        <v>85</v>
      </c>
      <c r="O349" s="137" t="str" cm="1">
        <f t="array" ref="O349">IF(COUNTIF($B$32:$E$32, O$2)&gt;0, _xlfn.IFS(COUNTIF($B$32:$C$32, O$2)&gt;0, VLOOKUP($J349,'Gear Values'!$A$2:$E$13, IF(COUNTBLANK('Attributes &amp; Prefixes'!$B$32:$C$32)&gt;0, "2", "3"), 0), COUNTIF($D$32:$E$32, O$2)&gt;0, VLOOKUP($J349,'Gear Values'!$A$2:$E$13, IF(COUNTBLANK('Attributes &amp; Prefixes'!$B$32:$C$32)&gt;0, "4", "5"), 0)), "")</f>
        <v/>
      </c>
      <c r="P349" s="137" t="str" cm="1">
        <f t="array" ref="P349">IF(COUNTIF($B$32:$E$32, P$2)&gt;0, _xlfn.IFS(COUNTIF($B$32:$C$32, P$2)&gt;0, VLOOKUP($J349,'Gear Values'!$A$2:$E$13, IF(COUNTBLANK('Attributes &amp; Prefixes'!$B$32:$C$32)&gt;0, "2", "3"), 0), COUNTIF($D$32:$E$32, P$2)&gt;0, VLOOKUP($J349,'Gear Values'!$A$2:$E$13, IF(COUNTBLANK('Attributes &amp; Prefixes'!$B$32:$C$32)&gt;0, "4", "5"), 0)), "")</f>
        <v/>
      </c>
      <c r="Q349" s="137" t="str" cm="1">
        <f t="array" ref="Q349">IF(COUNTIF($B$32:$E$32, Q$2)&gt;0, _xlfn.IFS(COUNTIF($B$32:$C$32, Q$2)&gt;0, VLOOKUP($J349,'Gear Values'!$A$2:$E$13, IF(COUNTBLANK('Attributes &amp; Prefixes'!$B$32:$C$32)&gt;0, "2", "3"), 0), COUNTIF($D$32:$E$32, Q$2)&gt;0, VLOOKUP($J349,'Gear Values'!$A$2:$E$13, IF(COUNTBLANK('Attributes &amp; Prefixes'!$B$32:$C$32)&gt;0, "4", "5"), 0)), "")</f>
        <v/>
      </c>
      <c r="R349" s="137" t="str" cm="1">
        <f t="array" ref="R349">IF(COUNTIF($B$32:$E$32, R$2)&gt;0, _xlfn.IFS(COUNTIF($B$32:$C$32, R$2)&gt;0, VLOOKUP($J349,'Gear Values'!$A$2:$E$13, IF(COUNTBLANK('Attributes &amp; Prefixes'!$B$32:$C$32)&gt;0, "2", "3"), 0), COUNTIF($D$32:$E$32, R$2)&gt;0, VLOOKUP($J349,'Gear Values'!$A$2:$E$13, IF(COUNTBLANK('Attributes &amp; Prefixes'!$B$32:$C$32)&gt;0, "4", "5"), 0)), "")</f>
        <v/>
      </c>
      <c r="S349" s="138" cm="1">
        <f t="array" ref="S349">IF(COUNTIF($B$32:$E$32, S$2)&gt;0, _xlfn.IFS(COUNTIF($B$32:$C$32, S$2)&gt;0, VLOOKUP($J349,'Gear Values'!$A$2:$E$13, IF(COUNTBLANK('Attributes &amp; Prefixes'!$B$32:$C$32)&gt;0, "2", "3"), 0), COUNTIF($D$32:$E$32, S$2)&gt;0, VLOOKUP($J349,'Gear Values'!$A$2:$E$13, IF(COUNTBLANK('Attributes &amp; Prefixes'!$B$32:$C$32)&gt;0, "4", "5"), 0)), "")</f>
        <v>85</v>
      </c>
      <c r="V349" s="112"/>
      <c r="W349" s="113"/>
    </row>
    <row r="350" spans="6:23">
      <c r="H350" s="130" t="str">
        <f>_xlfn.CONCAT(I$339,J350)</f>
        <v>NomadBack</v>
      </c>
      <c r="I350" s="521"/>
      <c r="J350" s="146" t="s">
        <v>53</v>
      </c>
      <c r="K350" s="147" t="str" cm="1">
        <f t="array" ref="K350">IF(COUNTIF($B$32:$E$32, K$2)&gt;0, _xlfn.IFS(COUNTIF($B$32:$C$32, K$2)&gt;0, VLOOKUP($J350,'Gear Values'!$A$2:$E$13, IF(COUNTBLANK('Attributes &amp; Prefixes'!$B$32:$C$32)&gt;0, "2", "3"), 0), COUNTIF($D$32:$E$32, K$2)&gt;0, VLOOKUP($J350,'Gear Values'!$A$2:$E$13, IF(COUNTBLANK('Attributes &amp; Prefixes'!$B$32:$C$32)&gt;0, "4", "5"), 0)), "")</f>
        <v/>
      </c>
      <c r="L350" s="148" t="str" cm="1">
        <f t="array" ref="L350">IF(COUNTIF($B$32:$E$32, L$2)&gt;0, _xlfn.IFS(COUNTIF($B$32:$C$32, L$2)&gt;0, VLOOKUP($J350,'Gear Values'!$A$2:$E$13, IF(COUNTBLANK('Attributes &amp; Prefixes'!$B$32:$C$32)&gt;0, "2", "3"), 0), COUNTIF($D$32:$E$32, L$2)&gt;0, VLOOKUP($J350,'Gear Values'!$A$2:$E$13, IF(COUNTBLANK('Attributes &amp; Prefixes'!$B$32:$C$32)&gt;0, "4", "5"), 0)), "")</f>
        <v/>
      </c>
      <c r="M350" s="148" cm="1">
        <f t="array" ref="M350">IF(COUNTIF($B$32:$E$32, M$2)&gt;0, _xlfn.IFS(COUNTIF($B$32:$C$32, M$2)&gt;0, VLOOKUP($J350,'Gear Values'!$A$2:$E$13, IF(COUNTBLANK('Attributes &amp; Prefixes'!$B$32:$C$32)&gt;0, "2", "3"), 0), COUNTIF($D$32:$E$32, M$2)&gt;0, VLOOKUP($J350,'Gear Values'!$A$2:$E$13, IF(COUNTBLANK('Attributes &amp; Prefixes'!$B$32:$C$32)&gt;0, "4", "5"), 0)), "")</f>
        <v>32</v>
      </c>
      <c r="N350" s="148" cm="1">
        <f t="array" ref="N350">IF(COUNTIF($B$32:$E$32, N$2)&gt;0, _xlfn.IFS(COUNTIF($B$32:$C$32, N$2)&gt;0, VLOOKUP($J350,'Gear Values'!$A$2:$E$13, IF(COUNTBLANK('Attributes &amp; Prefixes'!$B$32:$C$32)&gt;0, "2", "3"), 0), COUNTIF($D$32:$E$32, N$2)&gt;0, VLOOKUP($J350,'Gear Values'!$A$2:$E$13, IF(COUNTBLANK('Attributes &amp; Prefixes'!$B$32:$C$32)&gt;0, "4", "5"), 0)), "")</f>
        <v>18</v>
      </c>
      <c r="O350" s="148" t="str" cm="1">
        <f t="array" ref="O350">IF(COUNTIF($B$32:$E$32, O$2)&gt;0, _xlfn.IFS(COUNTIF($B$32:$C$32, O$2)&gt;0, VLOOKUP($J350,'Gear Values'!$A$2:$E$13, IF(COUNTBLANK('Attributes &amp; Prefixes'!$B$32:$C$32)&gt;0, "2", "3"), 0), COUNTIF($D$32:$E$32, O$2)&gt;0, VLOOKUP($J350,'Gear Values'!$A$2:$E$13, IF(COUNTBLANK('Attributes &amp; Prefixes'!$B$32:$C$32)&gt;0, "4", "5"), 0)), "")</f>
        <v/>
      </c>
      <c r="P350" s="148" t="str" cm="1">
        <f t="array" ref="P350">IF(COUNTIF($B$32:$E$32, P$2)&gt;0, _xlfn.IFS(COUNTIF($B$32:$C$32, P$2)&gt;0, VLOOKUP($J350,'Gear Values'!$A$2:$E$13, IF(COUNTBLANK('Attributes &amp; Prefixes'!$B$32:$C$32)&gt;0, "2", "3"), 0), COUNTIF($D$32:$E$32, P$2)&gt;0, VLOOKUP($J350,'Gear Values'!$A$2:$E$13, IF(COUNTBLANK('Attributes &amp; Prefixes'!$B$32:$C$32)&gt;0, "4", "5"), 0)), "")</f>
        <v/>
      </c>
      <c r="Q350" s="148" t="str" cm="1">
        <f t="array" ref="Q350">IF(COUNTIF($B$32:$E$32, Q$2)&gt;0, _xlfn.IFS(COUNTIF($B$32:$C$32, Q$2)&gt;0, VLOOKUP($J350,'Gear Values'!$A$2:$E$13, IF(COUNTBLANK('Attributes &amp; Prefixes'!$B$32:$C$32)&gt;0, "2", "3"), 0), COUNTIF($D$32:$E$32, Q$2)&gt;0, VLOOKUP($J350,'Gear Values'!$A$2:$E$13, IF(COUNTBLANK('Attributes &amp; Prefixes'!$B$32:$C$32)&gt;0, "4", "5"), 0)), "")</f>
        <v/>
      </c>
      <c r="R350" s="148" t="str" cm="1">
        <f t="array" ref="R350">IF(COUNTIF($B$32:$E$32, R$2)&gt;0, _xlfn.IFS(COUNTIF($B$32:$C$32, R$2)&gt;0, VLOOKUP($J350,'Gear Values'!$A$2:$E$13, IF(COUNTBLANK('Attributes &amp; Prefixes'!$B$32:$C$32)&gt;0, "2", "3"), 0), COUNTIF($D$32:$E$32, R$2)&gt;0, VLOOKUP($J350,'Gear Values'!$A$2:$E$13, IF(COUNTBLANK('Attributes &amp; Prefixes'!$B$32:$C$32)&gt;0, "4", "5"), 0)), "")</f>
        <v/>
      </c>
      <c r="S350" s="150" cm="1">
        <f t="array" ref="S350">IF(COUNTIF($B$32:$E$32, S$2)&gt;0, _xlfn.IFS(COUNTIF($B$32:$C$32, S$2)&gt;0, VLOOKUP($J350,'Gear Values'!$A$2:$E$13, IF(COUNTBLANK('Attributes &amp; Prefixes'!$B$32:$C$32)&gt;0, "2", "3"), 0), COUNTIF($D$32:$E$32, S$2)&gt;0, VLOOKUP($J350,'Gear Values'!$A$2:$E$13, IF(COUNTBLANK('Attributes &amp; Prefixes'!$B$32:$C$32)&gt;0, "4", "5"), 0)), "")</f>
        <v>18</v>
      </c>
      <c r="V350" s="112"/>
      <c r="W350" s="113"/>
    </row>
    <row r="351" spans="6:23">
      <c r="H351" s="130" t="str">
        <f>_xlfn.CONCAT(I$351,J351)</f>
        <v>PaladinWeapon (1H)</v>
      </c>
      <c r="I351" s="519" t="str">
        <f>A33</f>
        <v>Paladin</v>
      </c>
      <c r="J351" s="145" t="s">
        <v>37</v>
      </c>
      <c r="K351" s="133" cm="1">
        <f t="array" ref="K351">IF(COUNTIF($B$33:$E$33, K$2)&gt;0, _xlfn.IFS(COUNTIF($B$33:$C$33, K$2)&gt;0, VLOOKUP($J351,'Gear Values'!$A$2:$E$13, IF(COUNTBLANK('Attributes &amp; Prefixes'!$B$33:$C$33)&gt;0, "2", "3"), 0), COUNTIF($D$33:$E$33, K$2)&gt;0, VLOOKUP($J351,'Gear Values'!$A$2:$E$13, IF(COUNTBLANK('Attributes &amp; Prefixes'!$B$33:$C$33)&gt;0, "4", "5"), 0)), "")</f>
        <v>102</v>
      </c>
      <c r="L351" s="134" cm="1">
        <f t="array" ref="L351">IF(COUNTIF($B$33:$E$33, L$2)&gt;0, _xlfn.IFS(COUNTIF($B$33:$C$33, L$2)&gt;0, VLOOKUP($J351,'Gear Values'!$A$2:$E$13, IF(COUNTBLANK('Attributes &amp; Prefixes'!$B$33:$C$33)&gt;0, "2", "3"), 0), COUNTIF($D$33:$E$33, L$2)&gt;0, VLOOKUP($J351,'Gear Values'!$A$2:$E$13, IF(COUNTBLANK('Attributes &amp; Prefixes'!$B$33:$C$33)&gt;0, "4", "5"), 0)), "")</f>
        <v>102</v>
      </c>
      <c r="M351" s="134" cm="1">
        <f t="array" ref="M351">IF(COUNTIF($B$33:$E$33, M$2)&gt;0, _xlfn.IFS(COUNTIF($B$33:$C$33, M$2)&gt;0, VLOOKUP($J351,'Gear Values'!$A$2:$E$13, IF(COUNTBLANK('Attributes &amp; Prefixes'!$B$33:$C$33)&gt;0, "2", "3"), 0), COUNTIF($D$33:$E$33, M$2)&gt;0, VLOOKUP($J351,'Gear Values'!$A$2:$E$13, IF(COUNTBLANK('Attributes &amp; Prefixes'!$B$33:$C$33)&gt;0, "4", "5"), 0)), "")</f>
        <v>56</v>
      </c>
      <c r="N351" s="134" cm="1">
        <f t="array" ref="N351">IF(COUNTIF($B$33:$E$33, N$2)&gt;0, _xlfn.IFS(COUNTIF($B$33:$C$33, N$2)&gt;0, VLOOKUP($J351,'Gear Values'!$A$2:$E$13, IF(COUNTBLANK('Attributes &amp; Prefixes'!$B$33:$C$33)&gt;0, "2", "3"), 0), COUNTIF($D$33:$E$33, N$2)&gt;0, VLOOKUP($J351,'Gear Values'!$A$2:$E$13, IF(COUNTBLANK('Attributes &amp; Prefixes'!$B$33:$C$33)&gt;0, "4", "5"), 0)), "")</f>
        <v>56</v>
      </c>
      <c r="O351" s="134" t="str" cm="1">
        <f t="array" ref="O351">IF(COUNTIF($B$33:$E$33, O$2)&gt;0, _xlfn.IFS(COUNTIF($B$33:$C$33, O$2)&gt;0, VLOOKUP($J351,'Gear Values'!$A$2:$E$13, IF(COUNTBLANK('Attributes &amp; Prefixes'!$B$33:$C$33)&gt;0, "2", "3"), 0), COUNTIF($D$33:$E$33, O$2)&gt;0, VLOOKUP($J351,'Gear Values'!$A$2:$E$13, IF(COUNTBLANK('Attributes &amp; Prefixes'!$B$33:$C$33)&gt;0, "4", "5"), 0)), "")</f>
        <v/>
      </c>
      <c r="P351" s="134" t="str" cm="1">
        <f t="array" ref="P351">IF(COUNTIF($B$33:$E$33, P$2)&gt;0, _xlfn.IFS(COUNTIF($B$33:$C$33, P$2)&gt;0, VLOOKUP($J351,'Gear Values'!$A$2:$E$13, IF(COUNTBLANK('Attributes &amp; Prefixes'!$B$33:$C$33)&gt;0, "2", "3"), 0), COUNTIF($D$33:$E$33, P$2)&gt;0, VLOOKUP($J351,'Gear Values'!$A$2:$E$13, IF(COUNTBLANK('Attributes &amp; Prefixes'!$B$33:$C$33)&gt;0, "4", "5"), 0)), "")</f>
        <v/>
      </c>
      <c r="Q351" s="134" t="str" cm="1">
        <f t="array" ref="Q351">IF(COUNTIF($B$33:$E$33, Q$2)&gt;0, _xlfn.IFS(COUNTIF($B$33:$C$33, Q$2)&gt;0, VLOOKUP($J351,'Gear Values'!$A$2:$E$13, IF(COUNTBLANK('Attributes &amp; Prefixes'!$B$33:$C$33)&gt;0, "2", "3"), 0), COUNTIF($D$33:$E$33, Q$2)&gt;0, VLOOKUP($J351,'Gear Values'!$A$2:$E$13, IF(COUNTBLANK('Attributes &amp; Prefixes'!$B$33:$C$33)&gt;0, "4", "5"), 0)), "")</f>
        <v/>
      </c>
      <c r="R351" s="134" t="str" cm="1">
        <f t="array" ref="R351">IF(COUNTIF($B$33:$E$33, R$2)&gt;0, _xlfn.IFS(COUNTIF($B$33:$C$33, R$2)&gt;0, VLOOKUP($J351,'Gear Values'!$A$2:$E$13, IF(COUNTBLANK('Attributes &amp; Prefixes'!$B$33:$C$33)&gt;0, "2", "3"), 0), COUNTIF($D$33:$E$33, R$2)&gt;0, VLOOKUP($J351,'Gear Values'!$A$2:$E$13, IF(COUNTBLANK('Attributes &amp; Prefixes'!$B$33:$C$33)&gt;0, "4", "5"), 0)), "")</f>
        <v/>
      </c>
      <c r="S351" s="135" t="str" cm="1">
        <f t="array" ref="S351">IF(COUNTIF($B$33:$E$33, S$2)&gt;0, _xlfn.IFS(COUNTIF($B$33:$C$33, S$2)&gt;0, VLOOKUP($J351,'Gear Values'!$A$2:$E$13, IF(COUNTBLANK('Attributes &amp; Prefixes'!$B$33:$C$33)&gt;0, "2", "3"), 0), COUNTIF($D$33:$E$33, S$2)&gt;0, VLOOKUP($J351,'Gear Values'!$A$2:$E$13, IF(COUNTBLANK('Attributes &amp; Prefixes'!$B$33:$C$33)&gt;0, "4", "5"), 0)), "")</f>
        <v/>
      </c>
      <c r="V351" s="112"/>
      <c r="W351" s="113"/>
    </row>
    <row r="352" spans="6:23">
      <c r="F352" s="114"/>
      <c r="G352" s="114"/>
      <c r="H352" s="130" t="str">
        <f>_xlfn.CONCAT(I$351,J352)</f>
        <v>PaladinWeapon (2H)</v>
      </c>
      <c r="I352" s="520"/>
      <c r="J352" s="144" t="s">
        <v>39</v>
      </c>
      <c r="K352" s="136" cm="1">
        <f t="array" ref="K352">IF(COUNTIF($B$33:$E$33, K$2)&gt;0, _xlfn.IFS(COUNTIF($B$33:$C$33, K$2)&gt;0, VLOOKUP($J352,'Gear Values'!$A$2:$E$13, IF(COUNTBLANK('Attributes &amp; Prefixes'!$B$33:$C$33)&gt;0, "2", "3"), 0), COUNTIF($D$33:$E$33, K$2)&gt;0, VLOOKUP($J352,'Gear Values'!$A$2:$E$13, IF(COUNTBLANK('Attributes &amp; Prefixes'!$B$33:$C$33)&gt;0, "4", "5"), 0)), "")</f>
        <v>205</v>
      </c>
      <c r="L352" s="137" cm="1">
        <f t="array" ref="L352">IF(COUNTIF($B$33:$E$33, L$2)&gt;0, _xlfn.IFS(COUNTIF($B$33:$C$33, L$2)&gt;0, VLOOKUP($J352,'Gear Values'!$A$2:$E$13, IF(COUNTBLANK('Attributes &amp; Prefixes'!$B$33:$C$33)&gt;0, "2", "3"), 0), COUNTIF($D$33:$E$33, L$2)&gt;0, VLOOKUP($J352,'Gear Values'!$A$2:$E$13, IF(COUNTBLANK('Attributes &amp; Prefixes'!$B$33:$C$33)&gt;0, "4", "5"), 0)), "")</f>
        <v>205</v>
      </c>
      <c r="M352" s="137" cm="1">
        <f t="array" ref="M352">IF(COUNTIF($B$33:$E$33, M$2)&gt;0, _xlfn.IFS(COUNTIF($B$33:$C$33, M$2)&gt;0, VLOOKUP($J352,'Gear Values'!$A$2:$E$13, IF(COUNTBLANK('Attributes &amp; Prefixes'!$B$33:$C$33)&gt;0, "2", "3"), 0), COUNTIF($D$33:$E$33, M$2)&gt;0, VLOOKUP($J352,'Gear Values'!$A$2:$E$13, IF(COUNTBLANK('Attributes &amp; Prefixes'!$B$33:$C$33)&gt;0, "4", "5"), 0)), "")</f>
        <v>113</v>
      </c>
      <c r="N352" s="137" cm="1">
        <f t="array" ref="N352">IF(COUNTIF($B$33:$E$33, N$2)&gt;0, _xlfn.IFS(COUNTIF($B$33:$C$33, N$2)&gt;0, VLOOKUP($J352,'Gear Values'!$A$2:$E$13, IF(COUNTBLANK('Attributes &amp; Prefixes'!$B$33:$C$33)&gt;0, "2", "3"), 0), COUNTIF($D$33:$E$33, N$2)&gt;0, VLOOKUP($J352,'Gear Values'!$A$2:$E$13, IF(COUNTBLANK('Attributes &amp; Prefixes'!$B$33:$C$33)&gt;0, "4", "5"), 0)), "")</f>
        <v>113</v>
      </c>
      <c r="O352" s="137" t="str" cm="1">
        <f t="array" ref="O352">IF(COUNTIF($B$33:$E$33, O$2)&gt;0, _xlfn.IFS(COUNTIF($B$33:$C$33, O$2)&gt;0, VLOOKUP($J352,'Gear Values'!$A$2:$E$13, IF(COUNTBLANK('Attributes &amp; Prefixes'!$B$33:$C$33)&gt;0, "2", "3"), 0), COUNTIF($D$33:$E$33, O$2)&gt;0, VLOOKUP($J352,'Gear Values'!$A$2:$E$13, IF(COUNTBLANK('Attributes &amp; Prefixes'!$B$33:$C$33)&gt;0, "4", "5"), 0)), "")</f>
        <v/>
      </c>
      <c r="P352" s="137" t="str" cm="1">
        <f t="array" ref="P352">IF(COUNTIF($B$33:$E$33, P$2)&gt;0, _xlfn.IFS(COUNTIF($B$33:$C$33, P$2)&gt;0, VLOOKUP($J352,'Gear Values'!$A$2:$E$13, IF(COUNTBLANK('Attributes &amp; Prefixes'!$B$33:$C$33)&gt;0, "2", "3"), 0), COUNTIF($D$33:$E$33, P$2)&gt;0, VLOOKUP($J352,'Gear Values'!$A$2:$E$13, IF(COUNTBLANK('Attributes &amp; Prefixes'!$B$33:$C$33)&gt;0, "4", "5"), 0)), "")</f>
        <v/>
      </c>
      <c r="Q352" s="137" t="str" cm="1">
        <f t="array" ref="Q352">IF(COUNTIF($B$33:$E$33, Q$2)&gt;0, _xlfn.IFS(COUNTIF($B$33:$C$33, Q$2)&gt;0, VLOOKUP($J352,'Gear Values'!$A$2:$E$13, IF(COUNTBLANK('Attributes &amp; Prefixes'!$B$33:$C$33)&gt;0, "2", "3"), 0), COUNTIF($D$33:$E$33, Q$2)&gt;0, VLOOKUP($J352,'Gear Values'!$A$2:$E$13, IF(COUNTBLANK('Attributes &amp; Prefixes'!$B$33:$C$33)&gt;0, "4", "5"), 0)), "")</f>
        <v/>
      </c>
      <c r="R352" s="137" t="str" cm="1">
        <f t="array" ref="R352">IF(COUNTIF($B$33:$E$33, R$2)&gt;0, _xlfn.IFS(COUNTIF($B$33:$C$33, R$2)&gt;0, VLOOKUP($J352,'Gear Values'!$A$2:$E$13, IF(COUNTBLANK('Attributes &amp; Prefixes'!$B$33:$C$33)&gt;0, "2", "3"), 0), COUNTIF($D$33:$E$33, R$2)&gt;0, VLOOKUP($J352,'Gear Values'!$A$2:$E$13, IF(COUNTBLANK('Attributes &amp; Prefixes'!$B$33:$C$33)&gt;0, "4", "5"), 0)), "")</f>
        <v/>
      </c>
      <c r="S352" s="138" t="str" cm="1">
        <f t="array" ref="S352">IF(COUNTIF($B$33:$E$33, S$2)&gt;0, _xlfn.IFS(COUNTIF($B$33:$C$33, S$2)&gt;0, VLOOKUP($J352,'Gear Values'!$A$2:$E$13, IF(COUNTBLANK('Attributes &amp; Prefixes'!$B$33:$C$33)&gt;0, "2", "3"), 0), COUNTIF($D$33:$E$33, S$2)&gt;0, VLOOKUP($J352,'Gear Values'!$A$2:$E$13, IF(COUNTBLANK('Attributes &amp; Prefixes'!$B$33:$C$33)&gt;0, "4", "5"), 0)), "")</f>
        <v/>
      </c>
      <c r="V352" s="112"/>
      <c r="W352" s="113"/>
    </row>
    <row r="353" spans="6:23">
      <c r="F353" s="114"/>
      <c r="G353" s="114"/>
      <c r="H353" s="130" t="str">
        <f>_xlfn.CONCAT(I$351,J353)</f>
        <v>PaladinHead</v>
      </c>
      <c r="I353" s="520"/>
      <c r="J353" s="144" t="s">
        <v>40</v>
      </c>
      <c r="K353" s="136" cm="1">
        <f t="array" ref="K353">IF(COUNTIF($B$33:$E$33, K$2)&gt;0, _xlfn.IFS(COUNTIF($B$33:$C$33, K$2)&gt;0, VLOOKUP($J353,'Gear Values'!$A$2:$E$13, IF(COUNTBLANK('Attributes &amp; Prefixes'!$B$33:$C$33)&gt;0, "2", "3"), 0), COUNTIF($D$33:$E$33, K$2)&gt;0, VLOOKUP($J353,'Gear Values'!$A$2:$E$13, IF(COUNTBLANK('Attributes &amp; Prefixes'!$B$33:$C$33)&gt;0, "4", "5"), 0)), "")</f>
        <v>51</v>
      </c>
      <c r="L353" s="137" cm="1">
        <f t="array" ref="L353">IF(COUNTIF($B$33:$E$33, L$2)&gt;0, _xlfn.IFS(COUNTIF($B$33:$C$33, L$2)&gt;0, VLOOKUP($J353,'Gear Values'!$A$2:$E$13, IF(COUNTBLANK('Attributes &amp; Prefixes'!$B$33:$C$33)&gt;0, "2", "3"), 0), COUNTIF($D$33:$E$33, L$2)&gt;0, VLOOKUP($J353,'Gear Values'!$A$2:$E$13, IF(COUNTBLANK('Attributes &amp; Prefixes'!$B$33:$C$33)&gt;0, "4", "5"), 0)), "")</f>
        <v>51</v>
      </c>
      <c r="M353" s="137" cm="1">
        <f t="array" ref="M353">IF(COUNTIF($B$33:$E$33, M$2)&gt;0, _xlfn.IFS(COUNTIF($B$33:$C$33, M$2)&gt;0, VLOOKUP($J353,'Gear Values'!$A$2:$E$13, IF(COUNTBLANK('Attributes &amp; Prefixes'!$B$33:$C$33)&gt;0, "2", "3"), 0), COUNTIF($D$33:$E$33, M$2)&gt;0, VLOOKUP($J353,'Gear Values'!$A$2:$E$13, IF(COUNTBLANK('Attributes &amp; Prefixes'!$B$33:$C$33)&gt;0, "4", "5"), 0)), "")</f>
        <v>28</v>
      </c>
      <c r="N353" s="137" cm="1">
        <f t="array" ref="N353">IF(COUNTIF($B$33:$E$33, N$2)&gt;0, _xlfn.IFS(COUNTIF($B$33:$C$33, N$2)&gt;0, VLOOKUP($J353,'Gear Values'!$A$2:$E$13, IF(COUNTBLANK('Attributes &amp; Prefixes'!$B$33:$C$33)&gt;0, "2", "3"), 0), COUNTIF($D$33:$E$33, N$2)&gt;0, VLOOKUP($J353,'Gear Values'!$A$2:$E$13, IF(COUNTBLANK('Attributes &amp; Prefixes'!$B$33:$C$33)&gt;0, "4", "5"), 0)), "")</f>
        <v>28</v>
      </c>
      <c r="O353" s="137" t="str" cm="1">
        <f t="array" ref="O353">IF(COUNTIF($B$33:$E$33, O$2)&gt;0, _xlfn.IFS(COUNTIF($B$33:$C$33, O$2)&gt;0, VLOOKUP($J353,'Gear Values'!$A$2:$E$13, IF(COUNTBLANK('Attributes &amp; Prefixes'!$B$33:$C$33)&gt;0, "2", "3"), 0), COUNTIF($D$33:$E$33, O$2)&gt;0, VLOOKUP($J353,'Gear Values'!$A$2:$E$13, IF(COUNTBLANK('Attributes &amp; Prefixes'!$B$33:$C$33)&gt;0, "4", "5"), 0)), "")</f>
        <v/>
      </c>
      <c r="P353" s="137" t="str" cm="1">
        <f t="array" ref="P353">IF(COUNTIF($B$33:$E$33, P$2)&gt;0, _xlfn.IFS(COUNTIF($B$33:$C$33, P$2)&gt;0, VLOOKUP($J353,'Gear Values'!$A$2:$E$13, IF(COUNTBLANK('Attributes &amp; Prefixes'!$B$33:$C$33)&gt;0, "2", "3"), 0), COUNTIF($D$33:$E$33, P$2)&gt;0, VLOOKUP($J353,'Gear Values'!$A$2:$E$13, IF(COUNTBLANK('Attributes &amp; Prefixes'!$B$33:$C$33)&gt;0, "4", "5"), 0)), "")</f>
        <v/>
      </c>
      <c r="Q353" s="137" t="str" cm="1">
        <f t="array" ref="Q353">IF(COUNTIF($B$33:$E$33, Q$2)&gt;0, _xlfn.IFS(COUNTIF($B$33:$C$33, Q$2)&gt;0, VLOOKUP($J353,'Gear Values'!$A$2:$E$13, IF(COUNTBLANK('Attributes &amp; Prefixes'!$B$33:$C$33)&gt;0, "2", "3"), 0), COUNTIF($D$33:$E$33, Q$2)&gt;0, VLOOKUP($J353,'Gear Values'!$A$2:$E$13, IF(COUNTBLANK('Attributes &amp; Prefixes'!$B$33:$C$33)&gt;0, "4", "5"), 0)), "")</f>
        <v/>
      </c>
      <c r="R353" s="137" t="str" cm="1">
        <f t="array" ref="R353">IF(COUNTIF($B$33:$E$33, R$2)&gt;0, _xlfn.IFS(COUNTIF($B$33:$C$33, R$2)&gt;0, VLOOKUP($J353,'Gear Values'!$A$2:$E$13, IF(COUNTBLANK('Attributes &amp; Prefixes'!$B$33:$C$33)&gt;0, "2", "3"), 0), COUNTIF($D$33:$E$33, R$2)&gt;0, VLOOKUP($J353,'Gear Values'!$A$2:$E$13, IF(COUNTBLANK('Attributes &amp; Prefixes'!$B$33:$C$33)&gt;0, "4", "5"), 0)), "")</f>
        <v/>
      </c>
      <c r="S353" s="138" t="str" cm="1">
        <f t="array" ref="S353">IF(COUNTIF($B$33:$E$33, S$2)&gt;0, _xlfn.IFS(COUNTIF($B$33:$C$33, S$2)&gt;0, VLOOKUP($J353,'Gear Values'!$A$2:$E$13, IF(COUNTBLANK('Attributes &amp; Prefixes'!$B$33:$C$33)&gt;0, "2", "3"), 0), COUNTIF($D$33:$E$33, S$2)&gt;0, VLOOKUP($J353,'Gear Values'!$A$2:$E$13, IF(COUNTBLANK('Attributes &amp; Prefixes'!$B$33:$C$33)&gt;0, "4", "5"), 0)), "")</f>
        <v/>
      </c>
      <c r="V353" s="112"/>
      <c r="W353" s="113"/>
    </row>
    <row r="354" spans="6:23">
      <c r="F354" s="114"/>
      <c r="G354" s="114"/>
      <c r="H354" s="130" t="str">
        <f>_xlfn.CONCAT(I$351,J354)</f>
        <v>PaladinShoulders</v>
      </c>
      <c r="I354" s="520"/>
      <c r="J354" s="144" t="s">
        <v>42</v>
      </c>
      <c r="K354" s="136" cm="1">
        <f t="array" ref="K354">IF(COUNTIF($B$33:$E$33, K$2)&gt;0, _xlfn.IFS(COUNTIF($B$33:$C$33, K$2)&gt;0, VLOOKUP($J354,'Gear Values'!$A$2:$E$13, IF(COUNTBLANK('Attributes &amp; Prefixes'!$B$33:$C$33)&gt;0, "2", "3"), 0), COUNTIF($D$33:$E$33, K$2)&gt;0, VLOOKUP($J354,'Gear Values'!$A$2:$E$13, IF(COUNTBLANK('Attributes &amp; Prefixes'!$B$33:$C$33)&gt;0, "4", "5"), 0)), "")</f>
        <v>38</v>
      </c>
      <c r="L354" s="137" cm="1">
        <f t="array" ref="L354">IF(COUNTIF($B$33:$E$33, L$2)&gt;0, _xlfn.IFS(COUNTIF($B$33:$C$33, L$2)&gt;0, VLOOKUP($J354,'Gear Values'!$A$2:$E$13, IF(COUNTBLANK('Attributes &amp; Prefixes'!$B$33:$C$33)&gt;0, "2", "3"), 0), COUNTIF($D$33:$E$33, L$2)&gt;0, VLOOKUP($J354,'Gear Values'!$A$2:$E$13, IF(COUNTBLANK('Attributes &amp; Prefixes'!$B$33:$C$33)&gt;0, "4", "5"), 0)), "")</f>
        <v>38</v>
      </c>
      <c r="M354" s="137" cm="1">
        <f t="array" ref="M354">IF(COUNTIF($B$33:$E$33, M$2)&gt;0, _xlfn.IFS(COUNTIF($B$33:$C$33, M$2)&gt;0, VLOOKUP($J354,'Gear Values'!$A$2:$E$13, IF(COUNTBLANK('Attributes &amp; Prefixes'!$B$33:$C$33)&gt;0, "2", "3"), 0), COUNTIF($D$33:$E$33, M$2)&gt;0, VLOOKUP($J354,'Gear Values'!$A$2:$E$13, IF(COUNTBLANK('Attributes &amp; Prefixes'!$B$33:$C$33)&gt;0, "4", "5"), 0)), "")</f>
        <v>21</v>
      </c>
      <c r="N354" s="137" cm="1">
        <f t="array" ref="N354">IF(COUNTIF($B$33:$E$33, N$2)&gt;0, _xlfn.IFS(COUNTIF($B$33:$C$33, N$2)&gt;0, VLOOKUP($J354,'Gear Values'!$A$2:$E$13, IF(COUNTBLANK('Attributes &amp; Prefixes'!$B$33:$C$33)&gt;0, "2", "3"), 0), COUNTIF($D$33:$E$33, N$2)&gt;0, VLOOKUP($J354,'Gear Values'!$A$2:$E$13, IF(COUNTBLANK('Attributes &amp; Prefixes'!$B$33:$C$33)&gt;0, "4", "5"), 0)), "")</f>
        <v>21</v>
      </c>
      <c r="O354" s="137" t="str" cm="1">
        <f t="array" ref="O354">IF(COUNTIF($B$33:$E$33, O$2)&gt;0, _xlfn.IFS(COUNTIF($B$33:$C$33, O$2)&gt;0, VLOOKUP($J354,'Gear Values'!$A$2:$E$13, IF(COUNTBLANK('Attributes &amp; Prefixes'!$B$33:$C$33)&gt;0, "2", "3"), 0), COUNTIF($D$33:$E$33, O$2)&gt;0, VLOOKUP($J354,'Gear Values'!$A$2:$E$13, IF(COUNTBLANK('Attributes &amp; Prefixes'!$B$33:$C$33)&gt;0, "4", "5"), 0)), "")</f>
        <v/>
      </c>
      <c r="P354" s="137" t="str" cm="1">
        <f t="array" ref="P354">IF(COUNTIF($B$33:$E$33, P$2)&gt;0, _xlfn.IFS(COUNTIF($B$33:$C$33, P$2)&gt;0, VLOOKUP($J354,'Gear Values'!$A$2:$E$13, IF(COUNTBLANK('Attributes &amp; Prefixes'!$B$33:$C$33)&gt;0, "2", "3"), 0), COUNTIF($D$33:$E$33, P$2)&gt;0, VLOOKUP($J354,'Gear Values'!$A$2:$E$13, IF(COUNTBLANK('Attributes &amp; Prefixes'!$B$33:$C$33)&gt;0, "4", "5"), 0)), "")</f>
        <v/>
      </c>
      <c r="Q354" s="137" t="str" cm="1">
        <f t="array" ref="Q354">IF(COUNTIF($B$33:$E$33, Q$2)&gt;0, _xlfn.IFS(COUNTIF($B$33:$C$33, Q$2)&gt;0, VLOOKUP($J354,'Gear Values'!$A$2:$E$13, IF(COUNTBLANK('Attributes &amp; Prefixes'!$B$33:$C$33)&gt;0, "2", "3"), 0), COUNTIF($D$33:$E$33, Q$2)&gt;0, VLOOKUP($J354,'Gear Values'!$A$2:$E$13, IF(COUNTBLANK('Attributes &amp; Prefixes'!$B$33:$C$33)&gt;0, "4", "5"), 0)), "")</f>
        <v/>
      </c>
      <c r="R354" s="137" t="str" cm="1">
        <f t="array" ref="R354">IF(COUNTIF($B$33:$E$33, R$2)&gt;0, _xlfn.IFS(COUNTIF($B$33:$C$33, R$2)&gt;0, VLOOKUP($J354,'Gear Values'!$A$2:$E$13, IF(COUNTBLANK('Attributes &amp; Prefixes'!$B$33:$C$33)&gt;0, "2", "3"), 0), COUNTIF($D$33:$E$33, R$2)&gt;0, VLOOKUP($J354,'Gear Values'!$A$2:$E$13, IF(COUNTBLANK('Attributes &amp; Prefixes'!$B$33:$C$33)&gt;0, "4", "5"), 0)), "")</f>
        <v/>
      </c>
      <c r="S354" s="138" t="str" cm="1">
        <f t="array" ref="S354">IF(COUNTIF($B$33:$E$33, S$2)&gt;0, _xlfn.IFS(COUNTIF($B$33:$C$33, S$2)&gt;0, VLOOKUP($J354,'Gear Values'!$A$2:$E$13, IF(COUNTBLANK('Attributes &amp; Prefixes'!$B$33:$C$33)&gt;0, "2", "3"), 0), COUNTIF($D$33:$E$33, S$2)&gt;0, VLOOKUP($J354,'Gear Values'!$A$2:$E$13, IF(COUNTBLANK('Attributes &amp; Prefixes'!$B$33:$C$33)&gt;0, "4", "5"), 0)), "")</f>
        <v/>
      </c>
      <c r="V354" s="112"/>
      <c r="W354" s="113"/>
    </row>
    <row r="355" spans="6:23">
      <c r="F355" s="114"/>
      <c r="G355" s="114"/>
      <c r="H355" s="130" t="str">
        <f>_xlfn.CONCAT(I$351,J355)</f>
        <v>PaladinChest</v>
      </c>
      <c r="I355" s="520"/>
      <c r="J355" s="144" t="s">
        <v>44</v>
      </c>
      <c r="K355" s="136" cm="1">
        <f t="array" ref="K355">IF(COUNTIF($B$33:$E$33, K$2)&gt;0, _xlfn.IFS(COUNTIF($B$33:$C$33, K$2)&gt;0, VLOOKUP($J355,'Gear Values'!$A$2:$E$13, IF(COUNTBLANK('Attributes &amp; Prefixes'!$B$33:$C$33)&gt;0, "2", "3"), 0), COUNTIF($D$33:$E$33, K$2)&gt;0, VLOOKUP($J355,'Gear Values'!$A$2:$E$13, IF(COUNTBLANK('Attributes &amp; Prefixes'!$B$33:$C$33)&gt;0, "4", "5"), 0)), "")</f>
        <v>115</v>
      </c>
      <c r="L355" s="137" cm="1">
        <f t="array" ref="L355">IF(COUNTIF($B$33:$E$33, L$2)&gt;0, _xlfn.IFS(COUNTIF($B$33:$C$33, L$2)&gt;0, VLOOKUP($J355,'Gear Values'!$A$2:$E$13, IF(COUNTBLANK('Attributes &amp; Prefixes'!$B$33:$C$33)&gt;0, "2", "3"), 0), COUNTIF($D$33:$E$33, L$2)&gt;0, VLOOKUP($J355,'Gear Values'!$A$2:$E$13, IF(COUNTBLANK('Attributes &amp; Prefixes'!$B$33:$C$33)&gt;0, "4", "5"), 0)), "")</f>
        <v>115</v>
      </c>
      <c r="M355" s="137" cm="1">
        <f t="array" ref="M355">IF(COUNTIF($B$33:$E$33, M$2)&gt;0, _xlfn.IFS(COUNTIF($B$33:$C$33, M$2)&gt;0, VLOOKUP($J355,'Gear Values'!$A$2:$E$13, IF(COUNTBLANK('Attributes &amp; Prefixes'!$B$33:$C$33)&gt;0, "2", "3"), 0), COUNTIF($D$33:$E$33, M$2)&gt;0, VLOOKUP($J355,'Gear Values'!$A$2:$E$13, IF(COUNTBLANK('Attributes &amp; Prefixes'!$B$33:$C$33)&gt;0, "4", "5"), 0)), "")</f>
        <v>63</v>
      </c>
      <c r="N355" s="137" cm="1">
        <f t="array" ref="N355">IF(COUNTIF($B$33:$E$33, N$2)&gt;0, _xlfn.IFS(COUNTIF($B$33:$C$33, N$2)&gt;0, VLOOKUP($J355,'Gear Values'!$A$2:$E$13, IF(COUNTBLANK('Attributes &amp; Prefixes'!$B$33:$C$33)&gt;0, "2", "3"), 0), COUNTIF($D$33:$E$33, N$2)&gt;0, VLOOKUP($J355,'Gear Values'!$A$2:$E$13, IF(COUNTBLANK('Attributes &amp; Prefixes'!$B$33:$C$33)&gt;0, "4", "5"), 0)), "")</f>
        <v>63</v>
      </c>
      <c r="O355" s="137" t="str" cm="1">
        <f t="array" ref="O355">IF(COUNTIF($B$33:$E$33, O$2)&gt;0, _xlfn.IFS(COUNTIF($B$33:$C$33, O$2)&gt;0, VLOOKUP($J355,'Gear Values'!$A$2:$E$13, IF(COUNTBLANK('Attributes &amp; Prefixes'!$B$33:$C$33)&gt;0, "2", "3"), 0), COUNTIF($D$33:$E$33, O$2)&gt;0, VLOOKUP($J355,'Gear Values'!$A$2:$E$13, IF(COUNTBLANK('Attributes &amp; Prefixes'!$B$33:$C$33)&gt;0, "4", "5"), 0)), "")</f>
        <v/>
      </c>
      <c r="P355" s="137" t="str" cm="1">
        <f t="array" ref="P355">IF(COUNTIF($B$33:$E$33, P$2)&gt;0, _xlfn.IFS(COUNTIF($B$33:$C$33, P$2)&gt;0, VLOOKUP($J355,'Gear Values'!$A$2:$E$13, IF(COUNTBLANK('Attributes &amp; Prefixes'!$B$33:$C$33)&gt;0, "2", "3"), 0), COUNTIF($D$33:$E$33, P$2)&gt;0, VLOOKUP($J355,'Gear Values'!$A$2:$E$13, IF(COUNTBLANK('Attributes &amp; Prefixes'!$B$33:$C$33)&gt;0, "4", "5"), 0)), "")</f>
        <v/>
      </c>
      <c r="Q355" s="137" t="str" cm="1">
        <f t="array" ref="Q355">IF(COUNTIF($B$33:$E$33, Q$2)&gt;0, _xlfn.IFS(COUNTIF($B$33:$C$33, Q$2)&gt;0, VLOOKUP($J355,'Gear Values'!$A$2:$E$13, IF(COUNTBLANK('Attributes &amp; Prefixes'!$B$33:$C$33)&gt;0, "2", "3"), 0), COUNTIF($D$33:$E$33, Q$2)&gt;0, VLOOKUP($J355,'Gear Values'!$A$2:$E$13, IF(COUNTBLANK('Attributes &amp; Prefixes'!$B$33:$C$33)&gt;0, "4", "5"), 0)), "")</f>
        <v/>
      </c>
      <c r="R355" s="137" t="str" cm="1">
        <f t="array" ref="R355">IF(COUNTIF($B$33:$E$33, R$2)&gt;0, _xlfn.IFS(COUNTIF($B$33:$C$33, R$2)&gt;0, VLOOKUP($J355,'Gear Values'!$A$2:$E$13, IF(COUNTBLANK('Attributes &amp; Prefixes'!$B$33:$C$33)&gt;0, "2", "3"), 0), COUNTIF($D$33:$E$33, R$2)&gt;0, VLOOKUP($J355,'Gear Values'!$A$2:$E$13, IF(COUNTBLANK('Attributes &amp; Prefixes'!$B$33:$C$33)&gt;0, "4", "5"), 0)), "")</f>
        <v/>
      </c>
      <c r="S355" s="138" t="str" cm="1">
        <f t="array" ref="S355">IF(COUNTIF($B$33:$E$33, S$2)&gt;0, _xlfn.IFS(COUNTIF($B$33:$C$33, S$2)&gt;0, VLOOKUP($J355,'Gear Values'!$A$2:$E$13, IF(COUNTBLANK('Attributes &amp; Prefixes'!$B$33:$C$33)&gt;0, "2", "3"), 0), COUNTIF($D$33:$E$33, S$2)&gt;0, VLOOKUP($J355,'Gear Values'!$A$2:$E$13, IF(COUNTBLANK('Attributes &amp; Prefixes'!$B$33:$C$33)&gt;0, "4", "5"), 0)), "")</f>
        <v/>
      </c>
      <c r="V355" s="112"/>
      <c r="W355" s="113"/>
    </row>
    <row r="356" spans="6:23">
      <c r="F356" s="114"/>
      <c r="G356" s="114"/>
      <c r="H356" s="130" t="str">
        <f>_xlfn.CONCAT(I$351,J356)</f>
        <v>PaladinHands</v>
      </c>
      <c r="I356" s="520"/>
      <c r="J356" s="144" t="s">
        <v>45</v>
      </c>
      <c r="K356" s="136" cm="1">
        <f t="array" ref="K356">IF(COUNTIF($B$33:$E$33, K$2)&gt;0, _xlfn.IFS(COUNTIF($B$33:$C$33, K$2)&gt;0, VLOOKUP($J356,'Gear Values'!$A$2:$E$13, IF(COUNTBLANK('Attributes &amp; Prefixes'!$B$33:$C$33)&gt;0, "2", "3"), 0), COUNTIF($D$33:$E$33, K$2)&gt;0, VLOOKUP($J356,'Gear Values'!$A$2:$E$13, IF(COUNTBLANK('Attributes &amp; Prefixes'!$B$33:$C$33)&gt;0, "4", "5"), 0)), "")</f>
        <v>38</v>
      </c>
      <c r="L356" s="137" cm="1">
        <f t="array" ref="L356">IF(COUNTIF($B$33:$E$33, L$2)&gt;0, _xlfn.IFS(COUNTIF($B$33:$C$33, L$2)&gt;0, VLOOKUP($J356,'Gear Values'!$A$2:$E$13, IF(COUNTBLANK('Attributes &amp; Prefixes'!$B$33:$C$33)&gt;0, "2", "3"), 0), COUNTIF($D$33:$E$33, L$2)&gt;0, VLOOKUP($J356,'Gear Values'!$A$2:$E$13, IF(COUNTBLANK('Attributes &amp; Prefixes'!$B$33:$C$33)&gt;0, "4", "5"), 0)), "")</f>
        <v>38</v>
      </c>
      <c r="M356" s="137" cm="1">
        <f t="array" ref="M356">IF(COUNTIF($B$33:$E$33, M$2)&gt;0, _xlfn.IFS(COUNTIF($B$33:$C$33, M$2)&gt;0, VLOOKUP($J356,'Gear Values'!$A$2:$E$13, IF(COUNTBLANK('Attributes &amp; Prefixes'!$B$33:$C$33)&gt;0, "2", "3"), 0), COUNTIF($D$33:$E$33, M$2)&gt;0, VLOOKUP($J356,'Gear Values'!$A$2:$E$13, IF(COUNTBLANK('Attributes &amp; Prefixes'!$B$33:$C$33)&gt;0, "4", "5"), 0)), "")</f>
        <v>21</v>
      </c>
      <c r="N356" s="137" cm="1">
        <f t="array" ref="N356">IF(COUNTIF($B$33:$E$33, N$2)&gt;0, _xlfn.IFS(COUNTIF($B$33:$C$33, N$2)&gt;0, VLOOKUP($J356,'Gear Values'!$A$2:$E$13, IF(COUNTBLANK('Attributes &amp; Prefixes'!$B$33:$C$33)&gt;0, "2", "3"), 0), COUNTIF($D$33:$E$33, N$2)&gt;0, VLOOKUP($J356,'Gear Values'!$A$2:$E$13, IF(COUNTBLANK('Attributes &amp; Prefixes'!$B$33:$C$33)&gt;0, "4", "5"), 0)), "")</f>
        <v>21</v>
      </c>
      <c r="O356" s="137" t="str" cm="1">
        <f t="array" ref="O356">IF(COUNTIF($B$33:$E$33, O$2)&gt;0, _xlfn.IFS(COUNTIF($B$33:$C$33, O$2)&gt;0, VLOOKUP($J356,'Gear Values'!$A$2:$E$13, IF(COUNTBLANK('Attributes &amp; Prefixes'!$B$33:$C$33)&gt;0, "2", "3"), 0), COUNTIF($D$33:$E$33, O$2)&gt;0, VLOOKUP($J356,'Gear Values'!$A$2:$E$13, IF(COUNTBLANK('Attributes &amp; Prefixes'!$B$33:$C$33)&gt;0, "4", "5"), 0)), "")</f>
        <v/>
      </c>
      <c r="P356" s="137" t="str" cm="1">
        <f t="array" ref="P356">IF(COUNTIF($B$33:$E$33, P$2)&gt;0, _xlfn.IFS(COUNTIF($B$33:$C$33, P$2)&gt;0, VLOOKUP($J356,'Gear Values'!$A$2:$E$13, IF(COUNTBLANK('Attributes &amp; Prefixes'!$B$33:$C$33)&gt;0, "2", "3"), 0), COUNTIF($D$33:$E$33, P$2)&gt;0, VLOOKUP($J356,'Gear Values'!$A$2:$E$13, IF(COUNTBLANK('Attributes &amp; Prefixes'!$B$33:$C$33)&gt;0, "4", "5"), 0)), "")</f>
        <v/>
      </c>
      <c r="Q356" s="137" t="str" cm="1">
        <f t="array" ref="Q356">IF(COUNTIF($B$33:$E$33, Q$2)&gt;0, _xlfn.IFS(COUNTIF($B$33:$C$33, Q$2)&gt;0, VLOOKUP($J356,'Gear Values'!$A$2:$E$13, IF(COUNTBLANK('Attributes &amp; Prefixes'!$B$33:$C$33)&gt;0, "2", "3"), 0), COUNTIF($D$33:$E$33, Q$2)&gt;0, VLOOKUP($J356,'Gear Values'!$A$2:$E$13, IF(COUNTBLANK('Attributes &amp; Prefixes'!$B$33:$C$33)&gt;0, "4", "5"), 0)), "")</f>
        <v/>
      </c>
      <c r="R356" s="137" t="str" cm="1">
        <f t="array" ref="R356">IF(COUNTIF($B$33:$E$33, R$2)&gt;0, _xlfn.IFS(COUNTIF($B$33:$C$33, R$2)&gt;0, VLOOKUP($J356,'Gear Values'!$A$2:$E$13, IF(COUNTBLANK('Attributes &amp; Prefixes'!$B$33:$C$33)&gt;0, "2", "3"), 0), COUNTIF($D$33:$E$33, R$2)&gt;0, VLOOKUP($J356,'Gear Values'!$A$2:$E$13, IF(COUNTBLANK('Attributes &amp; Prefixes'!$B$33:$C$33)&gt;0, "4", "5"), 0)), "")</f>
        <v/>
      </c>
      <c r="S356" s="138" t="str" cm="1">
        <f t="array" ref="S356">IF(COUNTIF($B$33:$E$33, S$2)&gt;0, _xlfn.IFS(COUNTIF($B$33:$C$33, S$2)&gt;0, VLOOKUP($J356,'Gear Values'!$A$2:$E$13, IF(COUNTBLANK('Attributes &amp; Prefixes'!$B$33:$C$33)&gt;0, "2", "3"), 0), COUNTIF($D$33:$E$33, S$2)&gt;0, VLOOKUP($J356,'Gear Values'!$A$2:$E$13, IF(COUNTBLANK('Attributes &amp; Prefixes'!$B$33:$C$33)&gt;0, "4", "5"), 0)), "")</f>
        <v/>
      </c>
      <c r="V356" s="112"/>
      <c r="W356" s="113"/>
    </row>
    <row r="357" spans="6:23">
      <c r="F357" s="114"/>
      <c r="G357" s="114"/>
      <c r="H357" s="130" t="str">
        <f>_xlfn.CONCAT(I$351,J357)</f>
        <v>PaladinLegs</v>
      </c>
      <c r="I357" s="520"/>
      <c r="J357" s="144" t="s">
        <v>47</v>
      </c>
      <c r="K357" s="136" cm="1">
        <f t="array" ref="K357">IF(COUNTIF($B$33:$E$33, K$2)&gt;0, _xlfn.IFS(COUNTIF($B$33:$C$33, K$2)&gt;0, VLOOKUP($J357,'Gear Values'!$A$2:$E$13, IF(COUNTBLANK('Attributes &amp; Prefixes'!$B$33:$C$33)&gt;0, "2", "3"), 0), COUNTIF($D$33:$E$33, K$2)&gt;0, VLOOKUP($J357,'Gear Values'!$A$2:$E$13, IF(COUNTBLANK('Attributes &amp; Prefixes'!$B$33:$C$33)&gt;0, "4", "5"), 0)), "")</f>
        <v>77</v>
      </c>
      <c r="L357" s="137" cm="1">
        <f t="array" ref="L357">IF(COUNTIF($B$33:$E$33, L$2)&gt;0, _xlfn.IFS(COUNTIF($B$33:$C$33, L$2)&gt;0, VLOOKUP($J357,'Gear Values'!$A$2:$E$13, IF(COUNTBLANK('Attributes &amp; Prefixes'!$B$33:$C$33)&gt;0, "2", "3"), 0), COUNTIF($D$33:$E$33, L$2)&gt;0, VLOOKUP($J357,'Gear Values'!$A$2:$E$13, IF(COUNTBLANK('Attributes &amp; Prefixes'!$B$33:$C$33)&gt;0, "4", "5"), 0)), "")</f>
        <v>77</v>
      </c>
      <c r="M357" s="137" cm="1">
        <f t="array" ref="M357">IF(COUNTIF($B$33:$E$33, M$2)&gt;0, _xlfn.IFS(COUNTIF($B$33:$C$33, M$2)&gt;0, VLOOKUP($J357,'Gear Values'!$A$2:$E$13, IF(COUNTBLANK('Attributes &amp; Prefixes'!$B$33:$C$33)&gt;0, "2", "3"), 0), COUNTIF($D$33:$E$33, M$2)&gt;0, VLOOKUP($J357,'Gear Values'!$A$2:$E$13, IF(COUNTBLANK('Attributes &amp; Prefixes'!$B$33:$C$33)&gt;0, "4", "5"), 0)), "")</f>
        <v>42</v>
      </c>
      <c r="N357" s="137" cm="1">
        <f t="array" ref="N357">IF(COUNTIF($B$33:$E$33, N$2)&gt;0, _xlfn.IFS(COUNTIF($B$33:$C$33, N$2)&gt;0, VLOOKUP($J357,'Gear Values'!$A$2:$E$13, IF(COUNTBLANK('Attributes &amp; Prefixes'!$B$33:$C$33)&gt;0, "2", "3"), 0), COUNTIF($D$33:$E$33, N$2)&gt;0, VLOOKUP($J357,'Gear Values'!$A$2:$E$13, IF(COUNTBLANK('Attributes &amp; Prefixes'!$B$33:$C$33)&gt;0, "4", "5"), 0)), "")</f>
        <v>42</v>
      </c>
      <c r="O357" s="137" t="str" cm="1">
        <f t="array" ref="O357">IF(COUNTIF($B$33:$E$33, O$2)&gt;0, _xlfn.IFS(COUNTIF($B$33:$C$33, O$2)&gt;0, VLOOKUP($J357,'Gear Values'!$A$2:$E$13, IF(COUNTBLANK('Attributes &amp; Prefixes'!$B$33:$C$33)&gt;0, "2", "3"), 0), COUNTIF($D$33:$E$33, O$2)&gt;0, VLOOKUP($J357,'Gear Values'!$A$2:$E$13, IF(COUNTBLANK('Attributes &amp; Prefixes'!$B$33:$C$33)&gt;0, "4", "5"), 0)), "")</f>
        <v/>
      </c>
      <c r="P357" s="137" t="str" cm="1">
        <f t="array" ref="P357">IF(COUNTIF($B$33:$E$33, P$2)&gt;0, _xlfn.IFS(COUNTIF($B$33:$C$33, P$2)&gt;0, VLOOKUP($J357,'Gear Values'!$A$2:$E$13, IF(COUNTBLANK('Attributes &amp; Prefixes'!$B$33:$C$33)&gt;0, "2", "3"), 0), COUNTIF($D$33:$E$33, P$2)&gt;0, VLOOKUP($J357,'Gear Values'!$A$2:$E$13, IF(COUNTBLANK('Attributes &amp; Prefixes'!$B$33:$C$33)&gt;0, "4", "5"), 0)), "")</f>
        <v/>
      </c>
      <c r="Q357" s="137" t="str" cm="1">
        <f t="array" ref="Q357">IF(COUNTIF($B$33:$E$33, Q$2)&gt;0, _xlfn.IFS(COUNTIF($B$33:$C$33, Q$2)&gt;0, VLOOKUP($J357,'Gear Values'!$A$2:$E$13, IF(COUNTBLANK('Attributes &amp; Prefixes'!$B$33:$C$33)&gt;0, "2", "3"), 0), COUNTIF($D$33:$E$33, Q$2)&gt;0, VLOOKUP($J357,'Gear Values'!$A$2:$E$13, IF(COUNTBLANK('Attributes &amp; Prefixes'!$B$33:$C$33)&gt;0, "4", "5"), 0)), "")</f>
        <v/>
      </c>
      <c r="R357" s="137" t="str" cm="1">
        <f t="array" ref="R357">IF(COUNTIF($B$33:$E$33, R$2)&gt;0, _xlfn.IFS(COUNTIF($B$33:$C$33, R$2)&gt;0, VLOOKUP($J357,'Gear Values'!$A$2:$E$13, IF(COUNTBLANK('Attributes &amp; Prefixes'!$B$33:$C$33)&gt;0, "2", "3"), 0), COUNTIF($D$33:$E$33, R$2)&gt;0, VLOOKUP($J357,'Gear Values'!$A$2:$E$13, IF(COUNTBLANK('Attributes &amp; Prefixes'!$B$33:$C$33)&gt;0, "4", "5"), 0)), "")</f>
        <v/>
      </c>
      <c r="S357" s="138" t="str" cm="1">
        <f t="array" ref="S357">IF(COUNTIF($B$33:$E$33, S$2)&gt;0, _xlfn.IFS(COUNTIF($B$33:$C$33, S$2)&gt;0, VLOOKUP($J357,'Gear Values'!$A$2:$E$13, IF(COUNTBLANK('Attributes &amp; Prefixes'!$B$33:$C$33)&gt;0, "2", "3"), 0), COUNTIF($D$33:$E$33, S$2)&gt;0, VLOOKUP($J357,'Gear Values'!$A$2:$E$13, IF(COUNTBLANK('Attributes &amp; Prefixes'!$B$33:$C$33)&gt;0, "4", "5"), 0)), "")</f>
        <v/>
      </c>
      <c r="V357" s="112"/>
      <c r="W357" s="113"/>
    </row>
    <row r="358" spans="6:23">
      <c r="F358" s="114"/>
      <c r="G358" s="114"/>
      <c r="H358" s="130" t="str">
        <f>_xlfn.CONCAT(I$351,J358)</f>
        <v>PaladinFeet</v>
      </c>
      <c r="I358" s="520"/>
      <c r="J358" s="144" t="s">
        <v>48</v>
      </c>
      <c r="K358" s="136" cm="1">
        <f t="array" ref="K358">IF(COUNTIF($B$33:$E$33, K$2)&gt;0, _xlfn.IFS(COUNTIF($B$33:$C$33, K$2)&gt;0, VLOOKUP($J358,'Gear Values'!$A$2:$E$13, IF(COUNTBLANK('Attributes &amp; Prefixes'!$B$33:$C$33)&gt;0, "2", "3"), 0), COUNTIF($D$33:$E$33, K$2)&gt;0, VLOOKUP($J358,'Gear Values'!$A$2:$E$13, IF(COUNTBLANK('Attributes &amp; Prefixes'!$B$33:$C$33)&gt;0, "4", "5"), 0)), "")</f>
        <v>38</v>
      </c>
      <c r="L358" s="137" cm="1">
        <f t="array" ref="L358">IF(COUNTIF($B$33:$E$33, L$2)&gt;0, _xlfn.IFS(COUNTIF($B$33:$C$33, L$2)&gt;0, VLOOKUP($J358,'Gear Values'!$A$2:$E$13, IF(COUNTBLANK('Attributes &amp; Prefixes'!$B$33:$C$33)&gt;0, "2", "3"), 0), COUNTIF($D$33:$E$33, L$2)&gt;0, VLOOKUP($J358,'Gear Values'!$A$2:$E$13, IF(COUNTBLANK('Attributes &amp; Prefixes'!$B$33:$C$33)&gt;0, "4", "5"), 0)), "")</f>
        <v>38</v>
      </c>
      <c r="M358" s="137" cm="1">
        <f t="array" ref="M358">IF(COUNTIF($B$33:$E$33, M$2)&gt;0, _xlfn.IFS(COUNTIF($B$33:$C$33, M$2)&gt;0, VLOOKUP($J358,'Gear Values'!$A$2:$E$13, IF(COUNTBLANK('Attributes &amp; Prefixes'!$B$33:$C$33)&gt;0, "2", "3"), 0), COUNTIF($D$33:$E$33, M$2)&gt;0, VLOOKUP($J358,'Gear Values'!$A$2:$E$13, IF(COUNTBLANK('Attributes &amp; Prefixes'!$B$33:$C$33)&gt;0, "4", "5"), 0)), "")</f>
        <v>21</v>
      </c>
      <c r="N358" s="137" cm="1">
        <f t="array" ref="N358">IF(COUNTIF($B$33:$E$33, N$2)&gt;0, _xlfn.IFS(COUNTIF($B$33:$C$33, N$2)&gt;0, VLOOKUP($J358,'Gear Values'!$A$2:$E$13, IF(COUNTBLANK('Attributes &amp; Prefixes'!$B$33:$C$33)&gt;0, "2", "3"), 0), COUNTIF($D$33:$E$33, N$2)&gt;0, VLOOKUP($J358,'Gear Values'!$A$2:$E$13, IF(COUNTBLANK('Attributes &amp; Prefixes'!$B$33:$C$33)&gt;0, "4", "5"), 0)), "")</f>
        <v>21</v>
      </c>
      <c r="O358" s="137" t="str" cm="1">
        <f t="array" ref="O358">IF(COUNTIF($B$33:$E$33, O$2)&gt;0, _xlfn.IFS(COUNTIF($B$33:$C$33, O$2)&gt;0, VLOOKUP($J358,'Gear Values'!$A$2:$E$13, IF(COUNTBLANK('Attributes &amp; Prefixes'!$B$33:$C$33)&gt;0, "2", "3"), 0), COUNTIF($D$33:$E$33, O$2)&gt;0, VLOOKUP($J358,'Gear Values'!$A$2:$E$13, IF(COUNTBLANK('Attributes &amp; Prefixes'!$B$33:$C$33)&gt;0, "4", "5"), 0)), "")</f>
        <v/>
      </c>
      <c r="P358" s="137" t="str" cm="1">
        <f t="array" ref="P358">IF(COUNTIF($B$33:$E$33, P$2)&gt;0, _xlfn.IFS(COUNTIF($B$33:$C$33, P$2)&gt;0, VLOOKUP($J358,'Gear Values'!$A$2:$E$13, IF(COUNTBLANK('Attributes &amp; Prefixes'!$B$33:$C$33)&gt;0, "2", "3"), 0), COUNTIF($D$33:$E$33, P$2)&gt;0, VLOOKUP($J358,'Gear Values'!$A$2:$E$13, IF(COUNTBLANK('Attributes &amp; Prefixes'!$B$33:$C$33)&gt;0, "4", "5"), 0)), "")</f>
        <v/>
      </c>
      <c r="Q358" s="137" t="str" cm="1">
        <f t="array" ref="Q358">IF(COUNTIF($B$33:$E$33, Q$2)&gt;0, _xlfn.IFS(COUNTIF($B$33:$C$33, Q$2)&gt;0, VLOOKUP($J358,'Gear Values'!$A$2:$E$13, IF(COUNTBLANK('Attributes &amp; Prefixes'!$B$33:$C$33)&gt;0, "2", "3"), 0), COUNTIF($D$33:$E$33, Q$2)&gt;0, VLOOKUP($J358,'Gear Values'!$A$2:$E$13, IF(COUNTBLANK('Attributes &amp; Prefixes'!$B$33:$C$33)&gt;0, "4", "5"), 0)), "")</f>
        <v/>
      </c>
      <c r="R358" s="137" t="str" cm="1">
        <f t="array" ref="R358">IF(COUNTIF($B$33:$E$33, R$2)&gt;0, _xlfn.IFS(COUNTIF($B$33:$C$33, R$2)&gt;0, VLOOKUP($J358,'Gear Values'!$A$2:$E$13, IF(COUNTBLANK('Attributes &amp; Prefixes'!$B$33:$C$33)&gt;0, "2", "3"), 0), COUNTIF($D$33:$E$33, R$2)&gt;0, VLOOKUP($J358,'Gear Values'!$A$2:$E$13, IF(COUNTBLANK('Attributes &amp; Prefixes'!$B$33:$C$33)&gt;0, "4", "5"), 0)), "")</f>
        <v/>
      </c>
      <c r="S358" s="138" t="str" cm="1">
        <f t="array" ref="S358">IF(COUNTIF($B$33:$E$33, S$2)&gt;0, _xlfn.IFS(COUNTIF($B$33:$C$33, S$2)&gt;0, VLOOKUP($J358,'Gear Values'!$A$2:$E$13, IF(COUNTBLANK('Attributes &amp; Prefixes'!$B$33:$C$33)&gt;0, "2", "3"), 0), COUNTIF($D$33:$E$33, S$2)&gt;0, VLOOKUP($J358,'Gear Values'!$A$2:$E$13, IF(COUNTBLANK('Attributes &amp; Prefixes'!$B$33:$C$33)&gt;0, "4", "5"), 0)), "")</f>
        <v/>
      </c>
      <c r="V358" s="112"/>
      <c r="W358" s="113"/>
    </row>
    <row r="359" spans="6:23">
      <c r="F359" s="114"/>
      <c r="G359" s="114"/>
      <c r="H359" s="130" t="str">
        <f>_xlfn.CONCAT(I$351,J359)</f>
        <v>PaladinEar</v>
      </c>
      <c r="I359" s="520"/>
      <c r="J359" s="144" t="s">
        <v>49</v>
      </c>
      <c r="K359" s="136" cm="1">
        <f t="array" ref="K359">IF(COUNTIF($B$33:$E$33, K$2)&gt;0, _xlfn.IFS(COUNTIF($B$33:$C$33, K$2)&gt;0, VLOOKUP($J359,'Gear Values'!$A$2:$E$13, IF(COUNTBLANK('Attributes &amp; Prefixes'!$B$33:$C$33)&gt;0, "2", "3"), 0), COUNTIF($D$33:$E$33, K$2)&gt;0, VLOOKUP($J359,'Gear Values'!$A$2:$E$13, IF(COUNTBLANK('Attributes &amp; Prefixes'!$B$33:$C$33)&gt;0, "4", "5"), 0)), "")</f>
        <v>64</v>
      </c>
      <c r="L359" s="137" cm="1">
        <f t="array" ref="L359">IF(COUNTIF($B$33:$E$33, L$2)&gt;0, _xlfn.IFS(COUNTIF($B$33:$C$33, L$2)&gt;0, VLOOKUP($J359,'Gear Values'!$A$2:$E$13, IF(COUNTBLANK('Attributes &amp; Prefixes'!$B$33:$C$33)&gt;0, "2", "3"), 0), COUNTIF($D$33:$E$33, L$2)&gt;0, VLOOKUP($J359,'Gear Values'!$A$2:$E$13, IF(COUNTBLANK('Attributes &amp; Prefixes'!$B$33:$C$33)&gt;0, "4", "5"), 0)), "")</f>
        <v>64</v>
      </c>
      <c r="M359" s="137" cm="1">
        <f t="array" ref="M359">IF(COUNTIF($B$33:$E$33, M$2)&gt;0, _xlfn.IFS(COUNTIF($B$33:$C$33, M$2)&gt;0, VLOOKUP($J359,'Gear Values'!$A$2:$E$13, IF(COUNTBLANK('Attributes &amp; Prefixes'!$B$33:$C$33)&gt;0, "2", "3"), 0), COUNTIF($D$33:$E$33, M$2)&gt;0, VLOOKUP($J359,'Gear Values'!$A$2:$E$13, IF(COUNTBLANK('Attributes &amp; Prefixes'!$B$33:$C$33)&gt;0, "4", "5"), 0)), "")</f>
        <v>35</v>
      </c>
      <c r="N359" s="137" cm="1">
        <f t="array" ref="N359">IF(COUNTIF($B$33:$E$33, N$2)&gt;0, _xlfn.IFS(COUNTIF($B$33:$C$33, N$2)&gt;0, VLOOKUP($J359,'Gear Values'!$A$2:$E$13, IF(COUNTBLANK('Attributes &amp; Prefixes'!$B$33:$C$33)&gt;0, "2", "3"), 0), COUNTIF($D$33:$E$33, N$2)&gt;0, VLOOKUP($J359,'Gear Values'!$A$2:$E$13, IF(COUNTBLANK('Attributes &amp; Prefixes'!$B$33:$C$33)&gt;0, "4", "5"), 0)), "")</f>
        <v>35</v>
      </c>
      <c r="O359" s="137" t="str" cm="1">
        <f t="array" ref="O359">IF(COUNTIF($B$33:$E$33, O$2)&gt;0, _xlfn.IFS(COUNTIF($B$33:$C$33, O$2)&gt;0, VLOOKUP($J359,'Gear Values'!$A$2:$E$13, IF(COUNTBLANK('Attributes &amp; Prefixes'!$B$33:$C$33)&gt;0, "2", "3"), 0), COUNTIF($D$33:$E$33, O$2)&gt;0, VLOOKUP($J359,'Gear Values'!$A$2:$E$13, IF(COUNTBLANK('Attributes &amp; Prefixes'!$B$33:$C$33)&gt;0, "4", "5"), 0)), "")</f>
        <v/>
      </c>
      <c r="P359" s="137" t="str" cm="1">
        <f t="array" ref="P359">IF(COUNTIF($B$33:$E$33, P$2)&gt;0, _xlfn.IFS(COUNTIF($B$33:$C$33, P$2)&gt;0, VLOOKUP($J359,'Gear Values'!$A$2:$E$13, IF(COUNTBLANK('Attributes &amp; Prefixes'!$B$33:$C$33)&gt;0, "2", "3"), 0), COUNTIF($D$33:$E$33, P$2)&gt;0, VLOOKUP($J359,'Gear Values'!$A$2:$E$13, IF(COUNTBLANK('Attributes &amp; Prefixes'!$B$33:$C$33)&gt;0, "4", "5"), 0)), "")</f>
        <v/>
      </c>
      <c r="Q359" s="137" t="str" cm="1">
        <f t="array" ref="Q359">IF(COUNTIF($B$33:$E$33, Q$2)&gt;0, _xlfn.IFS(COUNTIF($B$33:$C$33, Q$2)&gt;0, VLOOKUP($J359,'Gear Values'!$A$2:$E$13, IF(COUNTBLANK('Attributes &amp; Prefixes'!$B$33:$C$33)&gt;0, "2", "3"), 0), COUNTIF($D$33:$E$33, Q$2)&gt;0, VLOOKUP($J359,'Gear Values'!$A$2:$E$13, IF(COUNTBLANK('Attributes &amp; Prefixes'!$B$33:$C$33)&gt;0, "4", "5"), 0)), "")</f>
        <v/>
      </c>
      <c r="R359" s="137" t="str" cm="1">
        <f t="array" ref="R359">IF(COUNTIF($B$33:$E$33, R$2)&gt;0, _xlfn.IFS(COUNTIF($B$33:$C$33, R$2)&gt;0, VLOOKUP($J359,'Gear Values'!$A$2:$E$13, IF(COUNTBLANK('Attributes &amp; Prefixes'!$B$33:$C$33)&gt;0, "2", "3"), 0), COUNTIF($D$33:$E$33, R$2)&gt;0, VLOOKUP($J359,'Gear Values'!$A$2:$E$13, IF(COUNTBLANK('Attributes &amp; Prefixes'!$B$33:$C$33)&gt;0, "4", "5"), 0)), "")</f>
        <v/>
      </c>
      <c r="S359" s="138" t="str" cm="1">
        <f t="array" ref="S359">IF(COUNTIF($B$33:$E$33, S$2)&gt;0, _xlfn.IFS(COUNTIF($B$33:$C$33, S$2)&gt;0, VLOOKUP($J359,'Gear Values'!$A$2:$E$13, IF(COUNTBLANK('Attributes &amp; Prefixes'!$B$33:$C$33)&gt;0, "2", "3"), 0), COUNTIF($D$33:$E$33, S$2)&gt;0, VLOOKUP($J359,'Gear Values'!$A$2:$E$13, IF(COUNTBLANK('Attributes &amp; Prefixes'!$B$33:$C$33)&gt;0, "4", "5"), 0)), "")</f>
        <v/>
      </c>
      <c r="V359" s="112"/>
      <c r="W359" s="113"/>
    </row>
    <row r="360" spans="6:23">
      <c r="F360" s="114"/>
      <c r="G360" s="114"/>
      <c r="H360" s="130" t="str">
        <f>_xlfn.CONCAT(I$351,J360)</f>
        <v>PaladinFinger</v>
      </c>
      <c r="I360" s="520"/>
      <c r="J360" s="144" t="s">
        <v>51</v>
      </c>
      <c r="K360" s="136" cm="1">
        <f t="array" ref="K360">IF(COUNTIF($B$33:$E$33, K$2)&gt;0, _xlfn.IFS(COUNTIF($B$33:$C$33, K$2)&gt;0, VLOOKUP($J360,'Gear Values'!$A$2:$E$13, IF(COUNTBLANK('Attributes &amp; Prefixes'!$B$33:$C$33)&gt;0, "2", "3"), 0), COUNTIF($D$33:$E$33, K$2)&gt;0, VLOOKUP($J360,'Gear Values'!$A$2:$E$13, IF(COUNTBLANK('Attributes &amp; Prefixes'!$B$33:$C$33)&gt;0, "4", "5"), 0)), "")</f>
        <v>77</v>
      </c>
      <c r="L360" s="137" cm="1">
        <f t="array" ref="L360">IF(COUNTIF($B$33:$E$33, L$2)&gt;0, _xlfn.IFS(COUNTIF($B$33:$C$33, L$2)&gt;0, VLOOKUP($J360,'Gear Values'!$A$2:$E$13, IF(COUNTBLANK('Attributes &amp; Prefixes'!$B$33:$C$33)&gt;0, "2", "3"), 0), COUNTIF($D$33:$E$33, L$2)&gt;0, VLOOKUP($J360,'Gear Values'!$A$2:$E$13, IF(COUNTBLANK('Attributes &amp; Prefixes'!$B$33:$C$33)&gt;0, "4", "5"), 0)), "")</f>
        <v>77</v>
      </c>
      <c r="M360" s="137" cm="1">
        <f t="array" ref="M360">IF(COUNTIF($B$33:$E$33, M$2)&gt;0, _xlfn.IFS(COUNTIF($B$33:$C$33, M$2)&gt;0, VLOOKUP($J360,'Gear Values'!$A$2:$E$13, IF(COUNTBLANK('Attributes &amp; Prefixes'!$B$33:$C$33)&gt;0, "2", "3"), 0), COUNTIF($D$33:$E$33, M$2)&gt;0, VLOOKUP($J360,'Gear Values'!$A$2:$E$13, IF(COUNTBLANK('Attributes &amp; Prefixes'!$B$33:$C$33)&gt;0, "4", "5"), 0)), "")</f>
        <v>42</v>
      </c>
      <c r="N360" s="137" cm="1">
        <f t="array" ref="N360">IF(COUNTIF($B$33:$E$33, N$2)&gt;0, _xlfn.IFS(COUNTIF($B$33:$C$33, N$2)&gt;0, VLOOKUP($J360,'Gear Values'!$A$2:$E$13, IF(COUNTBLANK('Attributes &amp; Prefixes'!$B$33:$C$33)&gt;0, "2", "3"), 0), COUNTIF($D$33:$E$33, N$2)&gt;0, VLOOKUP($J360,'Gear Values'!$A$2:$E$13, IF(COUNTBLANK('Attributes &amp; Prefixes'!$B$33:$C$33)&gt;0, "4", "5"), 0)), "")</f>
        <v>42</v>
      </c>
      <c r="O360" s="137" t="str" cm="1">
        <f t="array" ref="O360">IF(COUNTIF($B$33:$E$33, O$2)&gt;0, _xlfn.IFS(COUNTIF($B$33:$C$33, O$2)&gt;0, VLOOKUP($J360,'Gear Values'!$A$2:$E$13, IF(COUNTBLANK('Attributes &amp; Prefixes'!$B$33:$C$33)&gt;0, "2", "3"), 0), COUNTIF($D$33:$E$33, O$2)&gt;0, VLOOKUP($J360,'Gear Values'!$A$2:$E$13, IF(COUNTBLANK('Attributes &amp; Prefixes'!$B$33:$C$33)&gt;0, "4", "5"), 0)), "")</f>
        <v/>
      </c>
      <c r="P360" s="137" t="str" cm="1">
        <f t="array" ref="P360">IF(COUNTIF($B$33:$E$33, P$2)&gt;0, _xlfn.IFS(COUNTIF($B$33:$C$33, P$2)&gt;0, VLOOKUP($J360,'Gear Values'!$A$2:$E$13, IF(COUNTBLANK('Attributes &amp; Prefixes'!$B$33:$C$33)&gt;0, "2", "3"), 0), COUNTIF($D$33:$E$33, P$2)&gt;0, VLOOKUP($J360,'Gear Values'!$A$2:$E$13, IF(COUNTBLANK('Attributes &amp; Prefixes'!$B$33:$C$33)&gt;0, "4", "5"), 0)), "")</f>
        <v/>
      </c>
      <c r="Q360" s="137" t="str" cm="1">
        <f t="array" ref="Q360">IF(COUNTIF($B$33:$E$33, Q$2)&gt;0, _xlfn.IFS(COUNTIF($B$33:$C$33, Q$2)&gt;0, VLOOKUP($J360,'Gear Values'!$A$2:$E$13, IF(COUNTBLANK('Attributes &amp; Prefixes'!$B$33:$C$33)&gt;0, "2", "3"), 0), COUNTIF($D$33:$E$33, Q$2)&gt;0, VLOOKUP($J360,'Gear Values'!$A$2:$E$13, IF(COUNTBLANK('Attributes &amp; Prefixes'!$B$33:$C$33)&gt;0, "4", "5"), 0)), "")</f>
        <v/>
      </c>
      <c r="R360" s="137" t="str" cm="1">
        <f t="array" ref="R360">IF(COUNTIF($B$33:$E$33, R$2)&gt;0, _xlfn.IFS(COUNTIF($B$33:$C$33, R$2)&gt;0, VLOOKUP($J360,'Gear Values'!$A$2:$E$13, IF(COUNTBLANK('Attributes &amp; Prefixes'!$B$33:$C$33)&gt;0, "2", "3"), 0), COUNTIF($D$33:$E$33, R$2)&gt;0, VLOOKUP($J360,'Gear Values'!$A$2:$E$13, IF(COUNTBLANK('Attributes &amp; Prefixes'!$B$33:$C$33)&gt;0, "4", "5"), 0)), "")</f>
        <v/>
      </c>
      <c r="S360" s="138" t="str" cm="1">
        <f t="array" ref="S360">IF(COUNTIF($B$33:$E$33, S$2)&gt;0, _xlfn.IFS(COUNTIF($B$33:$C$33, S$2)&gt;0, VLOOKUP($J360,'Gear Values'!$A$2:$E$13, IF(COUNTBLANK('Attributes &amp; Prefixes'!$B$33:$C$33)&gt;0, "2", "3"), 0), COUNTIF($D$33:$E$33, S$2)&gt;0, VLOOKUP($J360,'Gear Values'!$A$2:$E$13, IF(COUNTBLANK('Attributes &amp; Prefixes'!$B$33:$C$33)&gt;0, "4", "5"), 0)), "")</f>
        <v/>
      </c>
      <c r="V360" s="112"/>
      <c r="W360" s="113"/>
    </row>
    <row r="361" spans="6:23">
      <c r="F361" s="114"/>
      <c r="G361" s="114"/>
      <c r="H361" s="130" t="str">
        <f>_xlfn.CONCAT(I$351,J361)</f>
        <v>PaladinNeck</v>
      </c>
      <c r="I361" s="520"/>
      <c r="J361" s="144" t="s">
        <v>52</v>
      </c>
      <c r="K361" s="136" cm="1">
        <f t="array" ref="K361">IF(COUNTIF($B$33:$E$33, K$2)&gt;0, _xlfn.IFS(COUNTIF($B$33:$C$33, K$2)&gt;0, VLOOKUP($J361,'Gear Values'!$A$2:$E$13, IF(COUNTBLANK('Attributes &amp; Prefixes'!$B$33:$C$33)&gt;0, "2", "3"), 0), COUNTIF($D$33:$E$33, K$2)&gt;0, VLOOKUP($J361,'Gear Values'!$A$2:$E$13, IF(COUNTBLANK('Attributes &amp; Prefixes'!$B$33:$C$33)&gt;0, "4", "5"), 0)), "")</f>
        <v>102</v>
      </c>
      <c r="L361" s="137" cm="1">
        <f t="array" ref="L361">IF(COUNTIF($B$33:$E$33, L$2)&gt;0, _xlfn.IFS(COUNTIF($B$33:$C$33, L$2)&gt;0, VLOOKUP($J361,'Gear Values'!$A$2:$E$13, IF(COUNTBLANK('Attributes &amp; Prefixes'!$B$33:$C$33)&gt;0, "2", "3"), 0), COUNTIF($D$33:$E$33, L$2)&gt;0, VLOOKUP($J361,'Gear Values'!$A$2:$E$13, IF(COUNTBLANK('Attributes &amp; Prefixes'!$B$33:$C$33)&gt;0, "4", "5"), 0)), "")</f>
        <v>102</v>
      </c>
      <c r="M361" s="137" cm="1">
        <f t="array" ref="M361">IF(COUNTIF($B$33:$E$33, M$2)&gt;0, _xlfn.IFS(COUNTIF($B$33:$C$33, M$2)&gt;0, VLOOKUP($J361,'Gear Values'!$A$2:$E$13, IF(COUNTBLANK('Attributes &amp; Prefixes'!$B$33:$C$33)&gt;0, "2", "3"), 0), COUNTIF($D$33:$E$33, M$2)&gt;0, VLOOKUP($J361,'Gear Values'!$A$2:$E$13, IF(COUNTBLANK('Attributes &amp; Prefixes'!$B$33:$C$33)&gt;0, "4", "5"), 0)), "")</f>
        <v>56</v>
      </c>
      <c r="N361" s="137" cm="1">
        <f t="array" ref="N361">IF(COUNTIF($B$33:$E$33, N$2)&gt;0, _xlfn.IFS(COUNTIF($B$33:$C$33, N$2)&gt;0, VLOOKUP($J361,'Gear Values'!$A$2:$E$13, IF(COUNTBLANK('Attributes &amp; Prefixes'!$B$33:$C$33)&gt;0, "2", "3"), 0), COUNTIF($D$33:$E$33, N$2)&gt;0, VLOOKUP($J361,'Gear Values'!$A$2:$E$13, IF(COUNTBLANK('Attributes &amp; Prefixes'!$B$33:$C$33)&gt;0, "4", "5"), 0)), "")</f>
        <v>56</v>
      </c>
      <c r="O361" s="137" t="str" cm="1">
        <f t="array" ref="O361">IF(COUNTIF($B$33:$E$33, O$2)&gt;0, _xlfn.IFS(COUNTIF($B$33:$C$33, O$2)&gt;0, VLOOKUP($J361,'Gear Values'!$A$2:$E$13, IF(COUNTBLANK('Attributes &amp; Prefixes'!$B$33:$C$33)&gt;0, "2", "3"), 0), COUNTIF($D$33:$E$33, O$2)&gt;0, VLOOKUP($J361,'Gear Values'!$A$2:$E$13, IF(COUNTBLANK('Attributes &amp; Prefixes'!$B$33:$C$33)&gt;0, "4", "5"), 0)), "")</f>
        <v/>
      </c>
      <c r="P361" s="137" t="str" cm="1">
        <f t="array" ref="P361">IF(COUNTIF($B$33:$E$33, P$2)&gt;0, _xlfn.IFS(COUNTIF($B$33:$C$33, P$2)&gt;0, VLOOKUP($J361,'Gear Values'!$A$2:$E$13, IF(COUNTBLANK('Attributes &amp; Prefixes'!$B$33:$C$33)&gt;0, "2", "3"), 0), COUNTIF($D$33:$E$33, P$2)&gt;0, VLOOKUP($J361,'Gear Values'!$A$2:$E$13, IF(COUNTBLANK('Attributes &amp; Prefixes'!$B$33:$C$33)&gt;0, "4", "5"), 0)), "")</f>
        <v/>
      </c>
      <c r="Q361" s="137" t="str" cm="1">
        <f t="array" ref="Q361">IF(COUNTIF($B$33:$E$33, Q$2)&gt;0, _xlfn.IFS(COUNTIF($B$33:$C$33, Q$2)&gt;0, VLOOKUP($J361,'Gear Values'!$A$2:$E$13, IF(COUNTBLANK('Attributes &amp; Prefixes'!$B$33:$C$33)&gt;0, "2", "3"), 0), COUNTIF($D$33:$E$33, Q$2)&gt;0, VLOOKUP($J361,'Gear Values'!$A$2:$E$13, IF(COUNTBLANK('Attributes &amp; Prefixes'!$B$33:$C$33)&gt;0, "4", "5"), 0)), "")</f>
        <v/>
      </c>
      <c r="R361" s="137" t="str" cm="1">
        <f t="array" ref="R361">IF(COUNTIF($B$33:$E$33, R$2)&gt;0, _xlfn.IFS(COUNTIF($B$33:$C$33, R$2)&gt;0, VLOOKUP($J361,'Gear Values'!$A$2:$E$13, IF(COUNTBLANK('Attributes &amp; Prefixes'!$B$33:$C$33)&gt;0, "2", "3"), 0), COUNTIF($D$33:$E$33, R$2)&gt;0, VLOOKUP($J361,'Gear Values'!$A$2:$E$13, IF(COUNTBLANK('Attributes &amp; Prefixes'!$B$33:$C$33)&gt;0, "4", "5"), 0)), "")</f>
        <v/>
      </c>
      <c r="S361" s="138" t="str" cm="1">
        <f t="array" ref="S361">IF(COUNTIF($B$33:$E$33, S$2)&gt;0, _xlfn.IFS(COUNTIF($B$33:$C$33, S$2)&gt;0, VLOOKUP($J361,'Gear Values'!$A$2:$E$13, IF(COUNTBLANK('Attributes &amp; Prefixes'!$B$33:$C$33)&gt;0, "2", "3"), 0), COUNTIF($D$33:$E$33, S$2)&gt;0, VLOOKUP($J361,'Gear Values'!$A$2:$E$13, IF(COUNTBLANK('Attributes &amp; Prefixes'!$B$33:$C$33)&gt;0, "4", "5"), 0)), "")</f>
        <v/>
      </c>
      <c r="V361" s="112"/>
      <c r="W361" s="113"/>
    </row>
    <row r="362" spans="6:23">
      <c r="F362" s="114"/>
      <c r="G362" s="114"/>
      <c r="H362" s="130" t="str">
        <f>_xlfn.CONCAT(I$351,J362)</f>
        <v>PaladinBack</v>
      </c>
      <c r="I362" s="521"/>
      <c r="J362" s="146" t="s">
        <v>53</v>
      </c>
      <c r="K362" s="147" t="str" cm="1">
        <f t="array" ref="K362">IF(COUNTIF($B$33:$E$33, K$2)&gt;0, _xlfn.IFS(COUNTIF($B$33:$C$33, K$2)&gt;0, VLOOKUP($J362,'Gear Values'!$A$2:$E$13, IF(COUNTBLANK('Attributes &amp; Prefixes'!$B$33:$C$33)&gt;0, "2", "3"), 0), COUNTIF($D$33:$E$33, K$2)&gt;0, VLOOKUP($J362,'Gear Values'!$A$2:$E$13, IF(COUNTBLANK('Attributes &amp; Prefixes'!$B$33:$C$33)&gt;0, "4", "5"), 0)), "")</f>
        <v>N/A</v>
      </c>
      <c r="L362" s="148" t="str" cm="1">
        <f t="array" ref="L362">IF(COUNTIF($B$33:$E$33, L$2)&gt;0, _xlfn.IFS(COUNTIF($B$33:$C$33, L$2)&gt;0, VLOOKUP($J362,'Gear Values'!$A$2:$E$13, IF(COUNTBLANK('Attributes &amp; Prefixes'!$B$33:$C$33)&gt;0, "2", "3"), 0), COUNTIF($D$33:$E$33, L$2)&gt;0, VLOOKUP($J362,'Gear Values'!$A$2:$E$13, IF(COUNTBLANK('Attributes &amp; Prefixes'!$B$33:$C$33)&gt;0, "4", "5"), 0)), "")</f>
        <v>N/A</v>
      </c>
      <c r="M362" s="148" t="str" cm="1">
        <f t="array" ref="M362">IF(COUNTIF($B$33:$E$33, M$2)&gt;0, _xlfn.IFS(COUNTIF($B$33:$C$33, M$2)&gt;0, VLOOKUP($J362,'Gear Values'!$A$2:$E$13, IF(COUNTBLANK('Attributes &amp; Prefixes'!$B$33:$C$33)&gt;0, "2", "3"), 0), COUNTIF($D$33:$E$33, M$2)&gt;0, VLOOKUP($J362,'Gear Values'!$A$2:$E$13, IF(COUNTBLANK('Attributes &amp; Prefixes'!$B$33:$C$33)&gt;0, "4", "5"), 0)), "")</f>
        <v>N/A</v>
      </c>
      <c r="N362" s="148" t="str" cm="1">
        <f t="array" ref="N362">IF(COUNTIF($B$33:$E$33, N$2)&gt;0, _xlfn.IFS(COUNTIF($B$33:$C$33, N$2)&gt;0, VLOOKUP($J362,'Gear Values'!$A$2:$E$13, IF(COUNTBLANK('Attributes &amp; Prefixes'!$B$33:$C$33)&gt;0, "2", "3"), 0), COUNTIF($D$33:$E$33, N$2)&gt;0, VLOOKUP($J362,'Gear Values'!$A$2:$E$13, IF(COUNTBLANK('Attributes &amp; Prefixes'!$B$33:$C$33)&gt;0, "4", "5"), 0)), "")</f>
        <v>N/A</v>
      </c>
      <c r="O362" s="148" t="str" cm="1">
        <f t="array" ref="O362">IF(COUNTIF($B$33:$E$33, O$2)&gt;0, _xlfn.IFS(COUNTIF($B$33:$C$33, O$2)&gt;0, VLOOKUP($J362,'Gear Values'!$A$2:$E$13, IF(COUNTBLANK('Attributes &amp; Prefixes'!$B$33:$C$33)&gt;0, "2", "3"), 0), COUNTIF($D$33:$E$33, O$2)&gt;0, VLOOKUP($J362,'Gear Values'!$A$2:$E$13, IF(COUNTBLANK('Attributes &amp; Prefixes'!$B$33:$C$33)&gt;0, "4", "5"), 0)), "")</f>
        <v/>
      </c>
      <c r="P362" s="148" t="str" cm="1">
        <f t="array" ref="P362">IF(COUNTIF($B$33:$E$33, P$2)&gt;0, _xlfn.IFS(COUNTIF($B$33:$C$33, P$2)&gt;0, VLOOKUP($J362,'Gear Values'!$A$2:$E$13, IF(COUNTBLANK('Attributes &amp; Prefixes'!$B$33:$C$33)&gt;0, "2", "3"), 0), COUNTIF($D$33:$E$33, P$2)&gt;0, VLOOKUP($J362,'Gear Values'!$A$2:$E$13, IF(COUNTBLANK('Attributes &amp; Prefixes'!$B$33:$C$33)&gt;0, "4", "5"), 0)), "")</f>
        <v/>
      </c>
      <c r="Q362" s="148" t="str" cm="1">
        <f t="array" ref="Q362">IF(COUNTIF($B$33:$E$33, Q$2)&gt;0, _xlfn.IFS(COUNTIF($B$33:$C$33, Q$2)&gt;0, VLOOKUP($J362,'Gear Values'!$A$2:$E$13, IF(COUNTBLANK('Attributes &amp; Prefixes'!$B$33:$C$33)&gt;0, "2", "3"), 0), COUNTIF($D$33:$E$33, Q$2)&gt;0, VLOOKUP($J362,'Gear Values'!$A$2:$E$13, IF(COUNTBLANK('Attributes &amp; Prefixes'!$B$33:$C$33)&gt;0, "4", "5"), 0)), "")</f>
        <v/>
      </c>
      <c r="R362" s="148" t="str" cm="1">
        <f t="array" ref="R362">IF(COUNTIF($B$33:$E$33, R$2)&gt;0, _xlfn.IFS(COUNTIF($B$33:$C$33, R$2)&gt;0, VLOOKUP($J362,'Gear Values'!$A$2:$E$13, IF(COUNTBLANK('Attributes &amp; Prefixes'!$B$33:$C$33)&gt;0, "2", "3"), 0), COUNTIF($D$33:$E$33, R$2)&gt;0, VLOOKUP($J362,'Gear Values'!$A$2:$E$13, IF(COUNTBLANK('Attributes &amp; Prefixes'!$B$33:$C$33)&gt;0, "4", "5"), 0)), "")</f>
        <v/>
      </c>
      <c r="S362" s="150" t="str" cm="1">
        <f t="array" ref="S362">IF(COUNTIF($B$33:$E$33, S$2)&gt;0, _xlfn.IFS(COUNTIF($B$33:$C$33, S$2)&gt;0, VLOOKUP($J362,'Gear Values'!$A$2:$E$13, IF(COUNTBLANK('Attributes &amp; Prefixes'!$B$33:$C$33)&gt;0, "2", "3"), 0), COUNTIF($D$33:$E$33, S$2)&gt;0, VLOOKUP($J362,'Gear Values'!$A$2:$E$13, IF(COUNTBLANK('Attributes &amp; Prefixes'!$B$33:$C$33)&gt;0, "4", "5"), 0)), "")</f>
        <v/>
      </c>
      <c r="V362" s="112"/>
      <c r="W362" s="113"/>
    </row>
    <row r="363" spans="6:23">
      <c r="F363" s="114"/>
      <c r="G363" s="114"/>
      <c r="H363" s="130" t="str">
        <f>_xlfn.CONCAT(I$363,J363)</f>
        <v>PlaguedoctorWeapon (1H)</v>
      </c>
      <c r="I363" s="519" t="str">
        <f>A34</f>
        <v>Plaguedoctor</v>
      </c>
      <c r="J363" s="145" t="s">
        <v>37</v>
      </c>
      <c r="K363" s="133" t="str" cm="1">
        <f t="array" ref="K363">IF(COUNTIF($B$34:$E$34, K$2)&gt;0, _xlfn.IFS(COUNTIF($B$34:$C$34, K$2)&gt;0, VLOOKUP($J363,'Gear Values'!$A$2:$E$13, IF(COUNTBLANK('Attributes &amp; Prefixes'!$B$34:$C$34)&gt;0, "2", "3"), 0), COUNTIF($D$34:$E$34, K$2)&gt;0, VLOOKUP($J363,'Gear Values'!$A$2:$E$13, IF(COUNTBLANK('Attributes &amp; Prefixes'!$B$34:$C$34)&gt;0, "4", "5"), 0)), "")</f>
        <v/>
      </c>
      <c r="L363" s="134" t="str" cm="1">
        <f t="array" ref="L363">IF(COUNTIF($B$34:$E$34, L$2)&gt;0, _xlfn.IFS(COUNTIF($B$34:$C$34, L$2)&gt;0, VLOOKUP($J363,'Gear Values'!$A$2:$E$13, IF(COUNTBLANK('Attributes &amp; Prefixes'!$B$34:$C$34)&gt;0, "2", "3"), 0), COUNTIF($D$34:$E$34, L$2)&gt;0, VLOOKUP($J363,'Gear Values'!$A$2:$E$13, IF(COUNTBLANK('Attributes &amp; Prefixes'!$B$34:$C$34)&gt;0, "4", "5"), 0)), "")</f>
        <v/>
      </c>
      <c r="M363" s="134" t="str" cm="1">
        <f t="array" ref="M363">IF(COUNTIF($B$34:$E$34, M$2)&gt;0, _xlfn.IFS(COUNTIF($B$34:$C$34, M$2)&gt;0, VLOOKUP($J363,'Gear Values'!$A$2:$E$13, IF(COUNTBLANK('Attributes &amp; Prefixes'!$B$34:$C$34)&gt;0, "2", "3"), 0), COUNTIF($D$34:$E$34, M$2)&gt;0, VLOOKUP($J363,'Gear Values'!$A$2:$E$13, IF(COUNTBLANK('Attributes &amp; Prefixes'!$B$34:$C$34)&gt;0, "4", "5"), 0)), "")</f>
        <v/>
      </c>
      <c r="N363" s="134" cm="1">
        <f t="array" ref="N363">IF(COUNTIF($B$34:$E$34, N$2)&gt;0, _xlfn.IFS(COUNTIF($B$34:$C$34, N$2)&gt;0, VLOOKUP($J363,'Gear Values'!$A$2:$E$13, IF(COUNTBLANK('Attributes &amp; Prefixes'!$B$34:$C$34)&gt;0, "2", "3"), 0), COUNTIF($D$34:$E$34, N$2)&gt;0, VLOOKUP($J363,'Gear Values'!$A$2:$E$13, IF(COUNTBLANK('Attributes &amp; Prefixes'!$B$34:$C$34)&gt;0, "4", "5"), 0)), "")</f>
        <v>102</v>
      </c>
      <c r="O363" s="134" cm="1">
        <f t="array" ref="O363">IF(COUNTIF($B$34:$E$34, O$2)&gt;0, _xlfn.IFS(COUNTIF($B$34:$C$34, O$2)&gt;0, VLOOKUP($J363,'Gear Values'!$A$2:$E$13, IF(COUNTBLANK('Attributes &amp; Prefixes'!$B$34:$C$34)&gt;0, "2", "3"), 0), COUNTIF($D$34:$E$34, O$2)&gt;0, VLOOKUP($J363,'Gear Values'!$A$2:$E$13, IF(COUNTBLANK('Attributes &amp; Prefixes'!$B$34:$C$34)&gt;0, "4", "5"), 0)), "")</f>
        <v>56</v>
      </c>
      <c r="P363" s="134" cm="1">
        <f t="array" ref="P363">IF(COUNTIF($B$34:$E$34, P$2)&gt;0, _xlfn.IFS(COUNTIF($B$34:$C$34, P$2)&gt;0, VLOOKUP($J363,'Gear Values'!$A$2:$E$13, IF(COUNTBLANK('Attributes &amp; Prefixes'!$B$34:$C$34)&gt;0, "2", "3"), 0), COUNTIF($D$34:$E$34, P$2)&gt;0, VLOOKUP($J363,'Gear Values'!$A$2:$E$13, IF(COUNTBLANK('Attributes &amp; Prefixes'!$B$34:$C$34)&gt;0, "4", "5"), 0)), "")</f>
        <v>102</v>
      </c>
      <c r="Q363" s="134" t="str" cm="1">
        <f t="array" ref="Q363">IF(COUNTIF($B$34:$E$34, Q$2)&gt;0, _xlfn.IFS(COUNTIF($B$34:$C$34, Q$2)&gt;0, VLOOKUP($J363,'Gear Values'!$A$2:$E$13, IF(COUNTBLANK('Attributes &amp; Prefixes'!$B$34:$C$34)&gt;0, "2", "3"), 0), COUNTIF($D$34:$E$34, Q$2)&gt;0, VLOOKUP($J363,'Gear Values'!$A$2:$E$13, IF(COUNTBLANK('Attributes &amp; Prefixes'!$B$34:$C$34)&gt;0, "4", "5"), 0)), "")</f>
        <v/>
      </c>
      <c r="R363" s="134" t="str" cm="1">
        <f t="array" ref="R363">IF(COUNTIF($B$34:$E$34, R$2)&gt;0, _xlfn.IFS(COUNTIF($B$34:$C$34, R$2)&gt;0, VLOOKUP($J363,'Gear Values'!$A$2:$E$13, IF(COUNTBLANK('Attributes &amp; Prefixes'!$B$34:$C$34)&gt;0, "2", "3"), 0), COUNTIF($D$34:$E$34, R$2)&gt;0, VLOOKUP($J363,'Gear Values'!$A$2:$E$13, IF(COUNTBLANK('Attributes &amp; Prefixes'!$B$34:$C$34)&gt;0, "4", "5"), 0)), "")</f>
        <v/>
      </c>
      <c r="S363" s="135" cm="1">
        <f t="array" ref="S363">IF(COUNTIF($B$34:$E$34, S$2)&gt;0, _xlfn.IFS(COUNTIF($B$34:$C$34, S$2)&gt;0, VLOOKUP($J363,'Gear Values'!$A$2:$E$13, IF(COUNTBLANK('Attributes &amp; Prefixes'!$B$34:$C$34)&gt;0, "2", "3"), 0), COUNTIF($D$34:$E$34, S$2)&gt;0, VLOOKUP($J363,'Gear Values'!$A$2:$E$13, IF(COUNTBLANK('Attributes &amp; Prefixes'!$B$34:$C$34)&gt;0, "4", "5"), 0)), "")</f>
        <v>56</v>
      </c>
      <c r="V363" s="112"/>
      <c r="W363" s="113"/>
    </row>
    <row r="364" spans="6:23">
      <c r="F364" s="114"/>
      <c r="G364" s="114"/>
      <c r="H364" s="130" t="str">
        <f>_xlfn.CONCAT(I$363,J364)</f>
        <v>PlaguedoctorWeapon (2H)</v>
      </c>
      <c r="I364" s="520"/>
      <c r="J364" s="144" t="s">
        <v>39</v>
      </c>
      <c r="K364" s="136" t="str" cm="1">
        <f t="array" ref="K364">IF(COUNTIF($B$34:$E$34, K$2)&gt;0, _xlfn.IFS(COUNTIF($B$34:$C$34, K$2)&gt;0, VLOOKUP($J364,'Gear Values'!$A$2:$E$13, IF(COUNTBLANK('Attributes &amp; Prefixes'!$B$34:$C$34)&gt;0, "2", "3"), 0), COUNTIF($D$34:$E$34, K$2)&gt;0, VLOOKUP($J364,'Gear Values'!$A$2:$E$13, IF(COUNTBLANK('Attributes &amp; Prefixes'!$B$34:$C$34)&gt;0, "4", "5"), 0)), "")</f>
        <v/>
      </c>
      <c r="L364" s="137" t="str" cm="1">
        <f t="array" ref="L364">IF(COUNTIF($B$34:$E$34, L$2)&gt;0, _xlfn.IFS(COUNTIF($B$34:$C$34, L$2)&gt;0, VLOOKUP($J364,'Gear Values'!$A$2:$E$13, IF(COUNTBLANK('Attributes &amp; Prefixes'!$B$34:$C$34)&gt;0, "2", "3"), 0), COUNTIF($D$34:$E$34, L$2)&gt;0, VLOOKUP($J364,'Gear Values'!$A$2:$E$13, IF(COUNTBLANK('Attributes &amp; Prefixes'!$B$34:$C$34)&gt;0, "4", "5"), 0)), "")</f>
        <v/>
      </c>
      <c r="M364" s="137" t="str" cm="1">
        <f t="array" ref="M364">IF(COUNTIF($B$34:$E$34, M$2)&gt;0, _xlfn.IFS(COUNTIF($B$34:$C$34, M$2)&gt;0, VLOOKUP($J364,'Gear Values'!$A$2:$E$13, IF(COUNTBLANK('Attributes &amp; Prefixes'!$B$34:$C$34)&gt;0, "2", "3"), 0), COUNTIF($D$34:$E$34, M$2)&gt;0, VLOOKUP($J364,'Gear Values'!$A$2:$E$13, IF(COUNTBLANK('Attributes &amp; Prefixes'!$B$34:$C$34)&gt;0, "4", "5"), 0)), "")</f>
        <v/>
      </c>
      <c r="N364" s="137" cm="1">
        <f t="array" ref="N364">IF(COUNTIF($B$34:$E$34, N$2)&gt;0, _xlfn.IFS(COUNTIF($B$34:$C$34, N$2)&gt;0, VLOOKUP($J364,'Gear Values'!$A$2:$E$13, IF(COUNTBLANK('Attributes &amp; Prefixes'!$B$34:$C$34)&gt;0, "2", "3"), 0), COUNTIF($D$34:$E$34, N$2)&gt;0, VLOOKUP($J364,'Gear Values'!$A$2:$E$13, IF(COUNTBLANK('Attributes &amp; Prefixes'!$B$34:$C$34)&gt;0, "4", "5"), 0)), "")</f>
        <v>205</v>
      </c>
      <c r="O364" s="137" cm="1">
        <f t="array" ref="O364">IF(COUNTIF($B$34:$E$34, O$2)&gt;0, _xlfn.IFS(COUNTIF($B$34:$C$34, O$2)&gt;0, VLOOKUP($J364,'Gear Values'!$A$2:$E$13, IF(COUNTBLANK('Attributes &amp; Prefixes'!$B$34:$C$34)&gt;0, "2", "3"), 0), COUNTIF($D$34:$E$34, O$2)&gt;0, VLOOKUP($J364,'Gear Values'!$A$2:$E$13, IF(COUNTBLANK('Attributes &amp; Prefixes'!$B$34:$C$34)&gt;0, "4", "5"), 0)), "")</f>
        <v>113</v>
      </c>
      <c r="P364" s="137" cm="1">
        <f t="array" ref="P364">IF(COUNTIF($B$34:$E$34, P$2)&gt;0, _xlfn.IFS(COUNTIF($B$34:$C$34, P$2)&gt;0, VLOOKUP($J364,'Gear Values'!$A$2:$E$13, IF(COUNTBLANK('Attributes &amp; Prefixes'!$B$34:$C$34)&gt;0, "2", "3"), 0), COUNTIF($D$34:$E$34, P$2)&gt;0, VLOOKUP($J364,'Gear Values'!$A$2:$E$13, IF(COUNTBLANK('Attributes &amp; Prefixes'!$B$34:$C$34)&gt;0, "4", "5"), 0)), "")</f>
        <v>205</v>
      </c>
      <c r="Q364" s="137" t="str" cm="1">
        <f t="array" ref="Q364">IF(COUNTIF($B$34:$E$34, Q$2)&gt;0, _xlfn.IFS(COUNTIF($B$34:$C$34, Q$2)&gt;0, VLOOKUP($J364,'Gear Values'!$A$2:$E$13, IF(COUNTBLANK('Attributes &amp; Prefixes'!$B$34:$C$34)&gt;0, "2", "3"), 0), COUNTIF($D$34:$E$34, Q$2)&gt;0, VLOOKUP($J364,'Gear Values'!$A$2:$E$13, IF(COUNTBLANK('Attributes &amp; Prefixes'!$B$34:$C$34)&gt;0, "4", "5"), 0)), "")</f>
        <v/>
      </c>
      <c r="R364" s="137" t="str" cm="1">
        <f t="array" ref="R364">IF(COUNTIF($B$34:$E$34, R$2)&gt;0, _xlfn.IFS(COUNTIF($B$34:$C$34, R$2)&gt;0, VLOOKUP($J364,'Gear Values'!$A$2:$E$13, IF(COUNTBLANK('Attributes &amp; Prefixes'!$B$34:$C$34)&gt;0, "2", "3"), 0), COUNTIF($D$34:$E$34, R$2)&gt;0, VLOOKUP($J364,'Gear Values'!$A$2:$E$13, IF(COUNTBLANK('Attributes &amp; Prefixes'!$B$34:$C$34)&gt;0, "4", "5"), 0)), "")</f>
        <v/>
      </c>
      <c r="S364" s="138" cm="1">
        <f t="array" ref="S364">IF(COUNTIF($B$34:$E$34, S$2)&gt;0, _xlfn.IFS(COUNTIF($B$34:$C$34, S$2)&gt;0, VLOOKUP($J364,'Gear Values'!$A$2:$E$13, IF(COUNTBLANK('Attributes &amp; Prefixes'!$B$34:$C$34)&gt;0, "2", "3"), 0), COUNTIF($D$34:$E$34, S$2)&gt;0, VLOOKUP($J364,'Gear Values'!$A$2:$E$13, IF(COUNTBLANK('Attributes &amp; Prefixes'!$B$34:$C$34)&gt;0, "4", "5"), 0)), "")</f>
        <v>113</v>
      </c>
      <c r="V364" s="112"/>
      <c r="W364" s="113"/>
    </row>
    <row r="365" spans="6:23">
      <c r="F365" s="114"/>
      <c r="G365" s="114"/>
      <c r="H365" s="130" t="str">
        <f>_xlfn.CONCAT(I$363,J365)</f>
        <v>PlaguedoctorHead</v>
      </c>
      <c r="I365" s="520"/>
      <c r="J365" s="144" t="s">
        <v>40</v>
      </c>
      <c r="K365" s="136" t="str" cm="1">
        <f t="array" ref="K365">IF(COUNTIF($B$34:$E$34, K$2)&gt;0, _xlfn.IFS(COUNTIF($B$34:$C$34, K$2)&gt;0, VLOOKUP($J365,'Gear Values'!$A$2:$E$13, IF(COUNTBLANK('Attributes &amp; Prefixes'!$B$34:$C$34)&gt;0, "2", "3"), 0), COUNTIF($D$34:$E$34, K$2)&gt;0, VLOOKUP($J365,'Gear Values'!$A$2:$E$13, IF(COUNTBLANK('Attributes &amp; Prefixes'!$B$34:$C$34)&gt;0, "4", "5"), 0)), "")</f>
        <v/>
      </c>
      <c r="L365" s="137" t="str" cm="1">
        <f t="array" ref="L365">IF(COUNTIF($B$34:$E$34, L$2)&gt;0, _xlfn.IFS(COUNTIF($B$34:$C$34, L$2)&gt;0, VLOOKUP($J365,'Gear Values'!$A$2:$E$13, IF(COUNTBLANK('Attributes &amp; Prefixes'!$B$34:$C$34)&gt;0, "2", "3"), 0), COUNTIF($D$34:$E$34, L$2)&gt;0, VLOOKUP($J365,'Gear Values'!$A$2:$E$13, IF(COUNTBLANK('Attributes &amp; Prefixes'!$B$34:$C$34)&gt;0, "4", "5"), 0)), "")</f>
        <v/>
      </c>
      <c r="M365" s="137" t="str" cm="1">
        <f t="array" ref="M365">IF(COUNTIF($B$34:$E$34, M$2)&gt;0, _xlfn.IFS(COUNTIF($B$34:$C$34, M$2)&gt;0, VLOOKUP($J365,'Gear Values'!$A$2:$E$13, IF(COUNTBLANK('Attributes &amp; Prefixes'!$B$34:$C$34)&gt;0, "2", "3"), 0), COUNTIF($D$34:$E$34, M$2)&gt;0, VLOOKUP($J365,'Gear Values'!$A$2:$E$13, IF(COUNTBLANK('Attributes &amp; Prefixes'!$B$34:$C$34)&gt;0, "4", "5"), 0)), "")</f>
        <v/>
      </c>
      <c r="N365" s="137" cm="1">
        <f t="array" ref="N365">IF(COUNTIF($B$34:$E$34, N$2)&gt;0, _xlfn.IFS(COUNTIF($B$34:$C$34, N$2)&gt;0, VLOOKUP($J365,'Gear Values'!$A$2:$E$13, IF(COUNTBLANK('Attributes &amp; Prefixes'!$B$34:$C$34)&gt;0, "2", "3"), 0), COUNTIF($D$34:$E$34, N$2)&gt;0, VLOOKUP($J365,'Gear Values'!$A$2:$E$13, IF(COUNTBLANK('Attributes &amp; Prefixes'!$B$34:$C$34)&gt;0, "4", "5"), 0)), "")</f>
        <v>51</v>
      </c>
      <c r="O365" s="137" cm="1">
        <f t="array" ref="O365">IF(COUNTIF($B$34:$E$34, O$2)&gt;0, _xlfn.IFS(COUNTIF($B$34:$C$34, O$2)&gt;0, VLOOKUP($J365,'Gear Values'!$A$2:$E$13, IF(COUNTBLANK('Attributes &amp; Prefixes'!$B$34:$C$34)&gt;0, "2", "3"), 0), COUNTIF($D$34:$E$34, O$2)&gt;0, VLOOKUP($J365,'Gear Values'!$A$2:$E$13, IF(COUNTBLANK('Attributes &amp; Prefixes'!$B$34:$C$34)&gt;0, "4", "5"), 0)), "")</f>
        <v>28</v>
      </c>
      <c r="P365" s="137" cm="1">
        <f t="array" ref="P365">IF(COUNTIF($B$34:$E$34, P$2)&gt;0, _xlfn.IFS(COUNTIF($B$34:$C$34, P$2)&gt;0, VLOOKUP($J365,'Gear Values'!$A$2:$E$13, IF(COUNTBLANK('Attributes &amp; Prefixes'!$B$34:$C$34)&gt;0, "2", "3"), 0), COUNTIF($D$34:$E$34, P$2)&gt;0, VLOOKUP($J365,'Gear Values'!$A$2:$E$13, IF(COUNTBLANK('Attributes &amp; Prefixes'!$B$34:$C$34)&gt;0, "4", "5"), 0)), "")</f>
        <v>51</v>
      </c>
      <c r="Q365" s="137" t="str" cm="1">
        <f t="array" ref="Q365">IF(COUNTIF($B$34:$E$34, Q$2)&gt;0, _xlfn.IFS(COUNTIF($B$34:$C$34, Q$2)&gt;0, VLOOKUP($J365,'Gear Values'!$A$2:$E$13, IF(COUNTBLANK('Attributes &amp; Prefixes'!$B$34:$C$34)&gt;0, "2", "3"), 0), COUNTIF($D$34:$E$34, Q$2)&gt;0, VLOOKUP($J365,'Gear Values'!$A$2:$E$13, IF(COUNTBLANK('Attributes &amp; Prefixes'!$B$34:$C$34)&gt;0, "4", "5"), 0)), "")</f>
        <v/>
      </c>
      <c r="R365" s="137" t="str" cm="1">
        <f t="array" ref="R365">IF(COUNTIF($B$34:$E$34, R$2)&gt;0, _xlfn.IFS(COUNTIF($B$34:$C$34, R$2)&gt;0, VLOOKUP($J365,'Gear Values'!$A$2:$E$13, IF(COUNTBLANK('Attributes &amp; Prefixes'!$B$34:$C$34)&gt;0, "2", "3"), 0), COUNTIF($D$34:$E$34, R$2)&gt;0, VLOOKUP($J365,'Gear Values'!$A$2:$E$13, IF(COUNTBLANK('Attributes &amp; Prefixes'!$B$34:$C$34)&gt;0, "4", "5"), 0)), "")</f>
        <v/>
      </c>
      <c r="S365" s="138" cm="1">
        <f t="array" ref="S365">IF(COUNTIF($B$34:$E$34, S$2)&gt;0, _xlfn.IFS(COUNTIF($B$34:$C$34, S$2)&gt;0, VLOOKUP($J365,'Gear Values'!$A$2:$E$13, IF(COUNTBLANK('Attributes &amp; Prefixes'!$B$34:$C$34)&gt;0, "2", "3"), 0), COUNTIF($D$34:$E$34, S$2)&gt;0, VLOOKUP($J365,'Gear Values'!$A$2:$E$13, IF(COUNTBLANK('Attributes &amp; Prefixes'!$B$34:$C$34)&gt;0, "4", "5"), 0)), "")</f>
        <v>28</v>
      </c>
      <c r="V365" s="112"/>
      <c r="W365" s="113"/>
    </row>
    <row r="366" spans="6:23">
      <c r="F366" s="114"/>
      <c r="G366" s="114"/>
      <c r="H366" s="130" t="str">
        <f>_xlfn.CONCAT(I$363,J366)</f>
        <v>PlaguedoctorShoulders</v>
      </c>
      <c r="I366" s="520"/>
      <c r="J366" s="144" t="s">
        <v>42</v>
      </c>
      <c r="K366" s="136" t="str" cm="1">
        <f t="array" ref="K366">IF(COUNTIF($B$34:$E$34, K$2)&gt;0, _xlfn.IFS(COUNTIF($B$34:$C$34, K$2)&gt;0, VLOOKUP($J366,'Gear Values'!$A$2:$E$13, IF(COUNTBLANK('Attributes &amp; Prefixes'!$B$34:$C$34)&gt;0, "2", "3"), 0), COUNTIF($D$34:$E$34, K$2)&gt;0, VLOOKUP($J366,'Gear Values'!$A$2:$E$13, IF(COUNTBLANK('Attributes &amp; Prefixes'!$B$34:$C$34)&gt;0, "4", "5"), 0)), "")</f>
        <v/>
      </c>
      <c r="L366" s="137" t="str" cm="1">
        <f t="array" ref="L366">IF(COUNTIF($B$34:$E$34, L$2)&gt;0, _xlfn.IFS(COUNTIF($B$34:$C$34, L$2)&gt;0, VLOOKUP($J366,'Gear Values'!$A$2:$E$13, IF(COUNTBLANK('Attributes &amp; Prefixes'!$B$34:$C$34)&gt;0, "2", "3"), 0), COUNTIF($D$34:$E$34, L$2)&gt;0, VLOOKUP($J366,'Gear Values'!$A$2:$E$13, IF(COUNTBLANK('Attributes &amp; Prefixes'!$B$34:$C$34)&gt;0, "4", "5"), 0)), "")</f>
        <v/>
      </c>
      <c r="M366" s="137" t="str" cm="1">
        <f t="array" ref="M366">IF(COUNTIF($B$34:$E$34, M$2)&gt;0, _xlfn.IFS(COUNTIF($B$34:$C$34, M$2)&gt;0, VLOOKUP($J366,'Gear Values'!$A$2:$E$13, IF(COUNTBLANK('Attributes &amp; Prefixes'!$B$34:$C$34)&gt;0, "2", "3"), 0), COUNTIF($D$34:$E$34, M$2)&gt;0, VLOOKUP($J366,'Gear Values'!$A$2:$E$13, IF(COUNTBLANK('Attributes &amp; Prefixes'!$B$34:$C$34)&gt;0, "4", "5"), 0)), "")</f>
        <v/>
      </c>
      <c r="N366" s="137" cm="1">
        <f t="array" ref="N366">IF(COUNTIF($B$34:$E$34, N$2)&gt;0, _xlfn.IFS(COUNTIF($B$34:$C$34, N$2)&gt;0, VLOOKUP($J366,'Gear Values'!$A$2:$E$13, IF(COUNTBLANK('Attributes &amp; Prefixes'!$B$34:$C$34)&gt;0, "2", "3"), 0), COUNTIF($D$34:$E$34, N$2)&gt;0, VLOOKUP($J366,'Gear Values'!$A$2:$E$13, IF(COUNTBLANK('Attributes &amp; Prefixes'!$B$34:$C$34)&gt;0, "4", "5"), 0)), "")</f>
        <v>38</v>
      </c>
      <c r="O366" s="137" cm="1">
        <f t="array" ref="O366">IF(COUNTIF($B$34:$E$34, O$2)&gt;0, _xlfn.IFS(COUNTIF($B$34:$C$34, O$2)&gt;0, VLOOKUP($J366,'Gear Values'!$A$2:$E$13, IF(COUNTBLANK('Attributes &amp; Prefixes'!$B$34:$C$34)&gt;0, "2", "3"), 0), COUNTIF($D$34:$E$34, O$2)&gt;0, VLOOKUP($J366,'Gear Values'!$A$2:$E$13, IF(COUNTBLANK('Attributes &amp; Prefixes'!$B$34:$C$34)&gt;0, "4", "5"), 0)), "")</f>
        <v>21</v>
      </c>
      <c r="P366" s="137" cm="1">
        <f t="array" ref="P366">IF(COUNTIF($B$34:$E$34, P$2)&gt;0, _xlfn.IFS(COUNTIF($B$34:$C$34, P$2)&gt;0, VLOOKUP($J366,'Gear Values'!$A$2:$E$13, IF(COUNTBLANK('Attributes &amp; Prefixes'!$B$34:$C$34)&gt;0, "2", "3"), 0), COUNTIF($D$34:$E$34, P$2)&gt;0, VLOOKUP($J366,'Gear Values'!$A$2:$E$13, IF(COUNTBLANK('Attributes &amp; Prefixes'!$B$34:$C$34)&gt;0, "4", "5"), 0)), "")</f>
        <v>38</v>
      </c>
      <c r="Q366" s="137" t="str" cm="1">
        <f t="array" ref="Q366">IF(COUNTIF($B$34:$E$34, Q$2)&gt;0, _xlfn.IFS(COUNTIF($B$34:$C$34, Q$2)&gt;0, VLOOKUP($J366,'Gear Values'!$A$2:$E$13, IF(COUNTBLANK('Attributes &amp; Prefixes'!$B$34:$C$34)&gt;0, "2", "3"), 0), COUNTIF($D$34:$E$34, Q$2)&gt;0, VLOOKUP($J366,'Gear Values'!$A$2:$E$13, IF(COUNTBLANK('Attributes &amp; Prefixes'!$B$34:$C$34)&gt;0, "4", "5"), 0)), "")</f>
        <v/>
      </c>
      <c r="R366" s="137" t="str" cm="1">
        <f t="array" ref="R366">IF(COUNTIF($B$34:$E$34, R$2)&gt;0, _xlfn.IFS(COUNTIF($B$34:$C$34, R$2)&gt;0, VLOOKUP($J366,'Gear Values'!$A$2:$E$13, IF(COUNTBLANK('Attributes &amp; Prefixes'!$B$34:$C$34)&gt;0, "2", "3"), 0), COUNTIF($D$34:$E$34, R$2)&gt;0, VLOOKUP($J366,'Gear Values'!$A$2:$E$13, IF(COUNTBLANK('Attributes &amp; Prefixes'!$B$34:$C$34)&gt;0, "4", "5"), 0)), "")</f>
        <v/>
      </c>
      <c r="S366" s="138" cm="1">
        <f t="array" ref="S366">IF(COUNTIF($B$34:$E$34, S$2)&gt;0, _xlfn.IFS(COUNTIF($B$34:$C$34, S$2)&gt;0, VLOOKUP($J366,'Gear Values'!$A$2:$E$13, IF(COUNTBLANK('Attributes &amp; Prefixes'!$B$34:$C$34)&gt;0, "2", "3"), 0), COUNTIF($D$34:$E$34, S$2)&gt;0, VLOOKUP($J366,'Gear Values'!$A$2:$E$13, IF(COUNTBLANK('Attributes &amp; Prefixes'!$B$34:$C$34)&gt;0, "4", "5"), 0)), "")</f>
        <v>21</v>
      </c>
      <c r="V366" s="112"/>
      <c r="W366" s="113"/>
    </row>
    <row r="367" spans="6:23">
      <c r="F367" s="114"/>
      <c r="G367" s="114"/>
      <c r="H367" s="130" t="str">
        <f>_xlfn.CONCAT(I$363,J368)</f>
        <v>PlaguedoctorHands</v>
      </c>
      <c r="I367" s="520"/>
      <c r="J367" s="144" t="s">
        <v>44</v>
      </c>
      <c r="K367" s="136" t="str" cm="1">
        <f t="array" ref="K367">IF(COUNTIF($B$34:$E$34, K$2)&gt;0, _xlfn.IFS(COUNTIF($B$34:$C$34, K$2)&gt;0, VLOOKUP($J368,'Gear Values'!$A$2:$E$13, IF(COUNTBLANK('Attributes &amp; Prefixes'!$B$34:$C$34)&gt;0, "2", "3"), 0), COUNTIF($D$34:$E$34, K$2)&gt;0, VLOOKUP($J368,'Gear Values'!$A$2:$E$13, IF(COUNTBLANK('Attributes &amp; Prefixes'!$B$34:$C$34)&gt;0, "4", "5"), 0)), "")</f>
        <v/>
      </c>
      <c r="L367" s="137" t="str" cm="1">
        <f t="array" ref="L367">IF(COUNTIF($B$34:$E$34, L$2)&gt;0, _xlfn.IFS(COUNTIF($B$34:$C$34, L$2)&gt;0, VLOOKUP($J368,'Gear Values'!$A$2:$E$13, IF(COUNTBLANK('Attributes &amp; Prefixes'!$B$34:$C$34)&gt;0, "2", "3"), 0), COUNTIF($D$34:$E$34, L$2)&gt;0, VLOOKUP($J368,'Gear Values'!$A$2:$E$13, IF(COUNTBLANK('Attributes &amp; Prefixes'!$B$34:$C$34)&gt;0, "4", "5"), 0)), "")</f>
        <v/>
      </c>
      <c r="M367" s="137" t="str" cm="1">
        <f t="array" ref="M367">IF(COUNTIF($B$34:$E$34, M$2)&gt;0, _xlfn.IFS(COUNTIF($B$34:$C$34, M$2)&gt;0, VLOOKUP($J368,'Gear Values'!$A$2:$E$13, IF(COUNTBLANK('Attributes &amp; Prefixes'!$B$34:$C$34)&gt;0, "2", "3"), 0), COUNTIF($D$34:$E$34, M$2)&gt;0, VLOOKUP($J368,'Gear Values'!$A$2:$E$13, IF(COUNTBLANK('Attributes &amp; Prefixes'!$B$34:$C$34)&gt;0, "4", "5"), 0)), "")</f>
        <v/>
      </c>
      <c r="N367" s="137" cm="1">
        <f t="array" ref="N367">IF(COUNTIF($B$34:$E$34, N$2)&gt;0, _xlfn.IFS(COUNTIF($B$34:$C$34, N$2)&gt;0, VLOOKUP($J368,'Gear Values'!$A$2:$E$13, IF(COUNTBLANK('Attributes &amp; Prefixes'!$B$34:$C$34)&gt;0, "2", "3"), 0), COUNTIF($D$34:$E$34, N$2)&gt;0, VLOOKUP($J368,'Gear Values'!$A$2:$E$13, IF(COUNTBLANK('Attributes &amp; Prefixes'!$B$34:$C$34)&gt;0, "4", "5"), 0)), "")</f>
        <v>38</v>
      </c>
      <c r="O367" s="137" cm="1">
        <f t="array" ref="O367">IF(COUNTIF($B$34:$E$34, O$2)&gt;0, _xlfn.IFS(COUNTIF($B$34:$C$34, O$2)&gt;0, VLOOKUP($J368,'Gear Values'!$A$2:$E$13, IF(COUNTBLANK('Attributes &amp; Prefixes'!$B$34:$C$34)&gt;0, "2", "3"), 0), COUNTIF($D$34:$E$34, O$2)&gt;0, VLOOKUP($J368,'Gear Values'!$A$2:$E$13, IF(COUNTBLANK('Attributes &amp; Prefixes'!$B$34:$C$34)&gt;0, "4", "5"), 0)), "")</f>
        <v>21</v>
      </c>
      <c r="P367" s="137" cm="1">
        <f t="array" ref="P367">IF(COUNTIF($B$34:$E$34, P$2)&gt;0, _xlfn.IFS(COUNTIF($B$34:$C$34, P$2)&gt;0, VLOOKUP($J368,'Gear Values'!$A$2:$E$13, IF(COUNTBLANK('Attributes &amp; Prefixes'!$B$34:$C$34)&gt;0, "2", "3"), 0), COUNTIF($D$34:$E$34, P$2)&gt;0, VLOOKUP($J368,'Gear Values'!$A$2:$E$13, IF(COUNTBLANK('Attributes &amp; Prefixes'!$B$34:$C$34)&gt;0, "4", "5"), 0)), "")</f>
        <v>38</v>
      </c>
      <c r="Q367" s="137" t="str" cm="1">
        <f t="array" ref="Q367">IF(COUNTIF($B$34:$E$34, Q$2)&gt;0, _xlfn.IFS(COUNTIF($B$34:$C$34, Q$2)&gt;0, VLOOKUP($J368,'Gear Values'!$A$2:$E$13, IF(COUNTBLANK('Attributes &amp; Prefixes'!$B$34:$C$34)&gt;0, "2", "3"), 0), COUNTIF($D$34:$E$34, Q$2)&gt;0, VLOOKUP($J368,'Gear Values'!$A$2:$E$13, IF(COUNTBLANK('Attributes &amp; Prefixes'!$B$34:$C$34)&gt;0, "4", "5"), 0)), "")</f>
        <v/>
      </c>
      <c r="R367" s="137" t="str" cm="1">
        <f t="array" ref="R367">IF(COUNTIF($B$34:$E$34, R$2)&gt;0, _xlfn.IFS(COUNTIF($B$34:$C$34, R$2)&gt;0, VLOOKUP($J368,'Gear Values'!$A$2:$E$13, IF(COUNTBLANK('Attributes &amp; Prefixes'!$B$34:$C$34)&gt;0, "2", "3"), 0), COUNTIF($D$34:$E$34, R$2)&gt;0, VLOOKUP($J368,'Gear Values'!$A$2:$E$13, IF(COUNTBLANK('Attributes &amp; Prefixes'!$B$34:$C$34)&gt;0, "4", "5"), 0)), "")</f>
        <v/>
      </c>
      <c r="S367" s="138" cm="1">
        <f t="array" ref="S367">IF(COUNTIF($B$34:$E$34, S$2)&gt;0, _xlfn.IFS(COUNTIF($B$34:$C$34, S$2)&gt;0, VLOOKUP($J368,'Gear Values'!$A$2:$E$13, IF(COUNTBLANK('Attributes &amp; Prefixes'!$B$34:$C$34)&gt;0, "2", "3"), 0), COUNTIF($D$34:$E$34, S$2)&gt;0, VLOOKUP($J368,'Gear Values'!$A$2:$E$13, IF(COUNTBLANK('Attributes &amp; Prefixes'!$B$34:$C$34)&gt;0, "4", "5"), 0)), "")</f>
        <v>21</v>
      </c>
      <c r="V367" s="112"/>
      <c r="W367" s="113"/>
    </row>
    <row r="368" spans="6:23">
      <c r="F368" s="114"/>
      <c r="G368" s="114"/>
      <c r="H368" s="130" t="str">
        <f>_xlfn.CONCAT(I$363,J368)</f>
        <v>PlaguedoctorHands</v>
      </c>
      <c r="I368" s="520"/>
      <c r="J368" s="144" t="s">
        <v>45</v>
      </c>
      <c r="K368" s="136" t="str" cm="1">
        <f t="array" ref="K368">IF(COUNTIF($B$34:$E$34, K$2)&gt;0, _xlfn.IFS(COUNTIF($B$34:$C$34, K$2)&gt;0, VLOOKUP($J368,'Gear Values'!$A$2:$E$13, IF(COUNTBLANK('Attributes &amp; Prefixes'!$B$34:$C$34)&gt;0, "2", "3"), 0), COUNTIF($D$34:$E$34, K$2)&gt;0, VLOOKUP($J368,'Gear Values'!$A$2:$E$13, IF(COUNTBLANK('Attributes &amp; Prefixes'!$B$34:$C$34)&gt;0, "4", "5"), 0)), "")</f>
        <v/>
      </c>
      <c r="L368" s="137" t="str" cm="1">
        <f t="array" ref="L368">IF(COUNTIF($B$34:$E$34, L$2)&gt;0, _xlfn.IFS(COUNTIF($B$34:$C$34, L$2)&gt;0, VLOOKUP($J368,'Gear Values'!$A$2:$E$13, IF(COUNTBLANK('Attributes &amp; Prefixes'!$B$34:$C$34)&gt;0, "2", "3"), 0), COUNTIF($D$34:$E$34, L$2)&gt;0, VLOOKUP($J368,'Gear Values'!$A$2:$E$13, IF(COUNTBLANK('Attributes &amp; Prefixes'!$B$34:$C$34)&gt;0, "4", "5"), 0)), "")</f>
        <v/>
      </c>
      <c r="M368" s="137" t="str" cm="1">
        <f t="array" ref="M368">IF(COUNTIF($B$34:$E$34, M$2)&gt;0, _xlfn.IFS(COUNTIF($B$34:$C$34, M$2)&gt;0, VLOOKUP($J368,'Gear Values'!$A$2:$E$13, IF(COUNTBLANK('Attributes &amp; Prefixes'!$B$34:$C$34)&gt;0, "2", "3"), 0), COUNTIF($D$34:$E$34, M$2)&gt;0, VLOOKUP($J368,'Gear Values'!$A$2:$E$13, IF(COUNTBLANK('Attributes &amp; Prefixes'!$B$34:$C$34)&gt;0, "4", "5"), 0)), "")</f>
        <v/>
      </c>
      <c r="N368" s="137" cm="1">
        <f t="array" ref="N368">IF(COUNTIF($B$34:$E$34, N$2)&gt;0, _xlfn.IFS(COUNTIF($B$34:$C$34, N$2)&gt;0, VLOOKUP($J368,'Gear Values'!$A$2:$E$13, IF(COUNTBLANK('Attributes &amp; Prefixes'!$B$34:$C$34)&gt;0, "2", "3"), 0), COUNTIF($D$34:$E$34, N$2)&gt;0, VLOOKUP($J368,'Gear Values'!$A$2:$E$13, IF(COUNTBLANK('Attributes &amp; Prefixes'!$B$34:$C$34)&gt;0, "4", "5"), 0)), "")</f>
        <v>38</v>
      </c>
      <c r="O368" s="137" cm="1">
        <f t="array" ref="O368">IF(COUNTIF($B$34:$E$34, O$2)&gt;0, _xlfn.IFS(COUNTIF($B$34:$C$34, O$2)&gt;0, VLOOKUP($J368,'Gear Values'!$A$2:$E$13, IF(COUNTBLANK('Attributes &amp; Prefixes'!$B$34:$C$34)&gt;0, "2", "3"), 0), COUNTIF($D$34:$E$34, O$2)&gt;0, VLOOKUP($J368,'Gear Values'!$A$2:$E$13, IF(COUNTBLANK('Attributes &amp; Prefixes'!$B$34:$C$34)&gt;0, "4", "5"), 0)), "")</f>
        <v>21</v>
      </c>
      <c r="P368" s="137" cm="1">
        <f t="array" ref="P368">IF(COUNTIF($B$34:$E$34, P$2)&gt;0, _xlfn.IFS(COUNTIF($B$34:$C$34, P$2)&gt;0, VLOOKUP($J368,'Gear Values'!$A$2:$E$13, IF(COUNTBLANK('Attributes &amp; Prefixes'!$B$34:$C$34)&gt;0, "2", "3"), 0), COUNTIF($D$34:$E$34, P$2)&gt;0, VLOOKUP($J368,'Gear Values'!$A$2:$E$13, IF(COUNTBLANK('Attributes &amp; Prefixes'!$B$34:$C$34)&gt;0, "4", "5"), 0)), "")</f>
        <v>38</v>
      </c>
      <c r="Q368" s="137" t="str" cm="1">
        <f t="array" ref="Q368">IF(COUNTIF($B$34:$E$34, Q$2)&gt;0, _xlfn.IFS(COUNTIF($B$34:$C$34, Q$2)&gt;0, VLOOKUP($J368,'Gear Values'!$A$2:$E$13, IF(COUNTBLANK('Attributes &amp; Prefixes'!$B$34:$C$34)&gt;0, "2", "3"), 0), COUNTIF($D$34:$E$34, Q$2)&gt;0, VLOOKUP($J368,'Gear Values'!$A$2:$E$13, IF(COUNTBLANK('Attributes &amp; Prefixes'!$B$34:$C$34)&gt;0, "4", "5"), 0)), "")</f>
        <v/>
      </c>
      <c r="R368" s="137" t="str" cm="1">
        <f t="array" ref="R368">IF(COUNTIF($B$34:$E$34, R$2)&gt;0, _xlfn.IFS(COUNTIF($B$34:$C$34, R$2)&gt;0, VLOOKUP($J368,'Gear Values'!$A$2:$E$13, IF(COUNTBLANK('Attributes &amp; Prefixes'!$B$34:$C$34)&gt;0, "2", "3"), 0), COUNTIF($D$34:$E$34, R$2)&gt;0, VLOOKUP($J368,'Gear Values'!$A$2:$E$13, IF(COUNTBLANK('Attributes &amp; Prefixes'!$B$34:$C$34)&gt;0, "4", "5"), 0)), "")</f>
        <v/>
      </c>
      <c r="S368" s="138" cm="1">
        <f t="array" ref="S368">IF(COUNTIF($B$34:$E$34, S$2)&gt;0, _xlfn.IFS(COUNTIF($B$34:$C$34, S$2)&gt;0, VLOOKUP($J368,'Gear Values'!$A$2:$E$13, IF(COUNTBLANK('Attributes &amp; Prefixes'!$B$34:$C$34)&gt;0, "2", "3"), 0), COUNTIF($D$34:$E$34, S$2)&gt;0, VLOOKUP($J368,'Gear Values'!$A$2:$E$13, IF(COUNTBLANK('Attributes &amp; Prefixes'!$B$34:$C$34)&gt;0, "4", "5"), 0)), "")</f>
        <v>21</v>
      </c>
      <c r="V368" s="112"/>
      <c r="W368" s="113"/>
    </row>
    <row r="369" spans="6:23">
      <c r="F369" s="114"/>
      <c r="G369" s="114"/>
      <c r="H369" s="130" t="str">
        <f>_xlfn.CONCAT(I$363,J369)</f>
        <v>PlaguedoctorLegs</v>
      </c>
      <c r="I369" s="520"/>
      <c r="J369" s="144" t="s">
        <v>47</v>
      </c>
      <c r="K369" s="136" t="str" cm="1">
        <f t="array" ref="K369">IF(COUNTIF($B$34:$E$34, K$2)&gt;0, _xlfn.IFS(COUNTIF($B$34:$C$34, K$2)&gt;0, VLOOKUP($J369,'Gear Values'!$A$2:$E$13, IF(COUNTBLANK('Attributes &amp; Prefixes'!$B$34:$C$34)&gt;0, "2", "3"), 0), COUNTIF($D$34:$E$34, K$2)&gt;0, VLOOKUP($J369,'Gear Values'!$A$2:$E$13, IF(COUNTBLANK('Attributes &amp; Prefixes'!$B$34:$C$34)&gt;0, "4", "5"), 0)), "")</f>
        <v/>
      </c>
      <c r="L369" s="137" t="str" cm="1">
        <f t="array" ref="L369">IF(COUNTIF($B$34:$E$34, L$2)&gt;0, _xlfn.IFS(COUNTIF($B$34:$C$34, L$2)&gt;0, VLOOKUP($J369,'Gear Values'!$A$2:$E$13, IF(COUNTBLANK('Attributes &amp; Prefixes'!$B$34:$C$34)&gt;0, "2", "3"), 0), COUNTIF($D$34:$E$34, L$2)&gt;0, VLOOKUP($J369,'Gear Values'!$A$2:$E$13, IF(COUNTBLANK('Attributes &amp; Prefixes'!$B$34:$C$34)&gt;0, "4", "5"), 0)), "")</f>
        <v/>
      </c>
      <c r="M369" s="137" t="str" cm="1">
        <f t="array" ref="M369">IF(COUNTIF($B$34:$E$34, M$2)&gt;0, _xlfn.IFS(COUNTIF($B$34:$C$34, M$2)&gt;0, VLOOKUP($J369,'Gear Values'!$A$2:$E$13, IF(COUNTBLANK('Attributes &amp; Prefixes'!$B$34:$C$34)&gt;0, "2", "3"), 0), COUNTIF($D$34:$E$34, M$2)&gt;0, VLOOKUP($J369,'Gear Values'!$A$2:$E$13, IF(COUNTBLANK('Attributes &amp; Prefixes'!$B$34:$C$34)&gt;0, "4", "5"), 0)), "")</f>
        <v/>
      </c>
      <c r="N369" s="137" cm="1">
        <f t="array" ref="N369">IF(COUNTIF($B$34:$E$34, N$2)&gt;0, _xlfn.IFS(COUNTIF($B$34:$C$34, N$2)&gt;0, VLOOKUP($J369,'Gear Values'!$A$2:$E$13, IF(COUNTBLANK('Attributes &amp; Prefixes'!$B$34:$C$34)&gt;0, "2", "3"), 0), COUNTIF($D$34:$E$34, N$2)&gt;0, VLOOKUP($J369,'Gear Values'!$A$2:$E$13, IF(COUNTBLANK('Attributes &amp; Prefixes'!$B$34:$C$34)&gt;0, "4", "5"), 0)), "")</f>
        <v>77</v>
      </c>
      <c r="O369" s="137" cm="1">
        <f t="array" ref="O369">IF(COUNTIF($B$34:$E$34, O$2)&gt;0, _xlfn.IFS(COUNTIF($B$34:$C$34, O$2)&gt;0, VLOOKUP($J369,'Gear Values'!$A$2:$E$13, IF(COUNTBLANK('Attributes &amp; Prefixes'!$B$34:$C$34)&gt;0, "2", "3"), 0), COUNTIF($D$34:$E$34, O$2)&gt;0, VLOOKUP($J369,'Gear Values'!$A$2:$E$13, IF(COUNTBLANK('Attributes &amp; Prefixes'!$B$34:$C$34)&gt;0, "4", "5"), 0)), "")</f>
        <v>42</v>
      </c>
      <c r="P369" s="137" cm="1">
        <f t="array" ref="P369">IF(COUNTIF($B$34:$E$34, P$2)&gt;0, _xlfn.IFS(COUNTIF($B$34:$C$34, P$2)&gt;0, VLOOKUP($J369,'Gear Values'!$A$2:$E$13, IF(COUNTBLANK('Attributes &amp; Prefixes'!$B$34:$C$34)&gt;0, "2", "3"), 0), COUNTIF($D$34:$E$34, P$2)&gt;0, VLOOKUP($J369,'Gear Values'!$A$2:$E$13, IF(COUNTBLANK('Attributes &amp; Prefixes'!$B$34:$C$34)&gt;0, "4", "5"), 0)), "")</f>
        <v>77</v>
      </c>
      <c r="Q369" s="137" t="str" cm="1">
        <f t="array" ref="Q369">IF(COUNTIF($B$34:$E$34, Q$2)&gt;0, _xlfn.IFS(COUNTIF($B$34:$C$34, Q$2)&gt;0, VLOOKUP($J369,'Gear Values'!$A$2:$E$13, IF(COUNTBLANK('Attributes &amp; Prefixes'!$B$34:$C$34)&gt;0, "2", "3"), 0), COUNTIF($D$34:$E$34, Q$2)&gt;0, VLOOKUP($J369,'Gear Values'!$A$2:$E$13, IF(COUNTBLANK('Attributes &amp; Prefixes'!$B$34:$C$34)&gt;0, "4", "5"), 0)), "")</f>
        <v/>
      </c>
      <c r="R369" s="137" t="str" cm="1">
        <f t="array" ref="R369">IF(COUNTIF($B$34:$E$34, R$2)&gt;0, _xlfn.IFS(COUNTIF($B$34:$C$34, R$2)&gt;0, VLOOKUP($J369,'Gear Values'!$A$2:$E$13, IF(COUNTBLANK('Attributes &amp; Prefixes'!$B$34:$C$34)&gt;0, "2", "3"), 0), COUNTIF($D$34:$E$34, R$2)&gt;0, VLOOKUP($J369,'Gear Values'!$A$2:$E$13, IF(COUNTBLANK('Attributes &amp; Prefixes'!$B$34:$C$34)&gt;0, "4", "5"), 0)), "")</f>
        <v/>
      </c>
      <c r="S369" s="138" cm="1">
        <f t="array" ref="S369">IF(COUNTIF($B$34:$E$34, S$2)&gt;0, _xlfn.IFS(COUNTIF($B$34:$C$34, S$2)&gt;0, VLOOKUP($J369,'Gear Values'!$A$2:$E$13, IF(COUNTBLANK('Attributes &amp; Prefixes'!$B$34:$C$34)&gt;0, "2", "3"), 0), COUNTIF($D$34:$E$34, S$2)&gt;0, VLOOKUP($J369,'Gear Values'!$A$2:$E$13, IF(COUNTBLANK('Attributes &amp; Prefixes'!$B$34:$C$34)&gt;0, "4", "5"), 0)), "")</f>
        <v>42</v>
      </c>
      <c r="V369" s="112"/>
      <c r="W369" s="113"/>
    </row>
    <row r="370" spans="6:23">
      <c r="F370" s="114"/>
      <c r="G370" s="114"/>
      <c r="H370" s="130" t="str">
        <f>_xlfn.CONCAT(I$363,J370)</f>
        <v>PlaguedoctorFeet</v>
      </c>
      <c r="I370" s="520"/>
      <c r="J370" s="144" t="s">
        <v>48</v>
      </c>
      <c r="K370" s="136" t="str" cm="1">
        <f t="array" ref="K370">IF(COUNTIF($B$34:$E$34, K$2)&gt;0, _xlfn.IFS(COUNTIF($B$34:$C$34, K$2)&gt;0, VLOOKUP($J370,'Gear Values'!$A$2:$E$13, IF(COUNTBLANK('Attributes &amp; Prefixes'!$B$34:$C$34)&gt;0, "2", "3"), 0), COUNTIF($D$34:$E$34, K$2)&gt;0, VLOOKUP($J370,'Gear Values'!$A$2:$E$13, IF(COUNTBLANK('Attributes &amp; Prefixes'!$B$34:$C$34)&gt;0, "4", "5"), 0)), "")</f>
        <v/>
      </c>
      <c r="L370" s="137" t="str" cm="1">
        <f t="array" ref="L370">IF(COUNTIF($B$34:$E$34, L$2)&gt;0, _xlfn.IFS(COUNTIF($B$34:$C$34, L$2)&gt;0, VLOOKUP($J370,'Gear Values'!$A$2:$E$13, IF(COUNTBLANK('Attributes &amp; Prefixes'!$B$34:$C$34)&gt;0, "2", "3"), 0), COUNTIF($D$34:$E$34, L$2)&gt;0, VLOOKUP($J370,'Gear Values'!$A$2:$E$13, IF(COUNTBLANK('Attributes &amp; Prefixes'!$B$34:$C$34)&gt;0, "4", "5"), 0)), "")</f>
        <v/>
      </c>
      <c r="M370" s="137" t="str" cm="1">
        <f t="array" ref="M370">IF(COUNTIF($B$34:$E$34, M$2)&gt;0, _xlfn.IFS(COUNTIF($B$34:$C$34, M$2)&gt;0, VLOOKUP($J370,'Gear Values'!$A$2:$E$13, IF(COUNTBLANK('Attributes &amp; Prefixes'!$B$34:$C$34)&gt;0, "2", "3"), 0), COUNTIF($D$34:$E$34, M$2)&gt;0, VLOOKUP($J370,'Gear Values'!$A$2:$E$13, IF(COUNTBLANK('Attributes &amp; Prefixes'!$B$34:$C$34)&gt;0, "4", "5"), 0)), "")</f>
        <v/>
      </c>
      <c r="N370" s="137" cm="1">
        <f t="array" ref="N370">IF(COUNTIF($B$34:$E$34, N$2)&gt;0, _xlfn.IFS(COUNTIF($B$34:$C$34, N$2)&gt;0, VLOOKUP($J370,'Gear Values'!$A$2:$E$13, IF(COUNTBLANK('Attributes &amp; Prefixes'!$B$34:$C$34)&gt;0, "2", "3"), 0), COUNTIF($D$34:$E$34, N$2)&gt;0, VLOOKUP($J370,'Gear Values'!$A$2:$E$13, IF(COUNTBLANK('Attributes &amp; Prefixes'!$B$34:$C$34)&gt;0, "4", "5"), 0)), "")</f>
        <v>38</v>
      </c>
      <c r="O370" s="137" cm="1">
        <f t="array" ref="O370">IF(COUNTIF($B$34:$E$34, O$2)&gt;0, _xlfn.IFS(COUNTIF($B$34:$C$34, O$2)&gt;0, VLOOKUP($J370,'Gear Values'!$A$2:$E$13, IF(COUNTBLANK('Attributes &amp; Prefixes'!$B$34:$C$34)&gt;0, "2", "3"), 0), COUNTIF($D$34:$E$34, O$2)&gt;0, VLOOKUP($J370,'Gear Values'!$A$2:$E$13, IF(COUNTBLANK('Attributes &amp; Prefixes'!$B$34:$C$34)&gt;0, "4", "5"), 0)), "")</f>
        <v>21</v>
      </c>
      <c r="P370" s="137" cm="1">
        <f t="array" ref="P370">IF(COUNTIF($B$34:$E$34, P$2)&gt;0, _xlfn.IFS(COUNTIF($B$34:$C$34, P$2)&gt;0, VLOOKUP($J370,'Gear Values'!$A$2:$E$13, IF(COUNTBLANK('Attributes &amp; Prefixes'!$B$34:$C$34)&gt;0, "2", "3"), 0), COUNTIF($D$34:$E$34, P$2)&gt;0, VLOOKUP($J370,'Gear Values'!$A$2:$E$13, IF(COUNTBLANK('Attributes &amp; Prefixes'!$B$34:$C$34)&gt;0, "4", "5"), 0)), "")</f>
        <v>38</v>
      </c>
      <c r="Q370" s="137" t="str" cm="1">
        <f t="array" ref="Q370">IF(COUNTIF($B$34:$E$34, Q$2)&gt;0, _xlfn.IFS(COUNTIF($B$34:$C$34, Q$2)&gt;0, VLOOKUP($J370,'Gear Values'!$A$2:$E$13, IF(COUNTBLANK('Attributes &amp; Prefixes'!$B$34:$C$34)&gt;0, "2", "3"), 0), COUNTIF($D$34:$E$34, Q$2)&gt;0, VLOOKUP($J370,'Gear Values'!$A$2:$E$13, IF(COUNTBLANK('Attributes &amp; Prefixes'!$B$34:$C$34)&gt;0, "4", "5"), 0)), "")</f>
        <v/>
      </c>
      <c r="R370" s="137" t="str" cm="1">
        <f t="array" ref="R370">IF(COUNTIF($B$34:$E$34, R$2)&gt;0, _xlfn.IFS(COUNTIF($B$34:$C$34, R$2)&gt;0, VLOOKUP($J370,'Gear Values'!$A$2:$E$13, IF(COUNTBLANK('Attributes &amp; Prefixes'!$B$34:$C$34)&gt;0, "2", "3"), 0), COUNTIF($D$34:$E$34, R$2)&gt;0, VLOOKUP($J370,'Gear Values'!$A$2:$E$13, IF(COUNTBLANK('Attributes &amp; Prefixes'!$B$34:$C$34)&gt;0, "4", "5"), 0)), "")</f>
        <v/>
      </c>
      <c r="S370" s="138" cm="1">
        <f t="array" ref="S370">IF(COUNTIF($B$34:$E$34, S$2)&gt;0, _xlfn.IFS(COUNTIF($B$34:$C$34, S$2)&gt;0, VLOOKUP($J370,'Gear Values'!$A$2:$E$13, IF(COUNTBLANK('Attributes &amp; Prefixes'!$B$34:$C$34)&gt;0, "2", "3"), 0), COUNTIF($D$34:$E$34, S$2)&gt;0, VLOOKUP($J370,'Gear Values'!$A$2:$E$13, IF(COUNTBLANK('Attributes &amp; Prefixes'!$B$34:$C$34)&gt;0, "4", "5"), 0)), "")</f>
        <v>21</v>
      </c>
      <c r="V370" s="112"/>
      <c r="W370" s="113"/>
    </row>
    <row r="371" spans="6:23">
      <c r="F371" s="114"/>
      <c r="G371" s="114"/>
      <c r="H371" s="130" t="str">
        <f>_xlfn.CONCAT(I$363,J371)</f>
        <v>PlaguedoctorEar</v>
      </c>
      <c r="I371" s="520"/>
      <c r="J371" s="144" t="s">
        <v>49</v>
      </c>
      <c r="K371" s="136" t="str" cm="1">
        <f t="array" ref="K371">IF(COUNTIF($B$34:$E$34, K$2)&gt;0, _xlfn.IFS(COUNTIF($B$34:$C$34, K$2)&gt;0, VLOOKUP($J371,'Gear Values'!$A$2:$E$13, IF(COUNTBLANK('Attributes &amp; Prefixes'!$B$34:$C$34)&gt;0, "2", "3"), 0), COUNTIF($D$34:$E$34, K$2)&gt;0, VLOOKUP($J371,'Gear Values'!$A$2:$E$13, IF(COUNTBLANK('Attributes &amp; Prefixes'!$B$34:$C$34)&gt;0, "4", "5"), 0)), "")</f>
        <v/>
      </c>
      <c r="L371" s="137" t="str" cm="1">
        <f t="array" ref="L371">IF(COUNTIF($B$34:$E$34, L$2)&gt;0, _xlfn.IFS(COUNTIF($B$34:$C$34, L$2)&gt;0, VLOOKUP($J371,'Gear Values'!$A$2:$E$13, IF(COUNTBLANK('Attributes &amp; Prefixes'!$B$34:$C$34)&gt;0, "2", "3"), 0), COUNTIF($D$34:$E$34, L$2)&gt;0, VLOOKUP($J371,'Gear Values'!$A$2:$E$13, IF(COUNTBLANK('Attributes &amp; Prefixes'!$B$34:$C$34)&gt;0, "4", "5"), 0)), "")</f>
        <v/>
      </c>
      <c r="M371" s="137" t="str" cm="1">
        <f t="array" ref="M371">IF(COUNTIF($B$34:$E$34, M$2)&gt;0, _xlfn.IFS(COUNTIF($B$34:$C$34, M$2)&gt;0, VLOOKUP($J371,'Gear Values'!$A$2:$E$13, IF(COUNTBLANK('Attributes &amp; Prefixes'!$B$34:$C$34)&gt;0, "2", "3"), 0), COUNTIF($D$34:$E$34, M$2)&gt;0, VLOOKUP($J371,'Gear Values'!$A$2:$E$13, IF(COUNTBLANK('Attributes &amp; Prefixes'!$B$34:$C$34)&gt;0, "4", "5"), 0)), "")</f>
        <v/>
      </c>
      <c r="N371" s="137" cm="1">
        <f t="array" ref="N371">IF(COUNTIF($B$34:$E$34, N$2)&gt;0, _xlfn.IFS(COUNTIF($B$34:$C$34, N$2)&gt;0, VLOOKUP($J371,'Gear Values'!$A$2:$E$13, IF(COUNTBLANK('Attributes &amp; Prefixes'!$B$34:$C$34)&gt;0, "2", "3"), 0), COUNTIF($D$34:$E$34, N$2)&gt;0, VLOOKUP($J371,'Gear Values'!$A$2:$E$13, IF(COUNTBLANK('Attributes &amp; Prefixes'!$B$34:$C$34)&gt;0, "4", "5"), 0)), "")</f>
        <v>64</v>
      </c>
      <c r="O371" s="137" cm="1">
        <f t="array" ref="O371">IF(COUNTIF($B$34:$E$34, O$2)&gt;0, _xlfn.IFS(COUNTIF($B$34:$C$34, O$2)&gt;0, VLOOKUP($J371,'Gear Values'!$A$2:$E$13, IF(COUNTBLANK('Attributes &amp; Prefixes'!$B$34:$C$34)&gt;0, "2", "3"), 0), COUNTIF($D$34:$E$34, O$2)&gt;0, VLOOKUP($J371,'Gear Values'!$A$2:$E$13, IF(COUNTBLANK('Attributes &amp; Prefixes'!$B$34:$C$34)&gt;0, "4", "5"), 0)), "")</f>
        <v>35</v>
      </c>
      <c r="P371" s="137" cm="1">
        <f t="array" ref="P371">IF(COUNTIF($B$34:$E$34, P$2)&gt;0, _xlfn.IFS(COUNTIF($B$34:$C$34, P$2)&gt;0, VLOOKUP($J371,'Gear Values'!$A$2:$E$13, IF(COUNTBLANK('Attributes &amp; Prefixes'!$B$34:$C$34)&gt;0, "2", "3"), 0), COUNTIF($D$34:$E$34, P$2)&gt;0, VLOOKUP($J371,'Gear Values'!$A$2:$E$13, IF(COUNTBLANK('Attributes &amp; Prefixes'!$B$34:$C$34)&gt;0, "4", "5"), 0)), "")</f>
        <v>64</v>
      </c>
      <c r="Q371" s="137" t="str" cm="1">
        <f t="array" ref="Q371">IF(COUNTIF($B$34:$E$34, Q$2)&gt;0, _xlfn.IFS(COUNTIF($B$34:$C$34, Q$2)&gt;0, VLOOKUP($J371,'Gear Values'!$A$2:$E$13, IF(COUNTBLANK('Attributes &amp; Prefixes'!$B$34:$C$34)&gt;0, "2", "3"), 0), COUNTIF($D$34:$E$34, Q$2)&gt;0, VLOOKUP($J371,'Gear Values'!$A$2:$E$13, IF(COUNTBLANK('Attributes &amp; Prefixes'!$B$34:$C$34)&gt;0, "4", "5"), 0)), "")</f>
        <v/>
      </c>
      <c r="R371" s="137" t="str" cm="1">
        <f t="array" ref="R371">IF(COUNTIF($B$34:$E$34, R$2)&gt;0, _xlfn.IFS(COUNTIF($B$34:$C$34, R$2)&gt;0, VLOOKUP($J371,'Gear Values'!$A$2:$E$13, IF(COUNTBLANK('Attributes &amp; Prefixes'!$B$34:$C$34)&gt;0, "2", "3"), 0), COUNTIF($D$34:$E$34, R$2)&gt;0, VLOOKUP($J371,'Gear Values'!$A$2:$E$13, IF(COUNTBLANK('Attributes &amp; Prefixes'!$B$34:$C$34)&gt;0, "4", "5"), 0)), "")</f>
        <v/>
      </c>
      <c r="S371" s="138" cm="1">
        <f t="array" ref="S371">IF(COUNTIF($B$34:$E$34, S$2)&gt;0, _xlfn.IFS(COUNTIF($B$34:$C$34, S$2)&gt;0, VLOOKUP($J371,'Gear Values'!$A$2:$E$13, IF(COUNTBLANK('Attributes &amp; Prefixes'!$B$34:$C$34)&gt;0, "2", "3"), 0), COUNTIF($D$34:$E$34, S$2)&gt;0, VLOOKUP($J371,'Gear Values'!$A$2:$E$13, IF(COUNTBLANK('Attributes &amp; Prefixes'!$B$34:$C$34)&gt;0, "4", "5"), 0)), "")</f>
        <v>35</v>
      </c>
      <c r="V371" s="112"/>
      <c r="W371" s="113"/>
    </row>
    <row r="372" spans="6:23">
      <c r="F372" s="114"/>
      <c r="G372" s="114"/>
      <c r="H372" s="130" t="str">
        <f>_xlfn.CONCAT(I$363,J372)</f>
        <v>PlaguedoctorFinger</v>
      </c>
      <c r="I372" s="520"/>
      <c r="J372" s="144" t="s">
        <v>51</v>
      </c>
      <c r="K372" s="136" t="str" cm="1">
        <f t="array" ref="K372">IF(COUNTIF($B$34:$E$34, K$2)&gt;0, _xlfn.IFS(COUNTIF($B$34:$C$34, K$2)&gt;0, VLOOKUP($J372,'Gear Values'!$A$2:$E$13, IF(COUNTBLANK('Attributes &amp; Prefixes'!$B$34:$C$34)&gt;0, "2", "3"), 0), COUNTIF($D$34:$E$34, K$2)&gt;0, VLOOKUP($J372,'Gear Values'!$A$2:$E$13, IF(COUNTBLANK('Attributes &amp; Prefixes'!$B$34:$C$34)&gt;0, "4", "5"), 0)), "")</f>
        <v/>
      </c>
      <c r="L372" s="137" t="str" cm="1">
        <f t="array" ref="L372">IF(COUNTIF($B$34:$E$34, L$2)&gt;0, _xlfn.IFS(COUNTIF($B$34:$C$34, L$2)&gt;0, VLOOKUP($J372,'Gear Values'!$A$2:$E$13, IF(COUNTBLANK('Attributes &amp; Prefixes'!$B$34:$C$34)&gt;0, "2", "3"), 0), COUNTIF($D$34:$E$34, L$2)&gt;0, VLOOKUP($J372,'Gear Values'!$A$2:$E$13, IF(COUNTBLANK('Attributes &amp; Prefixes'!$B$34:$C$34)&gt;0, "4", "5"), 0)), "")</f>
        <v/>
      </c>
      <c r="M372" s="137" t="str" cm="1">
        <f t="array" ref="M372">IF(COUNTIF($B$34:$E$34, M$2)&gt;0, _xlfn.IFS(COUNTIF($B$34:$C$34, M$2)&gt;0, VLOOKUP($J372,'Gear Values'!$A$2:$E$13, IF(COUNTBLANK('Attributes &amp; Prefixes'!$B$34:$C$34)&gt;0, "2", "3"), 0), COUNTIF($D$34:$E$34, M$2)&gt;0, VLOOKUP($J372,'Gear Values'!$A$2:$E$13, IF(COUNTBLANK('Attributes &amp; Prefixes'!$B$34:$C$34)&gt;0, "4", "5"), 0)), "")</f>
        <v/>
      </c>
      <c r="N372" s="137" cm="1">
        <f t="array" ref="N372">IF(COUNTIF($B$34:$E$34, N$2)&gt;0, _xlfn.IFS(COUNTIF($B$34:$C$34, N$2)&gt;0, VLOOKUP($J372,'Gear Values'!$A$2:$E$13, IF(COUNTBLANK('Attributes &amp; Prefixes'!$B$34:$C$34)&gt;0, "2", "3"), 0), COUNTIF($D$34:$E$34, N$2)&gt;0, VLOOKUP($J372,'Gear Values'!$A$2:$E$13, IF(COUNTBLANK('Attributes &amp; Prefixes'!$B$34:$C$34)&gt;0, "4", "5"), 0)), "")</f>
        <v>77</v>
      </c>
      <c r="O372" s="137" cm="1">
        <f t="array" ref="O372">IF(COUNTIF($B$34:$E$34, O$2)&gt;0, _xlfn.IFS(COUNTIF($B$34:$C$34, O$2)&gt;0, VLOOKUP($J372,'Gear Values'!$A$2:$E$13, IF(COUNTBLANK('Attributes &amp; Prefixes'!$B$34:$C$34)&gt;0, "2", "3"), 0), COUNTIF($D$34:$E$34, O$2)&gt;0, VLOOKUP($J372,'Gear Values'!$A$2:$E$13, IF(COUNTBLANK('Attributes &amp; Prefixes'!$B$34:$C$34)&gt;0, "4", "5"), 0)), "")</f>
        <v>42</v>
      </c>
      <c r="P372" s="137" cm="1">
        <f t="array" ref="P372">IF(COUNTIF($B$34:$E$34, P$2)&gt;0, _xlfn.IFS(COUNTIF($B$34:$C$34, P$2)&gt;0, VLOOKUP($J372,'Gear Values'!$A$2:$E$13, IF(COUNTBLANK('Attributes &amp; Prefixes'!$B$34:$C$34)&gt;0, "2", "3"), 0), COUNTIF($D$34:$E$34, P$2)&gt;0, VLOOKUP($J372,'Gear Values'!$A$2:$E$13, IF(COUNTBLANK('Attributes &amp; Prefixes'!$B$34:$C$34)&gt;0, "4", "5"), 0)), "")</f>
        <v>77</v>
      </c>
      <c r="Q372" s="137" t="str" cm="1">
        <f t="array" ref="Q372">IF(COUNTIF($B$34:$E$34, Q$2)&gt;0, _xlfn.IFS(COUNTIF($B$34:$C$34, Q$2)&gt;0, VLOOKUP($J372,'Gear Values'!$A$2:$E$13, IF(COUNTBLANK('Attributes &amp; Prefixes'!$B$34:$C$34)&gt;0, "2", "3"), 0), COUNTIF($D$34:$E$34, Q$2)&gt;0, VLOOKUP($J372,'Gear Values'!$A$2:$E$13, IF(COUNTBLANK('Attributes &amp; Prefixes'!$B$34:$C$34)&gt;0, "4", "5"), 0)), "")</f>
        <v/>
      </c>
      <c r="R372" s="137" t="str" cm="1">
        <f t="array" ref="R372">IF(COUNTIF($B$34:$E$34, R$2)&gt;0, _xlfn.IFS(COUNTIF($B$34:$C$34, R$2)&gt;0, VLOOKUP($J372,'Gear Values'!$A$2:$E$13, IF(COUNTBLANK('Attributes &amp; Prefixes'!$B$34:$C$34)&gt;0, "2", "3"), 0), COUNTIF($D$34:$E$34, R$2)&gt;0, VLOOKUP($J372,'Gear Values'!$A$2:$E$13, IF(COUNTBLANK('Attributes &amp; Prefixes'!$B$34:$C$34)&gt;0, "4", "5"), 0)), "")</f>
        <v/>
      </c>
      <c r="S372" s="138" cm="1">
        <f t="array" ref="S372">IF(COUNTIF($B$34:$E$34, S$2)&gt;0, _xlfn.IFS(COUNTIF($B$34:$C$34, S$2)&gt;0, VLOOKUP($J372,'Gear Values'!$A$2:$E$13, IF(COUNTBLANK('Attributes &amp; Prefixes'!$B$34:$C$34)&gt;0, "2", "3"), 0), COUNTIF($D$34:$E$34, S$2)&gt;0, VLOOKUP($J372,'Gear Values'!$A$2:$E$13, IF(COUNTBLANK('Attributes &amp; Prefixes'!$B$34:$C$34)&gt;0, "4", "5"), 0)), "")</f>
        <v>42</v>
      </c>
      <c r="V372" s="112"/>
      <c r="W372" s="113"/>
    </row>
    <row r="373" spans="6:23">
      <c r="F373" s="114"/>
      <c r="G373" s="114"/>
      <c r="H373" s="130" t="str">
        <f>_xlfn.CONCAT(I$363,J373)</f>
        <v>PlaguedoctorNeck</v>
      </c>
      <c r="I373" s="520"/>
      <c r="J373" s="144" t="s">
        <v>52</v>
      </c>
      <c r="K373" s="136" t="str" cm="1">
        <f t="array" ref="K373">IF(COUNTIF($B$34:$E$34, K$2)&gt;0, _xlfn.IFS(COUNTIF($B$34:$C$34, K$2)&gt;0, VLOOKUP($J373,'Gear Values'!$A$2:$E$13, IF(COUNTBLANK('Attributes &amp; Prefixes'!$B$34:$C$34)&gt;0, "2", "3"), 0), COUNTIF($D$34:$E$34, K$2)&gt;0, VLOOKUP($J373,'Gear Values'!$A$2:$E$13, IF(COUNTBLANK('Attributes &amp; Prefixes'!$B$34:$C$34)&gt;0, "4", "5"), 0)), "")</f>
        <v/>
      </c>
      <c r="L373" s="137" t="str" cm="1">
        <f t="array" ref="L373">IF(COUNTIF($B$34:$E$34, L$2)&gt;0, _xlfn.IFS(COUNTIF($B$34:$C$34, L$2)&gt;0, VLOOKUP($J373,'Gear Values'!$A$2:$E$13, IF(COUNTBLANK('Attributes &amp; Prefixes'!$B$34:$C$34)&gt;0, "2", "3"), 0), COUNTIF($D$34:$E$34, L$2)&gt;0, VLOOKUP($J373,'Gear Values'!$A$2:$E$13, IF(COUNTBLANK('Attributes &amp; Prefixes'!$B$34:$C$34)&gt;0, "4", "5"), 0)), "")</f>
        <v/>
      </c>
      <c r="M373" s="137" t="str" cm="1">
        <f t="array" ref="M373">IF(COUNTIF($B$34:$E$34, M$2)&gt;0, _xlfn.IFS(COUNTIF($B$34:$C$34, M$2)&gt;0, VLOOKUP($J373,'Gear Values'!$A$2:$E$13, IF(COUNTBLANK('Attributes &amp; Prefixes'!$B$34:$C$34)&gt;0, "2", "3"), 0), COUNTIF($D$34:$E$34, M$2)&gt;0, VLOOKUP($J373,'Gear Values'!$A$2:$E$13, IF(COUNTBLANK('Attributes &amp; Prefixes'!$B$34:$C$34)&gt;0, "4", "5"), 0)), "")</f>
        <v/>
      </c>
      <c r="N373" s="137" cm="1">
        <f t="array" ref="N373">IF(COUNTIF($B$34:$E$34, N$2)&gt;0, _xlfn.IFS(COUNTIF($B$34:$C$34, N$2)&gt;0, VLOOKUP($J373,'Gear Values'!$A$2:$E$13, IF(COUNTBLANK('Attributes &amp; Prefixes'!$B$34:$C$34)&gt;0, "2", "3"), 0), COUNTIF($D$34:$E$34, N$2)&gt;0, VLOOKUP($J373,'Gear Values'!$A$2:$E$13, IF(COUNTBLANK('Attributes &amp; Prefixes'!$B$34:$C$34)&gt;0, "4", "5"), 0)), "")</f>
        <v>102</v>
      </c>
      <c r="O373" s="137" cm="1">
        <f t="array" ref="O373">IF(COUNTIF($B$34:$E$34, O$2)&gt;0, _xlfn.IFS(COUNTIF($B$34:$C$34, O$2)&gt;0, VLOOKUP($J373,'Gear Values'!$A$2:$E$13, IF(COUNTBLANK('Attributes &amp; Prefixes'!$B$34:$C$34)&gt;0, "2", "3"), 0), COUNTIF($D$34:$E$34, O$2)&gt;0, VLOOKUP($J373,'Gear Values'!$A$2:$E$13, IF(COUNTBLANK('Attributes &amp; Prefixes'!$B$34:$C$34)&gt;0, "4", "5"), 0)), "")</f>
        <v>56</v>
      </c>
      <c r="P373" s="137" cm="1">
        <f t="array" ref="P373">IF(COUNTIF($B$34:$E$34, P$2)&gt;0, _xlfn.IFS(COUNTIF($B$34:$C$34, P$2)&gt;0, VLOOKUP($J373,'Gear Values'!$A$2:$E$13, IF(COUNTBLANK('Attributes &amp; Prefixes'!$B$34:$C$34)&gt;0, "2", "3"), 0), COUNTIF($D$34:$E$34, P$2)&gt;0, VLOOKUP($J373,'Gear Values'!$A$2:$E$13, IF(COUNTBLANK('Attributes &amp; Prefixes'!$B$34:$C$34)&gt;0, "4", "5"), 0)), "")</f>
        <v>102</v>
      </c>
      <c r="Q373" s="137" t="str" cm="1">
        <f t="array" ref="Q373">IF(COUNTIF($B$34:$E$34, Q$2)&gt;0, _xlfn.IFS(COUNTIF($B$34:$C$34, Q$2)&gt;0, VLOOKUP($J373,'Gear Values'!$A$2:$E$13, IF(COUNTBLANK('Attributes &amp; Prefixes'!$B$34:$C$34)&gt;0, "2", "3"), 0), COUNTIF($D$34:$E$34, Q$2)&gt;0, VLOOKUP($J373,'Gear Values'!$A$2:$E$13, IF(COUNTBLANK('Attributes &amp; Prefixes'!$B$34:$C$34)&gt;0, "4", "5"), 0)), "")</f>
        <v/>
      </c>
      <c r="R373" s="137" t="str" cm="1">
        <f t="array" ref="R373">IF(COUNTIF($B$34:$E$34, R$2)&gt;0, _xlfn.IFS(COUNTIF($B$34:$C$34, R$2)&gt;0, VLOOKUP($J373,'Gear Values'!$A$2:$E$13, IF(COUNTBLANK('Attributes &amp; Prefixes'!$B$34:$C$34)&gt;0, "2", "3"), 0), COUNTIF($D$34:$E$34, R$2)&gt;0, VLOOKUP($J373,'Gear Values'!$A$2:$E$13, IF(COUNTBLANK('Attributes &amp; Prefixes'!$B$34:$C$34)&gt;0, "4", "5"), 0)), "")</f>
        <v/>
      </c>
      <c r="S373" s="138" cm="1">
        <f t="array" ref="S373">IF(COUNTIF($B$34:$E$34, S$2)&gt;0, _xlfn.IFS(COUNTIF($B$34:$C$34, S$2)&gt;0, VLOOKUP($J373,'Gear Values'!$A$2:$E$13, IF(COUNTBLANK('Attributes &amp; Prefixes'!$B$34:$C$34)&gt;0, "2", "3"), 0), COUNTIF($D$34:$E$34, S$2)&gt;0, VLOOKUP($J373,'Gear Values'!$A$2:$E$13, IF(COUNTBLANK('Attributes &amp; Prefixes'!$B$34:$C$34)&gt;0, "4", "5"), 0)), "")</f>
        <v>56</v>
      </c>
      <c r="V373" s="112"/>
      <c r="W373" s="113"/>
    </row>
    <row r="374" spans="6:23">
      <c r="F374" s="114"/>
      <c r="G374" s="114"/>
      <c r="H374" s="130" t="str">
        <f>_xlfn.CONCAT(I$363,J374)</f>
        <v>PlaguedoctorBack</v>
      </c>
      <c r="I374" s="521"/>
      <c r="J374" s="146" t="s">
        <v>53</v>
      </c>
      <c r="K374" s="147" t="str" cm="1">
        <f t="array" ref="K374">IF(COUNTIF($B$34:$E$34, K$2)&gt;0, _xlfn.IFS(COUNTIF($B$34:$C$34, K$2)&gt;0, VLOOKUP($J374,'Gear Values'!$A$2:$E$13, IF(COUNTBLANK('Attributes &amp; Prefixes'!$B$34:$C$34)&gt;0, "2", "3"), 0), COUNTIF($D$34:$E$34, K$2)&gt;0, VLOOKUP($J374,'Gear Values'!$A$2:$E$13, IF(COUNTBLANK('Attributes &amp; Prefixes'!$B$34:$C$34)&gt;0, "4", "5"), 0)), "")</f>
        <v/>
      </c>
      <c r="L374" s="148" t="str" cm="1">
        <f t="array" ref="L374">IF(COUNTIF($B$34:$E$34, L$2)&gt;0, _xlfn.IFS(COUNTIF($B$34:$C$34, L$2)&gt;0, VLOOKUP($J374,'Gear Values'!$A$2:$E$13, IF(COUNTBLANK('Attributes &amp; Prefixes'!$B$34:$C$34)&gt;0, "2", "3"), 0), COUNTIF($D$34:$E$34, L$2)&gt;0, VLOOKUP($J374,'Gear Values'!$A$2:$E$13, IF(COUNTBLANK('Attributes &amp; Prefixes'!$B$34:$C$34)&gt;0, "4", "5"), 0)), "")</f>
        <v/>
      </c>
      <c r="M374" s="148" t="str" cm="1">
        <f t="array" ref="M374">IF(COUNTIF($B$34:$E$34, M$2)&gt;0, _xlfn.IFS(COUNTIF($B$34:$C$34, M$2)&gt;0, VLOOKUP($J374,'Gear Values'!$A$2:$E$13, IF(COUNTBLANK('Attributes &amp; Prefixes'!$B$34:$C$34)&gt;0, "2", "3"), 0), COUNTIF($D$34:$E$34, M$2)&gt;0, VLOOKUP($J374,'Gear Values'!$A$2:$E$13, IF(COUNTBLANK('Attributes &amp; Prefixes'!$B$34:$C$34)&gt;0, "4", "5"), 0)), "")</f>
        <v/>
      </c>
      <c r="N374" s="148" t="str" cm="1">
        <f t="array" ref="N374">IF(COUNTIF($B$34:$E$34, N$2)&gt;0, _xlfn.IFS(COUNTIF($B$34:$C$34, N$2)&gt;0, VLOOKUP($J374,'Gear Values'!$A$2:$E$13, IF(COUNTBLANK('Attributes &amp; Prefixes'!$B$34:$C$34)&gt;0, "2", "3"), 0), COUNTIF($D$34:$E$34, N$2)&gt;0, VLOOKUP($J374,'Gear Values'!$A$2:$E$13, IF(COUNTBLANK('Attributes &amp; Prefixes'!$B$34:$C$34)&gt;0, "4", "5"), 0)), "")</f>
        <v>N/A</v>
      </c>
      <c r="O374" s="148" t="str" cm="1">
        <f t="array" ref="O374">IF(COUNTIF($B$34:$E$34, O$2)&gt;0, _xlfn.IFS(COUNTIF($B$34:$C$34, O$2)&gt;0, VLOOKUP($J374,'Gear Values'!$A$2:$E$13, IF(COUNTBLANK('Attributes &amp; Prefixes'!$B$34:$C$34)&gt;0, "2", "3"), 0), COUNTIF($D$34:$E$34, O$2)&gt;0, VLOOKUP($J374,'Gear Values'!$A$2:$E$13, IF(COUNTBLANK('Attributes &amp; Prefixes'!$B$34:$C$34)&gt;0, "4", "5"), 0)), "")</f>
        <v>N/A</v>
      </c>
      <c r="P374" s="148" t="str" cm="1">
        <f t="array" ref="P374">IF(COUNTIF($B$34:$E$34, P$2)&gt;0, _xlfn.IFS(COUNTIF($B$34:$C$34, P$2)&gt;0, VLOOKUP($J374,'Gear Values'!$A$2:$E$13, IF(COUNTBLANK('Attributes &amp; Prefixes'!$B$34:$C$34)&gt;0, "2", "3"), 0), COUNTIF($D$34:$E$34, P$2)&gt;0, VLOOKUP($J374,'Gear Values'!$A$2:$E$13, IF(COUNTBLANK('Attributes &amp; Prefixes'!$B$34:$C$34)&gt;0, "4", "5"), 0)), "")</f>
        <v>N/A</v>
      </c>
      <c r="Q374" s="148" t="str" cm="1">
        <f t="array" ref="Q374">IF(COUNTIF($B$34:$E$34, Q$2)&gt;0, _xlfn.IFS(COUNTIF($B$34:$C$34, Q$2)&gt;0, VLOOKUP($J374,'Gear Values'!$A$2:$E$13, IF(COUNTBLANK('Attributes &amp; Prefixes'!$B$34:$C$34)&gt;0, "2", "3"), 0), COUNTIF($D$34:$E$34, Q$2)&gt;0, VLOOKUP($J374,'Gear Values'!$A$2:$E$13, IF(COUNTBLANK('Attributes &amp; Prefixes'!$B$34:$C$34)&gt;0, "4", "5"), 0)), "")</f>
        <v/>
      </c>
      <c r="R374" s="148" t="str" cm="1">
        <f t="array" ref="R374">IF(COUNTIF($B$34:$E$34, R$2)&gt;0, _xlfn.IFS(COUNTIF($B$34:$C$34, R$2)&gt;0, VLOOKUP($J374,'Gear Values'!$A$2:$E$13, IF(COUNTBLANK('Attributes &amp; Prefixes'!$B$34:$C$34)&gt;0, "2", "3"), 0), COUNTIF($D$34:$E$34, R$2)&gt;0, VLOOKUP($J374,'Gear Values'!$A$2:$E$13, IF(COUNTBLANK('Attributes &amp; Prefixes'!$B$34:$C$34)&gt;0, "4", "5"), 0)), "")</f>
        <v/>
      </c>
      <c r="S374" s="150" t="str" cm="1">
        <f t="array" ref="S374">IF(COUNTIF($B$34:$E$34, S$2)&gt;0, _xlfn.IFS(COUNTIF($B$34:$C$34, S$2)&gt;0, VLOOKUP($J374,'Gear Values'!$A$2:$E$13, IF(COUNTBLANK('Attributes &amp; Prefixes'!$B$34:$C$34)&gt;0, "2", "3"), 0), COUNTIF($D$34:$E$34, S$2)&gt;0, VLOOKUP($J374,'Gear Values'!$A$2:$E$13, IF(COUNTBLANK('Attributes &amp; Prefixes'!$B$34:$C$34)&gt;0, "4", "5"), 0)), "")</f>
        <v>N/A</v>
      </c>
      <c r="V374" s="112"/>
      <c r="W374" s="113"/>
    </row>
    <row r="375" spans="6:23">
      <c r="F375" s="114"/>
      <c r="G375" s="114"/>
      <c r="H375" s="130" t="str">
        <f>_xlfn.CONCAT(I$375,J375)</f>
        <v>RabidWeapon (1H)</v>
      </c>
      <c r="I375" s="519" t="str">
        <f>A35</f>
        <v>Rabid</v>
      </c>
      <c r="J375" s="145" t="s">
        <v>37</v>
      </c>
      <c r="K375" s="133" t="str" cm="1">
        <f t="array" ref="K375">IF(COUNTIF($B$35:$E$35, K$2)&gt;0, _xlfn.IFS(COUNTIF($B$35:$C$35, K$2)&gt;0, VLOOKUP($J375,'Gear Values'!$A$2:$E$13, IF(COUNTBLANK('Attributes &amp; Prefixes'!$B$35:$C$35)&gt;0, "2", "3"), 0), COUNTIF($D$35:$E$35, K$2)&gt;0, VLOOKUP($J375,'Gear Values'!$A$2:$E$13, IF(COUNTBLANK('Attributes &amp; Prefixes'!$B$35:$C$35)&gt;0, "4", "5"), 0)), "")</f>
        <v/>
      </c>
      <c r="L375" s="134" cm="1">
        <f t="array" ref="L375">IF(COUNTIF($B$35:$E$35, L$2)&gt;0, _xlfn.IFS(COUNTIF($B$35:$C$35, L$2)&gt;0, VLOOKUP($J375,'Gear Values'!$A$2:$E$13, IF(COUNTBLANK('Attributes &amp; Prefixes'!$B$35:$C$35)&gt;0, "2", "3"), 0), COUNTIF($D$35:$E$35, L$2)&gt;0, VLOOKUP($J375,'Gear Values'!$A$2:$E$13, IF(COUNTBLANK('Attributes &amp; Prefixes'!$B$35:$C$35)&gt;0, "4", "5"), 0)), "")</f>
        <v>85</v>
      </c>
      <c r="M375" s="134" cm="1">
        <f t="array" ref="M375">IF(COUNTIF($B$35:$E$35, M$2)&gt;0, _xlfn.IFS(COUNTIF($B$35:$C$35, M$2)&gt;0, VLOOKUP($J375,'Gear Values'!$A$2:$E$13, IF(COUNTBLANK('Attributes &amp; Prefixes'!$B$35:$C$35)&gt;0, "2", "3"), 0), COUNTIF($D$35:$E$35, M$2)&gt;0, VLOOKUP($J375,'Gear Values'!$A$2:$E$13, IF(COUNTBLANK('Attributes &amp; Prefixes'!$B$35:$C$35)&gt;0, "4", "5"), 0)), "")</f>
        <v>85</v>
      </c>
      <c r="N375" s="134" t="str" cm="1">
        <f t="array" ref="N375">IF(COUNTIF($B$35:$E$35, N$2)&gt;0, _xlfn.IFS(COUNTIF($B$35:$C$35, N$2)&gt;0, VLOOKUP($J375,'Gear Values'!$A$2:$E$13, IF(COUNTBLANK('Attributes &amp; Prefixes'!$B$35:$C$35)&gt;0, "2", "3"), 0), COUNTIF($D$35:$E$35, N$2)&gt;0, VLOOKUP($J375,'Gear Values'!$A$2:$E$13, IF(COUNTBLANK('Attributes &amp; Prefixes'!$B$35:$C$35)&gt;0, "4", "5"), 0)), "")</f>
        <v/>
      </c>
      <c r="O375" s="134" t="str" cm="1">
        <f t="array" ref="O375">IF(COUNTIF($B$35:$E$35, O$2)&gt;0, _xlfn.IFS(COUNTIF($B$35:$C$35, O$2)&gt;0, VLOOKUP($J375,'Gear Values'!$A$2:$E$13, IF(COUNTBLANK('Attributes &amp; Prefixes'!$B$35:$C$35)&gt;0, "2", "3"), 0), COUNTIF($D$35:$E$35, O$2)&gt;0, VLOOKUP($J375,'Gear Values'!$A$2:$E$13, IF(COUNTBLANK('Attributes &amp; Prefixes'!$B$35:$C$35)&gt;0, "4", "5"), 0)), "")</f>
        <v/>
      </c>
      <c r="P375" s="134" cm="1">
        <f t="array" ref="P375">IF(COUNTIF($B$35:$E$35, P$2)&gt;0, _xlfn.IFS(COUNTIF($B$35:$C$35, P$2)&gt;0, VLOOKUP($J375,'Gear Values'!$A$2:$E$13, IF(COUNTBLANK('Attributes &amp; Prefixes'!$B$35:$C$35)&gt;0, "2", "3"), 0), COUNTIF($D$35:$E$35, P$2)&gt;0, VLOOKUP($J375,'Gear Values'!$A$2:$E$13, IF(COUNTBLANK('Attributes &amp; Prefixes'!$B$35:$C$35)&gt;0, "4", "5"), 0)), "")</f>
        <v>120</v>
      </c>
      <c r="Q375" s="134" t="str" cm="1">
        <f t="array" ref="Q375">IF(COUNTIF($B$35:$E$35, Q$2)&gt;0, _xlfn.IFS(COUNTIF($B$35:$C$35, Q$2)&gt;0, VLOOKUP($J375,'Gear Values'!$A$2:$E$13, IF(COUNTBLANK('Attributes &amp; Prefixes'!$B$35:$C$35)&gt;0, "2", "3"), 0), COUNTIF($D$35:$E$35, Q$2)&gt;0, VLOOKUP($J375,'Gear Values'!$A$2:$E$13, IF(COUNTBLANK('Attributes &amp; Prefixes'!$B$35:$C$35)&gt;0, "4", "5"), 0)), "")</f>
        <v/>
      </c>
      <c r="R375" s="134" t="str" cm="1">
        <f t="array" ref="R375">IF(COUNTIF($B$35:$E$35, R$2)&gt;0, _xlfn.IFS(COUNTIF($B$35:$C$35, R$2)&gt;0, VLOOKUP($J375,'Gear Values'!$A$2:$E$13, IF(COUNTBLANK('Attributes &amp; Prefixes'!$B$35:$C$35)&gt;0, "2", "3"), 0), COUNTIF($D$35:$E$35, R$2)&gt;0, VLOOKUP($J375,'Gear Values'!$A$2:$E$13, IF(COUNTBLANK('Attributes &amp; Prefixes'!$B$35:$C$35)&gt;0, "4", "5"), 0)), "")</f>
        <v/>
      </c>
      <c r="S375" s="135" t="str" cm="1">
        <f t="array" ref="S375">IF(COUNTIF($B$35:$E$35, S$2)&gt;0, _xlfn.IFS(COUNTIF($B$35:$C$35, S$2)&gt;0, VLOOKUP($J375,'Gear Values'!$A$2:$E$13, IF(COUNTBLANK('Attributes &amp; Prefixes'!$B$35:$C$35)&gt;0, "2", "3"), 0), COUNTIF($D$35:$E$35, S$2)&gt;0, VLOOKUP($J375,'Gear Values'!$A$2:$E$13, IF(COUNTBLANK('Attributes &amp; Prefixes'!$B$35:$C$35)&gt;0, "4", "5"), 0)), "")</f>
        <v/>
      </c>
      <c r="V375" s="112"/>
      <c r="W375" s="113"/>
    </row>
    <row r="376" spans="6:23">
      <c r="F376" s="114"/>
      <c r="G376" s="114"/>
      <c r="H376" s="130" t="str">
        <f>_xlfn.CONCAT(I$375,J376)</f>
        <v>RabidWeapon (2H)</v>
      </c>
      <c r="I376" s="520"/>
      <c r="J376" s="144" t="s">
        <v>39</v>
      </c>
      <c r="K376" s="136" t="str" cm="1">
        <f t="array" ref="K376">IF(COUNTIF($B$35:$E$35, K$2)&gt;0, _xlfn.IFS(COUNTIF($B$35:$C$35, K$2)&gt;0, VLOOKUP($J376,'Gear Values'!$A$2:$E$13, IF(COUNTBLANK('Attributes &amp; Prefixes'!$B$35:$C$35)&gt;0, "2", "3"), 0), COUNTIF($D$35:$E$35, K$2)&gt;0, VLOOKUP($J376,'Gear Values'!$A$2:$E$13, IF(COUNTBLANK('Attributes &amp; Prefixes'!$B$35:$C$35)&gt;0, "4", "5"), 0)), "")</f>
        <v/>
      </c>
      <c r="L376" s="137" cm="1">
        <f t="array" ref="L376">IF(COUNTIF($B$35:$E$35, L$2)&gt;0, _xlfn.IFS(COUNTIF($B$35:$C$35, L$2)&gt;0, VLOOKUP($J376,'Gear Values'!$A$2:$E$13, IF(COUNTBLANK('Attributes &amp; Prefixes'!$B$35:$C$35)&gt;0, "2", "3"), 0), COUNTIF($D$35:$E$35, L$2)&gt;0, VLOOKUP($J376,'Gear Values'!$A$2:$E$13, IF(COUNTBLANK('Attributes &amp; Prefixes'!$B$35:$C$35)&gt;0, "4", "5"), 0)), "")</f>
        <v>171</v>
      </c>
      <c r="M376" s="137" cm="1">
        <f t="array" ref="M376">IF(COUNTIF($B$35:$E$35, M$2)&gt;0, _xlfn.IFS(COUNTIF($B$35:$C$35, M$2)&gt;0, VLOOKUP($J376,'Gear Values'!$A$2:$E$13, IF(COUNTBLANK('Attributes &amp; Prefixes'!$B$35:$C$35)&gt;0, "2", "3"), 0), COUNTIF($D$35:$E$35, M$2)&gt;0, VLOOKUP($J376,'Gear Values'!$A$2:$E$13, IF(COUNTBLANK('Attributes &amp; Prefixes'!$B$35:$C$35)&gt;0, "4", "5"), 0)), "")</f>
        <v>171</v>
      </c>
      <c r="N376" s="137" t="str" cm="1">
        <f t="array" ref="N376">IF(COUNTIF($B$35:$E$35, N$2)&gt;0, _xlfn.IFS(COUNTIF($B$35:$C$35, N$2)&gt;0, VLOOKUP($J376,'Gear Values'!$A$2:$E$13, IF(COUNTBLANK('Attributes &amp; Prefixes'!$B$35:$C$35)&gt;0, "2", "3"), 0), COUNTIF($D$35:$E$35, N$2)&gt;0, VLOOKUP($J376,'Gear Values'!$A$2:$E$13, IF(COUNTBLANK('Attributes &amp; Prefixes'!$B$35:$C$35)&gt;0, "4", "5"), 0)), "")</f>
        <v/>
      </c>
      <c r="O376" s="137" t="str" cm="1">
        <f t="array" ref="O376">IF(COUNTIF($B$35:$E$35, O$2)&gt;0, _xlfn.IFS(COUNTIF($B$35:$C$35, O$2)&gt;0, VLOOKUP($J376,'Gear Values'!$A$2:$E$13, IF(COUNTBLANK('Attributes &amp; Prefixes'!$B$35:$C$35)&gt;0, "2", "3"), 0), COUNTIF($D$35:$E$35, O$2)&gt;0, VLOOKUP($J376,'Gear Values'!$A$2:$E$13, IF(COUNTBLANK('Attributes &amp; Prefixes'!$B$35:$C$35)&gt;0, "4", "5"), 0)), "")</f>
        <v/>
      </c>
      <c r="P376" s="137" cm="1">
        <f t="array" ref="P376">IF(COUNTIF($B$35:$E$35, P$2)&gt;0, _xlfn.IFS(COUNTIF($B$35:$C$35, P$2)&gt;0, VLOOKUP($J376,'Gear Values'!$A$2:$E$13, IF(COUNTBLANK('Attributes &amp; Prefixes'!$B$35:$C$35)&gt;0, "2", "3"), 0), COUNTIF($D$35:$E$35, P$2)&gt;0, VLOOKUP($J376,'Gear Values'!$A$2:$E$13, IF(COUNTBLANK('Attributes &amp; Prefixes'!$B$35:$C$35)&gt;0, "4", "5"), 0)), "")</f>
        <v>239</v>
      </c>
      <c r="Q376" s="137" t="str" cm="1">
        <f t="array" ref="Q376">IF(COUNTIF($B$35:$E$35, Q$2)&gt;0, _xlfn.IFS(COUNTIF($B$35:$C$35, Q$2)&gt;0, VLOOKUP($J376,'Gear Values'!$A$2:$E$13, IF(COUNTBLANK('Attributes &amp; Prefixes'!$B$35:$C$35)&gt;0, "2", "3"), 0), COUNTIF($D$35:$E$35, Q$2)&gt;0, VLOOKUP($J376,'Gear Values'!$A$2:$E$13, IF(COUNTBLANK('Attributes &amp; Prefixes'!$B$35:$C$35)&gt;0, "4", "5"), 0)), "")</f>
        <v/>
      </c>
      <c r="R376" s="137" t="str" cm="1">
        <f t="array" ref="R376">IF(COUNTIF($B$35:$E$35, R$2)&gt;0, _xlfn.IFS(COUNTIF($B$35:$C$35, R$2)&gt;0, VLOOKUP($J376,'Gear Values'!$A$2:$E$13, IF(COUNTBLANK('Attributes &amp; Prefixes'!$B$35:$C$35)&gt;0, "2", "3"), 0), COUNTIF($D$35:$E$35, R$2)&gt;0, VLOOKUP($J376,'Gear Values'!$A$2:$E$13, IF(COUNTBLANK('Attributes &amp; Prefixes'!$B$35:$C$35)&gt;0, "4", "5"), 0)), "")</f>
        <v/>
      </c>
      <c r="S376" s="138" t="str" cm="1">
        <f t="array" ref="S376">IF(COUNTIF($B$35:$E$35, S$2)&gt;0, _xlfn.IFS(COUNTIF($B$35:$C$35, S$2)&gt;0, VLOOKUP($J376,'Gear Values'!$A$2:$E$13, IF(COUNTBLANK('Attributes &amp; Prefixes'!$B$35:$C$35)&gt;0, "2", "3"), 0), COUNTIF($D$35:$E$35, S$2)&gt;0, VLOOKUP($J376,'Gear Values'!$A$2:$E$13, IF(COUNTBLANK('Attributes &amp; Prefixes'!$B$35:$C$35)&gt;0, "4", "5"), 0)), "")</f>
        <v/>
      </c>
      <c r="V376" s="112"/>
      <c r="W376" s="113"/>
    </row>
    <row r="377" spans="6:23">
      <c r="F377" s="114"/>
      <c r="G377" s="114"/>
      <c r="H377" s="130" t="str">
        <f>_xlfn.CONCAT(I$375,J377)</f>
        <v>RabidHead</v>
      </c>
      <c r="I377" s="520"/>
      <c r="J377" s="144" t="s">
        <v>40</v>
      </c>
      <c r="K377" s="136" t="str" cm="1">
        <f t="array" ref="K377">IF(COUNTIF($B$35:$E$35, K$2)&gt;0, _xlfn.IFS(COUNTIF($B$35:$C$35, K$2)&gt;0, VLOOKUP($J377,'Gear Values'!$A$2:$E$13, IF(COUNTBLANK('Attributes &amp; Prefixes'!$B$35:$C$35)&gt;0, "2", "3"), 0), COUNTIF($D$35:$E$35, K$2)&gt;0, VLOOKUP($J377,'Gear Values'!$A$2:$E$13, IF(COUNTBLANK('Attributes &amp; Prefixes'!$B$35:$C$35)&gt;0, "4", "5"), 0)), "")</f>
        <v/>
      </c>
      <c r="L377" s="137" cm="1">
        <f t="array" ref="L377">IF(COUNTIF($B$35:$E$35, L$2)&gt;0, _xlfn.IFS(COUNTIF($B$35:$C$35, L$2)&gt;0, VLOOKUP($J377,'Gear Values'!$A$2:$E$13, IF(COUNTBLANK('Attributes &amp; Prefixes'!$B$35:$C$35)&gt;0, "2", "3"), 0), COUNTIF($D$35:$E$35, L$2)&gt;0, VLOOKUP($J377,'Gear Values'!$A$2:$E$13, IF(COUNTBLANK('Attributes &amp; Prefixes'!$B$35:$C$35)&gt;0, "4", "5"), 0)), "")</f>
        <v>43</v>
      </c>
      <c r="M377" s="137" cm="1">
        <f t="array" ref="M377">IF(COUNTIF($B$35:$E$35, M$2)&gt;0, _xlfn.IFS(COUNTIF($B$35:$C$35, M$2)&gt;0, VLOOKUP($J377,'Gear Values'!$A$2:$E$13, IF(COUNTBLANK('Attributes &amp; Prefixes'!$B$35:$C$35)&gt;0, "2", "3"), 0), COUNTIF($D$35:$E$35, M$2)&gt;0, VLOOKUP($J377,'Gear Values'!$A$2:$E$13, IF(COUNTBLANK('Attributes &amp; Prefixes'!$B$35:$C$35)&gt;0, "4", "5"), 0)), "")</f>
        <v>43</v>
      </c>
      <c r="N377" s="137" t="str" cm="1">
        <f t="array" ref="N377">IF(COUNTIF($B$35:$E$35, N$2)&gt;0, _xlfn.IFS(COUNTIF($B$35:$C$35, N$2)&gt;0, VLOOKUP($J377,'Gear Values'!$A$2:$E$13, IF(COUNTBLANK('Attributes &amp; Prefixes'!$B$35:$C$35)&gt;0, "2", "3"), 0), COUNTIF($D$35:$E$35, N$2)&gt;0, VLOOKUP($J377,'Gear Values'!$A$2:$E$13, IF(COUNTBLANK('Attributes &amp; Prefixes'!$B$35:$C$35)&gt;0, "4", "5"), 0)), "")</f>
        <v/>
      </c>
      <c r="O377" s="137" t="str" cm="1">
        <f t="array" ref="O377">IF(COUNTIF($B$35:$E$35, O$2)&gt;0, _xlfn.IFS(COUNTIF($B$35:$C$35, O$2)&gt;0, VLOOKUP($J377,'Gear Values'!$A$2:$E$13, IF(COUNTBLANK('Attributes &amp; Prefixes'!$B$35:$C$35)&gt;0, "2", "3"), 0), COUNTIF($D$35:$E$35, O$2)&gt;0, VLOOKUP($J377,'Gear Values'!$A$2:$E$13, IF(COUNTBLANK('Attributes &amp; Prefixes'!$B$35:$C$35)&gt;0, "4", "5"), 0)), "")</f>
        <v/>
      </c>
      <c r="P377" s="137" cm="1">
        <f t="array" ref="P377">IF(COUNTIF($B$35:$E$35, P$2)&gt;0, _xlfn.IFS(COUNTIF($B$35:$C$35, P$2)&gt;0, VLOOKUP($J377,'Gear Values'!$A$2:$E$13, IF(COUNTBLANK('Attributes &amp; Prefixes'!$B$35:$C$35)&gt;0, "2", "3"), 0), COUNTIF($D$35:$E$35, P$2)&gt;0, VLOOKUP($J377,'Gear Values'!$A$2:$E$13, IF(COUNTBLANK('Attributes &amp; Prefixes'!$B$35:$C$35)&gt;0, "4", "5"), 0)), "")</f>
        <v>60</v>
      </c>
      <c r="Q377" s="137" t="str" cm="1">
        <f t="array" ref="Q377">IF(COUNTIF($B$35:$E$35, Q$2)&gt;0, _xlfn.IFS(COUNTIF($B$35:$C$35, Q$2)&gt;0, VLOOKUP($J377,'Gear Values'!$A$2:$E$13, IF(COUNTBLANK('Attributes &amp; Prefixes'!$B$35:$C$35)&gt;0, "2", "3"), 0), COUNTIF($D$35:$E$35, Q$2)&gt;0, VLOOKUP($J377,'Gear Values'!$A$2:$E$13, IF(COUNTBLANK('Attributes &amp; Prefixes'!$B$35:$C$35)&gt;0, "4", "5"), 0)), "")</f>
        <v/>
      </c>
      <c r="R377" s="137" t="str" cm="1">
        <f t="array" ref="R377">IF(COUNTIF($B$35:$E$35, R$2)&gt;0, _xlfn.IFS(COUNTIF($B$35:$C$35, R$2)&gt;0, VLOOKUP($J377,'Gear Values'!$A$2:$E$13, IF(COUNTBLANK('Attributes &amp; Prefixes'!$B$35:$C$35)&gt;0, "2", "3"), 0), COUNTIF($D$35:$E$35, R$2)&gt;0, VLOOKUP($J377,'Gear Values'!$A$2:$E$13, IF(COUNTBLANK('Attributes &amp; Prefixes'!$B$35:$C$35)&gt;0, "4", "5"), 0)), "")</f>
        <v/>
      </c>
      <c r="S377" s="138" t="str" cm="1">
        <f t="array" ref="S377">IF(COUNTIF($B$35:$E$35, S$2)&gt;0, _xlfn.IFS(COUNTIF($B$35:$C$35, S$2)&gt;0, VLOOKUP($J377,'Gear Values'!$A$2:$E$13, IF(COUNTBLANK('Attributes &amp; Prefixes'!$B$35:$C$35)&gt;0, "2", "3"), 0), COUNTIF($D$35:$E$35, S$2)&gt;0, VLOOKUP($J377,'Gear Values'!$A$2:$E$13, IF(COUNTBLANK('Attributes &amp; Prefixes'!$B$35:$C$35)&gt;0, "4", "5"), 0)), "")</f>
        <v/>
      </c>
      <c r="V377" s="112"/>
      <c r="W377" s="113"/>
    </row>
    <row r="378" spans="6:23">
      <c r="F378" s="114"/>
      <c r="G378" s="114"/>
      <c r="H378" s="130" t="str">
        <f>_xlfn.CONCAT(I$375,J378)</f>
        <v>RabidShoulders</v>
      </c>
      <c r="I378" s="520"/>
      <c r="J378" s="144" t="s">
        <v>42</v>
      </c>
      <c r="K378" s="136" t="str" cm="1">
        <f t="array" ref="K378">IF(COUNTIF($B$35:$E$35, K$2)&gt;0, _xlfn.IFS(COUNTIF($B$35:$C$35, K$2)&gt;0, VLOOKUP($J378,'Gear Values'!$A$2:$E$13, IF(COUNTBLANK('Attributes &amp; Prefixes'!$B$35:$C$35)&gt;0, "2", "3"), 0), COUNTIF($D$35:$E$35, K$2)&gt;0, VLOOKUP($J378,'Gear Values'!$A$2:$E$13, IF(COUNTBLANK('Attributes &amp; Prefixes'!$B$35:$C$35)&gt;0, "4", "5"), 0)), "")</f>
        <v/>
      </c>
      <c r="L378" s="137" cm="1">
        <f t="array" ref="L378">IF(COUNTIF($B$35:$E$35, L$2)&gt;0, _xlfn.IFS(COUNTIF($B$35:$C$35, L$2)&gt;0, VLOOKUP($J378,'Gear Values'!$A$2:$E$13, IF(COUNTBLANK('Attributes &amp; Prefixes'!$B$35:$C$35)&gt;0, "2", "3"), 0), COUNTIF($D$35:$E$35, L$2)&gt;0, VLOOKUP($J378,'Gear Values'!$A$2:$E$13, IF(COUNTBLANK('Attributes &amp; Prefixes'!$B$35:$C$35)&gt;0, "4", "5"), 0)), "")</f>
        <v>32</v>
      </c>
      <c r="M378" s="137" cm="1">
        <f t="array" ref="M378">IF(COUNTIF($B$35:$E$35, M$2)&gt;0, _xlfn.IFS(COUNTIF($B$35:$C$35, M$2)&gt;0, VLOOKUP($J378,'Gear Values'!$A$2:$E$13, IF(COUNTBLANK('Attributes &amp; Prefixes'!$B$35:$C$35)&gt;0, "2", "3"), 0), COUNTIF($D$35:$E$35, M$2)&gt;0, VLOOKUP($J378,'Gear Values'!$A$2:$E$13, IF(COUNTBLANK('Attributes &amp; Prefixes'!$B$35:$C$35)&gt;0, "4", "5"), 0)), "")</f>
        <v>32</v>
      </c>
      <c r="N378" s="137" t="str" cm="1">
        <f t="array" ref="N378">IF(COUNTIF($B$35:$E$35, N$2)&gt;0, _xlfn.IFS(COUNTIF($B$35:$C$35, N$2)&gt;0, VLOOKUP($J378,'Gear Values'!$A$2:$E$13, IF(COUNTBLANK('Attributes &amp; Prefixes'!$B$35:$C$35)&gt;0, "2", "3"), 0), COUNTIF($D$35:$E$35, N$2)&gt;0, VLOOKUP($J378,'Gear Values'!$A$2:$E$13, IF(COUNTBLANK('Attributes &amp; Prefixes'!$B$35:$C$35)&gt;0, "4", "5"), 0)), "")</f>
        <v/>
      </c>
      <c r="O378" s="137" t="str" cm="1">
        <f t="array" ref="O378">IF(COUNTIF($B$35:$E$35, O$2)&gt;0, _xlfn.IFS(COUNTIF($B$35:$C$35, O$2)&gt;0, VLOOKUP($J378,'Gear Values'!$A$2:$E$13, IF(COUNTBLANK('Attributes &amp; Prefixes'!$B$35:$C$35)&gt;0, "2", "3"), 0), COUNTIF($D$35:$E$35, O$2)&gt;0, VLOOKUP($J378,'Gear Values'!$A$2:$E$13, IF(COUNTBLANK('Attributes &amp; Prefixes'!$B$35:$C$35)&gt;0, "4", "5"), 0)), "")</f>
        <v/>
      </c>
      <c r="P378" s="137" cm="1">
        <f t="array" ref="P378">IF(COUNTIF($B$35:$E$35, P$2)&gt;0, _xlfn.IFS(COUNTIF($B$35:$C$35, P$2)&gt;0, VLOOKUP($J378,'Gear Values'!$A$2:$E$13, IF(COUNTBLANK('Attributes &amp; Prefixes'!$B$35:$C$35)&gt;0, "2", "3"), 0), COUNTIF($D$35:$E$35, P$2)&gt;0, VLOOKUP($J378,'Gear Values'!$A$2:$E$13, IF(COUNTBLANK('Attributes &amp; Prefixes'!$B$35:$C$35)&gt;0, "4", "5"), 0)), "")</f>
        <v>45</v>
      </c>
      <c r="Q378" s="137" t="str" cm="1">
        <f t="array" ref="Q378">IF(COUNTIF($B$35:$E$35, Q$2)&gt;0, _xlfn.IFS(COUNTIF($B$35:$C$35, Q$2)&gt;0, VLOOKUP($J378,'Gear Values'!$A$2:$E$13, IF(COUNTBLANK('Attributes &amp; Prefixes'!$B$35:$C$35)&gt;0, "2", "3"), 0), COUNTIF($D$35:$E$35, Q$2)&gt;0, VLOOKUP($J378,'Gear Values'!$A$2:$E$13, IF(COUNTBLANK('Attributes &amp; Prefixes'!$B$35:$C$35)&gt;0, "4", "5"), 0)), "")</f>
        <v/>
      </c>
      <c r="R378" s="137" t="str" cm="1">
        <f t="array" ref="R378">IF(COUNTIF($B$35:$E$35, R$2)&gt;0, _xlfn.IFS(COUNTIF($B$35:$C$35, R$2)&gt;0, VLOOKUP($J378,'Gear Values'!$A$2:$E$13, IF(COUNTBLANK('Attributes &amp; Prefixes'!$B$35:$C$35)&gt;0, "2", "3"), 0), COUNTIF($D$35:$E$35, R$2)&gt;0, VLOOKUP($J378,'Gear Values'!$A$2:$E$13, IF(COUNTBLANK('Attributes &amp; Prefixes'!$B$35:$C$35)&gt;0, "4", "5"), 0)), "")</f>
        <v/>
      </c>
      <c r="S378" s="138" t="str" cm="1">
        <f t="array" ref="S378">IF(COUNTIF($B$35:$E$35, S$2)&gt;0, _xlfn.IFS(COUNTIF($B$35:$C$35, S$2)&gt;0, VLOOKUP($J378,'Gear Values'!$A$2:$E$13, IF(COUNTBLANK('Attributes &amp; Prefixes'!$B$35:$C$35)&gt;0, "2", "3"), 0), COUNTIF($D$35:$E$35, S$2)&gt;0, VLOOKUP($J378,'Gear Values'!$A$2:$E$13, IF(COUNTBLANK('Attributes &amp; Prefixes'!$B$35:$C$35)&gt;0, "4", "5"), 0)), "")</f>
        <v/>
      </c>
      <c r="V378" s="112"/>
      <c r="W378" s="113"/>
    </row>
    <row r="379" spans="6:23">
      <c r="F379" s="114"/>
      <c r="G379" s="114"/>
      <c r="H379" s="130" t="str">
        <f>_xlfn.CONCAT(I$375,J379)</f>
        <v>RabidChest</v>
      </c>
      <c r="I379" s="520"/>
      <c r="J379" s="144" t="s">
        <v>44</v>
      </c>
      <c r="K379" s="136" t="str" cm="1">
        <f t="array" ref="K379">IF(COUNTIF($B$35:$E$35, K$2)&gt;0, _xlfn.IFS(COUNTIF($B$35:$C$35, K$2)&gt;0, VLOOKUP($J379,'Gear Values'!$A$2:$E$13, IF(COUNTBLANK('Attributes &amp; Prefixes'!$B$35:$C$35)&gt;0, "2", "3"), 0), COUNTIF($D$35:$E$35, K$2)&gt;0, VLOOKUP($J379,'Gear Values'!$A$2:$E$13, IF(COUNTBLANK('Attributes &amp; Prefixes'!$B$35:$C$35)&gt;0, "4", "5"), 0)), "")</f>
        <v/>
      </c>
      <c r="L379" s="137" cm="1">
        <f t="array" ref="L379">IF(COUNTIF($B$35:$E$35, L$2)&gt;0, _xlfn.IFS(COUNTIF($B$35:$C$35, L$2)&gt;0, VLOOKUP($J379,'Gear Values'!$A$2:$E$13, IF(COUNTBLANK('Attributes &amp; Prefixes'!$B$35:$C$35)&gt;0, "2", "3"), 0), COUNTIF($D$35:$E$35, L$2)&gt;0, VLOOKUP($J379,'Gear Values'!$A$2:$E$13, IF(COUNTBLANK('Attributes &amp; Prefixes'!$B$35:$C$35)&gt;0, "4", "5"), 0)), "")</f>
        <v>96</v>
      </c>
      <c r="M379" s="137" cm="1">
        <f t="array" ref="M379">IF(COUNTIF($B$35:$E$35, M$2)&gt;0, _xlfn.IFS(COUNTIF($B$35:$C$35, M$2)&gt;0, VLOOKUP($J379,'Gear Values'!$A$2:$E$13, IF(COUNTBLANK('Attributes &amp; Prefixes'!$B$35:$C$35)&gt;0, "2", "3"), 0), COUNTIF($D$35:$E$35, M$2)&gt;0, VLOOKUP($J379,'Gear Values'!$A$2:$E$13, IF(COUNTBLANK('Attributes &amp; Prefixes'!$B$35:$C$35)&gt;0, "4", "5"), 0)), "")</f>
        <v>96</v>
      </c>
      <c r="N379" s="137" t="str" cm="1">
        <f t="array" ref="N379">IF(COUNTIF($B$35:$E$35, N$2)&gt;0, _xlfn.IFS(COUNTIF($B$35:$C$35, N$2)&gt;0, VLOOKUP($J379,'Gear Values'!$A$2:$E$13, IF(COUNTBLANK('Attributes &amp; Prefixes'!$B$35:$C$35)&gt;0, "2", "3"), 0), COUNTIF($D$35:$E$35, N$2)&gt;0, VLOOKUP($J379,'Gear Values'!$A$2:$E$13, IF(COUNTBLANK('Attributes &amp; Prefixes'!$B$35:$C$35)&gt;0, "4", "5"), 0)), "")</f>
        <v/>
      </c>
      <c r="O379" s="137" t="str" cm="1">
        <f t="array" ref="O379">IF(COUNTIF($B$35:$E$35, O$2)&gt;0, _xlfn.IFS(COUNTIF($B$35:$C$35, O$2)&gt;0, VLOOKUP($J379,'Gear Values'!$A$2:$E$13, IF(COUNTBLANK('Attributes &amp; Prefixes'!$B$35:$C$35)&gt;0, "2", "3"), 0), COUNTIF($D$35:$E$35, O$2)&gt;0, VLOOKUP($J379,'Gear Values'!$A$2:$E$13, IF(COUNTBLANK('Attributes &amp; Prefixes'!$B$35:$C$35)&gt;0, "4", "5"), 0)), "")</f>
        <v/>
      </c>
      <c r="P379" s="137" cm="1">
        <f t="array" ref="P379">IF(COUNTIF($B$35:$E$35, P$2)&gt;0, _xlfn.IFS(COUNTIF($B$35:$C$35, P$2)&gt;0, VLOOKUP($J379,'Gear Values'!$A$2:$E$13, IF(COUNTBLANK('Attributes &amp; Prefixes'!$B$35:$C$35)&gt;0, "2", "3"), 0), COUNTIF($D$35:$E$35, P$2)&gt;0, VLOOKUP($J379,'Gear Values'!$A$2:$E$13, IF(COUNTBLANK('Attributes &amp; Prefixes'!$B$35:$C$35)&gt;0, "4", "5"), 0)), "")</f>
        <v>134</v>
      </c>
      <c r="Q379" s="137" t="str" cm="1">
        <f t="array" ref="Q379">IF(COUNTIF($B$35:$E$35, Q$2)&gt;0, _xlfn.IFS(COUNTIF($B$35:$C$35, Q$2)&gt;0, VLOOKUP($J379,'Gear Values'!$A$2:$E$13, IF(COUNTBLANK('Attributes &amp; Prefixes'!$B$35:$C$35)&gt;0, "2", "3"), 0), COUNTIF($D$35:$E$35, Q$2)&gt;0, VLOOKUP($J379,'Gear Values'!$A$2:$E$13, IF(COUNTBLANK('Attributes &amp; Prefixes'!$B$35:$C$35)&gt;0, "4", "5"), 0)), "")</f>
        <v/>
      </c>
      <c r="R379" s="137" t="str" cm="1">
        <f t="array" ref="R379">IF(COUNTIF($B$35:$E$35, R$2)&gt;0, _xlfn.IFS(COUNTIF($B$35:$C$35, R$2)&gt;0, VLOOKUP($J379,'Gear Values'!$A$2:$E$13, IF(COUNTBLANK('Attributes &amp; Prefixes'!$B$35:$C$35)&gt;0, "2", "3"), 0), COUNTIF($D$35:$E$35, R$2)&gt;0, VLOOKUP($J379,'Gear Values'!$A$2:$E$13, IF(COUNTBLANK('Attributes &amp; Prefixes'!$B$35:$C$35)&gt;0, "4", "5"), 0)), "")</f>
        <v/>
      </c>
      <c r="S379" s="138" t="str" cm="1">
        <f t="array" ref="S379">IF(COUNTIF($B$35:$E$35, S$2)&gt;0, _xlfn.IFS(COUNTIF($B$35:$C$35, S$2)&gt;0, VLOOKUP($J379,'Gear Values'!$A$2:$E$13, IF(COUNTBLANK('Attributes &amp; Prefixes'!$B$35:$C$35)&gt;0, "2", "3"), 0), COUNTIF($D$35:$E$35, S$2)&gt;0, VLOOKUP($J379,'Gear Values'!$A$2:$E$13, IF(COUNTBLANK('Attributes &amp; Prefixes'!$B$35:$C$35)&gt;0, "4", "5"), 0)), "")</f>
        <v/>
      </c>
      <c r="V379" s="112"/>
      <c r="W379" s="113"/>
    </row>
    <row r="380" spans="6:23">
      <c r="H380" s="130" t="str">
        <f>_xlfn.CONCAT(I$375,J380)</f>
        <v>RabidHands</v>
      </c>
      <c r="I380" s="520"/>
      <c r="J380" s="144" t="s">
        <v>45</v>
      </c>
      <c r="K380" s="136" t="str" cm="1">
        <f t="array" ref="K380">IF(COUNTIF($B$35:$E$35, K$2)&gt;0, _xlfn.IFS(COUNTIF($B$35:$C$35, K$2)&gt;0, VLOOKUP($J380,'Gear Values'!$A$2:$E$13, IF(COUNTBLANK('Attributes &amp; Prefixes'!$B$35:$C$35)&gt;0, "2", "3"), 0), COUNTIF($D$35:$E$35, K$2)&gt;0, VLOOKUP($J380,'Gear Values'!$A$2:$E$13, IF(COUNTBLANK('Attributes &amp; Prefixes'!$B$35:$C$35)&gt;0, "4", "5"), 0)), "")</f>
        <v/>
      </c>
      <c r="L380" s="137" cm="1">
        <f t="array" ref="L380">IF(COUNTIF($B$35:$E$35, L$2)&gt;0, _xlfn.IFS(COUNTIF($B$35:$C$35, L$2)&gt;0, VLOOKUP($J380,'Gear Values'!$A$2:$E$13, IF(COUNTBLANK('Attributes &amp; Prefixes'!$B$35:$C$35)&gt;0, "2", "3"), 0), COUNTIF($D$35:$E$35, L$2)&gt;0, VLOOKUP($J380,'Gear Values'!$A$2:$E$13, IF(COUNTBLANK('Attributes &amp; Prefixes'!$B$35:$C$35)&gt;0, "4", "5"), 0)), "")</f>
        <v>32</v>
      </c>
      <c r="M380" s="137" cm="1">
        <f t="array" ref="M380">IF(COUNTIF($B$35:$E$35, M$2)&gt;0, _xlfn.IFS(COUNTIF($B$35:$C$35, M$2)&gt;0, VLOOKUP($J380,'Gear Values'!$A$2:$E$13, IF(COUNTBLANK('Attributes &amp; Prefixes'!$B$35:$C$35)&gt;0, "2", "3"), 0), COUNTIF($D$35:$E$35, M$2)&gt;0, VLOOKUP($J380,'Gear Values'!$A$2:$E$13, IF(COUNTBLANK('Attributes &amp; Prefixes'!$B$35:$C$35)&gt;0, "4", "5"), 0)), "")</f>
        <v>32</v>
      </c>
      <c r="N380" s="137" t="str" cm="1">
        <f t="array" ref="N380">IF(COUNTIF($B$35:$E$35, N$2)&gt;0, _xlfn.IFS(COUNTIF($B$35:$C$35, N$2)&gt;0, VLOOKUP($J380,'Gear Values'!$A$2:$E$13, IF(COUNTBLANK('Attributes &amp; Prefixes'!$B$35:$C$35)&gt;0, "2", "3"), 0), COUNTIF($D$35:$E$35, N$2)&gt;0, VLOOKUP($J380,'Gear Values'!$A$2:$E$13, IF(COUNTBLANK('Attributes &amp; Prefixes'!$B$35:$C$35)&gt;0, "4", "5"), 0)), "")</f>
        <v/>
      </c>
      <c r="O380" s="137" t="str" cm="1">
        <f t="array" ref="O380">IF(COUNTIF($B$35:$E$35, O$2)&gt;0, _xlfn.IFS(COUNTIF($B$35:$C$35, O$2)&gt;0, VLOOKUP($J380,'Gear Values'!$A$2:$E$13, IF(COUNTBLANK('Attributes &amp; Prefixes'!$B$35:$C$35)&gt;0, "2", "3"), 0), COUNTIF($D$35:$E$35, O$2)&gt;0, VLOOKUP($J380,'Gear Values'!$A$2:$E$13, IF(COUNTBLANK('Attributes &amp; Prefixes'!$B$35:$C$35)&gt;0, "4", "5"), 0)), "")</f>
        <v/>
      </c>
      <c r="P380" s="137" cm="1">
        <f t="array" ref="P380">IF(COUNTIF($B$35:$E$35, P$2)&gt;0, _xlfn.IFS(COUNTIF($B$35:$C$35, P$2)&gt;0, VLOOKUP($J380,'Gear Values'!$A$2:$E$13, IF(COUNTBLANK('Attributes &amp; Prefixes'!$B$35:$C$35)&gt;0, "2", "3"), 0), COUNTIF($D$35:$E$35, P$2)&gt;0, VLOOKUP($J380,'Gear Values'!$A$2:$E$13, IF(COUNTBLANK('Attributes &amp; Prefixes'!$B$35:$C$35)&gt;0, "4", "5"), 0)), "")</f>
        <v>45</v>
      </c>
      <c r="Q380" s="137" t="str" cm="1">
        <f t="array" ref="Q380">IF(COUNTIF($B$35:$E$35, Q$2)&gt;0, _xlfn.IFS(COUNTIF($B$35:$C$35, Q$2)&gt;0, VLOOKUP($J380,'Gear Values'!$A$2:$E$13, IF(COUNTBLANK('Attributes &amp; Prefixes'!$B$35:$C$35)&gt;0, "2", "3"), 0), COUNTIF($D$35:$E$35, Q$2)&gt;0, VLOOKUP($J380,'Gear Values'!$A$2:$E$13, IF(COUNTBLANK('Attributes &amp; Prefixes'!$B$35:$C$35)&gt;0, "4", "5"), 0)), "")</f>
        <v/>
      </c>
      <c r="R380" s="137" t="str" cm="1">
        <f t="array" ref="R380">IF(COUNTIF($B$35:$E$35, R$2)&gt;0, _xlfn.IFS(COUNTIF($B$35:$C$35, R$2)&gt;0, VLOOKUP($J380,'Gear Values'!$A$2:$E$13, IF(COUNTBLANK('Attributes &amp; Prefixes'!$B$35:$C$35)&gt;0, "2", "3"), 0), COUNTIF($D$35:$E$35, R$2)&gt;0, VLOOKUP($J380,'Gear Values'!$A$2:$E$13, IF(COUNTBLANK('Attributes &amp; Prefixes'!$B$35:$C$35)&gt;0, "4", "5"), 0)), "")</f>
        <v/>
      </c>
      <c r="S380" s="138" t="str" cm="1">
        <f t="array" ref="S380">IF(COUNTIF($B$35:$E$35, S$2)&gt;0, _xlfn.IFS(COUNTIF($B$35:$C$35, S$2)&gt;0, VLOOKUP($J380,'Gear Values'!$A$2:$E$13, IF(COUNTBLANK('Attributes &amp; Prefixes'!$B$35:$C$35)&gt;0, "2", "3"), 0), COUNTIF($D$35:$E$35, S$2)&gt;0, VLOOKUP($J380,'Gear Values'!$A$2:$E$13, IF(COUNTBLANK('Attributes &amp; Prefixes'!$B$35:$C$35)&gt;0, "4", "5"), 0)), "")</f>
        <v/>
      </c>
      <c r="V380" s="112"/>
      <c r="W380" s="113"/>
    </row>
    <row r="381" spans="6:23">
      <c r="H381" s="130" t="str">
        <f>_xlfn.CONCAT(I$375,J381)</f>
        <v>RabidLegs</v>
      </c>
      <c r="I381" s="520"/>
      <c r="J381" s="144" t="s">
        <v>47</v>
      </c>
      <c r="K381" s="136" t="str" cm="1">
        <f t="array" ref="K381">IF(COUNTIF($B$35:$E$35, K$2)&gt;0, _xlfn.IFS(COUNTIF($B$35:$C$35, K$2)&gt;0, VLOOKUP($J381,'Gear Values'!$A$2:$E$13, IF(COUNTBLANK('Attributes &amp; Prefixes'!$B$35:$C$35)&gt;0, "2", "3"), 0), COUNTIF($D$35:$E$35, K$2)&gt;0, VLOOKUP($J381,'Gear Values'!$A$2:$E$13, IF(COUNTBLANK('Attributes &amp; Prefixes'!$B$35:$C$35)&gt;0, "4", "5"), 0)), "")</f>
        <v/>
      </c>
      <c r="L381" s="137" cm="1">
        <f t="array" ref="L381">IF(COUNTIF($B$35:$E$35, L$2)&gt;0, _xlfn.IFS(COUNTIF($B$35:$C$35, L$2)&gt;0, VLOOKUP($J381,'Gear Values'!$A$2:$E$13, IF(COUNTBLANK('Attributes &amp; Prefixes'!$B$35:$C$35)&gt;0, "2", "3"), 0), COUNTIF($D$35:$E$35, L$2)&gt;0, VLOOKUP($J381,'Gear Values'!$A$2:$E$13, IF(COUNTBLANK('Attributes &amp; Prefixes'!$B$35:$C$35)&gt;0, "4", "5"), 0)), "")</f>
        <v>64</v>
      </c>
      <c r="M381" s="137" cm="1">
        <f t="array" ref="M381">IF(COUNTIF($B$35:$E$35, M$2)&gt;0, _xlfn.IFS(COUNTIF($B$35:$C$35, M$2)&gt;0, VLOOKUP($J381,'Gear Values'!$A$2:$E$13, IF(COUNTBLANK('Attributes &amp; Prefixes'!$B$35:$C$35)&gt;0, "2", "3"), 0), COUNTIF($D$35:$E$35, M$2)&gt;0, VLOOKUP($J381,'Gear Values'!$A$2:$E$13, IF(COUNTBLANK('Attributes &amp; Prefixes'!$B$35:$C$35)&gt;0, "4", "5"), 0)), "")</f>
        <v>64</v>
      </c>
      <c r="N381" s="137" t="str" cm="1">
        <f t="array" ref="N381">IF(COUNTIF($B$35:$E$35, N$2)&gt;0, _xlfn.IFS(COUNTIF($B$35:$C$35, N$2)&gt;0, VLOOKUP($J381,'Gear Values'!$A$2:$E$13, IF(COUNTBLANK('Attributes &amp; Prefixes'!$B$35:$C$35)&gt;0, "2", "3"), 0), COUNTIF($D$35:$E$35, N$2)&gt;0, VLOOKUP($J381,'Gear Values'!$A$2:$E$13, IF(COUNTBLANK('Attributes &amp; Prefixes'!$B$35:$C$35)&gt;0, "4", "5"), 0)), "")</f>
        <v/>
      </c>
      <c r="O381" s="137" t="str" cm="1">
        <f t="array" ref="O381">IF(COUNTIF($B$35:$E$35, O$2)&gt;0, _xlfn.IFS(COUNTIF($B$35:$C$35, O$2)&gt;0, VLOOKUP($J381,'Gear Values'!$A$2:$E$13, IF(COUNTBLANK('Attributes &amp; Prefixes'!$B$35:$C$35)&gt;0, "2", "3"), 0), COUNTIF($D$35:$E$35, O$2)&gt;0, VLOOKUP($J381,'Gear Values'!$A$2:$E$13, IF(COUNTBLANK('Attributes &amp; Prefixes'!$B$35:$C$35)&gt;0, "4", "5"), 0)), "")</f>
        <v/>
      </c>
      <c r="P381" s="137" cm="1">
        <f t="array" ref="P381">IF(COUNTIF($B$35:$E$35, P$2)&gt;0, _xlfn.IFS(COUNTIF($B$35:$C$35, P$2)&gt;0, VLOOKUP($J381,'Gear Values'!$A$2:$E$13, IF(COUNTBLANK('Attributes &amp; Prefixes'!$B$35:$C$35)&gt;0, "2", "3"), 0), COUNTIF($D$35:$E$35, P$2)&gt;0, VLOOKUP($J381,'Gear Values'!$A$2:$E$13, IF(COUNTBLANK('Attributes &amp; Prefixes'!$B$35:$C$35)&gt;0, "4", "5"), 0)), "")</f>
        <v>90</v>
      </c>
      <c r="Q381" s="137" t="str" cm="1">
        <f t="array" ref="Q381">IF(COUNTIF($B$35:$E$35, Q$2)&gt;0, _xlfn.IFS(COUNTIF($B$35:$C$35, Q$2)&gt;0, VLOOKUP($J381,'Gear Values'!$A$2:$E$13, IF(COUNTBLANK('Attributes &amp; Prefixes'!$B$35:$C$35)&gt;0, "2", "3"), 0), COUNTIF($D$35:$E$35, Q$2)&gt;0, VLOOKUP($J381,'Gear Values'!$A$2:$E$13, IF(COUNTBLANK('Attributes &amp; Prefixes'!$B$35:$C$35)&gt;0, "4", "5"), 0)), "")</f>
        <v/>
      </c>
      <c r="R381" s="137" t="str" cm="1">
        <f t="array" ref="R381">IF(COUNTIF($B$35:$E$35, R$2)&gt;0, _xlfn.IFS(COUNTIF($B$35:$C$35, R$2)&gt;0, VLOOKUP($J381,'Gear Values'!$A$2:$E$13, IF(COUNTBLANK('Attributes &amp; Prefixes'!$B$35:$C$35)&gt;0, "2", "3"), 0), COUNTIF($D$35:$E$35, R$2)&gt;0, VLOOKUP($J381,'Gear Values'!$A$2:$E$13, IF(COUNTBLANK('Attributes &amp; Prefixes'!$B$35:$C$35)&gt;0, "4", "5"), 0)), "")</f>
        <v/>
      </c>
      <c r="S381" s="138" t="str" cm="1">
        <f t="array" ref="S381">IF(COUNTIF($B$35:$E$35, S$2)&gt;0, _xlfn.IFS(COUNTIF($B$35:$C$35, S$2)&gt;0, VLOOKUP($J381,'Gear Values'!$A$2:$E$13, IF(COUNTBLANK('Attributes &amp; Prefixes'!$B$35:$C$35)&gt;0, "2", "3"), 0), COUNTIF($D$35:$E$35, S$2)&gt;0, VLOOKUP($J381,'Gear Values'!$A$2:$E$13, IF(COUNTBLANK('Attributes &amp; Prefixes'!$B$35:$C$35)&gt;0, "4", "5"), 0)), "")</f>
        <v/>
      </c>
      <c r="V381" s="112"/>
      <c r="W381" s="113"/>
    </row>
    <row r="382" spans="6:23">
      <c r="H382" s="130" t="str">
        <f>_xlfn.CONCAT(I$375,J382)</f>
        <v>RabidFeet</v>
      </c>
      <c r="I382" s="520"/>
      <c r="J382" s="144" t="s">
        <v>48</v>
      </c>
      <c r="K382" s="136" t="str" cm="1">
        <f t="array" ref="K382">IF(COUNTIF($B$35:$E$35, K$2)&gt;0, _xlfn.IFS(COUNTIF($B$35:$C$35, K$2)&gt;0, VLOOKUP($J382,'Gear Values'!$A$2:$E$13, IF(COUNTBLANK('Attributes &amp; Prefixes'!$B$35:$C$35)&gt;0, "2", "3"), 0), COUNTIF($D$35:$E$35, K$2)&gt;0, VLOOKUP($J382,'Gear Values'!$A$2:$E$13, IF(COUNTBLANK('Attributes &amp; Prefixes'!$B$35:$C$35)&gt;0, "4", "5"), 0)), "")</f>
        <v/>
      </c>
      <c r="L382" s="137" cm="1">
        <f t="array" ref="L382">IF(COUNTIF($B$35:$E$35, L$2)&gt;0, _xlfn.IFS(COUNTIF($B$35:$C$35, L$2)&gt;0, VLOOKUP($J382,'Gear Values'!$A$2:$E$13, IF(COUNTBLANK('Attributes &amp; Prefixes'!$B$35:$C$35)&gt;0, "2", "3"), 0), COUNTIF($D$35:$E$35, L$2)&gt;0, VLOOKUP($J382,'Gear Values'!$A$2:$E$13, IF(COUNTBLANK('Attributes &amp; Prefixes'!$B$35:$C$35)&gt;0, "4", "5"), 0)), "")</f>
        <v>32</v>
      </c>
      <c r="M382" s="137" cm="1">
        <f t="array" ref="M382">IF(COUNTIF($B$35:$E$35, M$2)&gt;0, _xlfn.IFS(COUNTIF($B$35:$C$35, M$2)&gt;0, VLOOKUP($J382,'Gear Values'!$A$2:$E$13, IF(COUNTBLANK('Attributes &amp; Prefixes'!$B$35:$C$35)&gt;0, "2", "3"), 0), COUNTIF($D$35:$E$35, M$2)&gt;0, VLOOKUP($J382,'Gear Values'!$A$2:$E$13, IF(COUNTBLANK('Attributes &amp; Prefixes'!$B$35:$C$35)&gt;0, "4", "5"), 0)), "")</f>
        <v>32</v>
      </c>
      <c r="N382" s="137" t="str" cm="1">
        <f t="array" ref="N382">IF(COUNTIF($B$35:$E$35, N$2)&gt;0, _xlfn.IFS(COUNTIF($B$35:$C$35, N$2)&gt;0, VLOOKUP($J382,'Gear Values'!$A$2:$E$13, IF(COUNTBLANK('Attributes &amp; Prefixes'!$B$35:$C$35)&gt;0, "2", "3"), 0), COUNTIF($D$35:$E$35, N$2)&gt;0, VLOOKUP($J382,'Gear Values'!$A$2:$E$13, IF(COUNTBLANK('Attributes &amp; Prefixes'!$B$35:$C$35)&gt;0, "4", "5"), 0)), "")</f>
        <v/>
      </c>
      <c r="O382" s="137" t="str" cm="1">
        <f t="array" ref="O382">IF(COUNTIF($B$35:$E$35, O$2)&gt;0, _xlfn.IFS(COUNTIF($B$35:$C$35, O$2)&gt;0, VLOOKUP($J382,'Gear Values'!$A$2:$E$13, IF(COUNTBLANK('Attributes &amp; Prefixes'!$B$35:$C$35)&gt;0, "2", "3"), 0), COUNTIF($D$35:$E$35, O$2)&gt;0, VLOOKUP($J382,'Gear Values'!$A$2:$E$13, IF(COUNTBLANK('Attributes &amp; Prefixes'!$B$35:$C$35)&gt;0, "4", "5"), 0)), "")</f>
        <v/>
      </c>
      <c r="P382" s="137" cm="1">
        <f t="array" ref="P382">IF(COUNTIF($B$35:$E$35, P$2)&gt;0, _xlfn.IFS(COUNTIF($B$35:$C$35, P$2)&gt;0, VLOOKUP($J382,'Gear Values'!$A$2:$E$13, IF(COUNTBLANK('Attributes &amp; Prefixes'!$B$35:$C$35)&gt;0, "2", "3"), 0), COUNTIF($D$35:$E$35, P$2)&gt;0, VLOOKUP($J382,'Gear Values'!$A$2:$E$13, IF(COUNTBLANK('Attributes &amp; Prefixes'!$B$35:$C$35)&gt;0, "4", "5"), 0)), "")</f>
        <v>45</v>
      </c>
      <c r="Q382" s="137" t="str" cm="1">
        <f t="array" ref="Q382">IF(COUNTIF($B$35:$E$35, Q$2)&gt;0, _xlfn.IFS(COUNTIF($B$35:$C$35, Q$2)&gt;0, VLOOKUP($J382,'Gear Values'!$A$2:$E$13, IF(COUNTBLANK('Attributes &amp; Prefixes'!$B$35:$C$35)&gt;0, "2", "3"), 0), COUNTIF($D$35:$E$35, Q$2)&gt;0, VLOOKUP($J382,'Gear Values'!$A$2:$E$13, IF(COUNTBLANK('Attributes &amp; Prefixes'!$B$35:$C$35)&gt;0, "4", "5"), 0)), "")</f>
        <v/>
      </c>
      <c r="R382" s="137" t="str" cm="1">
        <f t="array" ref="R382">IF(COUNTIF($B$35:$E$35, R$2)&gt;0, _xlfn.IFS(COUNTIF($B$35:$C$35, R$2)&gt;0, VLOOKUP($J382,'Gear Values'!$A$2:$E$13, IF(COUNTBLANK('Attributes &amp; Prefixes'!$B$35:$C$35)&gt;0, "2", "3"), 0), COUNTIF($D$35:$E$35, R$2)&gt;0, VLOOKUP($J382,'Gear Values'!$A$2:$E$13, IF(COUNTBLANK('Attributes &amp; Prefixes'!$B$35:$C$35)&gt;0, "4", "5"), 0)), "")</f>
        <v/>
      </c>
      <c r="S382" s="138" t="str" cm="1">
        <f t="array" ref="S382">IF(COUNTIF($B$35:$E$35, S$2)&gt;0, _xlfn.IFS(COUNTIF($B$35:$C$35, S$2)&gt;0, VLOOKUP($J382,'Gear Values'!$A$2:$E$13, IF(COUNTBLANK('Attributes &amp; Prefixes'!$B$35:$C$35)&gt;0, "2", "3"), 0), COUNTIF($D$35:$E$35, S$2)&gt;0, VLOOKUP($J382,'Gear Values'!$A$2:$E$13, IF(COUNTBLANK('Attributes &amp; Prefixes'!$B$35:$C$35)&gt;0, "4", "5"), 0)), "")</f>
        <v/>
      </c>
      <c r="V382" s="112"/>
      <c r="W382" s="113"/>
    </row>
    <row r="383" spans="6:23">
      <c r="H383" s="130" t="str">
        <f>_xlfn.CONCAT(I$375,J383)</f>
        <v>RabidEar</v>
      </c>
      <c r="I383" s="520"/>
      <c r="J383" s="144" t="s">
        <v>49</v>
      </c>
      <c r="K383" s="136" t="str" cm="1">
        <f t="array" ref="K383">IF(COUNTIF($B$35:$E$35, K$2)&gt;0, _xlfn.IFS(COUNTIF($B$35:$C$35, K$2)&gt;0, VLOOKUP($J383,'Gear Values'!$A$2:$E$13, IF(COUNTBLANK('Attributes &amp; Prefixes'!$B$35:$C$35)&gt;0, "2", "3"), 0), COUNTIF($D$35:$E$35, K$2)&gt;0, VLOOKUP($J383,'Gear Values'!$A$2:$E$13, IF(COUNTBLANK('Attributes &amp; Prefixes'!$B$35:$C$35)&gt;0, "4", "5"), 0)), "")</f>
        <v/>
      </c>
      <c r="L383" s="137" cm="1">
        <f t="array" ref="L383">IF(COUNTIF($B$35:$E$35, L$2)&gt;0, _xlfn.IFS(COUNTIF($B$35:$C$35, L$2)&gt;0, VLOOKUP($J383,'Gear Values'!$A$2:$E$13, IF(COUNTBLANK('Attributes &amp; Prefixes'!$B$35:$C$35)&gt;0, "2", "3"), 0), COUNTIF($D$35:$E$35, L$2)&gt;0, VLOOKUP($J383,'Gear Values'!$A$2:$E$13, IF(COUNTBLANK('Attributes &amp; Prefixes'!$B$35:$C$35)&gt;0, "4", "5"), 0)), "")</f>
        <v>53</v>
      </c>
      <c r="M383" s="137" cm="1">
        <f t="array" ref="M383">IF(COUNTIF($B$35:$E$35, M$2)&gt;0, _xlfn.IFS(COUNTIF($B$35:$C$35, M$2)&gt;0, VLOOKUP($J383,'Gear Values'!$A$2:$E$13, IF(COUNTBLANK('Attributes &amp; Prefixes'!$B$35:$C$35)&gt;0, "2", "3"), 0), COUNTIF($D$35:$E$35, M$2)&gt;0, VLOOKUP($J383,'Gear Values'!$A$2:$E$13, IF(COUNTBLANK('Attributes &amp; Prefixes'!$B$35:$C$35)&gt;0, "4", "5"), 0)), "")</f>
        <v>53</v>
      </c>
      <c r="N383" s="137" t="str" cm="1">
        <f t="array" ref="N383">IF(COUNTIF($B$35:$E$35, N$2)&gt;0, _xlfn.IFS(COUNTIF($B$35:$C$35, N$2)&gt;0, VLOOKUP($J383,'Gear Values'!$A$2:$E$13, IF(COUNTBLANK('Attributes &amp; Prefixes'!$B$35:$C$35)&gt;0, "2", "3"), 0), COUNTIF($D$35:$E$35, N$2)&gt;0, VLOOKUP($J383,'Gear Values'!$A$2:$E$13, IF(COUNTBLANK('Attributes &amp; Prefixes'!$B$35:$C$35)&gt;0, "4", "5"), 0)), "")</f>
        <v/>
      </c>
      <c r="O383" s="137" t="str" cm="1">
        <f t="array" ref="O383">IF(COUNTIF($B$35:$E$35, O$2)&gt;0, _xlfn.IFS(COUNTIF($B$35:$C$35, O$2)&gt;0, VLOOKUP($J383,'Gear Values'!$A$2:$E$13, IF(COUNTBLANK('Attributes &amp; Prefixes'!$B$35:$C$35)&gt;0, "2", "3"), 0), COUNTIF($D$35:$E$35, O$2)&gt;0, VLOOKUP($J383,'Gear Values'!$A$2:$E$13, IF(COUNTBLANK('Attributes &amp; Prefixes'!$B$35:$C$35)&gt;0, "4", "5"), 0)), "")</f>
        <v/>
      </c>
      <c r="P383" s="137" cm="1">
        <f t="array" ref="P383">IF(COUNTIF($B$35:$E$35, P$2)&gt;0, _xlfn.IFS(COUNTIF($B$35:$C$35, P$2)&gt;0, VLOOKUP($J383,'Gear Values'!$A$2:$E$13, IF(COUNTBLANK('Attributes &amp; Prefixes'!$B$35:$C$35)&gt;0, "2", "3"), 0), COUNTIF($D$35:$E$35, P$2)&gt;0, VLOOKUP($J383,'Gear Values'!$A$2:$E$13, IF(COUNTBLANK('Attributes &amp; Prefixes'!$B$35:$C$35)&gt;0, "4", "5"), 0)), "")</f>
        <v>75</v>
      </c>
      <c r="Q383" s="137" t="str" cm="1">
        <f t="array" ref="Q383">IF(COUNTIF($B$35:$E$35, Q$2)&gt;0, _xlfn.IFS(COUNTIF($B$35:$C$35, Q$2)&gt;0, VLOOKUP($J383,'Gear Values'!$A$2:$E$13, IF(COUNTBLANK('Attributes &amp; Prefixes'!$B$35:$C$35)&gt;0, "2", "3"), 0), COUNTIF($D$35:$E$35, Q$2)&gt;0, VLOOKUP($J383,'Gear Values'!$A$2:$E$13, IF(COUNTBLANK('Attributes &amp; Prefixes'!$B$35:$C$35)&gt;0, "4", "5"), 0)), "")</f>
        <v/>
      </c>
      <c r="R383" s="137" t="str" cm="1">
        <f t="array" ref="R383">IF(COUNTIF($B$35:$E$35, R$2)&gt;0, _xlfn.IFS(COUNTIF($B$35:$C$35, R$2)&gt;0, VLOOKUP($J383,'Gear Values'!$A$2:$E$13, IF(COUNTBLANK('Attributes &amp; Prefixes'!$B$35:$C$35)&gt;0, "2", "3"), 0), COUNTIF($D$35:$E$35, R$2)&gt;0, VLOOKUP($J383,'Gear Values'!$A$2:$E$13, IF(COUNTBLANK('Attributes &amp; Prefixes'!$B$35:$C$35)&gt;0, "4", "5"), 0)), "")</f>
        <v/>
      </c>
      <c r="S383" s="138" t="str" cm="1">
        <f t="array" ref="S383">IF(COUNTIF($B$35:$E$35, S$2)&gt;0, _xlfn.IFS(COUNTIF($B$35:$C$35, S$2)&gt;0, VLOOKUP($J383,'Gear Values'!$A$2:$E$13, IF(COUNTBLANK('Attributes &amp; Prefixes'!$B$35:$C$35)&gt;0, "2", "3"), 0), COUNTIF($D$35:$E$35, S$2)&gt;0, VLOOKUP($J383,'Gear Values'!$A$2:$E$13, IF(COUNTBLANK('Attributes &amp; Prefixes'!$B$35:$C$35)&gt;0, "4", "5"), 0)), "")</f>
        <v/>
      </c>
      <c r="V383" s="112"/>
      <c r="W383" s="113"/>
    </row>
    <row r="384" spans="6:23">
      <c r="H384" s="130" t="str">
        <f>_xlfn.CONCAT(I$375,J384)</f>
        <v>RabidFinger</v>
      </c>
      <c r="I384" s="520"/>
      <c r="J384" s="144" t="s">
        <v>51</v>
      </c>
      <c r="K384" s="136" t="str" cm="1">
        <f t="array" ref="K384">IF(COUNTIF($B$35:$E$35, K$2)&gt;0, _xlfn.IFS(COUNTIF($B$35:$C$35, K$2)&gt;0, VLOOKUP($J384,'Gear Values'!$A$2:$E$13, IF(COUNTBLANK('Attributes &amp; Prefixes'!$B$35:$C$35)&gt;0, "2", "3"), 0), COUNTIF($D$35:$E$35, K$2)&gt;0, VLOOKUP($J384,'Gear Values'!$A$2:$E$13, IF(COUNTBLANK('Attributes &amp; Prefixes'!$B$35:$C$35)&gt;0, "4", "5"), 0)), "")</f>
        <v/>
      </c>
      <c r="L384" s="137" cm="1">
        <f t="array" ref="L384">IF(COUNTIF($B$35:$E$35, L$2)&gt;0, _xlfn.IFS(COUNTIF($B$35:$C$35, L$2)&gt;0, VLOOKUP($J384,'Gear Values'!$A$2:$E$13, IF(COUNTBLANK('Attributes &amp; Prefixes'!$B$35:$C$35)&gt;0, "2", "3"), 0), COUNTIF($D$35:$E$35, L$2)&gt;0, VLOOKUP($J384,'Gear Values'!$A$2:$E$13, IF(COUNTBLANK('Attributes &amp; Prefixes'!$B$35:$C$35)&gt;0, "4", "5"), 0)), "")</f>
        <v>64</v>
      </c>
      <c r="M384" s="137" cm="1">
        <f t="array" ref="M384">IF(COUNTIF($B$35:$E$35, M$2)&gt;0, _xlfn.IFS(COUNTIF($B$35:$C$35, M$2)&gt;0, VLOOKUP($J384,'Gear Values'!$A$2:$E$13, IF(COUNTBLANK('Attributes &amp; Prefixes'!$B$35:$C$35)&gt;0, "2", "3"), 0), COUNTIF($D$35:$E$35, M$2)&gt;0, VLOOKUP($J384,'Gear Values'!$A$2:$E$13, IF(COUNTBLANK('Attributes &amp; Prefixes'!$B$35:$C$35)&gt;0, "4", "5"), 0)), "")</f>
        <v>64</v>
      </c>
      <c r="N384" s="137" t="str" cm="1">
        <f t="array" ref="N384">IF(COUNTIF($B$35:$E$35, N$2)&gt;0, _xlfn.IFS(COUNTIF($B$35:$C$35, N$2)&gt;0, VLOOKUP($J384,'Gear Values'!$A$2:$E$13, IF(COUNTBLANK('Attributes &amp; Prefixes'!$B$35:$C$35)&gt;0, "2", "3"), 0), COUNTIF($D$35:$E$35, N$2)&gt;0, VLOOKUP($J384,'Gear Values'!$A$2:$E$13, IF(COUNTBLANK('Attributes &amp; Prefixes'!$B$35:$C$35)&gt;0, "4", "5"), 0)), "")</f>
        <v/>
      </c>
      <c r="O384" s="137" t="str" cm="1">
        <f t="array" ref="O384">IF(COUNTIF($B$35:$E$35, O$2)&gt;0, _xlfn.IFS(COUNTIF($B$35:$C$35, O$2)&gt;0, VLOOKUP($J384,'Gear Values'!$A$2:$E$13, IF(COUNTBLANK('Attributes &amp; Prefixes'!$B$35:$C$35)&gt;0, "2", "3"), 0), COUNTIF($D$35:$E$35, O$2)&gt;0, VLOOKUP($J384,'Gear Values'!$A$2:$E$13, IF(COUNTBLANK('Attributes &amp; Prefixes'!$B$35:$C$35)&gt;0, "4", "5"), 0)), "")</f>
        <v/>
      </c>
      <c r="P384" s="137" cm="1">
        <f t="array" ref="P384">IF(COUNTIF($B$35:$E$35, P$2)&gt;0, _xlfn.IFS(COUNTIF($B$35:$C$35, P$2)&gt;0, VLOOKUP($J384,'Gear Values'!$A$2:$E$13, IF(COUNTBLANK('Attributes &amp; Prefixes'!$B$35:$C$35)&gt;0, "2", "3"), 0), COUNTIF($D$35:$E$35, P$2)&gt;0, VLOOKUP($J384,'Gear Values'!$A$2:$E$13, IF(COUNTBLANK('Attributes &amp; Prefixes'!$B$35:$C$35)&gt;0, "4", "5"), 0)), "")</f>
        <v>90</v>
      </c>
      <c r="Q384" s="137" t="str" cm="1">
        <f t="array" ref="Q384">IF(COUNTIF($B$35:$E$35, Q$2)&gt;0, _xlfn.IFS(COUNTIF($B$35:$C$35, Q$2)&gt;0, VLOOKUP($J384,'Gear Values'!$A$2:$E$13, IF(COUNTBLANK('Attributes &amp; Prefixes'!$B$35:$C$35)&gt;0, "2", "3"), 0), COUNTIF($D$35:$E$35, Q$2)&gt;0, VLOOKUP($J384,'Gear Values'!$A$2:$E$13, IF(COUNTBLANK('Attributes &amp; Prefixes'!$B$35:$C$35)&gt;0, "4", "5"), 0)), "")</f>
        <v/>
      </c>
      <c r="R384" s="137" t="str" cm="1">
        <f t="array" ref="R384">IF(COUNTIF($B$35:$E$35, R$2)&gt;0, _xlfn.IFS(COUNTIF($B$35:$C$35, R$2)&gt;0, VLOOKUP($J384,'Gear Values'!$A$2:$E$13, IF(COUNTBLANK('Attributes &amp; Prefixes'!$B$35:$C$35)&gt;0, "2", "3"), 0), COUNTIF($D$35:$E$35, R$2)&gt;0, VLOOKUP($J384,'Gear Values'!$A$2:$E$13, IF(COUNTBLANK('Attributes &amp; Prefixes'!$B$35:$C$35)&gt;0, "4", "5"), 0)), "")</f>
        <v/>
      </c>
      <c r="S384" s="138" t="str" cm="1">
        <f t="array" ref="S384">IF(COUNTIF($B$35:$E$35, S$2)&gt;0, _xlfn.IFS(COUNTIF($B$35:$C$35, S$2)&gt;0, VLOOKUP($J384,'Gear Values'!$A$2:$E$13, IF(COUNTBLANK('Attributes &amp; Prefixes'!$B$35:$C$35)&gt;0, "2", "3"), 0), COUNTIF($D$35:$E$35, S$2)&gt;0, VLOOKUP($J384,'Gear Values'!$A$2:$E$13, IF(COUNTBLANK('Attributes &amp; Prefixes'!$B$35:$C$35)&gt;0, "4", "5"), 0)), "")</f>
        <v/>
      </c>
      <c r="V384" s="112"/>
      <c r="W384" s="113"/>
    </row>
    <row r="385" spans="8:23">
      <c r="H385" s="130" t="str">
        <f>_xlfn.CONCAT(I$375,J385)</f>
        <v>RabidNeck</v>
      </c>
      <c r="I385" s="520"/>
      <c r="J385" s="144" t="s">
        <v>52</v>
      </c>
      <c r="K385" s="136" t="str" cm="1">
        <f t="array" ref="K385">IF(COUNTIF($B$35:$E$35, K$2)&gt;0, _xlfn.IFS(COUNTIF($B$35:$C$35, K$2)&gt;0, VLOOKUP($J385,'Gear Values'!$A$2:$E$13, IF(COUNTBLANK('Attributes &amp; Prefixes'!$B$35:$C$35)&gt;0, "2", "3"), 0), COUNTIF($D$35:$E$35, K$2)&gt;0, VLOOKUP($J385,'Gear Values'!$A$2:$E$13, IF(COUNTBLANK('Attributes &amp; Prefixes'!$B$35:$C$35)&gt;0, "4", "5"), 0)), "")</f>
        <v/>
      </c>
      <c r="L385" s="137" cm="1">
        <f t="array" ref="L385">IF(COUNTIF($B$35:$E$35, L$2)&gt;0, _xlfn.IFS(COUNTIF($B$35:$C$35, L$2)&gt;0, VLOOKUP($J385,'Gear Values'!$A$2:$E$13, IF(COUNTBLANK('Attributes &amp; Prefixes'!$B$35:$C$35)&gt;0, "2", "3"), 0), COUNTIF($D$35:$E$35, L$2)&gt;0, VLOOKUP($J385,'Gear Values'!$A$2:$E$13, IF(COUNTBLANK('Attributes &amp; Prefixes'!$B$35:$C$35)&gt;0, "4", "5"), 0)), "")</f>
        <v>85</v>
      </c>
      <c r="M385" s="137" cm="1">
        <f t="array" ref="M385">IF(COUNTIF($B$35:$E$35, M$2)&gt;0, _xlfn.IFS(COUNTIF($B$35:$C$35, M$2)&gt;0, VLOOKUP($J385,'Gear Values'!$A$2:$E$13, IF(COUNTBLANK('Attributes &amp; Prefixes'!$B$35:$C$35)&gt;0, "2", "3"), 0), COUNTIF($D$35:$E$35, M$2)&gt;0, VLOOKUP($J385,'Gear Values'!$A$2:$E$13, IF(COUNTBLANK('Attributes &amp; Prefixes'!$B$35:$C$35)&gt;0, "4", "5"), 0)), "")</f>
        <v>85</v>
      </c>
      <c r="N385" s="137" t="str" cm="1">
        <f t="array" ref="N385">IF(COUNTIF($B$35:$E$35, N$2)&gt;0, _xlfn.IFS(COUNTIF($B$35:$C$35, N$2)&gt;0, VLOOKUP($J385,'Gear Values'!$A$2:$E$13, IF(COUNTBLANK('Attributes &amp; Prefixes'!$B$35:$C$35)&gt;0, "2", "3"), 0), COUNTIF($D$35:$E$35, N$2)&gt;0, VLOOKUP($J385,'Gear Values'!$A$2:$E$13, IF(COUNTBLANK('Attributes &amp; Prefixes'!$B$35:$C$35)&gt;0, "4", "5"), 0)), "")</f>
        <v/>
      </c>
      <c r="O385" s="137" t="str" cm="1">
        <f t="array" ref="O385">IF(COUNTIF($B$35:$E$35, O$2)&gt;0, _xlfn.IFS(COUNTIF($B$35:$C$35, O$2)&gt;0, VLOOKUP($J385,'Gear Values'!$A$2:$E$13, IF(COUNTBLANK('Attributes &amp; Prefixes'!$B$35:$C$35)&gt;0, "2", "3"), 0), COUNTIF($D$35:$E$35, O$2)&gt;0, VLOOKUP($J385,'Gear Values'!$A$2:$E$13, IF(COUNTBLANK('Attributes &amp; Prefixes'!$B$35:$C$35)&gt;0, "4", "5"), 0)), "")</f>
        <v/>
      </c>
      <c r="P385" s="137" cm="1">
        <f t="array" ref="P385">IF(COUNTIF($B$35:$E$35, P$2)&gt;0, _xlfn.IFS(COUNTIF($B$35:$C$35, P$2)&gt;0, VLOOKUP($J385,'Gear Values'!$A$2:$E$13, IF(COUNTBLANK('Attributes &amp; Prefixes'!$B$35:$C$35)&gt;0, "2", "3"), 0), COUNTIF($D$35:$E$35, P$2)&gt;0, VLOOKUP($J385,'Gear Values'!$A$2:$E$13, IF(COUNTBLANK('Attributes &amp; Prefixes'!$B$35:$C$35)&gt;0, "4", "5"), 0)), "")</f>
        <v>120</v>
      </c>
      <c r="Q385" s="137" t="str" cm="1">
        <f t="array" ref="Q385">IF(COUNTIF($B$35:$E$35, Q$2)&gt;0, _xlfn.IFS(COUNTIF($B$35:$C$35, Q$2)&gt;0, VLOOKUP($J385,'Gear Values'!$A$2:$E$13, IF(COUNTBLANK('Attributes &amp; Prefixes'!$B$35:$C$35)&gt;0, "2", "3"), 0), COUNTIF($D$35:$E$35, Q$2)&gt;0, VLOOKUP($J385,'Gear Values'!$A$2:$E$13, IF(COUNTBLANK('Attributes &amp; Prefixes'!$B$35:$C$35)&gt;0, "4", "5"), 0)), "")</f>
        <v/>
      </c>
      <c r="R385" s="137" t="str" cm="1">
        <f t="array" ref="R385">IF(COUNTIF($B$35:$E$35, R$2)&gt;0, _xlfn.IFS(COUNTIF($B$35:$C$35, R$2)&gt;0, VLOOKUP($J385,'Gear Values'!$A$2:$E$13, IF(COUNTBLANK('Attributes &amp; Prefixes'!$B$35:$C$35)&gt;0, "2", "3"), 0), COUNTIF($D$35:$E$35, R$2)&gt;0, VLOOKUP($J385,'Gear Values'!$A$2:$E$13, IF(COUNTBLANK('Attributes &amp; Prefixes'!$B$35:$C$35)&gt;0, "4", "5"), 0)), "")</f>
        <v/>
      </c>
      <c r="S385" s="138" t="str" cm="1">
        <f t="array" ref="S385">IF(COUNTIF($B$35:$E$35, S$2)&gt;0, _xlfn.IFS(COUNTIF($B$35:$C$35, S$2)&gt;0, VLOOKUP($J385,'Gear Values'!$A$2:$E$13, IF(COUNTBLANK('Attributes &amp; Prefixes'!$B$35:$C$35)&gt;0, "2", "3"), 0), COUNTIF($D$35:$E$35, S$2)&gt;0, VLOOKUP($J385,'Gear Values'!$A$2:$E$13, IF(COUNTBLANK('Attributes &amp; Prefixes'!$B$35:$C$35)&gt;0, "4", "5"), 0)), "")</f>
        <v/>
      </c>
      <c r="V385" s="112"/>
      <c r="W385" s="112"/>
    </row>
    <row r="386" spans="8:23">
      <c r="H386" s="130" t="str">
        <f>_xlfn.CONCAT(I$375,J386)</f>
        <v>RabidBack</v>
      </c>
      <c r="I386" s="521"/>
      <c r="J386" s="146" t="s">
        <v>53</v>
      </c>
      <c r="K386" s="147" t="str" cm="1">
        <f t="array" ref="K386">IF(COUNTIF($B$35:$E$35, K$2)&gt;0, _xlfn.IFS(COUNTIF($B$35:$C$35, K$2)&gt;0, VLOOKUP($J386,'Gear Values'!$A$2:$E$13, IF(COUNTBLANK('Attributes &amp; Prefixes'!$B$35:$C$35)&gt;0, "2", "3"), 0), COUNTIF($D$35:$E$35, K$2)&gt;0, VLOOKUP($J386,'Gear Values'!$A$2:$E$13, IF(COUNTBLANK('Attributes &amp; Prefixes'!$B$35:$C$35)&gt;0, "4", "5"), 0)), "")</f>
        <v/>
      </c>
      <c r="L386" s="148" cm="1">
        <f t="array" ref="L386">IF(COUNTIF($B$35:$E$35, L$2)&gt;0, _xlfn.IFS(COUNTIF($B$35:$C$35, L$2)&gt;0, VLOOKUP($J386,'Gear Values'!$A$2:$E$13, IF(COUNTBLANK('Attributes &amp; Prefixes'!$B$35:$C$35)&gt;0, "2", "3"), 0), COUNTIF($D$35:$E$35, L$2)&gt;0, VLOOKUP($J386,'Gear Values'!$A$2:$E$13, IF(COUNTBLANK('Attributes &amp; Prefixes'!$B$35:$C$35)&gt;0, "4", "5"), 0)), "")</f>
        <v>18</v>
      </c>
      <c r="M386" s="148" cm="1">
        <f t="array" ref="M386">IF(COUNTIF($B$35:$E$35, M$2)&gt;0, _xlfn.IFS(COUNTIF($B$35:$C$35, M$2)&gt;0, VLOOKUP($J386,'Gear Values'!$A$2:$E$13, IF(COUNTBLANK('Attributes &amp; Prefixes'!$B$35:$C$35)&gt;0, "2", "3"), 0), COUNTIF($D$35:$E$35, M$2)&gt;0, VLOOKUP($J386,'Gear Values'!$A$2:$E$13, IF(COUNTBLANK('Attributes &amp; Prefixes'!$B$35:$C$35)&gt;0, "4", "5"), 0)), "")</f>
        <v>18</v>
      </c>
      <c r="N386" s="148" t="str" cm="1">
        <f t="array" ref="N386">IF(COUNTIF($B$35:$E$35, N$2)&gt;0, _xlfn.IFS(COUNTIF($B$35:$C$35, N$2)&gt;0, VLOOKUP($J386,'Gear Values'!$A$2:$E$13, IF(COUNTBLANK('Attributes &amp; Prefixes'!$B$35:$C$35)&gt;0, "2", "3"), 0), COUNTIF($D$35:$E$35, N$2)&gt;0, VLOOKUP($J386,'Gear Values'!$A$2:$E$13, IF(COUNTBLANK('Attributes &amp; Prefixes'!$B$35:$C$35)&gt;0, "4", "5"), 0)), "")</f>
        <v/>
      </c>
      <c r="O386" s="148" t="str" cm="1">
        <f t="array" ref="O386">IF(COUNTIF($B$35:$E$35, O$2)&gt;0, _xlfn.IFS(COUNTIF($B$35:$C$35, O$2)&gt;0, VLOOKUP($J386,'Gear Values'!$A$2:$E$13, IF(COUNTBLANK('Attributes &amp; Prefixes'!$B$35:$C$35)&gt;0, "2", "3"), 0), COUNTIF($D$35:$E$35, O$2)&gt;0, VLOOKUP($J386,'Gear Values'!$A$2:$E$13, IF(COUNTBLANK('Attributes &amp; Prefixes'!$B$35:$C$35)&gt;0, "4", "5"), 0)), "")</f>
        <v/>
      </c>
      <c r="P386" s="148" cm="1">
        <f t="array" ref="P386">IF(COUNTIF($B$35:$E$35, P$2)&gt;0, _xlfn.IFS(COUNTIF($B$35:$C$35, P$2)&gt;0, VLOOKUP($J386,'Gear Values'!$A$2:$E$13, IF(COUNTBLANK('Attributes &amp; Prefixes'!$B$35:$C$35)&gt;0, "2", "3"), 0), COUNTIF($D$35:$E$35, P$2)&gt;0, VLOOKUP($J386,'Gear Values'!$A$2:$E$13, IF(COUNTBLANK('Attributes &amp; Prefixes'!$B$35:$C$35)&gt;0, "4", "5"), 0)), "")</f>
        <v>32</v>
      </c>
      <c r="Q386" s="148" t="str" cm="1">
        <f t="array" ref="Q386">IF(COUNTIF($B$35:$E$35, Q$2)&gt;0, _xlfn.IFS(COUNTIF($B$35:$C$35, Q$2)&gt;0, VLOOKUP($J386,'Gear Values'!$A$2:$E$13, IF(COUNTBLANK('Attributes &amp; Prefixes'!$B$35:$C$35)&gt;0, "2", "3"), 0), COUNTIF($D$35:$E$35, Q$2)&gt;0, VLOOKUP($J386,'Gear Values'!$A$2:$E$13, IF(COUNTBLANK('Attributes &amp; Prefixes'!$B$35:$C$35)&gt;0, "4", "5"), 0)), "")</f>
        <v/>
      </c>
      <c r="R386" s="148" t="str" cm="1">
        <f t="array" ref="R386">IF(COUNTIF($B$35:$E$35, R$2)&gt;0, _xlfn.IFS(COUNTIF($B$35:$C$35, R$2)&gt;0, VLOOKUP($J386,'Gear Values'!$A$2:$E$13, IF(COUNTBLANK('Attributes &amp; Prefixes'!$B$35:$C$35)&gt;0, "2", "3"), 0), COUNTIF($D$35:$E$35, R$2)&gt;0, VLOOKUP($J386,'Gear Values'!$A$2:$E$13, IF(COUNTBLANK('Attributes &amp; Prefixes'!$B$35:$C$35)&gt;0, "4", "5"), 0)), "")</f>
        <v/>
      </c>
      <c r="S386" s="150" t="str" cm="1">
        <f t="array" ref="S386">IF(COUNTIF($B$35:$E$35, S$2)&gt;0, _xlfn.IFS(COUNTIF($B$35:$C$35, S$2)&gt;0, VLOOKUP($J386,'Gear Values'!$A$2:$E$13, IF(COUNTBLANK('Attributes &amp; Prefixes'!$B$35:$C$35)&gt;0, "2", "3"), 0), COUNTIF($D$35:$E$35, S$2)&gt;0, VLOOKUP($J386,'Gear Values'!$A$2:$E$13, IF(COUNTBLANK('Attributes &amp; Prefixes'!$B$35:$C$35)&gt;0, "4", "5"), 0)), "")</f>
        <v/>
      </c>
      <c r="V386" s="112"/>
      <c r="W386" s="112"/>
    </row>
    <row r="387" spans="8:23">
      <c r="H387" s="130" t="str">
        <f>_xlfn.CONCAT(I$387,J387)</f>
        <v>RampagerWeapon (1H)</v>
      </c>
      <c r="I387" s="519" t="str">
        <f>A36</f>
        <v>Rampager</v>
      </c>
      <c r="J387" s="145" t="s">
        <v>37</v>
      </c>
      <c r="K387" s="133" cm="1">
        <f t="array" ref="K387">IF(COUNTIF($B$36:$E$36, K$2)&gt;0, _xlfn.IFS(COUNTIF($B$36:$C$36, K$2)&gt;0, VLOOKUP($J387,'Gear Values'!$A$2:$E$13, IF(COUNTBLANK('Attributes &amp; Prefixes'!$B$36:$C$36)&gt;0, "2", "3"), 0), COUNTIF($D$36:$E$36, K$2)&gt;0, VLOOKUP($J387,'Gear Values'!$A$2:$E$13, IF(COUNTBLANK('Attributes &amp; Prefixes'!$B$36:$C$36)&gt;0, "4", "5"), 0)), "")</f>
        <v>85</v>
      </c>
      <c r="L387" s="134" cm="1">
        <f t="array" ref="L387">IF(COUNTIF($B$36:$E$36, L$2)&gt;0, _xlfn.IFS(COUNTIF($B$36:$C$36, L$2)&gt;0, VLOOKUP($J387,'Gear Values'!$A$2:$E$13, IF(COUNTBLANK('Attributes &amp; Prefixes'!$B$36:$C$36)&gt;0, "2", "3"), 0), COUNTIF($D$36:$E$36, L$2)&gt;0, VLOOKUP($J387,'Gear Values'!$A$2:$E$13, IF(COUNTBLANK('Attributes &amp; Prefixes'!$B$36:$C$36)&gt;0, "4", "5"), 0)), "")</f>
        <v>120</v>
      </c>
      <c r="M387" s="134" t="str" cm="1">
        <f t="array" ref="M387">IF(COUNTIF($B$36:$E$36, M$2)&gt;0, _xlfn.IFS(COUNTIF($B$36:$C$36, M$2)&gt;0, VLOOKUP($J387,'Gear Values'!$A$2:$E$13, IF(COUNTBLANK('Attributes &amp; Prefixes'!$B$36:$C$36)&gt;0, "2", "3"), 0), COUNTIF($D$36:$E$36, M$2)&gt;0, VLOOKUP($J387,'Gear Values'!$A$2:$E$13, IF(COUNTBLANK('Attributes &amp; Prefixes'!$B$36:$C$36)&gt;0, "4", "5"), 0)), "")</f>
        <v/>
      </c>
      <c r="N387" s="134" t="str" cm="1">
        <f t="array" ref="N387">IF(COUNTIF($B$36:$E$36, N$2)&gt;0, _xlfn.IFS(COUNTIF($B$36:$C$36, N$2)&gt;0, VLOOKUP($J387,'Gear Values'!$A$2:$E$13, IF(COUNTBLANK('Attributes &amp; Prefixes'!$B$36:$C$36)&gt;0, "2", "3"), 0), COUNTIF($D$36:$E$36, N$2)&gt;0, VLOOKUP($J387,'Gear Values'!$A$2:$E$13, IF(COUNTBLANK('Attributes &amp; Prefixes'!$B$36:$C$36)&gt;0, "4", "5"), 0)), "")</f>
        <v/>
      </c>
      <c r="O387" s="134" t="str" cm="1">
        <f t="array" ref="O387">IF(COUNTIF($B$36:$E$36, O$2)&gt;0, _xlfn.IFS(COUNTIF($B$36:$C$36, O$2)&gt;0, VLOOKUP($J387,'Gear Values'!$A$2:$E$13, IF(COUNTBLANK('Attributes &amp; Prefixes'!$B$36:$C$36)&gt;0, "2", "3"), 0), COUNTIF($D$36:$E$36, O$2)&gt;0, VLOOKUP($J387,'Gear Values'!$A$2:$E$13, IF(COUNTBLANK('Attributes &amp; Prefixes'!$B$36:$C$36)&gt;0, "4", "5"), 0)), "")</f>
        <v/>
      </c>
      <c r="P387" s="134" cm="1">
        <f t="array" ref="P387">IF(COUNTIF($B$36:$E$36, P$2)&gt;0, _xlfn.IFS(COUNTIF($B$36:$C$36, P$2)&gt;0, VLOOKUP($J387,'Gear Values'!$A$2:$E$13, IF(COUNTBLANK('Attributes &amp; Prefixes'!$B$36:$C$36)&gt;0, "2", "3"), 0), COUNTIF($D$36:$E$36, P$2)&gt;0, VLOOKUP($J387,'Gear Values'!$A$2:$E$13, IF(COUNTBLANK('Attributes &amp; Prefixes'!$B$36:$C$36)&gt;0, "4", "5"), 0)), "")</f>
        <v>85</v>
      </c>
      <c r="Q387" s="134" t="str" cm="1">
        <f t="array" ref="Q387">IF(COUNTIF($B$36:$E$36, Q$2)&gt;0, _xlfn.IFS(COUNTIF($B$36:$C$36, Q$2)&gt;0, VLOOKUP($J387,'Gear Values'!$A$2:$E$13, IF(COUNTBLANK('Attributes &amp; Prefixes'!$B$36:$C$36)&gt;0, "2", "3"), 0), COUNTIF($D$36:$E$36, Q$2)&gt;0, VLOOKUP($J387,'Gear Values'!$A$2:$E$13, IF(COUNTBLANK('Attributes &amp; Prefixes'!$B$36:$C$36)&gt;0, "4", "5"), 0)), "")</f>
        <v/>
      </c>
      <c r="R387" s="134" t="str" cm="1">
        <f t="array" ref="R387">IF(COUNTIF($B$36:$E$36, R$2)&gt;0, _xlfn.IFS(COUNTIF($B$36:$C$36, R$2)&gt;0, VLOOKUP($J387,'Gear Values'!$A$2:$E$13, IF(COUNTBLANK('Attributes &amp; Prefixes'!$B$36:$C$36)&gt;0, "2", "3"), 0), COUNTIF($D$36:$E$36, R$2)&gt;0, VLOOKUP($J387,'Gear Values'!$A$2:$E$13, IF(COUNTBLANK('Attributes &amp; Prefixes'!$B$36:$C$36)&gt;0, "4", "5"), 0)), "")</f>
        <v/>
      </c>
      <c r="S387" s="135" t="str" cm="1">
        <f t="array" ref="S387">IF(COUNTIF($B$36:$E$36, S$2)&gt;0, _xlfn.IFS(COUNTIF($B$36:$C$36, S$2)&gt;0, VLOOKUP($J387,'Gear Values'!$A$2:$E$13, IF(COUNTBLANK('Attributes &amp; Prefixes'!$B$36:$C$36)&gt;0, "2", "3"), 0), COUNTIF($D$36:$E$36, S$2)&gt;0, VLOOKUP($J387,'Gear Values'!$A$2:$E$13, IF(COUNTBLANK('Attributes &amp; Prefixes'!$B$36:$C$36)&gt;0, "4", "5"), 0)), "")</f>
        <v/>
      </c>
      <c r="V387" s="112"/>
      <c r="W387" s="112"/>
    </row>
    <row r="388" spans="8:23">
      <c r="H388" s="130" t="str">
        <f>_xlfn.CONCAT(I$387,J388)</f>
        <v>RampagerWeapon (2H)</v>
      </c>
      <c r="I388" s="520"/>
      <c r="J388" s="144" t="s">
        <v>39</v>
      </c>
      <c r="K388" s="136" cm="1">
        <f t="array" ref="K388">IF(COUNTIF($B$36:$E$36, K$2)&gt;0, _xlfn.IFS(COUNTIF($B$36:$C$36, K$2)&gt;0, VLOOKUP($J388,'Gear Values'!$A$2:$E$13, IF(COUNTBLANK('Attributes &amp; Prefixes'!$B$36:$C$36)&gt;0, "2", "3"), 0), COUNTIF($D$36:$E$36, K$2)&gt;0, VLOOKUP($J388,'Gear Values'!$A$2:$E$13, IF(COUNTBLANK('Attributes &amp; Prefixes'!$B$36:$C$36)&gt;0, "4", "5"), 0)), "")</f>
        <v>171</v>
      </c>
      <c r="L388" s="137" cm="1">
        <f t="array" ref="L388">IF(COUNTIF($B$36:$E$36, L$2)&gt;0, _xlfn.IFS(COUNTIF($B$36:$C$36, L$2)&gt;0, VLOOKUP($J388,'Gear Values'!$A$2:$E$13, IF(COUNTBLANK('Attributes &amp; Prefixes'!$B$36:$C$36)&gt;0, "2", "3"), 0), COUNTIF($D$36:$E$36, L$2)&gt;0, VLOOKUP($J388,'Gear Values'!$A$2:$E$13, IF(COUNTBLANK('Attributes &amp; Prefixes'!$B$36:$C$36)&gt;0, "4", "5"), 0)), "")</f>
        <v>239</v>
      </c>
      <c r="M388" s="137" t="str" cm="1">
        <f t="array" ref="M388">IF(COUNTIF($B$36:$E$36, M$2)&gt;0, _xlfn.IFS(COUNTIF($B$36:$C$36, M$2)&gt;0, VLOOKUP($J388,'Gear Values'!$A$2:$E$13, IF(COUNTBLANK('Attributes &amp; Prefixes'!$B$36:$C$36)&gt;0, "2", "3"), 0), COUNTIF($D$36:$E$36, M$2)&gt;0, VLOOKUP($J388,'Gear Values'!$A$2:$E$13, IF(COUNTBLANK('Attributes &amp; Prefixes'!$B$36:$C$36)&gt;0, "4", "5"), 0)), "")</f>
        <v/>
      </c>
      <c r="N388" s="137" t="str" cm="1">
        <f t="array" ref="N388">IF(COUNTIF($B$36:$E$36, N$2)&gt;0, _xlfn.IFS(COUNTIF($B$36:$C$36, N$2)&gt;0, VLOOKUP($J388,'Gear Values'!$A$2:$E$13, IF(COUNTBLANK('Attributes &amp; Prefixes'!$B$36:$C$36)&gt;0, "2", "3"), 0), COUNTIF($D$36:$E$36, N$2)&gt;0, VLOOKUP($J388,'Gear Values'!$A$2:$E$13, IF(COUNTBLANK('Attributes &amp; Prefixes'!$B$36:$C$36)&gt;0, "4", "5"), 0)), "")</f>
        <v/>
      </c>
      <c r="O388" s="137" t="str" cm="1">
        <f t="array" ref="O388">IF(COUNTIF($B$36:$E$36, O$2)&gt;0, _xlfn.IFS(COUNTIF($B$36:$C$36, O$2)&gt;0, VLOOKUP($J388,'Gear Values'!$A$2:$E$13, IF(COUNTBLANK('Attributes &amp; Prefixes'!$B$36:$C$36)&gt;0, "2", "3"), 0), COUNTIF($D$36:$E$36, O$2)&gt;0, VLOOKUP($J388,'Gear Values'!$A$2:$E$13, IF(COUNTBLANK('Attributes &amp; Prefixes'!$B$36:$C$36)&gt;0, "4", "5"), 0)), "")</f>
        <v/>
      </c>
      <c r="P388" s="137" cm="1">
        <f t="array" ref="P388">IF(COUNTIF($B$36:$E$36, P$2)&gt;0, _xlfn.IFS(COUNTIF($B$36:$C$36, P$2)&gt;0, VLOOKUP($J388,'Gear Values'!$A$2:$E$13, IF(COUNTBLANK('Attributes &amp; Prefixes'!$B$36:$C$36)&gt;0, "2", "3"), 0), COUNTIF($D$36:$E$36, P$2)&gt;0, VLOOKUP($J388,'Gear Values'!$A$2:$E$13, IF(COUNTBLANK('Attributes &amp; Prefixes'!$B$36:$C$36)&gt;0, "4", "5"), 0)), "")</f>
        <v>171</v>
      </c>
      <c r="Q388" s="137" t="str" cm="1">
        <f t="array" ref="Q388">IF(COUNTIF($B$36:$E$36, Q$2)&gt;0, _xlfn.IFS(COUNTIF($B$36:$C$36, Q$2)&gt;0, VLOOKUP($J388,'Gear Values'!$A$2:$E$13, IF(COUNTBLANK('Attributes &amp; Prefixes'!$B$36:$C$36)&gt;0, "2", "3"), 0), COUNTIF($D$36:$E$36, Q$2)&gt;0, VLOOKUP($J388,'Gear Values'!$A$2:$E$13, IF(COUNTBLANK('Attributes &amp; Prefixes'!$B$36:$C$36)&gt;0, "4", "5"), 0)), "")</f>
        <v/>
      </c>
      <c r="R388" s="137" t="str" cm="1">
        <f t="array" ref="R388">IF(COUNTIF($B$36:$E$36, R$2)&gt;0, _xlfn.IFS(COUNTIF($B$36:$C$36, R$2)&gt;0, VLOOKUP($J388,'Gear Values'!$A$2:$E$13, IF(COUNTBLANK('Attributes &amp; Prefixes'!$B$36:$C$36)&gt;0, "2", "3"), 0), COUNTIF($D$36:$E$36, R$2)&gt;0, VLOOKUP($J388,'Gear Values'!$A$2:$E$13, IF(COUNTBLANK('Attributes &amp; Prefixes'!$B$36:$C$36)&gt;0, "4", "5"), 0)), "")</f>
        <v/>
      </c>
      <c r="S388" s="138" t="str" cm="1">
        <f t="array" ref="S388">IF(COUNTIF($B$36:$E$36, S$2)&gt;0, _xlfn.IFS(COUNTIF($B$36:$C$36, S$2)&gt;0, VLOOKUP($J388,'Gear Values'!$A$2:$E$13, IF(COUNTBLANK('Attributes &amp; Prefixes'!$B$36:$C$36)&gt;0, "2", "3"), 0), COUNTIF($D$36:$E$36, S$2)&gt;0, VLOOKUP($J388,'Gear Values'!$A$2:$E$13, IF(COUNTBLANK('Attributes &amp; Prefixes'!$B$36:$C$36)&gt;0, "4", "5"), 0)), "")</f>
        <v/>
      </c>
      <c r="V388" s="112"/>
      <c r="W388" s="112"/>
    </row>
    <row r="389" spans="8:23">
      <c r="H389" s="130" t="str">
        <f>_xlfn.CONCAT(I$387,J389)</f>
        <v>RampagerHead</v>
      </c>
      <c r="I389" s="520"/>
      <c r="J389" s="144" t="s">
        <v>40</v>
      </c>
      <c r="K389" s="136" cm="1">
        <f t="array" ref="K389">IF(COUNTIF($B$36:$E$36, K$2)&gt;0, _xlfn.IFS(COUNTIF($B$36:$C$36, K$2)&gt;0, VLOOKUP($J389,'Gear Values'!$A$2:$E$13, IF(COUNTBLANK('Attributes &amp; Prefixes'!$B$36:$C$36)&gt;0, "2", "3"), 0), COUNTIF($D$36:$E$36, K$2)&gt;0, VLOOKUP($J389,'Gear Values'!$A$2:$E$13, IF(COUNTBLANK('Attributes &amp; Prefixes'!$B$36:$C$36)&gt;0, "4", "5"), 0)), "")</f>
        <v>43</v>
      </c>
      <c r="L389" s="137" cm="1">
        <f t="array" ref="L389">IF(COUNTIF($B$36:$E$36, L$2)&gt;0, _xlfn.IFS(COUNTIF($B$36:$C$36, L$2)&gt;0, VLOOKUP($J389,'Gear Values'!$A$2:$E$13, IF(COUNTBLANK('Attributes &amp; Prefixes'!$B$36:$C$36)&gt;0, "2", "3"), 0), COUNTIF($D$36:$E$36, L$2)&gt;0, VLOOKUP($J389,'Gear Values'!$A$2:$E$13, IF(COUNTBLANK('Attributes &amp; Prefixes'!$B$36:$C$36)&gt;0, "4", "5"), 0)), "")</f>
        <v>60</v>
      </c>
      <c r="M389" s="137" t="str" cm="1">
        <f t="array" ref="M389">IF(COUNTIF($B$36:$E$36, M$2)&gt;0, _xlfn.IFS(COUNTIF($B$36:$C$36, M$2)&gt;0, VLOOKUP($J389,'Gear Values'!$A$2:$E$13, IF(COUNTBLANK('Attributes &amp; Prefixes'!$B$36:$C$36)&gt;0, "2", "3"), 0), COUNTIF($D$36:$E$36, M$2)&gt;0, VLOOKUP($J389,'Gear Values'!$A$2:$E$13, IF(COUNTBLANK('Attributes &amp; Prefixes'!$B$36:$C$36)&gt;0, "4", "5"), 0)), "")</f>
        <v/>
      </c>
      <c r="N389" s="137" t="str" cm="1">
        <f t="array" ref="N389">IF(COUNTIF($B$36:$E$36, N$2)&gt;0, _xlfn.IFS(COUNTIF($B$36:$C$36, N$2)&gt;0, VLOOKUP($J389,'Gear Values'!$A$2:$E$13, IF(COUNTBLANK('Attributes &amp; Prefixes'!$B$36:$C$36)&gt;0, "2", "3"), 0), COUNTIF($D$36:$E$36, N$2)&gt;0, VLOOKUP($J389,'Gear Values'!$A$2:$E$13, IF(COUNTBLANK('Attributes &amp; Prefixes'!$B$36:$C$36)&gt;0, "4", "5"), 0)), "")</f>
        <v/>
      </c>
      <c r="O389" s="137" t="str" cm="1">
        <f t="array" ref="O389">IF(COUNTIF($B$36:$E$36, O$2)&gt;0, _xlfn.IFS(COUNTIF($B$36:$C$36, O$2)&gt;0, VLOOKUP($J389,'Gear Values'!$A$2:$E$13, IF(COUNTBLANK('Attributes &amp; Prefixes'!$B$36:$C$36)&gt;0, "2", "3"), 0), COUNTIF($D$36:$E$36, O$2)&gt;0, VLOOKUP($J389,'Gear Values'!$A$2:$E$13, IF(COUNTBLANK('Attributes &amp; Prefixes'!$B$36:$C$36)&gt;0, "4", "5"), 0)), "")</f>
        <v/>
      </c>
      <c r="P389" s="137" cm="1">
        <f t="array" ref="P389">IF(COUNTIF($B$36:$E$36, P$2)&gt;0, _xlfn.IFS(COUNTIF($B$36:$C$36, P$2)&gt;0, VLOOKUP($J389,'Gear Values'!$A$2:$E$13, IF(COUNTBLANK('Attributes &amp; Prefixes'!$B$36:$C$36)&gt;0, "2", "3"), 0), COUNTIF($D$36:$E$36, P$2)&gt;0, VLOOKUP($J389,'Gear Values'!$A$2:$E$13, IF(COUNTBLANK('Attributes &amp; Prefixes'!$B$36:$C$36)&gt;0, "4", "5"), 0)), "")</f>
        <v>43</v>
      </c>
      <c r="Q389" s="137" t="str" cm="1">
        <f t="array" ref="Q389">IF(COUNTIF($B$36:$E$36, Q$2)&gt;0, _xlfn.IFS(COUNTIF($B$36:$C$36, Q$2)&gt;0, VLOOKUP($J389,'Gear Values'!$A$2:$E$13, IF(COUNTBLANK('Attributes &amp; Prefixes'!$B$36:$C$36)&gt;0, "2", "3"), 0), COUNTIF($D$36:$E$36, Q$2)&gt;0, VLOOKUP($J389,'Gear Values'!$A$2:$E$13, IF(COUNTBLANK('Attributes &amp; Prefixes'!$B$36:$C$36)&gt;0, "4", "5"), 0)), "")</f>
        <v/>
      </c>
      <c r="R389" s="137" t="str" cm="1">
        <f t="array" ref="R389">IF(COUNTIF($B$36:$E$36, R$2)&gt;0, _xlfn.IFS(COUNTIF($B$36:$C$36, R$2)&gt;0, VLOOKUP($J389,'Gear Values'!$A$2:$E$13, IF(COUNTBLANK('Attributes &amp; Prefixes'!$B$36:$C$36)&gt;0, "2", "3"), 0), COUNTIF($D$36:$E$36, R$2)&gt;0, VLOOKUP($J389,'Gear Values'!$A$2:$E$13, IF(COUNTBLANK('Attributes &amp; Prefixes'!$B$36:$C$36)&gt;0, "4", "5"), 0)), "")</f>
        <v/>
      </c>
      <c r="S389" s="138" t="str" cm="1">
        <f t="array" ref="S389">IF(COUNTIF($B$36:$E$36, S$2)&gt;0, _xlfn.IFS(COUNTIF($B$36:$C$36, S$2)&gt;0, VLOOKUP($J389,'Gear Values'!$A$2:$E$13, IF(COUNTBLANK('Attributes &amp; Prefixes'!$B$36:$C$36)&gt;0, "2", "3"), 0), COUNTIF($D$36:$E$36, S$2)&gt;0, VLOOKUP($J389,'Gear Values'!$A$2:$E$13, IF(COUNTBLANK('Attributes &amp; Prefixes'!$B$36:$C$36)&gt;0, "4", "5"), 0)), "")</f>
        <v/>
      </c>
      <c r="V389" s="112"/>
      <c r="W389" s="112"/>
    </row>
    <row r="390" spans="8:23">
      <c r="H390" s="130" t="str">
        <f>_xlfn.CONCAT(I$387,J390)</f>
        <v>RampagerShoulders</v>
      </c>
      <c r="I390" s="520"/>
      <c r="J390" s="144" t="s">
        <v>42</v>
      </c>
      <c r="K390" s="136" cm="1">
        <f t="array" ref="K390">IF(COUNTIF($B$36:$E$36, K$2)&gt;0, _xlfn.IFS(COUNTIF($B$36:$C$36, K$2)&gt;0, VLOOKUP($J390,'Gear Values'!$A$2:$E$13, IF(COUNTBLANK('Attributes &amp; Prefixes'!$B$36:$C$36)&gt;0, "2", "3"), 0), COUNTIF($D$36:$E$36, K$2)&gt;0, VLOOKUP($J390,'Gear Values'!$A$2:$E$13, IF(COUNTBLANK('Attributes &amp; Prefixes'!$B$36:$C$36)&gt;0, "4", "5"), 0)), "")</f>
        <v>32</v>
      </c>
      <c r="L390" s="137" cm="1">
        <f t="array" ref="L390">IF(COUNTIF($B$36:$E$36, L$2)&gt;0, _xlfn.IFS(COUNTIF($B$36:$C$36, L$2)&gt;0, VLOOKUP($J390,'Gear Values'!$A$2:$E$13, IF(COUNTBLANK('Attributes &amp; Prefixes'!$B$36:$C$36)&gt;0, "2", "3"), 0), COUNTIF($D$36:$E$36, L$2)&gt;0, VLOOKUP($J390,'Gear Values'!$A$2:$E$13, IF(COUNTBLANK('Attributes &amp; Prefixes'!$B$36:$C$36)&gt;0, "4", "5"), 0)), "")</f>
        <v>45</v>
      </c>
      <c r="M390" s="137" t="str" cm="1">
        <f t="array" ref="M390">IF(COUNTIF($B$36:$E$36, M$2)&gt;0, _xlfn.IFS(COUNTIF($B$36:$C$36, M$2)&gt;0, VLOOKUP($J390,'Gear Values'!$A$2:$E$13, IF(COUNTBLANK('Attributes &amp; Prefixes'!$B$36:$C$36)&gt;0, "2", "3"), 0), COUNTIF($D$36:$E$36, M$2)&gt;0, VLOOKUP($J390,'Gear Values'!$A$2:$E$13, IF(COUNTBLANK('Attributes &amp; Prefixes'!$B$36:$C$36)&gt;0, "4", "5"), 0)), "")</f>
        <v/>
      </c>
      <c r="N390" s="137" t="str" cm="1">
        <f t="array" ref="N390">IF(COUNTIF($B$36:$E$36, N$2)&gt;0, _xlfn.IFS(COUNTIF($B$36:$C$36, N$2)&gt;0, VLOOKUP($J390,'Gear Values'!$A$2:$E$13, IF(COUNTBLANK('Attributes &amp; Prefixes'!$B$36:$C$36)&gt;0, "2", "3"), 0), COUNTIF($D$36:$E$36, N$2)&gt;0, VLOOKUP($J390,'Gear Values'!$A$2:$E$13, IF(COUNTBLANK('Attributes &amp; Prefixes'!$B$36:$C$36)&gt;0, "4", "5"), 0)), "")</f>
        <v/>
      </c>
      <c r="O390" s="137" t="str" cm="1">
        <f t="array" ref="O390">IF(COUNTIF($B$36:$E$36, O$2)&gt;0, _xlfn.IFS(COUNTIF($B$36:$C$36, O$2)&gt;0, VLOOKUP($J390,'Gear Values'!$A$2:$E$13, IF(COUNTBLANK('Attributes &amp; Prefixes'!$B$36:$C$36)&gt;0, "2", "3"), 0), COUNTIF($D$36:$E$36, O$2)&gt;0, VLOOKUP($J390,'Gear Values'!$A$2:$E$13, IF(COUNTBLANK('Attributes &amp; Prefixes'!$B$36:$C$36)&gt;0, "4", "5"), 0)), "")</f>
        <v/>
      </c>
      <c r="P390" s="137" cm="1">
        <f t="array" ref="P390">IF(COUNTIF($B$36:$E$36, P$2)&gt;0, _xlfn.IFS(COUNTIF($B$36:$C$36, P$2)&gt;0, VLOOKUP($J390,'Gear Values'!$A$2:$E$13, IF(COUNTBLANK('Attributes &amp; Prefixes'!$B$36:$C$36)&gt;0, "2", "3"), 0), COUNTIF($D$36:$E$36, P$2)&gt;0, VLOOKUP($J390,'Gear Values'!$A$2:$E$13, IF(COUNTBLANK('Attributes &amp; Prefixes'!$B$36:$C$36)&gt;0, "4", "5"), 0)), "")</f>
        <v>32</v>
      </c>
      <c r="Q390" s="137" t="str" cm="1">
        <f t="array" ref="Q390">IF(COUNTIF($B$36:$E$36, Q$2)&gt;0, _xlfn.IFS(COUNTIF($B$36:$C$36, Q$2)&gt;0, VLOOKUP($J390,'Gear Values'!$A$2:$E$13, IF(COUNTBLANK('Attributes &amp; Prefixes'!$B$36:$C$36)&gt;0, "2", "3"), 0), COUNTIF($D$36:$E$36, Q$2)&gt;0, VLOOKUP($J390,'Gear Values'!$A$2:$E$13, IF(COUNTBLANK('Attributes &amp; Prefixes'!$B$36:$C$36)&gt;0, "4", "5"), 0)), "")</f>
        <v/>
      </c>
      <c r="R390" s="137" t="str" cm="1">
        <f t="array" ref="R390">IF(COUNTIF($B$36:$E$36, R$2)&gt;0, _xlfn.IFS(COUNTIF($B$36:$C$36, R$2)&gt;0, VLOOKUP($J390,'Gear Values'!$A$2:$E$13, IF(COUNTBLANK('Attributes &amp; Prefixes'!$B$36:$C$36)&gt;0, "2", "3"), 0), COUNTIF($D$36:$E$36, R$2)&gt;0, VLOOKUP($J390,'Gear Values'!$A$2:$E$13, IF(COUNTBLANK('Attributes &amp; Prefixes'!$B$36:$C$36)&gt;0, "4", "5"), 0)), "")</f>
        <v/>
      </c>
      <c r="S390" s="138" t="str" cm="1">
        <f t="array" ref="S390">IF(COUNTIF($B$36:$E$36, S$2)&gt;0, _xlfn.IFS(COUNTIF($B$36:$C$36, S$2)&gt;0, VLOOKUP($J390,'Gear Values'!$A$2:$E$13, IF(COUNTBLANK('Attributes &amp; Prefixes'!$B$36:$C$36)&gt;0, "2", "3"), 0), COUNTIF($D$36:$E$36, S$2)&gt;0, VLOOKUP($J390,'Gear Values'!$A$2:$E$13, IF(COUNTBLANK('Attributes &amp; Prefixes'!$B$36:$C$36)&gt;0, "4", "5"), 0)), "")</f>
        <v/>
      </c>
      <c r="V390" s="112"/>
      <c r="W390" s="112"/>
    </row>
    <row r="391" spans="8:23">
      <c r="H391" s="130" t="str">
        <f>_xlfn.CONCAT(I$387,J391)</f>
        <v>RampagerChest</v>
      </c>
      <c r="I391" s="520"/>
      <c r="J391" s="144" t="s">
        <v>44</v>
      </c>
      <c r="K391" s="136" cm="1">
        <f t="array" ref="K391">IF(COUNTIF($B$36:$E$36, K$2)&gt;0, _xlfn.IFS(COUNTIF($B$36:$C$36, K$2)&gt;0, VLOOKUP($J391,'Gear Values'!$A$2:$E$13, IF(COUNTBLANK('Attributes &amp; Prefixes'!$B$36:$C$36)&gt;0, "2", "3"), 0), COUNTIF($D$36:$E$36, K$2)&gt;0, VLOOKUP($J391,'Gear Values'!$A$2:$E$13, IF(COUNTBLANK('Attributes &amp; Prefixes'!$B$36:$C$36)&gt;0, "4", "5"), 0)), "")</f>
        <v>96</v>
      </c>
      <c r="L391" s="137" cm="1">
        <f t="array" ref="L391">IF(COUNTIF($B$36:$E$36, L$2)&gt;0, _xlfn.IFS(COUNTIF($B$36:$C$36, L$2)&gt;0, VLOOKUP($J391,'Gear Values'!$A$2:$E$13, IF(COUNTBLANK('Attributes &amp; Prefixes'!$B$36:$C$36)&gt;0, "2", "3"), 0), COUNTIF($D$36:$E$36, L$2)&gt;0, VLOOKUP($J391,'Gear Values'!$A$2:$E$13, IF(COUNTBLANK('Attributes &amp; Prefixes'!$B$36:$C$36)&gt;0, "4", "5"), 0)), "")</f>
        <v>134</v>
      </c>
      <c r="M391" s="137" t="str" cm="1">
        <f t="array" ref="M391">IF(COUNTIF($B$36:$E$36, M$2)&gt;0, _xlfn.IFS(COUNTIF($B$36:$C$36, M$2)&gt;0, VLOOKUP($J391,'Gear Values'!$A$2:$E$13, IF(COUNTBLANK('Attributes &amp; Prefixes'!$B$36:$C$36)&gt;0, "2", "3"), 0), COUNTIF($D$36:$E$36, M$2)&gt;0, VLOOKUP($J391,'Gear Values'!$A$2:$E$13, IF(COUNTBLANK('Attributes &amp; Prefixes'!$B$36:$C$36)&gt;0, "4", "5"), 0)), "")</f>
        <v/>
      </c>
      <c r="N391" s="137" t="str" cm="1">
        <f t="array" ref="N391">IF(COUNTIF($B$36:$E$36, N$2)&gt;0, _xlfn.IFS(COUNTIF($B$36:$C$36, N$2)&gt;0, VLOOKUP($J391,'Gear Values'!$A$2:$E$13, IF(COUNTBLANK('Attributes &amp; Prefixes'!$B$36:$C$36)&gt;0, "2", "3"), 0), COUNTIF($D$36:$E$36, N$2)&gt;0, VLOOKUP($J391,'Gear Values'!$A$2:$E$13, IF(COUNTBLANK('Attributes &amp; Prefixes'!$B$36:$C$36)&gt;0, "4", "5"), 0)), "")</f>
        <v/>
      </c>
      <c r="O391" s="137" t="str" cm="1">
        <f t="array" ref="O391">IF(COUNTIF($B$36:$E$36, O$2)&gt;0, _xlfn.IFS(COUNTIF($B$36:$C$36, O$2)&gt;0, VLOOKUP($J391,'Gear Values'!$A$2:$E$13, IF(COUNTBLANK('Attributes &amp; Prefixes'!$B$36:$C$36)&gt;0, "2", "3"), 0), COUNTIF($D$36:$E$36, O$2)&gt;0, VLOOKUP($J391,'Gear Values'!$A$2:$E$13, IF(COUNTBLANK('Attributes &amp; Prefixes'!$B$36:$C$36)&gt;0, "4", "5"), 0)), "")</f>
        <v/>
      </c>
      <c r="P391" s="137" cm="1">
        <f t="array" ref="P391">IF(COUNTIF($B$36:$E$36, P$2)&gt;0, _xlfn.IFS(COUNTIF($B$36:$C$36, P$2)&gt;0, VLOOKUP($J391,'Gear Values'!$A$2:$E$13, IF(COUNTBLANK('Attributes &amp; Prefixes'!$B$36:$C$36)&gt;0, "2", "3"), 0), COUNTIF($D$36:$E$36, P$2)&gt;0, VLOOKUP($J391,'Gear Values'!$A$2:$E$13, IF(COUNTBLANK('Attributes &amp; Prefixes'!$B$36:$C$36)&gt;0, "4", "5"), 0)), "")</f>
        <v>96</v>
      </c>
      <c r="Q391" s="137" t="str" cm="1">
        <f t="array" ref="Q391">IF(COUNTIF($B$36:$E$36, Q$2)&gt;0, _xlfn.IFS(COUNTIF($B$36:$C$36, Q$2)&gt;0, VLOOKUP($J391,'Gear Values'!$A$2:$E$13, IF(COUNTBLANK('Attributes &amp; Prefixes'!$B$36:$C$36)&gt;0, "2", "3"), 0), COUNTIF($D$36:$E$36, Q$2)&gt;0, VLOOKUP($J391,'Gear Values'!$A$2:$E$13, IF(COUNTBLANK('Attributes &amp; Prefixes'!$B$36:$C$36)&gt;0, "4", "5"), 0)), "")</f>
        <v/>
      </c>
      <c r="R391" s="137" t="str" cm="1">
        <f t="array" ref="R391">IF(COUNTIF($B$36:$E$36, R$2)&gt;0, _xlfn.IFS(COUNTIF($B$36:$C$36, R$2)&gt;0, VLOOKUP($J391,'Gear Values'!$A$2:$E$13, IF(COUNTBLANK('Attributes &amp; Prefixes'!$B$36:$C$36)&gt;0, "2", "3"), 0), COUNTIF($D$36:$E$36, R$2)&gt;0, VLOOKUP($J391,'Gear Values'!$A$2:$E$13, IF(COUNTBLANK('Attributes &amp; Prefixes'!$B$36:$C$36)&gt;0, "4", "5"), 0)), "")</f>
        <v/>
      </c>
      <c r="S391" s="138" t="str" cm="1">
        <f t="array" ref="S391">IF(COUNTIF($B$36:$E$36, S$2)&gt;0, _xlfn.IFS(COUNTIF($B$36:$C$36, S$2)&gt;0, VLOOKUP($J391,'Gear Values'!$A$2:$E$13, IF(COUNTBLANK('Attributes &amp; Prefixes'!$B$36:$C$36)&gt;0, "2", "3"), 0), COUNTIF($D$36:$E$36, S$2)&gt;0, VLOOKUP($J391,'Gear Values'!$A$2:$E$13, IF(COUNTBLANK('Attributes &amp; Prefixes'!$B$36:$C$36)&gt;0, "4", "5"), 0)), "")</f>
        <v/>
      </c>
      <c r="V391" s="112"/>
      <c r="W391" s="112"/>
    </row>
    <row r="392" spans="8:23">
      <c r="H392" s="130" t="str">
        <f>_xlfn.CONCAT(I$387,J392)</f>
        <v>RampagerHands</v>
      </c>
      <c r="I392" s="520"/>
      <c r="J392" s="144" t="s">
        <v>45</v>
      </c>
      <c r="K392" s="136" cm="1">
        <f t="array" ref="K392">IF(COUNTIF($B$36:$E$36, K$2)&gt;0, _xlfn.IFS(COUNTIF($B$36:$C$36, K$2)&gt;0, VLOOKUP($J392,'Gear Values'!$A$2:$E$13, IF(COUNTBLANK('Attributes &amp; Prefixes'!$B$36:$C$36)&gt;0, "2", "3"), 0), COUNTIF($D$36:$E$36, K$2)&gt;0, VLOOKUP($J392,'Gear Values'!$A$2:$E$13, IF(COUNTBLANK('Attributes &amp; Prefixes'!$B$36:$C$36)&gt;0, "4", "5"), 0)), "")</f>
        <v>32</v>
      </c>
      <c r="L392" s="137" cm="1">
        <f t="array" ref="L392">IF(COUNTIF($B$36:$E$36, L$2)&gt;0, _xlfn.IFS(COUNTIF($B$36:$C$36, L$2)&gt;0, VLOOKUP($J392,'Gear Values'!$A$2:$E$13, IF(COUNTBLANK('Attributes &amp; Prefixes'!$B$36:$C$36)&gt;0, "2", "3"), 0), COUNTIF($D$36:$E$36, L$2)&gt;0, VLOOKUP($J392,'Gear Values'!$A$2:$E$13, IF(COUNTBLANK('Attributes &amp; Prefixes'!$B$36:$C$36)&gt;0, "4", "5"), 0)), "")</f>
        <v>45</v>
      </c>
      <c r="M392" s="137" t="str" cm="1">
        <f t="array" ref="M392">IF(COUNTIF($B$36:$E$36, M$2)&gt;0, _xlfn.IFS(COUNTIF($B$36:$C$36, M$2)&gt;0, VLOOKUP($J392,'Gear Values'!$A$2:$E$13, IF(COUNTBLANK('Attributes &amp; Prefixes'!$B$36:$C$36)&gt;0, "2", "3"), 0), COUNTIF($D$36:$E$36, M$2)&gt;0, VLOOKUP($J392,'Gear Values'!$A$2:$E$13, IF(COUNTBLANK('Attributes &amp; Prefixes'!$B$36:$C$36)&gt;0, "4", "5"), 0)), "")</f>
        <v/>
      </c>
      <c r="N392" s="137" t="str" cm="1">
        <f t="array" ref="N392">IF(COUNTIF($B$36:$E$36, N$2)&gt;0, _xlfn.IFS(COUNTIF($B$36:$C$36, N$2)&gt;0, VLOOKUP($J392,'Gear Values'!$A$2:$E$13, IF(COUNTBLANK('Attributes &amp; Prefixes'!$B$36:$C$36)&gt;0, "2", "3"), 0), COUNTIF($D$36:$E$36, N$2)&gt;0, VLOOKUP($J392,'Gear Values'!$A$2:$E$13, IF(COUNTBLANK('Attributes &amp; Prefixes'!$B$36:$C$36)&gt;0, "4", "5"), 0)), "")</f>
        <v/>
      </c>
      <c r="O392" s="137" t="str" cm="1">
        <f t="array" ref="O392">IF(COUNTIF($B$36:$E$36, O$2)&gt;0, _xlfn.IFS(COUNTIF($B$36:$C$36, O$2)&gt;0, VLOOKUP($J392,'Gear Values'!$A$2:$E$13, IF(COUNTBLANK('Attributes &amp; Prefixes'!$B$36:$C$36)&gt;0, "2", "3"), 0), COUNTIF($D$36:$E$36, O$2)&gt;0, VLOOKUP($J392,'Gear Values'!$A$2:$E$13, IF(COUNTBLANK('Attributes &amp; Prefixes'!$B$36:$C$36)&gt;0, "4", "5"), 0)), "")</f>
        <v/>
      </c>
      <c r="P392" s="137" cm="1">
        <f t="array" ref="P392">IF(COUNTIF($B$36:$E$36, P$2)&gt;0, _xlfn.IFS(COUNTIF($B$36:$C$36, P$2)&gt;0, VLOOKUP($J392,'Gear Values'!$A$2:$E$13, IF(COUNTBLANK('Attributes &amp; Prefixes'!$B$36:$C$36)&gt;0, "2", "3"), 0), COUNTIF($D$36:$E$36, P$2)&gt;0, VLOOKUP($J392,'Gear Values'!$A$2:$E$13, IF(COUNTBLANK('Attributes &amp; Prefixes'!$B$36:$C$36)&gt;0, "4", "5"), 0)), "")</f>
        <v>32</v>
      </c>
      <c r="Q392" s="137" t="str" cm="1">
        <f t="array" ref="Q392">IF(COUNTIF($B$36:$E$36, Q$2)&gt;0, _xlfn.IFS(COUNTIF($B$36:$C$36, Q$2)&gt;0, VLOOKUP($J392,'Gear Values'!$A$2:$E$13, IF(COUNTBLANK('Attributes &amp; Prefixes'!$B$36:$C$36)&gt;0, "2", "3"), 0), COUNTIF($D$36:$E$36, Q$2)&gt;0, VLOOKUP($J392,'Gear Values'!$A$2:$E$13, IF(COUNTBLANK('Attributes &amp; Prefixes'!$B$36:$C$36)&gt;0, "4", "5"), 0)), "")</f>
        <v/>
      </c>
      <c r="R392" s="137" t="str" cm="1">
        <f t="array" ref="R392">IF(COUNTIF($B$36:$E$36, R$2)&gt;0, _xlfn.IFS(COUNTIF($B$36:$C$36, R$2)&gt;0, VLOOKUP($J392,'Gear Values'!$A$2:$E$13, IF(COUNTBLANK('Attributes &amp; Prefixes'!$B$36:$C$36)&gt;0, "2", "3"), 0), COUNTIF($D$36:$E$36, R$2)&gt;0, VLOOKUP($J392,'Gear Values'!$A$2:$E$13, IF(COUNTBLANK('Attributes &amp; Prefixes'!$B$36:$C$36)&gt;0, "4", "5"), 0)), "")</f>
        <v/>
      </c>
      <c r="S392" s="138" t="str" cm="1">
        <f t="array" ref="S392">IF(COUNTIF($B$36:$E$36, S$2)&gt;0, _xlfn.IFS(COUNTIF($B$36:$C$36, S$2)&gt;0, VLOOKUP($J392,'Gear Values'!$A$2:$E$13, IF(COUNTBLANK('Attributes &amp; Prefixes'!$B$36:$C$36)&gt;0, "2", "3"), 0), COUNTIF($D$36:$E$36, S$2)&gt;0, VLOOKUP($J392,'Gear Values'!$A$2:$E$13, IF(COUNTBLANK('Attributes &amp; Prefixes'!$B$36:$C$36)&gt;0, "4", "5"), 0)), "")</f>
        <v/>
      </c>
      <c r="V392" s="112"/>
      <c r="W392" s="112"/>
    </row>
    <row r="393" spans="8:23">
      <c r="H393" s="130" t="str">
        <f>_xlfn.CONCAT(I$387,J393)</f>
        <v>RampagerLegs</v>
      </c>
      <c r="I393" s="520"/>
      <c r="J393" s="144" t="s">
        <v>47</v>
      </c>
      <c r="K393" s="136" cm="1">
        <f t="array" ref="K393">IF(COUNTIF($B$36:$E$36, K$2)&gt;0, _xlfn.IFS(COUNTIF($B$36:$C$36, K$2)&gt;0, VLOOKUP($J393,'Gear Values'!$A$2:$E$13, IF(COUNTBLANK('Attributes &amp; Prefixes'!$B$36:$C$36)&gt;0, "2", "3"), 0), COUNTIF($D$36:$E$36, K$2)&gt;0, VLOOKUP($J393,'Gear Values'!$A$2:$E$13, IF(COUNTBLANK('Attributes &amp; Prefixes'!$B$36:$C$36)&gt;0, "4", "5"), 0)), "")</f>
        <v>64</v>
      </c>
      <c r="L393" s="137" cm="1">
        <f t="array" ref="L393">IF(COUNTIF($B$36:$E$36, L$2)&gt;0, _xlfn.IFS(COUNTIF($B$36:$C$36, L$2)&gt;0, VLOOKUP($J393,'Gear Values'!$A$2:$E$13, IF(COUNTBLANK('Attributes &amp; Prefixes'!$B$36:$C$36)&gt;0, "2", "3"), 0), COUNTIF($D$36:$E$36, L$2)&gt;0, VLOOKUP($J393,'Gear Values'!$A$2:$E$13, IF(COUNTBLANK('Attributes &amp; Prefixes'!$B$36:$C$36)&gt;0, "4", "5"), 0)), "")</f>
        <v>90</v>
      </c>
      <c r="M393" s="137" t="str" cm="1">
        <f t="array" ref="M393">IF(COUNTIF($B$36:$E$36, M$2)&gt;0, _xlfn.IFS(COUNTIF($B$36:$C$36, M$2)&gt;0, VLOOKUP($J393,'Gear Values'!$A$2:$E$13, IF(COUNTBLANK('Attributes &amp; Prefixes'!$B$36:$C$36)&gt;0, "2", "3"), 0), COUNTIF($D$36:$E$36, M$2)&gt;0, VLOOKUP($J393,'Gear Values'!$A$2:$E$13, IF(COUNTBLANK('Attributes &amp; Prefixes'!$B$36:$C$36)&gt;0, "4", "5"), 0)), "")</f>
        <v/>
      </c>
      <c r="N393" s="137" t="str" cm="1">
        <f t="array" ref="N393">IF(COUNTIF($B$36:$E$36, N$2)&gt;0, _xlfn.IFS(COUNTIF($B$36:$C$36, N$2)&gt;0, VLOOKUP($J393,'Gear Values'!$A$2:$E$13, IF(COUNTBLANK('Attributes &amp; Prefixes'!$B$36:$C$36)&gt;0, "2", "3"), 0), COUNTIF($D$36:$E$36, N$2)&gt;0, VLOOKUP($J393,'Gear Values'!$A$2:$E$13, IF(COUNTBLANK('Attributes &amp; Prefixes'!$B$36:$C$36)&gt;0, "4", "5"), 0)), "")</f>
        <v/>
      </c>
      <c r="O393" s="137" t="str" cm="1">
        <f t="array" ref="O393">IF(COUNTIF($B$36:$E$36, O$2)&gt;0, _xlfn.IFS(COUNTIF($B$36:$C$36, O$2)&gt;0, VLOOKUP($J393,'Gear Values'!$A$2:$E$13, IF(COUNTBLANK('Attributes &amp; Prefixes'!$B$36:$C$36)&gt;0, "2", "3"), 0), COUNTIF($D$36:$E$36, O$2)&gt;0, VLOOKUP($J393,'Gear Values'!$A$2:$E$13, IF(COUNTBLANK('Attributes &amp; Prefixes'!$B$36:$C$36)&gt;0, "4", "5"), 0)), "")</f>
        <v/>
      </c>
      <c r="P393" s="137" cm="1">
        <f t="array" ref="P393">IF(COUNTIF($B$36:$E$36, P$2)&gt;0, _xlfn.IFS(COUNTIF($B$36:$C$36, P$2)&gt;0, VLOOKUP($J393,'Gear Values'!$A$2:$E$13, IF(COUNTBLANK('Attributes &amp; Prefixes'!$B$36:$C$36)&gt;0, "2", "3"), 0), COUNTIF($D$36:$E$36, P$2)&gt;0, VLOOKUP($J393,'Gear Values'!$A$2:$E$13, IF(COUNTBLANK('Attributes &amp; Prefixes'!$B$36:$C$36)&gt;0, "4", "5"), 0)), "")</f>
        <v>64</v>
      </c>
      <c r="Q393" s="137" t="str" cm="1">
        <f t="array" ref="Q393">IF(COUNTIF($B$36:$E$36, Q$2)&gt;0, _xlfn.IFS(COUNTIF($B$36:$C$36, Q$2)&gt;0, VLOOKUP($J393,'Gear Values'!$A$2:$E$13, IF(COUNTBLANK('Attributes &amp; Prefixes'!$B$36:$C$36)&gt;0, "2", "3"), 0), COUNTIF($D$36:$E$36, Q$2)&gt;0, VLOOKUP($J393,'Gear Values'!$A$2:$E$13, IF(COUNTBLANK('Attributes &amp; Prefixes'!$B$36:$C$36)&gt;0, "4", "5"), 0)), "")</f>
        <v/>
      </c>
      <c r="R393" s="137" t="str" cm="1">
        <f t="array" ref="R393">IF(COUNTIF($B$36:$E$36, R$2)&gt;0, _xlfn.IFS(COUNTIF($B$36:$C$36, R$2)&gt;0, VLOOKUP($J393,'Gear Values'!$A$2:$E$13, IF(COUNTBLANK('Attributes &amp; Prefixes'!$B$36:$C$36)&gt;0, "2", "3"), 0), COUNTIF($D$36:$E$36, R$2)&gt;0, VLOOKUP($J393,'Gear Values'!$A$2:$E$13, IF(COUNTBLANK('Attributes &amp; Prefixes'!$B$36:$C$36)&gt;0, "4", "5"), 0)), "")</f>
        <v/>
      </c>
      <c r="S393" s="138" t="str" cm="1">
        <f t="array" ref="S393">IF(COUNTIF($B$36:$E$36, S$2)&gt;0, _xlfn.IFS(COUNTIF($B$36:$C$36, S$2)&gt;0, VLOOKUP($J393,'Gear Values'!$A$2:$E$13, IF(COUNTBLANK('Attributes &amp; Prefixes'!$B$36:$C$36)&gt;0, "2", "3"), 0), COUNTIF($D$36:$E$36, S$2)&gt;0, VLOOKUP($J393,'Gear Values'!$A$2:$E$13, IF(COUNTBLANK('Attributes &amp; Prefixes'!$B$36:$C$36)&gt;0, "4", "5"), 0)), "")</f>
        <v/>
      </c>
      <c r="V393" s="112"/>
      <c r="W393" s="112"/>
    </row>
    <row r="394" spans="8:23">
      <c r="H394" s="130" t="str">
        <f>_xlfn.CONCAT(I$387,J394)</f>
        <v>RampagerFeet</v>
      </c>
      <c r="I394" s="520"/>
      <c r="J394" s="144" t="s">
        <v>48</v>
      </c>
      <c r="K394" s="136" cm="1">
        <f t="array" ref="K394">IF(COUNTIF($B$36:$E$36, K$2)&gt;0, _xlfn.IFS(COUNTIF($B$36:$C$36, K$2)&gt;0, VLOOKUP($J394,'Gear Values'!$A$2:$E$13, IF(COUNTBLANK('Attributes &amp; Prefixes'!$B$36:$C$36)&gt;0, "2", "3"), 0), COUNTIF($D$36:$E$36, K$2)&gt;0, VLOOKUP($J394,'Gear Values'!$A$2:$E$13, IF(COUNTBLANK('Attributes &amp; Prefixes'!$B$36:$C$36)&gt;0, "4", "5"), 0)), "")</f>
        <v>32</v>
      </c>
      <c r="L394" s="137" cm="1">
        <f t="array" ref="L394">IF(COUNTIF($B$36:$E$36, L$2)&gt;0, _xlfn.IFS(COUNTIF($B$36:$C$36, L$2)&gt;0, VLOOKUP($J394,'Gear Values'!$A$2:$E$13, IF(COUNTBLANK('Attributes &amp; Prefixes'!$B$36:$C$36)&gt;0, "2", "3"), 0), COUNTIF($D$36:$E$36, L$2)&gt;0, VLOOKUP($J394,'Gear Values'!$A$2:$E$13, IF(COUNTBLANK('Attributes &amp; Prefixes'!$B$36:$C$36)&gt;0, "4", "5"), 0)), "")</f>
        <v>45</v>
      </c>
      <c r="M394" s="137" t="str" cm="1">
        <f t="array" ref="M394">IF(COUNTIF($B$36:$E$36, M$2)&gt;0, _xlfn.IFS(COUNTIF($B$36:$C$36, M$2)&gt;0, VLOOKUP($J394,'Gear Values'!$A$2:$E$13, IF(COUNTBLANK('Attributes &amp; Prefixes'!$B$36:$C$36)&gt;0, "2", "3"), 0), COUNTIF($D$36:$E$36, M$2)&gt;0, VLOOKUP($J394,'Gear Values'!$A$2:$E$13, IF(COUNTBLANK('Attributes &amp; Prefixes'!$B$36:$C$36)&gt;0, "4", "5"), 0)), "")</f>
        <v/>
      </c>
      <c r="N394" s="137" t="str" cm="1">
        <f t="array" ref="N394">IF(COUNTIF($B$36:$E$36, N$2)&gt;0, _xlfn.IFS(COUNTIF($B$36:$C$36, N$2)&gt;0, VLOOKUP($J394,'Gear Values'!$A$2:$E$13, IF(COUNTBLANK('Attributes &amp; Prefixes'!$B$36:$C$36)&gt;0, "2", "3"), 0), COUNTIF($D$36:$E$36, N$2)&gt;0, VLOOKUP($J394,'Gear Values'!$A$2:$E$13, IF(COUNTBLANK('Attributes &amp; Prefixes'!$B$36:$C$36)&gt;0, "4", "5"), 0)), "")</f>
        <v/>
      </c>
      <c r="O394" s="137" t="str" cm="1">
        <f t="array" ref="O394">IF(COUNTIF($B$36:$E$36, O$2)&gt;0, _xlfn.IFS(COUNTIF($B$36:$C$36, O$2)&gt;0, VLOOKUP($J394,'Gear Values'!$A$2:$E$13, IF(COUNTBLANK('Attributes &amp; Prefixes'!$B$36:$C$36)&gt;0, "2", "3"), 0), COUNTIF($D$36:$E$36, O$2)&gt;0, VLOOKUP($J394,'Gear Values'!$A$2:$E$13, IF(COUNTBLANK('Attributes &amp; Prefixes'!$B$36:$C$36)&gt;0, "4", "5"), 0)), "")</f>
        <v/>
      </c>
      <c r="P394" s="137" cm="1">
        <f t="array" ref="P394">IF(COUNTIF($B$36:$E$36, P$2)&gt;0, _xlfn.IFS(COUNTIF($B$36:$C$36, P$2)&gt;0, VLOOKUP($J394,'Gear Values'!$A$2:$E$13, IF(COUNTBLANK('Attributes &amp; Prefixes'!$B$36:$C$36)&gt;0, "2", "3"), 0), COUNTIF($D$36:$E$36, P$2)&gt;0, VLOOKUP($J394,'Gear Values'!$A$2:$E$13, IF(COUNTBLANK('Attributes &amp; Prefixes'!$B$36:$C$36)&gt;0, "4", "5"), 0)), "")</f>
        <v>32</v>
      </c>
      <c r="Q394" s="137" t="str" cm="1">
        <f t="array" ref="Q394">IF(COUNTIF($B$36:$E$36, Q$2)&gt;0, _xlfn.IFS(COUNTIF($B$36:$C$36, Q$2)&gt;0, VLOOKUP($J394,'Gear Values'!$A$2:$E$13, IF(COUNTBLANK('Attributes &amp; Prefixes'!$B$36:$C$36)&gt;0, "2", "3"), 0), COUNTIF($D$36:$E$36, Q$2)&gt;0, VLOOKUP($J394,'Gear Values'!$A$2:$E$13, IF(COUNTBLANK('Attributes &amp; Prefixes'!$B$36:$C$36)&gt;0, "4", "5"), 0)), "")</f>
        <v/>
      </c>
      <c r="R394" s="137" t="str" cm="1">
        <f t="array" ref="R394">IF(COUNTIF($B$36:$E$36, R$2)&gt;0, _xlfn.IFS(COUNTIF($B$36:$C$36, R$2)&gt;0, VLOOKUP($J394,'Gear Values'!$A$2:$E$13, IF(COUNTBLANK('Attributes &amp; Prefixes'!$B$36:$C$36)&gt;0, "2", "3"), 0), COUNTIF($D$36:$E$36, R$2)&gt;0, VLOOKUP($J394,'Gear Values'!$A$2:$E$13, IF(COUNTBLANK('Attributes &amp; Prefixes'!$B$36:$C$36)&gt;0, "4", "5"), 0)), "")</f>
        <v/>
      </c>
      <c r="S394" s="138" t="str" cm="1">
        <f t="array" ref="S394">IF(COUNTIF($B$36:$E$36, S$2)&gt;0, _xlfn.IFS(COUNTIF($B$36:$C$36, S$2)&gt;0, VLOOKUP($J394,'Gear Values'!$A$2:$E$13, IF(COUNTBLANK('Attributes &amp; Prefixes'!$B$36:$C$36)&gt;0, "2", "3"), 0), COUNTIF($D$36:$E$36, S$2)&gt;0, VLOOKUP($J394,'Gear Values'!$A$2:$E$13, IF(COUNTBLANK('Attributes &amp; Prefixes'!$B$36:$C$36)&gt;0, "4", "5"), 0)), "")</f>
        <v/>
      </c>
      <c r="V394" s="112"/>
      <c r="W394" s="112"/>
    </row>
    <row r="395" spans="8:23">
      <c r="H395" s="130" t="str">
        <f>_xlfn.CONCAT(A$64,J395)</f>
        <v>CoralEar</v>
      </c>
      <c r="I395" s="520"/>
      <c r="J395" s="144" t="s">
        <v>49</v>
      </c>
      <c r="K395" s="136" cm="1">
        <f t="array" ref="K395">IF(COUNTIF($B$36:$E$36, K$2)&gt;0, _xlfn.IFS(COUNTIF($B$36:$C$36, K$2)&gt;0, VLOOKUP($J395,'Gear Values'!$A$2:$E$13, IF(COUNTBLANK('Attributes &amp; Prefixes'!$B$36:$C$36)&gt;0, "2", "3"), 0), COUNTIF($D$36:$E$36, K$2)&gt;0, VLOOKUP($J395,'Gear Values'!$A$2:$E$13, IF(COUNTBLANK('Attributes &amp; Prefixes'!$B$36:$C$36)&gt;0, "4", "5"), 0)), "")</f>
        <v>53</v>
      </c>
      <c r="L395" s="137" cm="1">
        <f t="array" ref="L395">IF(COUNTIF($B$36:$E$36, L$2)&gt;0, _xlfn.IFS(COUNTIF($B$36:$C$36, L$2)&gt;0, VLOOKUP($J395,'Gear Values'!$A$2:$E$13, IF(COUNTBLANK('Attributes &amp; Prefixes'!$B$36:$C$36)&gt;0, "2", "3"), 0), COUNTIF($D$36:$E$36, L$2)&gt;0, VLOOKUP($J395,'Gear Values'!$A$2:$E$13, IF(COUNTBLANK('Attributes &amp; Prefixes'!$B$36:$C$36)&gt;0, "4", "5"), 0)), "")</f>
        <v>75</v>
      </c>
      <c r="M395" s="137" t="str" cm="1">
        <f t="array" ref="M395">IF(COUNTIF($B$36:$E$36, M$2)&gt;0, _xlfn.IFS(COUNTIF($B$36:$C$36, M$2)&gt;0, VLOOKUP($J395,'Gear Values'!$A$2:$E$13, IF(COUNTBLANK('Attributes &amp; Prefixes'!$B$36:$C$36)&gt;0, "2", "3"), 0), COUNTIF($D$36:$E$36, M$2)&gt;0, VLOOKUP($J395,'Gear Values'!$A$2:$E$13, IF(COUNTBLANK('Attributes &amp; Prefixes'!$B$36:$C$36)&gt;0, "4", "5"), 0)), "")</f>
        <v/>
      </c>
      <c r="N395" s="137" t="str" cm="1">
        <f t="array" ref="N395">IF(COUNTIF($B$36:$E$36, N$2)&gt;0, _xlfn.IFS(COUNTIF($B$36:$C$36, N$2)&gt;0, VLOOKUP($J395,'Gear Values'!$A$2:$E$13, IF(COUNTBLANK('Attributes &amp; Prefixes'!$B$36:$C$36)&gt;0, "2", "3"), 0), COUNTIF($D$36:$E$36, N$2)&gt;0, VLOOKUP($J395,'Gear Values'!$A$2:$E$13, IF(COUNTBLANK('Attributes &amp; Prefixes'!$B$36:$C$36)&gt;0, "4", "5"), 0)), "")</f>
        <v/>
      </c>
      <c r="O395" s="137" t="str" cm="1">
        <f t="array" ref="O395">IF(COUNTIF($B$36:$E$36, O$2)&gt;0, _xlfn.IFS(COUNTIF($B$36:$C$36, O$2)&gt;0, VLOOKUP($J395,'Gear Values'!$A$2:$E$13, IF(COUNTBLANK('Attributes &amp; Prefixes'!$B$36:$C$36)&gt;0, "2", "3"), 0), COUNTIF($D$36:$E$36, O$2)&gt;0, VLOOKUP($J395,'Gear Values'!$A$2:$E$13, IF(COUNTBLANK('Attributes &amp; Prefixes'!$B$36:$C$36)&gt;0, "4", "5"), 0)), "")</f>
        <v/>
      </c>
      <c r="P395" s="137" cm="1">
        <f t="array" ref="P395">IF(COUNTIF($B$36:$E$36, P$2)&gt;0, _xlfn.IFS(COUNTIF($B$36:$C$36, P$2)&gt;0, VLOOKUP($J395,'Gear Values'!$A$2:$E$13, IF(COUNTBLANK('Attributes &amp; Prefixes'!$B$36:$C$36)&gt;0, "2", "3"), 0), COUNTIF($D$36:$E$36, P$2)&gt;0, VLOOKUP($J395,'Gear Values'!$A$2:$E$13, IF(COUNTBLANK('Attributes &amp; Prefixes'!$B$36:$C$36)&gt;0, "4", "5"), 0)), "")</f>
        <v>53</v>
      </c>
      <c r="Q395" s="137" t="str" cm="1">
        <f t="array" ref="Q395">IF(COUNTIF($B$36:$E$36, Q$2)&gt;0, _xlfn.IFS(COUNTIF($B$36:$C$36, Q$2)&gt;0, VLOOKUP($J395,'Gear Values'!$A$2:$E$13, IF(COUNTBLANK('Attributes &amp; Prefixes'!$B$36:$C$36)&gt;0, "2", "3"), 0), COUNTIF($D$36:$E$36, Q$2)&gt;0, VLOOKUP($J395,'Gear Values'!$A$2:$E$13, IF(COUNTBLANK('Attributes &amp; Prefixes'!$B$36:$C$36)&gt;0, "4", "5"), 0)), "")</f>
        <v/>
      </c>
      <c r="R395" s="137" t="str" cm="1">
        <f t="array" ref="R395">IF(COUNTIF($B$36:$E$36, R$2)&gt;0, _xlfn.IFS(COUNTIF($B$36:$C$36, R$2)&gt;0, VLOOKUP($J395,'Gear Values'!$A$2:$E$13, IF(COUNTBLANK('Attributes &amp; Prefixes'!$B$36:$C$36)&gt;0, "2", "3"), 0), COUNTIF($D$36:$E$36, R$2)&gt;0, VLOOKUP($J395,'Gear Values'!$A$2:$E$13, IF(COUNTBLANK('Attributes &amp; Prefixes'!$B$36:$C$36)&gt;0, "4", "5"), 0)), "")</f>
        <v/>
      </c>
      <c r="S395" s="138" t="str" cm="1">
        <f t="array" ref="S395">IF(COUNTIF($B$36:$E$36, S$2)&gt;0, _xlfn.IFS(COUNTIF($B$36:$C$36, S$2)&gt;0, VLOOKUP($J395,'Gear Values'!$A$2:$E$13, IF(COUNTBLANK('Attributes &amp; Prefixes'!$B$36:$C$36)&gt;0, "2", "3"), 0), COUNTIF($D$36:$E$36, S$2)&gt;0, VLOOKUP($J395,'Gear Values'!$A$2:$E$13, IF(COUNTBLANK('Attributes &amp; Prefixes'!$B$36:$C$36)&gt;0, "4", "5"), 0)), "")</f>
        <v/>
      </c>
      <c r="V395" s="112"/>
      <c r="W395" s="112"/>
    </row>
    <row r="396" spans="8:23">
      <c r="H396" s="130" t="str">
        <f>_xlfn.CONCAT(A$64,J396)</f>
        <v>CoralFinger</v>
      </c>
      <c r="I396" s="520"/>
      <c r="J396" s="144" t="s">
        <v>51</v>
      </c>
      <c r="K396" s="136" cm="1">
        <f t="array" ref="K396">IF(COUNTIF($B$36:$E$36, K$2)&gt;0, _xlfn.IFS(COUNTIF($B$36:$C$36, K$2)&gt;0, VLOOKUP($J396,'Gear Values'!$A$2:$E$13, IF(COUNTBLANK('Attributes &amp; Prefixes'!$B$36:$C$36)&gt;0, "2", "3"), 0), COUNTIF($D$36:$E$36, K$2)&gt;0, VLOOKUP($J396,'Gear Values'!$A$2:$E$13, IF(COUNTBLANK('Attributes &amp; Prefixes'!$B$36:$C$36)&gt;0, "4", "5"), 0)), "")</f>
        <v>64</v>
      </c>
      <c r="L396" s="137" cm="1">
        <f t="array" ref="L396">IF(COUNTIF($B$36:$E$36, L$2)&gt;0, _xlfn.IFS(COUNTIF($B$36:$C$36, L$2)&gt;0, VLOOKUP($J396,'Gear Values'!$A$2:$E$13, IF(COUNTBLANK('Attributes &amp; Prefixes'!$B$36:$C$36)&gt;0, "2", "3"), 0), COUNTIF($D$36:$E$36, L$2)&gt;0, VLOOKUP($J396,'Gear Values'!$A$2:$E$13, IF(COUNTBLANK('Attributes &amp; Prefixes'!$B$36:$C$36)&gt;0, "4", "5"), 0)), "")</f>
        <v>90</v>
      </c>
      <c r="M396" s="137" t="str" cm="1">
        <f t="array" ref="M396">IF(COUNTIF($B$36:$E$36, M$2)&gt;0, _xlfn.IFS(COUNTIF($B$36:$C$36, M$2)&gt;0, VLOOKUP($J396,'Gear Values'!$A$2:$E$13, IF(COUNTBLANK('Attributes &amp; Prefixes'!$B$36:$C$36)&gt;0, "2", "3"), 0), COUNTIF($D$36:$E$36, M$2)&gt;0, VLOOKUP($J396,'Gear Values'!$A$2:$E$13, IF(COUNTBLANK('Attributes &amp; Prefixes'!$B$36:$C$36)&gt;0, "4", "5"), 0)), "")</f>
        <v/>
      </c>
      <c r="N396" s="137" t="str" cm="1">
        <f t="array" ref="N396">IF(COUNTIF($B$36:$E$36, N$2)&gt;0, _xlfn.IFS(COUNTIF($B$36:$C$36, N$2)&gt;0, VLOOKUP($J396,'Gear Values'!$A$2:$E$13, IF(COUNTBLANK('Attributes &amp; Prefixes'!$B$36:$C$36)&gt;0, "2", "3"), 0), COUNTIF($D$36:$E$36, N$2)&gt;0, VLOOKUP($J396,'Gear Values'!$A$2:$E$13, IF(COUNTBLANK('Attributes &amp; Prefixes'!$B$36:$C$36)&gt;0, "4", "5"), 0)), "")</f>
        <v/>
      </c>
      <c r="O396" s="137" t="str" cm="1">
        <f t="array" ref="O396">IF(COUNTIF($B$36:$E$36, O$2)&gt;0, _xlfn.IFS(COUNTIF($B$36:$C$36, O$2)&gt;0, VLOOKUP($J396,'Gear Values'!$A$2:$E$13, IF(COUNTBLANK('Attributes &amp; Prefixes'!$B$36:$C$36)&gt;0, "2", "3"), 0), COUNTIF($D$36:$E$36, O$2)&gt;0, VLOOKUP($J396,'Gear Values'!$A$2:$E$13, IF(COUNTBLANK('Attributes &amp; Prefixes'!$B$36:$C$36)&gt;0, "4", "5"), 0)), "")</f>
        <v/>
      </c>
      <c r="P396" s="137" cm="1">
        <f t="array" ref="P396">IF(COUNTIF($B$36:$E$36, P$2)&gt;0, _xlfn.IFS(COUNTIF($B$36:$C$36, P$2)&gt;0, VLOOKUP($J396,'Gear Values'!$A$2:$E$13, IF(COUNTBLANK('Attributes &amp; Prefixes'!$B$36:$C$36)&gt;0, "2", "3"), 0), COUNTIF($D$36:$E$36, P$2)&gt;0, VLOOKUP($J396,'Gear Values'!$A$2:$E$13, IF(COUNTBLANK('Attributes &amp; Prefixes'!$B$36:$C$36)&gt;0, "4", "5"), 0)), "")</f>
        <v>64</v>
      </c>
      <c r="Q396" s="137" t="str" cm="1">
        <f t="array" ref="Q396">IF(COUNTIF($B$36:$E$36, Q$2)&gt;0, _xlfn.IFS(COUNTIF($B$36:$C$36, Q$2)&gt;0, VLOOKUP($J396,'Gear Values'!$A$2:$E$13, IF(COUNTBLANK('Attributes &amp; Prefixes'!$B$36:$C$36)&gt;0, "2", "3"), 0), COUNTIF($D$36:$E$36, Q$2)&gt;0, VLOOKUP($J396,'Gear Values'!$A$2:$E$13, IF(COUNTBLANK('Attributes &amp; Prefixes'!$B$36:$C$36)&gt;0, "4", "5"), 0)), "")</f>
        <v/>
      </c>
      <c r="R396" s="137" t="str" cm="1">
        <f t="array" ref="R396">IF(COUNTIF($B$36:$E$36, R$2)&gt;0, _xlfn.IFS(COUNTIF($B$36:$C$36, R$2)&gt;0, VLOOKUP($J396,'Gear Values'!$A$2:$E$13, IF(COUNTBLANK('Attributes &amp; Prefixes'!$B$36:$C$36)&gt;0, "2", "3"), 0), COUNTIF($D$36:$E$36, R$2)&gt;0, VLOOKUP($J396,'Gear Values'!$A$2:$E$13, IF(COUNTBLANK('Attributes &amp; Prefixes'!$B$36:$C$36)&gt;0, "4", "5"), 0)), "")</f>
        <v/>
      </c>
      <c r="S396" s="138" t="str" cm="1">
        <f t="array" ref="S396">IF(COUNTIF($B$36:$E$36, S$2)&gt;0, _xlfn.IFS(COUNTIF($B$36:$C$36, S$2)&gt;0, VLOOKUP($J396,'Gear Values'!$A$2:$E$13, IF(COUNTBLANK('Attributes &amp; Prefixes'!$B$36:$C$36)&gt;0, "2", "3"), 0), COUNTIF($D$36:$E$36, S$2)&gt;0, VLOOKUP($J396,'Gear Values'!$A$2:$E$13, IF(COUNTBLANK('Attributes &amp; Prefixes'!$B$36:$C$36)&gt;0, "4", "5"), 0)), "")</f>
        <v/>
      </c>
      <c r="V396" s="112"/>
      <c r="W396" s="112"/>
    </row>
    <row r="397" spans="8:23">
      <c r="H397" s="130" t="str">
        <f>_xlfn.CONCAT(A$64,J397)</f>
        <v>CoralNeck</v>
      </c>
      <c r="I397" s="520"/>
      <c r="J397" s="144" t="s">
        <v>52</v>
      </c>
      <c r="K397" s="136" cm="1">
        <f t="array" ref="K397">IF(COUNTIF($B$36:$E$36, K$2)&gt;0, _xlfn.IFS(COUNTIF($B$36:$C$36, K$2)&gt;0, VLOOKUP($J397,'Gear Values'!$A$2:$E$13, IF(COUNTBLANK('Attributes &amp; Prefixes'!$B$36:$C$36)&gt;0, "2", "3"), 0), COUNTIF($D$36:$E$36, K$2)&gt;0, VLOOKUP($J397,'Gear Values'!$A$2:$E$13, IF(COUNTBLANK('Attributes &amp; Prefixes'!$B$36:$C$36)&gt;0, "4", "5"), 0)), "")</f>
        <v>85</v>
      </c>
      <c r="L397" s="137" cm="1">
        <f t="array" ref="L397">IF(COUNTIF($B$36:$E$36, L$2)&gt;0, _xlfn.IFS(COUNTIF($B$36:$C$36, L$2)&gt;0, VLOOKUP($J397,'Gear Values'!$A$2:$E$13, IF(COUNTBLANK('Attributes &amp; Prefixes'!$B$36:$C$36)&gt;0, "2", "3"), 0), COUNTIF($D$36:$E$36, L$2)&gt;0, VLOOKUP($J397,'Gear Values'!$A$2:$E$13, IF(COUNTBLANK('Attributes &amp; Prefixes'!$B$36:$C$36)&gt;0, "4", "5"), 0)), "")</f>
        <v>120</v>
      </c>
      <c r="M397" s="137" t="str" cm="1">
        <f t="array" ref="M397">IF(COUNTIF($B$36:$E$36, M$2)&gt;0, _xlfn.IFS(COUNTIF($B$36:$C$36, M$2)&gt;0, VLOOKUP($J397,'Gear Values'!$A$2:$E$13, IF(COUNTBLANK('Attributes &amp; Prefixes'!$B$36:$C$36)&gt;0, "2", "3"), 0), COUNTIF($D$36:$E$36, M$2)&gt;0, VLOOKUP($J397,'Gear Values'!$A$2:$E$13, IF(COUNTBLANK('Attributes &amp; Prefixes'!$B$36:$C$36)&gt;0, "4", "5"), 0)), "")</f>
        <v/>
      </c>
      <c r="N397" s="137" t="str" cm="1">
        <f t="array" ref="N397">IF(COUNTIF($B$36:$E$36, N$2)&gt;0, _xlfn.IFS(COUNTIF($B$36:$C$36, N$2)&gt;0, VLOOKUP($J397,'Gear Values'!$A$2:$E$13, IF(COUNTBLANK('Attributes &amp; Prefixes'!$B$36:$C$36)&gt;0, "2", "3"), 0), COUNTIF($D$36:$E$36, N$2)&gt;0, VLOOKUP($J397,'Gear Values'!$A$2:$E$13, IF(COUNTBLANK('Attributes &amp; Prefixes'!$B$36:$C$36)&gt;0, "4", "5"), 0)), "")</f>
        <v/>
      </c>
      <c r="O397" s="137" t="str" cm="1">
        <f t="array" ref="O397">IF(COUNTIF($B$36:$E$36, O$2)&gt;0, _xlfn.IFS(COUNTIF($B$36:$C$36, O$2)&gt;0, VLOOKUP($J397,'Gear Values'!$A$2:$E$13, IF(COUNTBLANK('Attributes &amp; Prefixes'!$B$36:$C$36)&gt;0, "2", "3"), 0), COUNTIF($D$36:$E$36, O$2)&gt;0, VLOOKUP($J397,'Gear Values'!$A$2:$E$13, IF(COUNTBLANK('Attributes &amp; Prefixes'!$B$36:$C$36)&gt;0, "4", "5"), 0)), "")</f>
        <v/>
      </c>
      <c r="P397" s="137" cm="1">
        <f t="array" ref="P397">IF(COUNTIF($B$36:$E$36, P$2)&gt;0, _xlfn.IFS(COUNTIF($B$36:$C$36, P$2)&gt;0, VLOOKUP($J397,'Gear Values'!$A$2:$E$13, IF(COUNTBLANK('Attributes &amp; Prefixes'!$B$36:$C$36)&gt;0, "2", "3"), 0), COUNTIF($D$36:$E$36, P$2)&gt;0, VLOOKUP($J397,'Gear Values'!$A$2:$E$13, IF(COUNTBLANK('Attributes &amp; Prefixes'!$B$36:$C$36)&gt;0, "4", "5"), 0)), "")</f>
        <v>85</v>
      </c>
      <c r="Q397" s="137" t="str" cm="1">
        <f t="array" ref="Q397">IF(COUNTIF($B$36:$E$36, Q$2)&gt;0, _xlfn.IFS(COUNTIF($B$36:$C$36, Q$2)&gt;0, VLOOKUP($J397,'Gear Values'!$A$2:$E$13, IF(COUNTBLANK('Attributes &amp; Prefixes'!$B$36:$C$36)&gt;0, "2", "3"), 0), COUNTIF($D$36:$E$36, Q$2)&gt;0, VLOOKUP($J397,'Gear Values'!$A$2:$E$13, IF(COUNTBLANK('Attributes &amp; Prefixes'!$B$36:$C$36)&gt;0, "4", "5"), 0)), "")</f>
        <v/>
      </c>
      <c r="R397" s="137" t="str" cm="1">
        <f t="array" ref="R397">IF(COUNTIF($B$36:$E$36, R$2)&gt;0, _xlfn.IFS(COUNTIF($B$36:$C$36, R$2)&gt;0, VLOOKUP($J397,'Gear Values'!$A$2:$E$13, IF(COUNTBLANK('Attributes &amp; Prefixes'!$B$36:$C$36)&gt;0, "2", "3"), 0), COUNTIF($D$36:$E$36, R$2)&gt;0, VLOOKUP($J397,'Gear Values'!$A$2:$E$13, IF(COUNTBLANK('Attributes &amp; Prefixes'!$B$36:$C$36)&gt;0, "4", "5"), 0)), "")</f>
        <v/>
      </c>
      <c r="S397" s="138" t="str" cm="1">
        <f t="array" ref="S397">IF(COUNTIF($B$36:$E$36, S$2)&gt;0, _xlfn.IFS(COUNTIF($B$36:$C$36, S$2)&gt;0, VLOOKUP($J397,'Gear Values'!$A$2:$E$13, IF(COUNTBLANK('Attributes &amp; Prefixes'!$B$36:$C$36)&gt;0, "2", "3"), 0), COUNTIF($D$36:$E$36, S$2)&gt;0, VLOOKUP($J397,'Gear Values'!$A$2:$E$13, IF(COUNTBLANK('Attributes &amp; Prefixes'!$B$36:$C$36)&gt;0, "4", "5"), 0)), "")</f>
        <v/>
      </c>
      <c r="V397" s="112"/>
      <c r="W397" s="112"/>
    </row>
    <row r="398" spans="8:23">
      <c r="H398" s="130" t="str">
        <f>_xlfn.CONCAT(I$387,J398)</f>
        <v>RampagerBack</v>
      </c>
      <c r="I398" s="521"/>
      <c r="J398" s="146" t="s">
        <v>53</v>
      </c>
      <c r="K398" s="147" cm="1">
        <f t="array" ref="K398">IF(COUNTIF($B$36:$E$36, K$2)&gt;0, _xlfn.IFS(COUNTIF($B$36:$C$36, K$2)&gt;0, VLOOKUP($J398,'Gear Values'!$A$2:$E$13, IF(COUNTBLANK('Attributes &amp; Prefixes'!$B$36:$C$36)&gt;0, "2", "3"), 0), COUNTIF($D$36:$E$36, K$2)&gt;0, VLOOKUP($J398,'Gear Values'!$A$2:$E$13, IF(COUNTBLANK('Attributes &amp; Prefixes'!$B$36:$C$36)&gt;0, "4", "5"), 0)), "")</f>
        <v>18</v>
      </c>
      <c r="L398" s="148" cm="1">
        <f t="array" ref="L398">IF(COUNTIF($B$36:$E$36, L$2)&gt;0, _xlfn.IFS(COUNTIF($B$36:$C$36, L$2)&gt;0, VLOOKUP($J398,'Gear Values'!$A$2:$E$13, IF(COUNTBLANK('Attributes &amp; Prefixes'!$B$36:$C$36)&gt;0, "2", "3"), 0), COUNTIF($D$36:$E$36, L$2)&gt;0, VLOOKUP($J398,'Gear Values'!$A$2:$E$13, IF(COUNTBLANK('Attributes &amp; Prefixes'!$B$36:$C$36)&gt;0, "4", "5"), 0)), "")</f>
        <v>32</v>
      </c>
      <c r="M398" s="148" t="str" cm="1">
        <f t="array" ref="M398">IF(COUNTIF($B$36:$E$36, M$2)&gt;0, _xlfn.IFS(COUNTIF($B$36:$C$36, M$2)&gt;0, VLOOKUP($J398,'Gear Values'!$A$2:$E$13, IF(COUNTBLANK('Attributes &amp; Prefixes'!$B$36:$C$36)&gt;0, "2", "3"), 0), COUNTIF($D$36:$E$36, M$2)&gt;0, VLOOKUP($J398,'Gear Values'!$A$2:$E$13, IF(COUNTBLANK('Attributes &amp; Prefixes'!$B$36:$C$36)&gt;0, "4", "5"), 0)), "")</f>
        <v/>
      </c>
      <c r="N398" s="148" t="str" cm="1">
        <f t="array" ref="N398">IF(COUNTIF($B$36:$E$36, N$2)&gt;0, _xlfn.IFS(COUNTIF($B$36:$C$36, N$2)&gt;0, VLOOKUP($J398,'Gear Values'!$A$2:$E$13, IF(COUNTBLANK('Attributes &amp; Prefixes'!$B$36:$C$36)&gt;0, "2", "3"), 0), COUNTIF($D$36:$E$36, N$2)&gt;0, VLOOKUP($J398,'Gear Values'!$A$2:$E$13, IF(COUNTBLANK('Attributes &amp; Prefixes'!$B$36:$C$36)&gt;0, "4", "5"), 0)), "")</f>
        <v/>
      </c>
      <c r="O398" s="148" t="str" cm="1">
        <f t="array" ref="O398">IF(COUNTIF($B$36:$E$36, O$2)&gt;0, _xlfn.IFS(COUNTIF($B$36:$C$36, O$2)&gt;0, VLOOKUP($J398,'Gear Values'!$A$2:$E$13, IF(COUNTBLANK('Attributes &amp; Prefixes'!$B$36:$C$36)&gt;0, "2", "3"), 0), COUNTIF($D$36:$E$36, O$2)&gt;0, VLOOKUP($J398,'Gear Values'!$A$2:$E$13, IF(COUNTBLANK('Attributes &amp; Prefixes'!$B$36:$C$36)&gt;0, "4", "5"), 0)), "")</f>
        <v/>
      </c>
      <c r="P398" s="148" cm="1">
        <f t="array" ref="P398">IF(COUNTIF($B$36:$E$36, P$2)&gt;0, _xlfn.IFS(COUNTIF($B$36:$C$36, P$2)&gt;0, VLOOKUP($J398,'Gear Values'!$A$2:$E$13, IF(COUNTBLANK('Attributes &amp; Prefixes'!$B$36:$C$36)&gt;0, "2", "3"), 0), COUNTIF($D$36:$E$36, P$2)&gt;0, VLOOKUP($J398,'Gear Values'!$A$2:$E$13, IF(COUNTBLANK('Attributes &amp; Prefixes'!$B$36:$C$36)&gt;0, "4", "5"), 0)), "")</f>
        <v>18</v>
      </c>
      <c r="Q398" s="148" t="str" cm="1">
        <f t="array" ref="Q398">IF(COUNTIF($B$36:$E$36, Q$2)&gt;0, _xlfn.IFS(COUNTIF($B$36:$C$36, Q$2)&gt;0, VLOOKUP($J398,'Gear Values'!$A$2:$E$13, IF(COUNTBLANK('Attributes &amp; Prefixes'!$B$36:$C$36)&gt;0, "2", "3"), 0), COUNTIF($D$36:$E$36, Q$2)&gt;0, VLOOKUP($J398,'Gear Values'!$A$2:$E$13, IF(COUNTBLANK('Attributes &amp; Prefixes'!$B$36:$C$36)&gt;0, "4", "5"), 0)), "")</f>
        <v/>
      </c>
      <c r="R398" s="148" t="str" cm="1">
        <f t="array" ref="R398">IF(COUNTIF($B$36:$E$36, R$2)&gt;0, _xlfn.IFS(COUNTIF($B$36:$C$36, R$2)&gt;0, VLOOKUP($J398,'Gear Values'!$A$2:$E$13, IF(COUNTBLANK('Attributes &amp; Prefixes'!$B$36:$C$36)&gt;0, "2", "3"), 0), COUNTIF($D$36:$E$36, R$2)&gt;0, VLOOKUP($J398,'Gear Values'!$A$2:$E$13, IF(COUNTBLANK('Attributes &amp; Prefixes'!$B$36:$C$36)&gt;0, "4", "5"), 0)), "")</f>
        <v/>
      </c>
      <c r="S398" s="150" t="str" cm="1">
        <f t="array" ref="S398">IF(COUNTIF($B$36:$E$36, S$2)&gt;0, _xlfn.IFS(COUNTIF($B$36:$C$36, S$2)&gt;0, VLOOKUP($J398,'Gear Values'!$A$2:$E$13, IF(COUNTBLANK('Attributes &amp; Prefixes'!$B$36:$C$36)&gt;0, "2", "3"), 0), COUNTIF($D$36:$E$36, S$2)&gt;0, VLOOKUP($J398,'Gear Values'!$A$2:$E$13, IF(COUNTBLANK('Attributes &amp; Prefixes'!$B$36:$C$36)&gt;0, "4", "5"), 0)), "")</f>
        <v/>
      </c>
      <c r="V398" s="112"/>
      <c r="W398" s="112"/>
    </row>
    <row r="399" spans="8:23">
      <c r="H399" s="130" t="str">
        <f>_xlfn.CONCAT(I$399,J399)</f>
        <v>RitualistWeapon (1H)</v>
      </c>
      <c r="I399" s="519" t="str">
        <f>A37</f>
        <v>Ritualist</v>
      </c>
      <c r="J399" s="145" t="s">
        <v>37</v>
      </c>
      <c r="K399" s="133" t="str" cm="1">
        <f t="array" ref="K399">IF(COUNTIF($B$37:$E$37, K$2)&gt;0, _xlfn.IFS(COUNTIF($B$37:$C$37, K$2)&gt;0, VLOOKUP($J399,'Gear Values'!$A$2:$E$13, IF(COUNTBLANK('Attributes &amp; Prefixes'!$B$37:$C$37)&gt;0, "2", "3"), 0), COUNTIF($D$37:$E$37, K$2)&gt;0, VLOOKUP($J399,'Gear Values'!$A$2:$E$13, IF(COUNTBLANK('Attributes &amp; Prefixes'!$B$37:$C$37)&gt;0, "4", "5"), 0)), "")</f>
        <v/>
      </c>
      <c r="L399" s="134" t="str" cm="1">
        <f t="array" ref="L399">IF(COUNTIF($B$37:$E$37, L$2)&gt;0, _xlfn.IFS(COUNTIF($B$37:$C$37, L$2)&gt;0, VLOOKUP($J399,'Gear Values'!$A$2:$E$13, IF(COUNTBLANK('Attributes &amp; Prefixes'!$B$37:$C$37)&gt;0, "2", "3"), 0), COUNTIF($D$37:$E$37, L$2)&gt;0, VLOOKUP($J399,'Gear Values'!$A$2:$E$13, IF(COUNTBLANK('Attributes &amp; Prefixes'!$B$37:$C$37)&gt;0, "4", "5"), 0)), "")</f>
        <v/>
      </c>
      <c r="M399" s="134" t="str" cm="1">
        <f t="array" ref="M399">IF(COUNTIF($B$37:$E$37, M$2)&gt;0, _xlfn.IFS(COUNTIF($B$37:$C$37, M$2)&gt;0, VLOOKUP($J399,'Gear Values'!$A$2:$E$13, IF(COUNTBLANK('Attributes &amp; Prefixes'!$B$37:$C$37)&gt;0, "2", "3"), 0), COUNTIF($D$37:$E$37, M$2)&gt;0, VLOOKUP($J399,'Gear Values'!$A$2:$E$13, IF(COUNTBLANK('Attributes &amp; Prefixes'!$B$37:$C$37)&gt;0, "4", "5"), 0)), "")</f>
        <v/>
      </c>
      <c r="N399" s="134" cm="1">
        <f t="array" ref="N399">IF(COUNTIF($B$37:$E$37, N$2)&gt;0, _xlfn.IFS(COUNTIF($B$37:$C$37, N$2)&gt;0, VLOOKUP($J399,'Gear Values'!$A$2:$E$13, IF(COUNTBLANK('Attributes &amp; Prefixes'!$B$37:$C$37)&gt;0, "2", "3"), 0), COUNTIF($D$37:$E$37, N$2)&gt;0, VLOOKUP($J399,'Gear Values'!$A$2:$E$13, IF(COUNTBLANK('Attributes &amp; Prefixes'!$B$37:$C$37)&gt;0, "4", "5"), 0)), "")</f>
        <v>102</v>
      </c>
      <c r="O399" s="134" cm="1">
        <f t="array" ref="O399">IF(COUNTIF($B$37:$E$37, O$2)&gt;0, _xlfn.IFS(COUNTIF($B$37:$C$37, O$2)&gt;0, VLOOKUP($J399,'Gear Values'!$A$2:$E$13, IF(COUNTBLANK('Attributes &amp; Prefixes'!$B$37:$C$37)&gt;0, "2", "3"), 0), COUNTIF($D$37:$E$37, O$2)&gt;0, VLOOKUP($J399,'Gear Values'!$A$2:$E$13, IF(COUNTBLANK('Attributes &amp; Prefixes'!$B$37:$C$37)&gt;0, "4", "5"), 0)), "")</f>
        <v>56</v>
      </c>
      <c r="P399" s="134" cm="1">
        <f t="array" ref="P399">IF(COUNTIF($B$37:$E$37, P$2)&gt;0, _xlfn.IFS(COUNTIF($B$37:$C$37, P$2)&gt;0, VLOOKUP($J399,'Gear Values'!$A$2:$E$13, IF(COUNTBLANK('Attributes &amp; Prefixes'!$B$37:$C$37)&gt;0, "2", "3"), 0), COUNTIF($D$37:$E$37, P$2)&gt;0, VLOOKUP($J399,'Gear Values'!$A$2:$E$13, IF(COUNTBLANK('Attributes &amp; Prefixes'!$B$37:$C$37)&gt;0, "4", "5"), 0)), "")</f>
        <v>102</v>
      </c>
      <c r="Q399" s="134" cm="1">
        <f t="array" ref="Q399">IF(COUNTIF($B$37:$E$37, Q$2)&gt;0, _xlfn.IFS(COUNTIF($B$37:$C$37, Q$2)&gt;0, VLOOKUP($J399,'Gear Values'!$A$2:$E$13, IF(COUNTBLANK('Attributes &amp; Prefixes'!$B$37:$C$37)&gt;0, "2", "3"), 0), COUNTIF($D$37:$E$37, Q$2)&gt;0, VLOOKUP($J399,'Gear Values'!$A$2:$E$13, IF(COUNTBLANK('Attributes &amp; Prefixes'!$B$37:$C$37)&gt;0, "4", "5"), 0)), "")</f>
        <v>56</v>
      </c>
      <c r="R399" s="134" t="str" cm="1">
        <f t="array" ref="R399">IF(COUNTIF($B$37:$E$37, R$2)&gt;0, _xlfn.IFS(COUNTIF($B$37:$C$37, R$2)&gt;0, VLOOKUP($J399,'Gear Values'!$A$2:$E$13, IF(COUNTBLANK('Attributes &amp; Prefixes'!$B$37:$C$37)&gt;0, "2", "3"), 0), COUNTIF($D$37:$E$37, R$2)&gt;0, VLOOKUP($J399,'Gear Values'!$A$2:$E$13, IF(COUNTBLANK('Attributes &amp; Prefixes'!$B$37:$C$37)&gt;0, "4", "5"), 0)), "")</f>
        <v/>
      </c>
      <c r="S399" s="135" t="str" cm="1">
        <f t="array" ref="S399">IF(COUNTIF($B$37:$E$37, S$2)&gt;0, _xlfn.IFS(COUNTIF($B$37:$C$37, S$2)&gt;0, VLOOKUP($J399,'Gear Values'!$A$2:$E$13, IF(COUNTBLANK('Attributes &amp; Prefixes'!$B$37:$C$37)&gt;0, "2", "3"), 0), COUNTIF($D$37:$E$37, S$2)&gt;0, VLOOKUP($J399,'Gear Values'!$A$2:$E$13, IF(COUNTBLANK('Attributes &amp; Prefixes'!$B$37:$C$37)&gt;0, "4", "5"), 0)), "")</f>
        <v/>
      </c>
      <c r="V399" s="112"/>
      <c r="W399" s="112"/>
    </row>
    <row r="400" spans="8:23">
      <c r="H400" s="130" t="str">
        <f>_xlfn.CONCAT(I$399,J400)</f>
        <v>RitualistWeapon (2H)</v>
      </c>
      <c r="I400" s="520"/>
      <c r="J400" s="144" t="s">
        <v>39</v>
      </c>
      <c r="K400" s="136" t="str" cm="1">
        <f t="array" ref="K400">IF(COUNTIF($B$37:$E$37, K$2)&gt;0, _xlfn.IFS(COUNTIF($B$37:$C$37, K$2)&gt;0, VLOOKUP($J400,'Gear Values'!$A$2:$E$13, IF(COUNTBLANK('Attributes &amp; Prefixes'!$B$37:$C$37)&gt;0, "2", "3"), 0), COUNTIF($D$37:$E$37, K$2)&gt;0, VLOOKUP($J400,'Gear Values'!$A$2:$E$13, IF(COUNTBLANK('Attributes &amp; Prefixes'!$B$37:$C$37)&gt;0, "4", "5"), 0)), "")</f>
        <v/>
      </c>
      <c r="L400" s="137" t="str" cm="1">
        <f t="array" ref="L400">IF(COUNTIF($B$37:$E$37, L$2)&gt;0, _xlfn.IFS(COUNTIF($B$37:$C$37, L$2)&gt;0, VLOOKUP($J400,'Gear Values'!$A$2:$E$13, IF(COUNTBLANK('Attributes &amp; Prefixes'!$B$37:$C$37)&gt;0, "2", "3"), 0), COUNTIF($D$37:$E$37, L$2)&gt;0, VLOOKUP($J400,'Gear Values'!$A$2:$E$13, IF(COUNTBLANK('Attributes &amp; Prefixes'!$B$37:$C$37)&gt;0, "4", "5"), 0)), "")</f>
        <v/>
      </c>
      <c r="M400" s="137" t="str" cm="1">
        <f t="array" ref="M400">IF(COUNTIF($B$37:$E$37, M$2)&gt;0, _xlfn.IFS(COUNTIF($B$37:$C$37, M$2)&gt;0, VLOOKUP($J400,'Gear Values'!$A$2:$E$13, IF(COUNTBLANK('Attributes &amp; Prefixes'!$B$37:$C$37)&gt;0, "2", "3"), 0), COUNTIF($D$37:$E$37, M$2)&gt;0, VLOOKUP($J400,'Gear Values'!$A$2:$E$13, IF(COUNTBLANK('Attributes &amp; Prefixes'!$B$37:$C$37)&gt;0, "4", "5"), 0)), "")</f>
        <v/>
      </c>
      <c r="N400" s="137" cm="1">
        <f t="array" ref="N400">IF(COUNTIF($B$37:$E$37, N$2)&gt;0, _xlfn.IFS(COUNTIF($B$37:$C$37, N$2)&gt;0, VLOOKUP($J400,'Gear Values'!$A$2:$E$13, IF(COUNTBLANK('Attributes &amp; Prefixes'!$B$37:$C$37)&gt;0, "2", "3"), 0), COUNTIF($D$37:$E$37, N$2)&gt;0, VLOOKUP($J400,'Gear Values'!$A$2:$E$13, IF(COUNTBLANK('Attributes &amp; Prefixes'!$B$37:$C$37)&gt;0, "4", "5"), 0)), "")</f>
        <v>205</v>
      </c>
      <c r="O400" s="137" cm="1">
        <f t="array" ref="O400">IF(COUNTIF($B$37:$E$37, O$2)&gt;0, _xlfn.IFS(COUNTIF($B$37:$C$37, O$2)&gt;0, VLOOKUP($J400,'Gear Values'!$A$2:$E$13, IF(COUNTBLANK('Attributes &amp; Prefixes'!$B$37:$C$37)&gt;0, "2", "3"), 0), COUNTIF($D$37:$E$37, O$2)&gt;0, VLOOKUP($J400,'Gear Values'!$A$2:$E$13, IF(COUNTBLANK('Attributes &amp; Prefixes'!$B$37:$C$37)&gt;0, "4", "5"), 0)), "")</f>
        <v>113</v>
      </c>
      <c r="P400" s="137" cm="1">
        <f t="array" ref="P400">IF(COUNTIF($B$37:$E$37, P$2)&gt;0, _xlfn.IFS(COUNTIF($B$37:$C$37, P$2)&gt;0, VLOOKUP($J400,'Gear Values'!$A$2:$E$13, IF(COUNTBLANK('Attributes &amp; Prefixes'!$B$37:$C$37)&gt;0, "2", "3"), 0), COUNTIF($D$37:$E$37, P$2)&gt;0, VLOOKUP($J400,'Gear Values'!$A$2:$E$13, IF(COUNTBLANK('Attributes &amp; Prefixes'!$B$37:$C$37)&gt;0, "4", "5"), 0)), "")</f>
        <v>205</v>
      </c>
      <c r="Q400" s="137" cm="1">
        <f t="array" ref="Q400">IF(COUNTIF($B$37:$E$37, Q$2)&gt;0, _xlfn.IFS(COUNTIF($B$37:$C$37, Q$2)&gt;0, VLOOKUP($J400,'Gear Values'!$A$2:$E$13, IF(COUNTBLANK('Attributes &amp; Prefixes'!$B$37:$C$37)&gt;0, "2", "3"), 0), COUNTIF($D$37:$E$37, Q$2)&gt;0, VLOOKUP($J400,'Gear Values'!$A$2:$E$13, IF(COUNTBLANK('Attributes &amp; Prefixes'!$B$37:$C$37)&gt;0, "4", "5"), 0)), "")</f>
        <v>113</v>
      </c>
      <c r="R400" s="137" t="str" cm="1">
        <f t="array" ref="R400">IF(COUNTIF($B$37:$E$37, R$2)&gt;0, _xlfn.IFS(COUNTIF($B$37:$C$37, R$2)&gt;0, VLOOKUP($J400,'Gear Values'!$A$2:$E$13, IF(COUNTBLANK('Attributes &amp; Prefixes'!$B$37:$C$37)&gt;0, "2", "3"), 0), COUNTIF($D$37:$E$37, R$2)&gt;0, VLOOKUP($J400,'Gear Values'!$A$2:$E$13, IF(COUNTBLANK('Attributes &amp; Prefixes'!$B$37:$C$37)&gt;0, "4", "5"), 0)), "")</f>
        <v/>
      </c>
      <c r="S400" s="138" t="str" cm="1">
        <f t="array" ref="S400">IF(COUNTIF($B$37:$E$37, S$2)&gt;0, _xlfn.IFS(COUNTIF($B$37:$C$37, S$2)&gt;0, VLOOKUP($J400,'Gear Values'!$A$2:$E$13, IF(COUNTBLANK('Attributes &amp; Prefixes'!$B$37:$C$37)&gt;0, "2", "3"), 0), COUNTIF($D$37:$E$37, S$2)&gt;0, VLOOKUP($J400,'Gear Values'!$A$2:$E$13, IF(COUNTBLANK('Attributes &amp; Prefixes'!$B$37:$C$37)&gt;0, "4", "5"), 0)), "")</f>
        <v/>
      </c>
      <c r="V400" s="112"/>
      <c r="W400" s="112"/>
    </row>
    <row r="401" spans="6:23">
      <c r="H401" s="130" t="str">
        <f>_xlfn.CONCAT(I$399,J401)</f>
        <v>RitualistHead</v>
      </c>
      <c r="I401" s="520"/>
      <c r="J401" s="144" t="s">
        <v>40</v>
      </c>
      <c r="K401" s="136" t="str" cm="1">
        <f t="array" ref="K401">IF(COUNTIF($B$37:$E$37, K$2)&gt;0, _xlfn.IFS(COUNTIF($B$37:$C$37, K$2)&gt;0, VLOOKUP($J401,'Gear Values'!$A$2:$E$13, IF(COUNTBLANK('Attributes &amp; Prefixes'!$B$37:$C$37)&gt;0, "2", "3"), 0), COUNTIF($D$37:$E$37, K$2)&gt;0, VLOOKUP($J401,'Gear Values'!$A$2:$E$13, IF(COUNTBLANK('Attributes &amp; Prefixes'!$B$37:$C$37)&gt;0, "4", "5"), 0)), "")</f>
        <v/>
      </c>
      <c r="L401" s="137" t="str" cm="1">
        <f t="array" ref="L401">IF(COUNTIF($B$37:$E$37, L$2)&gt;0, _xlfn.IFS(COUNTIF($B$37:$C$37, L$2)&gt;0, VLOOKUP($J401,'Gear Values'!$A$2:$E$13, IF(COUNTBLANK('Attributes &amp; Prefixes'!$B$37:$C$37)&gt;0, "2", "3"), 0), COUNTIF($D$37:$E$37, L$2)&gt;0, VLOOKUP($J401,'Gear Values'!$A$2:$E$13, IF(COUNTBLANK('Attributes &amp; Prefixes'!$B$37:$C$37)&gt;0, "4", "5"), 0)), "")</f>
        <v/>
      </c>
      <c r="M401" s="137" t="str" cm="1">
        <f t="array" ref="M401">IF(COUNTIF($B$37:$E$37, M$2)&gt;0, _xlfn.IFS(COUNTIF($B$37:$C$37, M$2)&gt;0, VLOOKUP($J401,'Gear Values'!$A$2:$E$13, IF(COUNTBLANK('Attributes &amp; Prefixes'!$B$37:$C$37)&gt;0, "2", "3"), 0), COUNTIF($D$37:$E$37, M$2)&gt;0, VLOOKUP($J401,'Gear Values'!$A$2:$E$13, IF(COUNTBLANK('Attributes &amp; Prefixes'!$B$37:$C$37)&gt;0, "4", "5"), 0)), "")</f>
        <v/>
      </c>
      <c r="N401" s="137" cm="1">
        <f t="array" ref="N401">IF(COUNTIF($B$37:$E$37, N$2)&gt;0, _xlfn.IFS(COUNTIF($B$37:$C$37, N$2)&gt;0, VLOOKUP($J401,'Gear Values'!$A$2:$E$13, IF(COUNTBLANK('Attributes &amp; Prefixes'!$B$37:$C$37)&gt;0, "2", "3"), 0), COUNTIF($D$37:$E$37, N$2)&gt;0, VLOOKUP($J401,'Gear Values'!$A$2:$E$13, IF(COUNTBLANK('Attributes &amp; Prefixes'!$B$37:$C$37)&gt;0, "4", "5"), 0)), "")</f>
        <v>51</v>
      </c>
      <c r="O401" s="137" cm="1">
        <f t="array" ref="O401">IF(COUNTIF($B$37:$E$37, O$2)&gt;0, _xlfn.IFS(COUNTIF($B$37:$C$37, O$2)&gt;0, VLOOKUP($J401,'Gear Values'!$A$2:$E$13, IF(COUNTBLANK('Attributes &amp; Prefixes'!$B$37:$C$37)&gt;0, "2", "3"), 0), COUNTIF($D$37:$E$37, O$2)&gt;0, VLOOKUP($J401,'Gear Values'!$A$2:$E$13, IF(COUNTBLANK('Attributes &amp; Prefixes'!$B$37:$C$37)&gt;0, "4", "5"), 0)), "")</f>
        <v>28</v>
      </c>
      <c r="P401" s="137" cm="1">
        <f t="array" ref="P401">IF(COUNTIF($B$37:$E$37, P$2)&gt;0, _xlfn.IFS(COUNTIF($B$37:$C$37, P$2)&gt;0, VLOOKUP($J401,'Gear Values'!$A$2:$E$13, IF(COUNTBLANK('Attributes &amp; Prefixes'!$B$37:$C$37)&gt;0, "2", "3"), 0), COUNTIF($D$37:$E$37, P$2)&gt;0, VLOOKUP($J401,'Gear Values'!$A$2:$E$13, IF(COUNTBLANK('Attributes &amp; Prefixes'!$B$37:$C$37)&gt;0, "4", "5"), 0)), "")</f>
        <v>51</v>
      </c>
      <c r="Q401" s="137" cm="1">
        <f t="array" ref="Q401">IF(COUNTIF($B$37:$E$37, Q$2)&gt;0, _xlfn.IFS(COUNTIF($B$37:$C$37, Q$2)&gt;0, VLOOKUP($J401,'Gear Values'!$A$2:$E$13, IF(COUNTBLANK('Attributes &amp; Prefixes'!$B$37:$C$37)&gt;0, "2", "3"), 0), COUNTIF($D$37:$E$37, Q$2)&gt;0, VLOOKUP($J401,'Gear Values'!$A$2:$E$13, IF(COUNTBLANK('Attributes &amp; Prefixes'!$B$37:$C$37)&gt;0, "4", "5"), 0)), "")</f>
        <v>28</v>
      </c>
      <c r="R401" s="137" t="str" cm="1">
        <f t="array" ref="R401">IF(COUNTIF($B$37:$E$37, R$2)&gt;0, _xlfn.IFS(COUNTIF($B$37:$C$37, R$2)&gt;0, VLOOKUP($J401,'Gear Values'!$A$2:$E$13, IF(COUNTBLANK('Attributes &amp; Prefixes'!$B$37:$C$37)&gt;0, "2", "3"), 0), COUNTIF($D$37:$E$37, R$2)&gt;0, VLOOKUP($J401,'Gear Values'!$A$2:$E$13, IF(COUNTBLANK('Attributes &amp; Prefixes'!$B$37:$C$37)&gt;0, "4", "5"), 0)), "")</f>
        <v/>
      </c>
      <c r="S401" s="138" t="str" cm="1">
        <f t="array" ref="S401">IF(COUNTIF($B$37:$E$37, S$2)&gt;0, _xlfn.IFS(COUNTIF($B$37:$C$37, S$2)&gt;0, VLOOKUP($J401,'Gear Values'!$A$2:$E$13, IF(COUNTBLANK('Attributes &amp; Prefixes'!$B$37:$C$37)&gt;0, "2", "3"), 0), COUNTIF($D$37:$E$37, S$2)&gt;0, VLOOKUP($J401,'Gear Values'!$A$2:$E$13, IF(COUNTBLANK('Attributes &amp; Prefixes'!$B$37:$C$37)&gt;0, "4", "5"), 0)), "")</f>
        <v/>
      </c>
      <c r="V401" s="112"/>
      <c r="W401" s="112"/>
    </row>
    <row r="402" spans="6:23">
      <c r="F402" s="114"/>
      <c r="G402" s="114"/>
      <c r="H402" s="130" t="str">
        <f>_xlfn.CONCAT(I$399,J402)</f>
        <v>RitualistShoulders</v>
      </c>
      <c r="I402" s="520"/>
      <c r="J402" s="144" t="s">
        <v>42</v>
      </c>
      <c r="K402" s="136" t="str" cm="1">
        <f t="array" ref="K402">IF(COUNTIF($B$37:$E$37, K$2)&gt;0, _xlfn.IFS(COUNTIF($B$37:$C$37, K$2)&gt;0, VLOOKUP($J402,'Gear Values'!$A$2:$E$13, IF(COUNTBLANK('Attributes &amp; Prefixes'!$B$37:$C$37)&gt;0, "2", "3"), 0), COUNTIF($D$37:$E$37, K$2)&gt;0, VLOOKUP($J402,'Gear Values'!$A$2:$E$13, IF(COUNTBLANK('Attributes &amp; Prefixes'!$B$37:$C$37)&gt;0, "4", "5"), 0)), "")</f>
        <v/>
      </c>
      <c r="L402" s="137" t="str" cm="1">
        <f t="array" ref="L402">IF(COUNTIF($B$37:$E$37, L$2)&gt;0, _xlfn.IFS(COUNTIF($B$37:$C$37, L$2)&gt;0, VLOOKUP($J402,'Gear Values'!$A$2:$E$13, IF(COUNTBLANK('Attributes &amp; Prefixes'!$B$37:$C$37)&gt;0, "2", "3"), 0), COUNTIF($D$37:$E$37, L$2)&gt;0, VLOOKUP($J402,'Gear Values'!$A$2:$E$13, IF(COUNTBLANK('Attributes &amp; Prefixes'!$B$37:$C$37)&gt;0, "4", "5"), 0)), "")</f>
        <v/>
      </c>
      <c r="M402" s="137" t="str" cm="1">
        <f t="array" ref="M402">IF(COUNTIF($B$37:$E$37, M$2)&gt;0, _xlfn.IFS(COUNTIF($B$37:$C$37, M$2)&gt;0, VLOOKUP($J402,'Gear Values'!$A$2:$E$13, IF(COUNTBLANK('Attributes &amp; Prefixes'!$B$37:$C$37)&gt;0, "2", "3"), 0), COUNTIF($D$37:$E$37, M$2)&gt;0, VLOOKUP($J402,'Gear Values'!$A$2:$E$13, IF(COUNTBLANK('Attributes &amp; Prefixes'!$B$37:$C$37)&gt;0, "4", "5"), 0)), "")</f>
        <v/>
      </c>
      <c r="N402" s="137" cm="1">
        <f t="array" ref="N402">IF(COUNTIF($B$37:$E$37, N$2)&gt;0, _xlfn.IFS(COUNTIF($B$37:$C$37, N$2)&gt;0, VLOOKUP($J402,'Gear Values'!$A$2:$E$13, IF(COUNTBLANK('Attributes &amp; Prefixes'!$B$37:$C$37)&gt;0, "2", "3"), 0), COUNTIF($D$37:$E$37, N$2)&gt;0, VLOOKUP($J402,'Gear Values'!$A$2:$E$13, IF(COUNTBLANK('Attributes &amp; Prefixes'!$B$37:$C$37)&gt;0, "4", "5"), 0)), "")</f>
        <v>38</v>
      </c>
      <c r="O402" s="137" cm="1">
        <f t="array" ref="O402">IF(COUNTIF($B$37:$E$37, O$2)&gt;0, _xlfn.IFS(COUNTIF($B$37:$C$37, O$2)&gt;0, VLOOKUP($J402,'Gear Values'!$A$2:$E$13, IF(COUNTBLANK('Attributes &amp; Prefixes'!$B$37:$C$37)&gt;0, "2", "3"), 0), COUNTIF($D$37:$E$37, O$2)&gt;0, VLOOKUP($J402,'Gear Values'!$A$2:$E$13, IF(COUNTBLANK('Attributes &amp; Prefixes'!$B$37:$C$37)&gt;0, "4", "5"), 0)), "")</f>
        <v>21</v>
      </c>
      <c r="P402" s="137" cm="1">
        <f t="array" ref="P402">IF(COUNTIF($B$37:$E$37, P$2)&gt;0, _xlfn.IFS(COUNTIF($B$37:$C$37, P$2)&gt;0, VLOOKUP($J402,'Gear Values'!$A$2:$E$13, IF(COUNTBLANK('Attributes &amp; Prefixes'!$B$37:$C$37)&gt;0, "2", "3"), 0), COUNTIF($D$37:$E$37, P$2)&gt;0, VLOOKUP($J402,'Gear Values'!$A$2:$E$13, IF(COUNTBLANK('Attributes &amp; Prefixes'!$B$37:$C$37)&gt;0, "4", "5"), 0)), "")</f>
        <v>38</v>
      </c>
      <c r="Q402" s="137" cm="1">
        <f t="array" ref="Q402">IF(COUNTIF($B$37:$E$37, Q$2)&gt;0, _xlfn.IFS(COUNTIF($B$37:$C$37, Q$2)&gt;0, VLOOKUP($J402,'Gear Values'!$A$2:$E$13, IF(COUNTBLANK('Attributes &amp; Prefixes'!$B$37:$C$37)&gt;0, "2", "3"), 0), COUNTIF($D$37:$E$37, Q$2)&gt;0, VLOOKUP($J402,'Gear Values'!$A$2:$E$13, IF(COUNTBLANK('Attributes &amp; Prefixes'!$B$37:$C$37)&gt;0, "4", "5"), 0)), "")</f>
        <v>21</v>
      </c>
      <c r="R402" s="137" t="str" cm="1">
        <f t="array" ref="R402">IF(COUNTIF($B$37:$E$37, R$2)&gt;0, _xlfn.IFS(COUNTIF($B$37:$C$37, R$2)&gt;0, VLOOKUP($J402,'Gear Values'!$A$2:$E$13, IF(COUNTBLANK('Attributes &amp; Prefixes'!$B$37:$C$37)&gt;0, "2", "3"), 0), COUNTIF($D$37:$E$37, R$2)&gt;0, VLOOKUP($J402,'Gear Values'!$A$2:$E$13, IF(COUNTBLANK('Attributes &amp; Prefixes'!$B$37:$C$37)&gt;0, "4", "5"), 0)), "")</f>
        <v/>
      </c>
      <c r="S402" s="138" t="str" cm="1">
        <f t="array" ref="S402">IF(COUNTIF($B$37:$E$37, S$2)&gt;0, _xlfn.IFS(COUNTIF($B$37:$C$37, S$2)&gt;0, VLOOKUP($J402,'Gear Values'!$A$2:$E$13, IF(COUNTBLANK('Attributes &amp; Prefixes'!$B$37:$C$37)&gt;0, "2", "3"), 0), COUNTIF($D$37:$E$37, S$2)&gt;0, VLOOKUP($J402,'Gear Values'!$A$2:$E$13, IF(COUNTBLANK('Attributes &amp; Prefixes'!$B$37:$C$37)&gt;0, "4", "5"), 0)), "")</f>
        <v/>
      </c>
      <c r="V402" s="112"/>
      <c r="W402" s="112"/>
    </row>
    <row r="403" spans="6:23">
      <c r="F403" s="114"/>
      <c r="G403" s="114"/>
      <c r="H403" s="130" t="str">
        <f>_xlfn.CONCAT(I$399,J403)</f>
        <v>RitualistChest</v>
      </c>
      <c r="I403" s="520"/>
      <c r="J403" s="144" t="s">
        <v>44</v>
      </c>
      <c r="K403" s="136" t="str" cm="1">
        <f t="array" ref="K403">IF(COUNTIF($B$37:$E$37, K$2)&gt;0, _xlfn.IFS(COUNTIF($B$37:$C$37, K$2)&gt;0, VLOOKUP($J403,'Gear Values'!$A$2:$E$13, IF(COUNTBLANK('Attributes &amp; Prefixes'!$B$37:$C$37)&gt;0, "2", "3"), 0), COUNTIF($D$37:$E$37, K$2)&gt;0, VLOOKUP($J403,'Gear Values'!$A$2:$E$13, IF(COUNTBLANK('Attributes &amp; Prefixes'!$B$37:$C$37)&gt;0, "4", "5"), 0)), "")</f>
        <v/>
      </c>
      <c r="L403" s="137" t="str" cm="1">
        <f t="array" ref="L403">IF(COUNTIF($B$37:$E$37, L$2)&gt;0, _xlfn.IFS(COUNTIF($B$37:$C$37, L$2)&gt;0, VLOOKUP($J403,'Gear Values'!$A$2:$E$13, IF(COUNTBLANK('Attributes &amp; Prefixes'!$B$37:$C$37)&gt;0, "2", "3"), 0), COUNTIF($D$37:$E$37, L$2)&gt;0, VLOOKUP($J403,'Gear Values'!$A$2:$E$13, IF(COUNTBLANK('Attributes &amp; Prefixes'!$B$37:$C$37)&gt;0, "4", "5"), 0)), "")</f>
        <v/>
      </c>
      <c r="M403" s="137" t="str" cm="1">
        <f t="array" ref="M403">IF(COUNTIF($B$37:$E$37, M$2)&gt;0, _xlfn.IFS(COUNTIF($B$37:$C$37, M$2)&gt;0, VLOOKUP($J403,'Gear Values'!$A$2:$E$13, IF(COUNTBLANK('Attributes &amp; Prefixes'!$B$37:$C$37)&gt;0, "2", "3"), 0), COUNTIF($D$37:$E$37, M$2)&gt;0, VLOOKUP($J403,'Gear Values'!$A$2:$E$13, IF(COUNTBLANK('Attributes &amp; Prefixes'!$B$37:$C$37)&gt;0, "4", "5"), 0)), "")</f>
        <v/>
      </c>
      <c r="N403" s="137" cm="1">
        <f t="array" ref="N403">IF(COUNTIF($B$37:$E$37, N$2)&gt;0, _xlfn.IFS(COUNTIF($B$37:$C$37, N$2)&gt;0, VLOOKUP($J403,'Gear Values'!$A$2:$E$13, IF(COUNTBLANK('Attributes &amp; Prefixes'!$B$37:$C$37)&gt;0, "2", "3"), 0), COUNTIF($D$37:$E$37, N$2)&gt;0, VLOOKUP($J403,'Gear Values'!$A$2:$E$13, IF(COUNTBLANK('Attributes &amp; Prefixes'!$B$37:$C$37)&gt;0, "4", "5"), 0)), "")</f>
        <v>115</v>
      </c>
      <c r="O403" s="137" cm="1">
        <f t="array" ref="O403">IF(COUNTIF($B$37:$E$37, O$2)&gt;0, _xlfn.IFS(COUNTIF($B$37:$C$37, O$2)&gt;0, VLOOKUP($J403,'Gear Values'!$A$2:$E$13, IF(COUNTBLANK('Attributes &amp; Prefixes'!$B$37:$C$37)&gt;0, "2", "3"), 0), COUNTIF($D$37:$E$37, O$2)&gt;0, VLOOKUP($J403,'Gear Values'!$A$2:$E$13, IF(COUNTBLANK('Attributes &amp; Prefixes'!$B$37:$C$37)&gt;0, "4", "5"), 0)), "")</f>
        <v>63</v>
      </c>
      <c r="P403" s="137" cm="1">
        <f t="array" ref="P403">IF(COUNTIF($B$37:$E$37, P$2)&gt;0, _xlfn.IFS(COUNTIF($B$37:$C$37, P$2)&gt;0, VLOOKUP($J403,'Gear Values'!$A$2:$E$13, IF(COUNTBLANK('Attributes &amp; Prefixes'!$B$37:$C$37)&gt;0, "2", "3"), 0), COUNTIF($D$37:$E$37, P$2)&gt;0, VLOOKUP($J403,'Gear Values'!$A$2:$E$13, IF(COUNTBLANK('Attributes &amp; Prefixes'!$B$37:$C$37)&gt;0, "4", "5"), 0)), "")</f>
        <v>115</v>
      </c>
      <c r="Q403" s="137" cm="1">
        <f t="array" ref="Q403">IF(COUNTIF($B$37:$E$37, Q$2)&gt;0, _xlfn.IFS(COUNTIF($B$37:$C$37, Q$2)&gt;0, VLOOKUP($J403,'Gear Values'!$A$2:$E$13, IF(COUNTBLANK('Attributes &amp; Prefixes'!$B$37:$C$37)&gt;0, "2", "3"), 0), COUNTIF($D$37:$E$37, Q$2)&gt;0, VLOOKUP($J403,'Gear Values'!$A$2:$E$13, IF(COUNTBLANK('Attributes &amp; Prefixes'!$B$37:$C$37)&gt;0, "4", "5"), 0)), "")</f>
        <v>63</v>
      </c>
      <c r="R403" s="137" t="str" cm="1">
        <f t="array" ref="R403">IF(COUNTIF($B$37:$E$37, R$2)&gt;0, _xlfn.IFS(COUNTIF($B$37:$C$37, R$2)&gt;0, VLOOKUP($J403,'Gear Values'!$A$2:$E$13, IF(COUNTBLANK('Attributes &amp; Prefixes'!$B$37:$C$37)&gt;0, "2", "3"), 0), COUNTIF($D$37:$E$37, R$2)&gt;0, VLOOKUP($J403,'Gear Values'!$A$2:$E$13, IF(COUNTBLANK('Attributes &amp; Prefixes'!$B$37:$C$37)&gt;0, "4", "5"), 0)), "")</f>
        <v/>
      </c>
      <c r="S403" s="138" t="str" cm="1">
        <f t="array" ref="S403">IF(COUNTIF($B$37:$E$37, S$2)&gt;0, _xlfn.IFS(COUNTIF($B$37:$C$37, S$2)&gt;0, VLOOKUP($J403,'Gear Values'!$A$2:$E$13, IF(COUNTBLANK('Attributes &amp; Prefixes'!$B$37:$C$37)&gt;0, "2", "3"), 0), COUNTIF($D$37:$E$37, S$2)&gt;0, VLOOKUP($J403,'Gear Values'!$A$2:$E$13, IF(COUNTBLANK('Attributes &amp; Prefixes'!$B$37:$C$37)&gt;0, "4", "5"), 0)), "")</f>
        <v/>
      </c>
      <c r="V403" s="112"/>
      <c r="W403" s="112"/>
    </row>
    <row r="404" spans="6:23">
      <c r="F404" s="114"/>
      <c r="G404" s="114"/>
      <c r="H404" s="130" t="str">
        <f>_xlfn.CONCAT(I$399,J404)</f>
        <v>RitualistHands</v>
      </c>
      <c r="I404" s="520"/>
      <c r="J404" s="144" t="s">
        <v>45</v>
      </c>
      <c r="K404" s="136" t="str" cm="1">
        <f t="array" ref="K404">IF(COUNTIF($B$37:$E$37, K$2)&gt;0, _xlfn.IFS(COUNTIF($B$37:$C$37, K$2)&gt;0, VLOOKUP($J404,'Gear Values'!$A$2:$E$13, IF(COUNTBLANK('Attributes &amp; Prefixes'!$B$37:$C$37)&gt;0, "2", "3"), 0), COUNTIF($D$37:$E$37, K$2)&gt;0, VLOOKUP($J404,'Gear Values'!$A$2:$E$13, IF(COUNTBLANK('Attributes &amp; Prefixes'!$B$37:$C$37)&gt;0, "4", "5"), 0)), "")</f>
        <v/>
      </c>
      <c r="L404" s="137" t="str" cm="1">
        <f t="array" ref="L404">IF(COUNTIF($B$37:$E$37, L$2)&gt;0, _xlfn.IFS(COUNTIF($B$37:$C$37, L$2)&gt;0, VLOOKUP($J404,'Gear Values'!$A$2:$E$13, IF(COUNTBLANK('Attributes &amp; Prefixes'!$B$37:$C$37)&gt;0, "2", "3"), 0), COUNTIF($D$37:$E$37, L$2)&gt;0, VLOOKUP($J404,'Gear Values'!$A$2:$E$13, IF(COUNTBLANK('Attributes &amp; Prefixes'!$B$37:$C$37)&gt;0, "4", "5"), 0)), "")</f>
        <v/>
      </c>
      <c r="M404" s="137" t="str" cm="1">
        <f t="array" ref="M404">IF(COUNTIF($B$37:$E$37, M$2)&gt;0, _xlfn.IFS(COUNTIF($B$37:$C$37, M$2)&gt;0, VLOOKUP($J404,'Gear Values'!$A$2:$E$13, IF(COUNTBLANK('Attributes &amp; Prefixes'!$B$37:$C$37)&gt;0, "2", "3"), 0), COUNTIF($D$37:$E$37, M$2)&gt;0, VLOOKUP($J404,'Gear Values'!$A$2:$E$13, IF(COUNTBLANK('Attributes &amp; Prefixes'!$B$37:$C$37)&gt;0, "4", "5"), 0)), "")</f>
        <v/>
      </c>
      <c r="N404" s="137" cm="1">
        <f t="array" ref="N404">IF(COUNTIF($B$37:$E$37, N$2)&gt;0, _xlfn.IFS(COUNTIF($B$37:$C$37, N$2)&gt;0, VLOOKUP($J404,'Gear Values'!$A$2:$E$13, IF(COUNTBLANK('Attributes &amp; Prefixes'!$B$37:$C$37)&gt;0, "2", "3"), 0), COUNTIF($D$37:$E$37, N$2)&gt;0, VLOOKUP($J404,'Gear Values'!$A$2:$E$13, IF(COUNTBLANK('Attributes &amp; Prefixes'!$B$37:$C$37)&gt;0, "4", "5"), 0)), "")</f>
        <v>38</v>
      </c>
      <c r="O404" s="137" cm="1">
        <f t="array" ref="O404">IF(COUNTIF($B$37:$E$37, O$2)&gt;0, _xlfn.IFS(COUNTIF($B$37:$C$37, O$2)&gt;0, VLOOKUP($J404,'Gear Values'!$A$2:$E$13, IF(COUNTBLANK('Attributes &amp; Prefixes'!$B$37:$C$37)&gt;0, "2", "3"), 0), COUNTIF($D$37:$E$37, O$2)&gt;0, VLOOKUP($J404,'Gear Values'!$A$2:$E$13, IF(COUNTBLANK('Attributes &amp; Prefixes'!$B$37:$C$37)&gt;0, "4", "5"), 0)), "")</f>
        <v>21</v>
      </c>
      <c r="P404" s="137" cm="1">
        <f t="array" ref="P404">IF(COUNTIF($B$37:$E$37, P$2)&gt;0, _xlfn.IFS(COUNTIF($B$37:$C$37, P$2)&gt;0, VLOOKUP($J404,'Gear Values'!$A$2:$E$13, IF(COUNTBLANK('Attributes &amp; Prefixes'!$B$37:$C$37)&gt;0, "2", "3"), 0), COUNTIF($D$37:$E$37, P$2)&gt;0, VLOOKUP($J404,'Gear Values'!$A$2:$E$13, IF(COUNTBLANK('Attributes &amp; Prefixes'!$B$37:$C$37)&gt;0, "4", "5"), 0)), "")</f>
        <v>38</v>
      </c>
      <c r="Q404" s="137" cm="1">
        <f t="array" ref="Q404">IF(COUNTIF($B$37:$E$37, Q$2)&gt;0, _xlfn.IFS(COUNTIF($B$37:$C$37, Q$2)&gt;0, VLOOKUP($J404,'Gear Values'!$A$2:$E$13, IF(COUNTBLANK('Attributes &amp; Prefixes'!$B$37:$C$37)&gt;0, "2", "3"), 0), COUNTIF($D$37:$E$37, Q$2)&gt;0, VLOOKUP($J404,'Gear Values'!$A$2:$E$13, IF(COUNTBLANK('Attributes &amp; Prefixes'!$B$37:$C$37)&gt;0, "4", "5"), 0)), "")</f>
        <v>21</v>
      </c>
      <c r="R404" s="137" t="str" cm="1">
        <f t="array" ref="R404">IF(COUNTIF($B$37:$E$37, R$2)&gt;0, _xlfn.IFS(COUNTIF($B$37:$C$37, R$2)&gt;0, VLOOKUP($J404,'Gear Values'!$A$2:$E$13, IF(COUNTBLANK('Attributes &amp; Prefixes'!$B$37:$C$37)&gt;0, "2", "3"), 0), COUNTIF($D$37:$E$37, R$2)&gt;0, VLOOKUP($J404,'Gear Values'!$A$2:$E$13, IF(COUNTBLANK('Attributes &amp; Prefixes'!$B$37:$C$37)&gt;0, "4", "5"), 0)), "")</f>
        <v/>
      </c>
      <c r="S404" s="138" t="str" cm="1">
        <f t="array" ref="S404">IF(COUNTIF($B$37:$E$37, S$2)&gt;0, _xlfn.IFS(COUNTIF($B$37:$C$37, S$2)&gt;0, VLOOKUP($J404,'Gear Values'!$A$2:$E$13, IF(COUNTBLANK('Attributes &amp; Prefixes'!$B$37:$C$37)&gt;0, "2", "3"), 0), COUNTIF($D$37:$E$37, S$2)&gt;0, VLOOKUP($J404,'Gear Values'!$A$2:$E$13, IF(COUNTBLANK('Attributes &amp; Prefixes'!$B$37:$C$37)&gt;0, "4", "5"), 0)), "")</f>
        <v/>
      </c>
      <c r="V404" s="112"/>
      <c r="W404" s="112"/>
    </row>
    <row r="405" spans="6:23">
      <c r="F405" s="114"/>
      <c r="G405" s="114"/>
      <c r="H405" s="130" t="str">
        <f>_xlfn.CONCAT(I$399,J405)</f>
        <v>RitualistLegs</v>
      </c>
      <c r="I405" s="520"/>
      <c r="J405" s="144" t="s">
        <v>47</v>
      </c>
      <c r="K405" s="136" t="str" cm="1">
        <f t="array" ref="K405">IF(COUNTIF($B$37:$E$37, K$2)&gt;0, _xlfn.IFS(COUNTIF($B$37:$C$37, K$2)&gt;0, VLOOKUP($J405,'Gear Values'!$A$2:$E$13, IF(COUNTBLANK('Attributes &amp; Prefixes'!$B$37:$C$37)&gt;0, "2", "3"), 0), COUNTIF($D$37:$E$37, K$2)&gt;0, VLOOKUP($J405,'Gear Values'!$A$2:$E$13, IF(COUNTBLANK('Attributes &amp; Prefixes'!$B$37:$C$37)&gt;0, "4", "5"), 0)), "")</f>
        <v/>
      </c>
      <c r="L405" s="137" t="str" cm="1">
        <f t="array" ref="L405">IF(COUNTIF($B$37:$E$37, L$2)&gt;0, _xlfn.IFS(COUNTIF($B$37:$C$37, L$2)&gt;0, VLOOKUP($J405,'Gear Values'!$A$2:$E$13, IF(COUNTBLANK('Attributes &amp; Prefixes'!$B$37:$C$37)&gt;0, "2", "3"), 0), COUNTIF($D$37:$E$37, L$2)&gt;0, VLOOKUP($J405,'Gear Values'!$A$2:$E$13, IF(COUNTBLANK('Attributes &amp; Prefixes'!$B$37:$C$37)&gt;0, "4", "5"), 0)), "")</f>
        <v/>
      </c>
      <c r="M405" s="137" t="str" cm="1">
        <f t="array" ref="M405">IF(COUNTIF($B$37:$E$37, M$2)&gt;0, _xlfn.IFS(COUNTIF($B$37:$C$37, M$2)&gt;0, VLOOKUP($J405,'Gear Values'!$A$2:$E$13, IF(COUNTBLANK('Attributes &amp; Prefixes'!$B$37:$C$37)&gt;0, "2", "3"), 0), COUNTIF($D$37:$E$37, M$2)&gt;0, VLOOKUP($J405,'Gear Values'!$A$2:$E$13, IF(COUNTBLANK('Attributes &amp; Prefixes'!$B$37:$C$37)&gt;0, "4", "5"), 0)), "")</f>
        <v/>
      </c>
      <c r="N405" s="137" cm="1">
        <f t="array" ref="N405">IF(COUNTIF($B$37:$E$37, N$2)&gt;0, _xlfn.IFS(COUNTIF($B$37:$C$37, N$2)&gt;0, VLOOKUP($J405,'Gear Values'!$A$2:$E$13, IF(COUNTBLANK('Attributes &amp; Prefixes'!$B$37:$C$37)&gt;0, "2", "3"), 0), COUNTIF($D$37:$E$37, N$2)&gt;0, VLOOKUP($J405,'Gear Values'!$A$2:$E$13, IF(COUNTBLANK('Attributes &amp; Prefixes'!$B$37:$C$37)&gt;0, "4", "5"), 0)), "")</f>
        <v>77</v>
      </c>
      <c r="O405" s="137" cm="1">
        <f t="array" ref="O405">IF(COUNTIF($B$37:$E$37, O$2)&gt;0, _xlfn.IFS(COUNTIF($B$37:$C$37, O$2)&gt;0, VLOOKUP($J405,'Gear Values'!$A$2:$E$13, IF(COUNTBLANK('Attributes &amp; Prefixes'!$B$37:$C$37)&gt;0, "2", "3"), 0), COUNTIF($D$37:$E$37, O$2)&gt;0, VLOOKUP($J405,'Gear Values'!$A$2:$E$13, IF(COUNTBLANK('Attributes &amp; Prefixes'!$B$37:$C$37)&gt;0, "4", "5"), 0)), "")</f>
        <v>42</v>
      </c>
      <c r="P405" s="137" cm="1">
        <f t="array" ref="P405">IF(COUNTIF($B$37:$E$37, P$2)&gt;0, _xlfn.IFS(COUNTIF($B$37:$C$37, P$2)&gt;0, VLOOKUP($J405,'Gear Values'!$A$2:$E$13, IF(COUNTBLANK('Attributes &amp; Prefixes'!$B$37:$C$37)&gt;0, "2", "3"), 0), COUNTIF($D$37:$E$37, P$2)&gt;0, VLOOKUP($J405,'Gear Values'!$A$2:$E$13, IF(COUNTBLANK('Attributes &amp; Prefixes'!$B$37:$C$37)&gt;0, "4", "5"), 0)), "")</f>
        <v>77</v>
      </c>
      <c r="Q405" s="137" cm="1">
        <f t="array" ref="Q405">IF(COUNTIF($B$37:$E$37, Q$2)&gt;0, _xlfn.IFS(COUNTIF($B$37:$C$37, Q$2)&gt;0, VLOOKUP($J405,'Gear Values'!$A$2:$E$13, IF(COUNTBLANK('Attributes &amp; Prefixes'!$B$37:$C$37)&gt;0, "2", "3"), 0), COUNTIF($D$37:$E$37, Q$2)&gt;0, VLOOKUP($J405,'Gear Values'!$A$2:$E$13, IF(COUNTBLANK('Attributes &amp; Prefixes'!$B$37:$C$37)&gt;0, "4", "5"), 0)), "")</f>
        <v>42</v>
      </c>
      <c r="R405" s="137" t="str" cm="1">
        <f t="array" ref="R405">IF(COUNTIF($B$37:$E$37, R$2)&gt;0, _xlfn.IFS(COUNTIF($B$37:$C$37, R$2)&gt;0, VLOOKUP($J405,'Gear Values'!$A$2:$E$13, IF(COUNTBLANK('Attributes &amp; Prefixes'!$B$37:$C$37)&gt;0, "2", "3"), 0), COUNTIF($D$37:$E$37, R$2)&gt;0, VLOOKUP($J405,'Gear Values'!$A$2:$E$13, IF(COUNTBLANK('Attributes &amp; Prefixes'!$B$37:$C$37)&gt;0, "4", "5"), 0)), "")</f>
        <v/>
      </c>
      <c r="S405" s="138" t="str" cm="1">
        <f t="array" ref="S405">IF(COUNTIF($B$37:$E$37, S$2)&gt;0, _xlfn.IFS(COUNTIF($B$37:$C$37, S$2)&gt;0, VLOOKUP($J405,'Gear Values'!$A$2:$E$13, IF(COUNTBLANK('Attributes &amp; Prefixes'!$B$37:$C$37)&gt;0, "2", "3"), 0), COUNTIF($D$37:$E$37, S$2)&gt;0, VLOOKUP($J405,'Gear Values'!$A$2:$E$13, IF(COUNTBLANK('Attributes &amp; Prefixes'!$B$37:$C$37)&gt;0, "4", "5"), 0)), "")</f>
        <v/>
      </c>
      <c r="V405" s="112"/>
      <c r="W405" s="112"/>
    </row>
    <row r="406" spans="6:23">
      <c r="F406" s="114"/>
      <c r="G406" s="114"/>
      <c r="H406" s="130" t="str">
        <f>_xlfn.CONCAT(I$399,J406)</f>
        <v>RitualistFeet</v>
      </c>
      <c r="I406" s="520"/>
      <c r="J406" s="144" t="s">
        <v>48</v>
      </c>
      <c r="K406" s="136" t="str" cm="1">
        <f t="array" ref="K406">IF(COUNTIF($B$37:$E$37, K$2)&gt;0, _xlfn.IFS(COUNTIF($B$37:$C$37, K$2)&gt;0, VLOOKUP($J406,'Gear Values'!$A$2:$E$13, IF(COUNTBLANK('Attributes &amp; Prefixes'!$B$37:$C$37)&gt;0, "2", "3"), 0), COUNTIF($D$37:$E$37, K$2)&gt;0, VLOOKUP($J406,'Gear Values'!$A$2:$E$13, IF(COUNTBLANK('Attributes &amp; Prefixes'!$B$37:$C$37)&gt;0, "4", "5"), 0)), "")</f>
        <v/>
      </c>
      <c r="L406" s="137" t="str" cm="1">
        <f t="array" ref="L406">IF(COUNTIF($B$37:$E$37, L$2)&gt;0, _xlfn.IFS(COUNTIF($B$37:$C$37, L$2)&gt;0, VLOOKUP($J406,'Gear Values'!$A$2:$E$13, IF(COUNTBLANK('Attributes &amp; Prefixes'!$B$37:$C$37)&gt;0, "2", "3"), 0), COUNTIF($D$37:$E$37, L$2)&gt;0, VLOOKUP($J406,'Gear Values'!$A$2:$E$13, IF(COUNTBLANK('Attributes &amp; Prefixes'!$B$37:$C$37)&gt;0, "4", "5"), 0)), "")</f>
        <v/>
      </c>
      <c r="M406" s="137" t="str" cm="1">
        <f t="array" ref="M406">IF(COUNTIF($B$37:$E$37, M$2)&gt;0, _xlfn.IFS(COUNTIF($B$37:$C$37, M$2)&gt;0, VLOOKUP($J406,'Gear Values'!$A$2:$E$13, IF(COUNTBLANK('Attributes &amp; Prefixes'!$B$37:$C$37)&gt;0, "2", "3"), 0), COUNTIF($D$37:$E$37, M$2)&gt;0, VLOOKUP($J406,'Gear Values'!$A$2:$E$13, IF(COUNTBLANK('Attributes &amp; Prefixes'!$B$37:$C$37)&gt;0, "4", "5"), 0)), "")</f>
        <v/>
      </c>
      <c r="N406" s="137" cm="1">
        <f t="array" ref="N406">IF(COUNTIF($B$37:$E$37, N$2)&gt;0, _xlfn.IFS(COUNTIF($B$37:$C$37, N$2)&gt;0, VLOOKUP($J406,'Gear Values'!$A$2:$E$13, IF(COUNTBLANK('Attributes &amp; Prefixes'!$B$37:$C$37)&gt;0, "2", "3"), 0), COUNTIF($D$37:$E$37, N$2)&gt;0, VLOOKUP($J406,'Gear Values'!$A$2:$E$13, IF(COUNTBLANK('Attributes &amp; Prefixes'!$B$37:$C$37)&gt;0, "4", "5"), 0)), "")</f>
        <v>38</v>
      </c>
      <c r="O406" s="137" cm="1">
        <f t="array" ref="O406">IF(COUNTIF($B$37:$E$37, O$2)&gt;0, _xlfn.IFS(COUNTIF($B$37:$C$37, O$2)&gt;0, VLOOKUP($J406,'Gear Values'!$A$2:$E$13, IF(COUNTBLANK('Attributes &amp; Prefixes'!$B$37:$C$37)&gt;0, "2", "3"), 0), COUNTIF($D$37:$E$37, O$2)&gt;0, VLOOKUP($J406,'Gear Values'!$A$2:$E$13, IF(COUNTBLANK('Attributes &amp; Prefixes'!$B$37:$C$37)&gt;0, "4", "5"), 0)), "")</f>
        <v>21</v>
      </c>
      <c r="P406" s="137" cm="1">
        <f t="array" ref="P406">IF(COUNTIF($B$37:$E$37, P$2)&gt;0, _xlfn.IFS(COUNTIF($B$37:$C$37, P$2)&gt;0, VLOOKUP($J406,'Gear Values'!$A$2:$E$13, IF(COUNTBLANK('Attributes &amp; Prefixes'!$B$37:$C$37)&gt;0, "2", "3"), 0), COUNTIF($D$37:$E$37, P$2)&gt;0, VLOOKUP($J406,'Gear Values'!$A$2:$E$13, IF(COUNTBLANK('Attributes &amp; Prefixes'!$B$37:$C$37)&gt;0, "4", "5"), 0)), "")</f>
        <v>38</v>
      </c>
      <c r="Q406" s="137" cm="1">
        <f t="array" ref="Q406">IF(COUNTIF($B$37:$E$37, Q$2)&gt;0, _xlfn.IFS(COUNTIF($B$37:$C$37, Q$2)&gt;0, VLOOKUP($J406,'Gear Values'!$A$2:$E$13, IF(COUNTBLANK('Attributes &amp; Prefixes'!$B$37:$C$37)&gt;0, "2", "3"), 0), COUNTIF($D$37:$E$37, Q$2)&gt;0, VLOOKUP($J406,'Gear Values'!$A$2:$E$13, IF(COUNTBLANK('Attributes &amp; Prefixes'!$B$37:$C$37)&gt;0, "4", "5"), 0)), "")</f>
        <v>21</v>
      </c>
      <c r="R406" s="137" t="str" cm="1">
        <f t="array" ref="R406">IF(COUNTIF($B$37:$E$37, R$2)&gt;0, _xlfn.IFS(COUNTIF($B$37:$C$37, R$2)&gt;0, VLOOKUP($J406,'Gear Values'!$A$2:$E$13, IF(COUNTBLANK('Attributes &amp; Prefixes'!$B$37:$C$37)&gt;0, "2", "3"), 0), COUNTIF($D$37:$E$37, R$2)&gt;0, VLOOKUP($J406,'Gear Values'!$A$2:$E$13, IF(COUNTBLANK('Attributes &amp; Prefixes'!$B$37:$C$37)&gt;0, "4", "5"), 0)), "")</f>
        <v/>
      </c>
      <c r="S406" s="138" t="str" cm="1">
        <f t="array" ref="S406">IF(COUNTIF($B$37:$E$37, S$2)&gt;0, _xlfn.IFS(COUNTIF($B$37:$C$37, S$2)&gt;0, VLOOKUP($J406,'Gear Values'!$A$2:$E$13, IF(COUNTBLANK('Attributes &amp; Prefixes'!$B$37:$C$37)&gt;0, "2", "3"), 0), COUNTIF($D$37:$E$37, S$2)&gt;0, VLOOKUP($J406,'Gear Values'!$A$2:$E$13, IF(COUNTBLANK('Attributes &amp; Prefixes'!$B$37:$C$37)&gt;0, "4", "5"), 0)), "")</f>
        <v/>
      </c>
      <c r="V406" s="112"/>
      <c r="W406" s="112"/>
    </row>
    <row r="407" spans="6:23">
      <c r="F407" s="114"/>
      <c r="G407" s="114"/>
      <c r="H407" s="130" t="str">
        <f>_xlfn.CONCAT(A$74,J407)</f>
        <v>Polished-ResinEar</v>
      </c>
      <c r="I407" s="520"/>
      <c r="J407" s="144" t="s">
        <v>49</v>
      </c>
      <c r="K407" s="136" t="str" cm="1">
        <f t="array" ref="K407">IF(COUNTIF($B$37:$E$37, K$2)&gt;0, _xlfn.IFS(COUNTIF($B$37:$C$37, K$2)&gt;0, VLOOKUP($J407,'Gear Values'!$A$2:$E$13, IF(COUNTBLANK('Attributes &amp; Prefixes'!$B$37:$C$37)&gt;0, "2", "3"), 0), COUNTIF($D$37:$E$37, K$2)&gt;0, VLOOKUP($J407,'Gear Values'!$A$2:$E$13, IF(COUNTBLANK('Attributes &amp; Prefixes'!$B$37:$C$37)&gt;0, "4", "5"), 0)), "")</f>
        <v/>
      </c>
      <c r="L407" s="137" t="str" cm="1">
        <f t="array" ref="L407">IF(COUNTIF($B$37:$E$37, L$2)&gt;0, _xlfn.IFS(COUNTIF($B$37:$C$37, L$2)&gt;0, VLOOKUP($J407,'Gear Values'!$A$2:$E$13, IF(COUNTBLANK('Attributes &amp; Prefixes'!$B$37:$C$37)&gt;0, "2", "3"), 0), COUNTIF($D$37:$E$37, L$2)&gt;0, VLOOKUP($J407,'Gear Values'!$A$2:$E$13, IF(COUNTBLANK('Attributes &amp; Prefixes'!$B$37:$C$37)&gt;0, "4", "5"), 0)), "")</f>
        <v/>
      </c>
      <c r="M407" s="137" t="str" cm="1">
        <f t="array" ref="M407">IF(COUNTIF($B$37:$E$37, M$2)&gt;0, _xlfn.IFS(COUNTIF($B$37:$C$37, M$2)&gt;0, VLOOKUP($J407,'Gear Values'!$A$2:$E$13, IF(COUNTBLANK('Attributes &amp; Prefixes'!$B$37:$C$37)&gt;0, "2", "3"), 0), COUNTIF($D$37:$E$37, M$2)&gt;0, VLOOKUP($J407,'Gear Values'!$A$2:$E$13, IF(COUNTBLANK('Attributes &amp; Prefixes'!$B$37:$C$37)&gt;0, "4", "5"), 0)), "")</f>
        <v/>
      </c>
      <c r="N407" s="137" cm="1">
        <f t="array" ref="N407">IF(COUNTIF($B$37:$E$37, N$2)&gt;0, _xlfn.IFS(COUNTIF($B$37:$C$37, N$2)&gt;0, VLOOKUP($J407,'Gear Values'!$A$2:$E$13, IF(COUNTBLANK('Attributes &amp; Prefixes'!$B$37:$C$37)&gt;0, "2", "3"), 0), COUNTIF($D$37:$E$37, N$2)&gt;0, VLOOKUP($J407,'Gear Values'!$A$2:$E$13, IF(COUNTBLANK('Attributes &amp; Prefixes'!$B$37:$C$37)&gt;0, "4", "5"), 0)), "")</f>
        <v>64</v>
      </c>
      <c r="O407" s="137" cm="1">
        <f t="array" ref="O407">IF(COUNTIF($B$37:$E$37, O$2)&gt;0, _xlfn.IFS(COUNTIF($B$37:$C$37, O$2)&gt;0, VLOOKUP($J407,'Gear Values'!$A$2:$E$13, IF(COUNTBLANK('Attributes &amp; Prefixes'!$B$37:$C$37)&gt;0, "2", "3"), 0), COUNTIF($D$37:$E$37, O$2)&gt;0, VLOOKUP($J407,'Gear Values'!$A$2:$E$13, IF(COUNTBLANK('Attributes &amp; Prefixes'!$B$37:$C$37)&gt;0, "4", "5"), 0)), "")</f>
        <v>35</v>
      </c>
      <c r="P407" s="137" cm="1">
        <f t="array" ref="P407">IF(COUNTIF($B$37:$E$37, P$2)&gt;0, _xlfn.IFS(COUNTIF($B$37:$C$37, P$2)&gt;0, VLOOKUP($J407,'Gear Values'!$A$2:$E$13, IF(COUNTBLANK('Attributes &amp; Prefixes'!$B$37:$C$37)&gt;0, "2", "3"), 0), COUNTIF($D$37:$E$37, P$2)&gt;0, VLOOKUP($J407,'Gear Values'!$A$2:$E$13, IF(COUNTBLANK('Attributes &amp; Prefixes'!$B$37:$C$37)&gt;0, "4", "5"), 0)), "")</f>
        <v>64</v>
      </c>
      <c r="Q407" s="137" cm="1">
        <f t="array" ref="Q407">IF(COUNTIF($B$37:$E$37, Q$2)&gt;0, _xlfn.IFS(COUNTIF($B$37:$C$37, Q$2)&gt;0, VLOOKUP($J407,'Gear Values'!$A$2:$E$13, IF(COUNTBLANK('Attributes &amp; Prefixes'!$B$37:$C$37)&gt;0, "2", "3"), 0), COUNTIF($D$37:$E$37, Q$2)&gt;0, VLOOKUP($J407,'Gear Values'!$A$2:$E$13, IF(COUNTBLANK('Attributes &amp; Prefixes'!$B$37:$C$37)&gt;0, "4", "5"), 0)), "")</f>
        <v>35</v>
      </c>
      <c r="R407" s="137" t="str" cm="1">
        <f t="array" ref="R407">IF(COUNTIF($B$37:$E$37, R$2)&gt;0, _xlfn.IFS(COUNTIF($B$37:$C$37, R$2)&gt;0, VLOOKUP($J407,'Gear Values'!$A$2:$E$13, IF(COUNTBLANK('Attributes &amp; Prefixes'!$B$37:$C$37)&gt;0, "2", "3"), 0), COUNTIF($D$37:$E$37, R$2)&gt;0, VLOOKUP($J407,'Gear Values'!$A$2:$E$13, IF(COUNTBLANK('Attributes &amp; Prefixes'!$B$37:$C$37)&gt;0, "4", "5"), 0)), "")</f>
        <v/>
      </c>
      <c r="S407" s="138" t="str" cm="1">
        <f t="array" ref="S407">IF(COUNTIF($B$37:$E$37, S$2)&gt;0, _xlfn.IFS(COUNTIF($B$37:$C$37, S$2)&gt;0, VLOOKUP($J407,'Gear Values'!$A$2:$E$13, IF(COUNTBLANK('Attributes &amp; Prefixes'!$B$37:$C$37)&gt;0, "2", "3"), 0), COUNTIF($D$37:$E$37, S$2)&gt;0, VLOOKUP($J407,'Gear Values'!$A$2:$E$13, IF(COUNTBLANK('Attributes &amp; Prefixes'!$B$37:$C$37)&gt;0, "4", "5"), 0)), "")</f>
        <v/>
      </c>
      <c r="V407" s="112"/>
      <c r="W407" s="112"/>
    </row>
    <row r="408" spans="6:23">
      <c r="F408" s="114"/>
      <c r="G408" s="114"/>
      <c r="H408" s="130" t="str">
        <f>_xlfn.CONCAT(A$74,J408)</f>
        <v>Polished-ResinFinger</v>
      </c>
      <c r="I408" s="520"/>
      <c r="J408" s="144" t="s">
        <v>51</v>
      </c>
      <c r="K408" s="136" t="str" cm="1">
        <f t="array" ref="K408">IF(COUNTIF($B$37:$E$37, K$2)&gt;0, _xlfn.IFS(COUNTIF($B$37:$C$37, K$2)&gt;0, VLOOKUP($J408,'Gear Values'!$A$2:$E$13, IF(COUNTBLANK('Attributes &amp; Prefixes'!$B$37:$C$37)&gt;0, "2", "3"), 0), COUNTIF($D$37:$E$37, K$2)&gt;0, VLOOKUP($J408,'Gear Values'!$A$2:$E$13, IF(COUNTBLANK('Attributes &amp; Prefixes'!$B$37:$C$37)&gt;0, "4", "5"), 0)), "")</f>
        <v/>
      </c>
      <c r="L408" s="137" t="str" cm="1">
        <f t="array" ref="L408">IF(COUNTIF($B$37:$E$37, L$2)&gt;0, _xlfn.IFS(COUNTIF($B$37:$C$37, L$2)&gt;0, VLOOKUP($J408,'Gear Values'!$A$2:$E$13, IF(COUNTBLANK('Attributes &amp; Prefixes'!$B$37:$C$37)&gt;0, "2", "3"), 0), COUNTIF($D$37:$E$37, L$2)&gt;0, VLOOKUP($J408,'Gear Values'!$A$2:$E$13, IF(COUNTBLANK('Attributes &amp; Prefixes'!$B$37:$C$37)&gt;0, "4", "5"), 0)), "")</f>
        <v/>
      </c>
      <c r="M408" s="137" t="str" cm="1">
        <f t="array" ref="M408">IF(COUNTIF($B$37:$E$37, M$2)&gt;0, _xlfn.IFS(COUNTIF($B$37:$C$37, M$2)&gt;0, VLOOKUP($J408,'Gear Values'!$A$2:$E$13, IF(COUNTBLANK('Attributes &amp; Prefixes'!$B$37:$C$37)&gt;0, "2", "3"), 0), COUNTIF($D$37:$E$37, M$2)&gt;0, VLOOKUP($J408,'Gear Values'!$A$2:$E$13, IF(COUNTBLANK('Attributes &amp; Prefixes'!$B$37:$C$37)&gt;0, "4", "5"), 0)), "")</f>
        <v/>
      </c>
      <c r="N408" s="137" cm="1">
        <f t="array" ref="N408">IF(COUNTIF($B$37:$E$37, N$2)&gt;0, _xlfn.IFS(COUNTIF($B$37:$C$37, N$2)&gt;0, VLOOKUP($J408,'Gear Values'!$A$2:$E$13, IF(COUNTBLANK('Attributes &amp; Prefixes'!$B$37:$C$37)&gt;0, "2", "3"), 0), COUNTIF($D$37:$E$37, N$2)&gt;0, VLOOKUP($J408,'Gear Values'!$A$2:$E$13, IF(COUNTBLANK('Attributes &amp; Prefixes'!$B$37:$C$37)&gt;0, "4", "5"), 0)), "")</f>
        <v>77</v>
      </c>
      <c r="O408" s="137" cm="1">
        <f t="array" ref="O408">IF(COUNTIF($B$37:$E$37, O$2)&gt;0, _xlfn.IFS(COUNTIF($B$37:$C$37, O$2)&gt;0, VLOOKUP($J408,'Gear Values'!$A$2:$E$13, IF(COUNTBLANK('Attributes &amp; Prefixes'!$B$37:$C$37)&gt;0, "2", "3"), 0), COUNTIF($D$37:$E$37, O$2)&gt;0, VLOOKUP($J408,'Gear Values'!$A$2:$E$13, IF(COUNTBLANK('Attributes &amp; Prefixes'!$B$37:$C$37)&gt;0, "4", "5"), 0)), "")</f>
        <v>42</v>
      </c>
      <c r="P408" s="137" cm="1">
        <f t="array" ref="P408">IF(COUNTIF($B$37:$E$37, P$2)&gt;0, _xlfn.IFS(COUNTIF($B$37:$C$37, P$2)&gt;0, VLOOKUP($J408,'Gear Values'!$A$2:$E$13, IF(COUNTBLANK('Attributes &amp; Prefixes'!$B$37:$C$37)&gt;0, "2", "3"), 0), COUNTIF($D$37:$E$37, P$2)&gt;0, VLOOKUP($J408,'Gear Values'!$A$2:$E$13, IF(COUNTBLANK('Attributes &amp; Prefixes'!$B$37:$C$37)&gt;0, "4", "5"), 0)), "")</f>
        <v>77</v>
      </c>
      <c r="Q408" s="137" cm="1">
        <f t="array" ref="Q408">IF(COUNTIF($B$37:$E$37, Q$2)&gt;0, _xlfn.IFS(COUNTIF($B$37:$C$37, Q$2)&gt;0, VLOOKUP($J408,'Gear Values'!$A$2:$E$13, IF(COUNTBLANK('Attributes &amp; Prefixes'!$B$37:$C$37)&gt;0, "2", "3"), 0), COUNTIF($D$37:$E$37, Q$2)&gt;0, VLOOKUP($J408,'Gear Values'!$A$2:$E$13, IF(COUNTBLANK('Attributes &amp; Prefixes'!$B$37:$C$37)&gt;0, "4", "5"), 0)), "")</f>
        <v>42</v>
      </c>
      <c r="R408" s="137" t="str" cm="1">
        <f t="array" ref="R408">IF(COUNTIF($B$37:$E$37, R$2)&gt;0, _xlfn.IFS(COUNTIF($B$37:$C$37, R$2)&gt;0, VLOOKUP($J408,'Gear Values'!$A$2:$E$13, IF(COUNTBLANK('Attributes &amp; Prefixes'!$B$37:$C$37)&gt;0, "2", "3"), 0), COUNTIF($D$37:$E$37, R$2)&gt;0, VLOOKUP($J408,'Gear Values'!$A$2:$E$13, IF(COUNTBLANK('Attributes &amp; Prefixes'!$B$37:$C$37)&gt;0, "4", "5"), 0)), "")</f>
        <v/>
      </c>
      <c r="S408" s="138" t="str" cm="1">
        <f t="array" ref="S408">IF(COUNTIF($B$37:$E$37, S$2)&gt;0, _xlfn.IFS(COUNTIF($B$37:$C$37, S$2)&gt;0, VLOOKUP($J408,'Gear Values'!$A$2:$E$13, IF(COUNTBLANK('Attributes &amp; Prefixes'!$B$37:$C$37)&gt;0, "2", "3"), 0), COUNTIF($D$37:$E$37, S$2)&gt;0, VLOOKUP($J408,'Gear Values'!$A$2:$E$13, IF(COUNTBLANK('Attributes &amp; Prefixes'!$B$37:$C$37)&gt;0, "4", "5"), 0)), "")</f>
        <v/>
      </c>
      <c r="V408" s="112"/>
      <c r="W408" s="112"/>
    </row>
    <row r="409" spans="6:23">
      <c r="F409" s="114"/>
      <c r="G409" s="114"/>
      <c r="H409" s="130" t="str">
        <f>_xlfn.CONCAT(A$74,J409)</f>
        <v>Polished-ResinNeck</v>
      </c>
      <c r="I409" s="520"/>
      <c r="J409" s="144" t="s">
        <v>52</v>
      </c>
      <c r="K409" s="136" t="str" cm="1">
        <f t="array" ref="K409">IF(COUNTIF($B$37:$E$37, K$2)&gt;0, _xlfn.IFS(COUNTIF($B$37:$C$37, K$2)&gt;0, VLOOKUP($J409,'Gear Values'!$A$2:$E$13, IF(COUNTBLANK('Attributes &amp; Prefixes'!$B$37:$C$37)&gt;0, "2", "3"), 0), COUNTIF($D$37:$E$37, K$2)&gt;0, VLOOKUP($J409,'Gear Values'!$A$2:$E$13, IF(COUNTBLANK('Attributes &amp; Prefixes'!$B$37:$C$37)&gt;0, "4", "5"), 0)), "")</f>
        <v/>
      </c>
      <c r="L409" s="137" t="str" cm="1">
        <f t="array" ref="L409">IF(COUNTIF($B$37:$E$37, L$2)&gt;0, _xlfn.IFS(COUNTIF($B$37:$C$37, L$2)&gt;0, VLOOKUP($J409,'Gear Values'!$A$2:$E$13, IF(COUNTBLANK('Attributes &amp; Prefixes'!$B$37:$C$37)&gt;0, "2", "3"), 0), COUNTIF($D$37:$E$37, L$2)&gt;0, VLOOKUP($J409,'Gear Values'!$A$2:$E$13, IF(COUNTBLANK('Attributes &amp; Prefixes'!$B$37:$C$37)&gt;0, "4", "5"), 0)), "")</f>
        <v/>
      </c>
      <c r="M409" s="137" t="str" cm="1">
        <f t="array" ref="M409">IF(COUNTIF($B$37:$E$37, M$2)&gt;0, _xlfn.IFS(COUNTIF($B$37:$C$37, M$2)&gt;0, VLOOKUP($J409,'Gear Values'!$A$2:$E$13, IF(COUNTBLANK('Attributes &amp; Prefixes'!$B$37:$C$37)&gt;0, "2", "3"), 0), COUNTIF($D$37:$E$37, M$2)&gt;0, VLOOKUP($J409,'Gear Values'!$A$2:$E$13, IF(COUNTBLANK('Attributes &amp; Prefixes'!$B$37:$C$37)&gt;0, "4", "5"), 0)), "")</f>
        <v/>
      </c>
      <c r="N409" s="137" cm="1">
        <f t="array" ref="N409">IF(COUNTIF($B$37:$E$37, N$2)&gt;0, _xlfn.IFS(COUNTIF($B$37:$C$37, N$2)&gt;0, VLOOKUP($J409,'Gear Values'!$A$2:$E$13, IF(COUNTBLANK('Attributes &amp; Prefixes'!$B$37:$C$37)&gt;0, "2", "3"), 0), COUNTIF($D$37:$E$37, N$2)&gt;0, VLOOKUP($J409,'Gear Values'!$A$2:$E$13, IF(COUNTBLANK('Attributes &amp; Prefixes'!$B$37:$C$37)&gt;0, "4", "5"), 0)), "")</f>
        <v>102</v>
      </c>
      <c r="O409" s="137" cm="1">
        <f t="array" ref="O409">IF(COUNTIF($B$37:$E$37, O$2)&gt;0, _xlfn.IFS(COUNTIF($B$37:$C$37, O$2)&gt;0, VLOOKUP($J409,'Gear Values'!$A$2:$E$13, IF(COUNTBLANK('Attributes &amp; Prefixes'!$B$37:$C$37)&gt;0, "2", "3"), 0), COUNTIF($D$37:$E$37, O$2)&gt;0, VLOOKUP($J409,'Gear Values'!$A$2:$E$13, IF(COUNTBLANK('Attributes &amp; Prefixes'!$B$37:$C$37)&gt;0, "4", "5"), 0)), "")</f>
        <v>56</v>
      </c>
      <c r="P409" s="137" cm="1">
        <f t="array" ref="P409">IF(COUNTIF($B$37:$E$37, P$2)&gt;0, _xlfn.IFS(COUNTIF($B$37:$C$37, P$2)&gt;0, VLOOKUP($J409,'Gear Values'!$A$2:$E$13, IF(COUNTBLANK('Attributes &amp; Prefixes'!$B$37:$C$37)&gt;0, "2", "3"), 0), COUNTIF($D$37:$E$37, P$2)&gt;0, VLOOKUP($J409,'Gear Values'!$A$2:$E$13, IF(COUNTBLANK('Attributes &amp; Prefixes'!$B$37:$C$37)&gt;0, "4", "5"), 0)), "")</f>
        <v>102</v>
      </c>
      <c r="Q409" s="137" cm="1">
        <f t="array" ref="Q409">IF(COUNTIF($B$37:$E$37, Q$2)&gt;0, _xlfn.IFS(COUNTIF($B$37:$C$37, Q$2)&gt;0, VLOOKUP($J409,'Gear Values'!$A$2:$E$13, IF(COUNTBLANK('Attributes &amp; Prefixes'!$B$37:$C$37)&gt;0, "2", "3"), 0), COUNTIF($D$37:$E$37, Q$2)&gt;0, VLOOKUP($J409,'Gear Values'!$A$2:$E$13, IF(COUNTBLANK('Attributes &amp; Prefixes'!$B$37:$C$37)&gt;0, "4", "5"), 0)), "")</f>
        <v>56</v>
      </c>
      <c r="R409" s="137" t="str" cm="1">
        <f t="array" ref="R409">IF(COUNTIF($B$37:$E$37, R$2)&gt;0, _xlfn.IFS(COUNTIF($B$37:$C$37, R$2)&gt;0, VLOOKUP($J409,'Gear Values'!$A$2:$E$13, IF(COUNTBLANK('Attributes &amp; Prefixes'!$B$37:$C$37)&gt;0, "2", "3"), 0), COUNTIF($D$37:$E$37, R$2)&gt;0, VLOOKUP($J409,'Gear Values'!$A$2:$E$13, IF(COUNTBLANK('Attributes &amp; Prefixes'!$B$37:$C$37)&gt;0, "4", "5"), 0)), "")</f>
        <v/>
      </c>
      <c r="S409" s="138" t="str" cm="1">
        <f t="array" ref="S409">IF(COUNTIF($B$37:$E$37, S$2)&gt;0, _xlfn.IFS(COUNTIF($B$37:$C$37, S$2)&gt;0, VLOOKUP($J409,'Gear Values'!$A$2:$E$13, IF(COUNTBLANK('Attributes &amp; Prefixes'!$B$37:$C$37)&gt;0, "2", "3"), 0), COUNTIF($D$37:$E$37, S$2)&gt;0, VLOOKUP($J409,'Gear Values'!$A$2:$E$13, IF(COUNTBLANK('Attributes &amp; Prefixes'!$B$37:$C$37)&gt;0, "4", "5"), 0)), "")</f>
        <v/>
      </c>
      <c r="V409" s="112"/>
      <c r="W409" s="112"/>
    </row>
    <row r="410" spans="6:23">
      <c r="F410" s="114"/>
      <c r="G410" s="114"/>
      <c r="H410" s="130" t="str">
        <f>_xlfn.CONCAT(I$399,J410)</f>
        <v>RitualistBack</v>
      </c>
      <c r="I410" s="521"/>
      <c r="J410" s="146" t="s">
        <v>53</v>
      </c>
      <c r="K410" s="147" t="str" cm="1">
        <f t="array" ref="K410">IF(COUNTIF($B$37:$E$37, K$2)&gt;0, _xlfn.IFS(COUNTIF($B$37:$C$37, K$2)&gt;0, VLOOKUP($J410,'Gear Values'!$A$2:$E$13, IF(COUNTBLANK('Attributes &amp; Prefixes'!$B$37:$C$37)&gt;0, "2", "3"), 0), COUNTIF($D$37:$E$37, K$2)&gt;0, VLOOKUP($J410,'Gear Values'!$A$2:$E$13, IF(COUNTBLANK('Attributes &amp; Prefixes'!$B$37:$C$37)&gt;0, "4", "5"), 0)), "")</f>
        <v/>
      </c>
      <c r="L410" s="148" t="str" cm="1">
        <f t="array" ref="L410">IF(COUNTIF($B$37:$E$37, L$2)&gt;0, _xlfn.IFS(COUNTIF($B$37:$C$37, L$2)&gt;0, VLOOKUP($J410,'Gear Values'!$A$2:$E$13, IF(COUNTBLANK('Attributes &amp; Prefixes'!$B$37:$C$37)&gt;0, "2", "3"), 0), COUNTIF($D$37:$E$37, L$2)&gt;0, VLOOKUP($J410,'Gear Values'!$A$2:$E$13, IF(COUNTBLANK('Attributes &amp; Prefixes'!$B$37:$C$37)&gt;0, "4", "5"), 0)), "")</f>
        <v/>
      </c>
      <c r="M410" s="148" t="str" cm="1">
        <f t="array" ref="M410">IF(COUNTIF($B$37:$E$37, M$2)&gt;0, _xlfn.IFS(COUNTIF($B$37:$C$37, M$2)&gt;0, VLOOKUP($J410,'Gear Values'!$A$2:$E$13, IF(COUNTBLANK('Attributes &amp; Prefixes'!$B$37:$C$37)&gt;0, "2", "3"), 0), COUNTIF($D$37:$E$37, M$2)&gt;0, VLOOKUP($J410,'Gear Values'!$A$2:$E$13, IF(COUNTBLANK('Attributes &amp; Prefixes'!$B$37:$C$37)&gt;0, "4", "5"), 0)), "")</f>
        <v/>
      </c>
      <c r="N410" s="148" t="str" cm="1">
        <f t="array" ref="N410">IF(COUNTIF($B$37:$E$37, N$2)&gt;0, _xlfn.IFS(COUNTIF($B$37:$C$37, N$2)&gt;0, VLOOKUP($J410,'Gear Values'!$A$2:$E$13, IF(COUNTBLANK('Attributes &amp; Prefixes'!$B$37:$C$37)&gt;0, "2", "3"), 0), COUNTIF($D$37:$E$37, N$2)&gt;0, VLOOKUP($J410,'Gear Values'!$A$2:$E$13, IF(COUNTBLANK('Attributes &amp; Prefixes'!$B$37:$C$37)&gt;0, "4", "5"), 0)), "")</f>
        <v>N/A</v>
      </c>
      <c r="O410" s="148" t="str" cm="1">
        <f t="array" ref="O410">IF(COUNTIF($B$37:$E$37, O$2)&gt;0, _xlfn.IFS(COUNTIF($B$37:$C$37, O$2)&gt;0, VLOOKUP($J410,'Gear Values'!$A$2:$E$13, IF(COUNTBLANK('Attributes &amp; Prefixes'!$B$37:$C$37)&gt;0, "2", "3"), 0), COUNTIF($D$37:$E$37, O$2)&gt;0, VLOOKUP($J410,'Gear Values'!$A$2:$E$13, IF(COUNTBLANK('Attributes &amp; Prefixes'!$B$37:$C$37)&gt;0, "4", "5"), 0)), "")</f>
        <v>N/A</v>
      </c>
      <c r="P410" s="148" t="str" cm="1">
        <f t="array" ref="P410">IF(COUNTIF($B$37:$E$37, P$2)&gt;0, _xlfn.IFS(COUNTIF($B$37:$C$37, P$2)&gt;0, VLOOKUP($J410,'Gear Values'!$A$2:$E$13, IF(COUNTBLANK('Attributes &amp; Prefixes'!$B$37:$C$37)&gt;0, "2", "3"), 0), COUNTIF($D$37:$E$37, P$2)&gt;0, VLOOKUP($J410,'Gear Values'!$A$2:$E$13, IF(COUNTBLANK('Attributes &amp; Prefixes'!$B$37:$C$37)&gt;0, "4", "5"), 0)), "")</f>
        <v>N/A</v>
      </c>
      <c r="Q410" s="148" t="str" cm="1">
        <f t="array" ref="Q410">IF(COUNTIF($B$37:$E$37, Q$2)&gt;0, _xlfn.IFS(COUNTIF($B$37:$C$37, Q$2)&gt;0, VLOOKUP($J410,'Gear Values'!$A$2:$E$13, IF(COUNTBLANK('Attributes &amp; Prefixes'!$B$37:$C$37)&gt;0, "2", "3"), 0), COUNTIF($D$37:$E$37, Q$2)&gt;0, VLOOKUP($J410,'Gear Values'!$A$2:$E$13, IF(COUNTBLANK('Attributes &amp; Prefixes'!$B$37:$C$37)&gt;0, "4", "5"), 0)), "")</f>
        <v>N/A</v>
      </c>
      <c r="R410" s="148" t="str" cm="1">
        <f t="array" ref="R410">IF(COUNTIF($B$37:$E$37, R$2)&gt;0, _xlfn.IFS(COUNTIF($B$37:$C$37, R$2)&gt;0, VLOOKUP($J410,'Gear Values'!$A$2:$E$13, IF(COUNTBLANK('Attributes &amp; Prefixes'!$B$37:$C$37)&gt;0, "2", "3"), 0), COUNTIF($D$37:$E$37, R$2)&gt;0, VLOOKUP($J410,'Gear Values'!$A$2:$E$13, IF(COUNTBLANK('Attributes &amp; Prefixes'!$B$37:$C$37)&gt;0, "4", "5"), 0)), "")</f>
        <v/>
      </c>
      <c r="S410" s="150" t="str" cm="1">
        <f t="array" ref="S410">IF(COUNTIF($B$37:$E$37, S$2)&gt;0, _xlfn.IFS(COUNTIF($B$37:$C$37, S$2)&gt;0, VLOOKUP($J410,'Gear Values'!$A$2:$E$13, IF(COUNTBLANK('Attributes &amp; Prefixes'!$B$37:$C$37)&gt;0, "2", "3"), 0), COUNTIF($D$37:$E$37, S$2)&gt;0, VLOOKUP($J410,'Gear Values'!$A$2:$E$13, IF(COUNTBLANK('Attributes &amp; Prefixes'!$B$37:$C$37)&gt;0, "4", "5"), 0)), "")</f>
        <v/>
      </c>
      <c r="V410" s="112"/>
      <c r="W410" s="112"/>
    </row>
    <row r="411" spans="6:23">
      <c r="F411" s="114"/>
      <c r="G411" s="114"/>
      <c r="H411" s="130" t="str">
        <f>_xlfn.CONCAT(I$411,J411)</f>
        <v>SageWeapon (1H)</v>
      </c>
      <c r="I411" s="519" t="str">
        <f>A38</f>
        <v>Sage</v>
      </c>
      <c r="J411" s="145" t="s">
        <v>37</v>
      </c>
      <c r="K411" s="133" cm="1">
        <f t="array" ref="K411">IF(COUNTIF($B$38:$E$38, K$2)&gt;0, _xlfn.IFS(COUNTIF($B$38:$C$38, K$2)&gt;0, VLOOKUP($J411,'Gear Values'!$A$2:$E$13, IF(COUNTBLANK('Attributes &amp; Prefixes'!$B$38:$C$38)&gt;0, "2", "3"), 0), COUNTIF($D$38:$E$38, K$2)&gt;0, VLOOKUP($J411,'Gear Values'!$A$2:$E$13, IF(COUNTBLANK('Attributes &amp; Prefixes'!$B$38:$C$38)&gt;0, "4", "5"), 0)), "")</f>
        <v>102</v>
      </c>
      <c r="L411" s="134" t="str" cm="1">
        <f t="array" ref="L411">IF(COUNTIF($B$38:$E$38, L$2)&gt;0, _xlfn.IFS(COUNTIF($B$38:$C$38, L$2)&gt;0, VLOOKUP($J411,'Gear Values'!$A$2:$E$13, IF(COUNTBLANK('Attributes &amp; Prefixes'!$B$38:$C$38)&gt;0, "2", "3"), 0), COUNTIF($D$38:$E$38, L$2)&gt;0, VLOOKUP($J411,'Gear Values'!$A$2:$E$13, IF(COUNTBLANK('Attributes &amp; Prefixes'!$B$38:$C$38)&gt;0, "4", "5"), 0)), "")</f>
        <v/>
      </c>
      <c r="M411" s="134" t="str" cm="1">
        <f t="array" ref="M411">IF(COUNTIF($B$38:$E$38, M$2)&gt;0, _xlfn.IFS(COUNTIF($B$38:$C$38, M$2)&gt;0, VLOOKUP($J411,'Gear Values'!$A$2:$E$13, IF(COUNTBLANK('Attributes &amp; Prefixes'!$B$38:$C$38)&gt;0, "2", "3"), 0), COUNTIF($D$38:$E$38, M$2)&gt;0, VLOOKUP($J411,'Gear Values'!$A$2:$E$13, IF(COUNTBLANK('Attributes &amp; Prefixes'!$B$38:$C$38)&gt;0, "4", "5"), 0)), "")</f>
        <v/>
      </c>
      <c r="N411" s="134" cm="1">
        <f t="array" ref="N411">IF(COUNTIF($B$38:$E$38, N$2)&gt;0, _xlfn.IFS(COUNTIF($B$38:$C$38, N$2)&gt;0, VLOOKUP($J411,'Gear Values'!$A$2:$E$13, IF(COUNTBLANK('Attributes &amp; Prefixes'!$B$38:$C$38)&gt;0, "2", "3"), 0), COUNTIF($D$38:$E$38, N$2)&gt;0, VLOOKUP($J411,'Gear Values'!$A$2:$E$13, IF(COUNTBLANK('Attributes &amp; Prefixes'!$B$38:$C$38)&gt;0, "4", "5"), 0)), "")</f>
        <v>56</v>
      </c>
      <c r="O411" s="134" t="str" cm="1">
        <f t="array" ref="O411">IF(COUNTIF($B$38:$E$38, O$2)&gt;0, _xlfn.IFS(COUNTIF($B$38:$C$38, O$2)&gt;0, VLOOKUP($J411,'Gear Values'!$A$2:$E$13, IF(COUNTBLANK('Attributes &amp; Prefixes'!$B$38:$C$38)&gt;0, "2", "3"), 0), COUNTIF($D$38:$E$38, O$2)&gt;0, VLOOKUP($J411,'Gear Values'!$A$2:$E$13, IF(COUNTBLANK('Attributes &amp; Prefixes'!$B$38:$C$38)&gt;0, "4", "5"), 0)), "")</f>
        <v/>
      </c>
      <c r="P411" s="134" cm="1">
        <f t="array" ref="P411">IF(COUNTIF($B$38:$E$38, P$2)&gt;0, _xlfn.IFS(COUNTIF($B$38:$C$38, P$2)&gt;0, VLOOKUP($J411,'Gear Values'!$A$2:$E$13, IF(COUNTBLANK('Attributes &amp; Prefixes'!$B$38:$C$38)&gt;0, "2", "3"), 0), COUNTIF($D$38:$E$38, P$2)&gt;0, VLOOKUP($J411,'Gear Values'!$A$2:$E$13, IF(COUNTBLANK('Attributes &amp; Prefixes'!$B$38:$C$38)&gt;0, "4", "5"), 0)), "")</f>
        <v>102</v>
      </c>
      <c r="Q411" s="134" t="str" cm="1">
        <f t="array" ref="Q411">IF(COUNTIF($B$38:$E$38, Q$2)&gt;0, _xlfn.IFS(COUNTIF($B$38:$C$38, Q$2)&gt;0, VLOOKUP($J411,'Gear Values'!$A$2:$E$13, IF(COUNTBLANK('Attributes &amp; Prefixes'!$B$38:$C$38)&gt;0, "2", "3"), 0), COUNTIF($D$38:$E$38, Q$2)&gt;0, VLOOKUP($J411,'Gear Values'!$A$2:$E$13, IF(COUNTBLANK('Attributes &amp; Prefixes'!$B$38:$C$38)&gt;0, "4", "5"), 0)), "")</f>
        <v/>
      </c>
      <c r="R411" s="134" t="str" cm="1">
        <f t="array" ref="R411">IF(COUNTIF($B$38:$E$38, R$2)&gt;0, _xlfn.IFS(COUNTIF($B$38:$C$38, R$2)&gt;0, VLOOKUP($J411,'Gear Values'!$A$2:$E$13, IF(COUNTBLANK('Attributes &amp; Prefixes'!$B$38:$C$38)&gt;0, "2", "3"), 0), COUNTIF($D$38:$E$38, R$2)&gt;0, VLOOKUP($J411,'Gear Values'!$A$2:$E$13, IF(COUNTBLANK('Attributes &amp; Prefixes'!$B$38:$C$38)&gt;0, "4", "5"), 0)), "")</f>
        <v/>
      </c>
      <c r="S411" s="135" cm="1">
        <f t="array" ref="S411">IF(COUNTIF($B$38:$E$38, S$2)&gt;0, _xlfn.IFS(COUNTIF($B$38:$C$38, S$2)&gt;0, VLOOKUP($J411,'Gear Values'!$A$2:$E$13, IF(COUNTBLANK('Attributes &amp; Prefixes'!$B$38:$C$38)&gt;0, "2", "3"), 0), COUNTIF($D$38:$E$38, S$2)&gt;0, VLOOKUP($J411,'Gear Values'!$A$2:$E$13, IF(COUNTBLANK('Attributes &amp; Prefixes'!$B$38:$C$38)&gt;0, "4", "5"), 0)), "")</f>
        <v>56</v>
      </c>
      <c r="V411" s="112"/>
      <c r="W411" s="112"/>
    </row>
    <row r="412" spans="6:23">
      <c r="F412" s="114"/>
      <c r="G412" s="114"/>
      <c r="H412" s="130" t="str">
        <f>_xlfn.CONCAT(I$411,J412)</f>
        <v>SageWeapon (2H)</v>
      </c>
      <c r="I412" s="520"/>
      <c r="J412" s="144" t="s">
        <v>39</v>
      </c>
      <c r="K412" s="136" cm="1">
        <f t="array" ref="K412">IF(COUNTIF($B$38:$E$38, K$2)&gt;0, _xlfn.IFS(COUNTIF($B$38:$C$38, K$2)&gt;0, VLOOKUP($J412,'Gear Values'!$A$2:$E$13, IF(COUNTBLANK('Attributes &amp; Prefixes'!$B$38:$C$38)&gt;0, "2", "3"), 0), COUNTIF($D$38:$E$38, K$2)&gt;0, VLOOKUP($J412,'Gear Values'!$A$2:$E$13, IF(COUNTBLANK('Attributes &amp; Prefixes'!$B$38:$C$38)&gt;0, "4", "5"), 0)), "")</f>
        <v>205</v>
      </c>
      <c r="L412" s="137" t="str" cm="1">
        <f t="array" ref="L412">IF(COUNTIF($B$38:$E$38, L$2)&gt;0, _xlfn.IFS(COUNTIF($B$38:$C$38, L$2)&gt;0, VLOOKUP($J412,'Gear Values'!$A$2:$E$13, IF(COUNTBLANK('Attributes &amp; Prefixes'!$B$38:$C$38)&gt;0, "2", "3"), 0), COUNTIF($D$38:$E$38, L$2)&gt;0, VLOOKUP($J412,'Gear Values'!$A$2:$E$13, IF(COUNTBLANK('Attributes &amp; Prefixes'!$B$38:$C$38)&gt;0, "4", "5"), 0)), "")</f>
        <v/>
      </c>
      <c r="M412" s="137" t="str" cm="1">
        <f t="array" ref="M412">IF(COUNTIF($B$38:$E$38, M$2)&gt;0, _xlfn.IFS(COUNTIF($B$38:$C$38, M$2)&gt;0, VLOOKUP($J412,'Gear Values'!$A$2:$E$13, IF(COUNTBLANK('Attributes &amp; Prefixes'!$B$38:$C$38)&gt;0, "2", "3"), 0), COUNTIF($D$38:$E$38, M$2)&gt;0, VLOOKUP($J412,'Gear Values'!$A$2:$E$13, IF(COUNTBLANK('Attributes &amp; Prefixes'!$B$38:$C$38)&gt;0, "4", "5"), 0)), "")</f>
        <v/>
      </c>
      <c r="N412" s="137" cm="1">
        <f t="array" ref="N412">IF(COUNTIF($B$38:$E$38, N$2)&gt;0, _xlfn.IFS(COUNTIF($B$38:$C$38, N$2)&gt;0, VLOOKUP($J412,'Gear Values'!$A$2:$E$13, IF(COUNTBLANK('Attributes &amp; Prefixes'!$B$38:$C$38)&gt;0, "2", "3"), 0), COUNTIF($D$38:$E$38, N$2)&gt;0, VLOOKUP($J412,'Gear Values'!$A$2:$E$13, IF(COUNTBLANK('Attributes &amp; Prefixes'!$B$38:$C$38)&gt;0, "4", "5"), 0)), "")</f>
        <v>113</v>
      </c>
      <c r="O412" s="137" t="str" cm="1">
        <f t="array" ref="O412">IF(COUNTIF($B$38:$E$38, O$2)&gt;0, _xlfn.IFS(COUNTIF($B$38:$C$38, O$2)&gt;0, VLOOKUP($J412,'Gear Values'!$A$2:$E$13, IF(COUNTBLANK('Attributes &amp; Prefixes'!$B$38:$C$38)&gt;0, "2", "3"), 0), COUNTIF($D$38:$E$38, O$2)&gt;0, VLOOKUP($J412,'Gear Values'!$A$2:$E$13, IF(COUNTBLANK('Attributes &amp; Prefixes'!$B$38:$C$38)&gt;0, "4", "5"), 0)), "")</f>
        <v/>
      </c>
      <c r="P412" s="137" cm="1">
        <f t="array" ref="P412">IF(COUNTIF($B$38:$E$38, P$2)&gt;0, _xlfn.IFS(COUNTIF($B$38:$C$38, P$2)&gt;0, VLOOKUP($J412,'Gear Values'!$A$2:$E$13, IF(COUNTBLANK('Attributes &amp; Prefixes'!$B$38:$C$38)&gt;0, "2", "3"), 0), COUNTIF($D$38:$E$38, P$2)&gt;0, VLOOKUP($J412,'Gear Values'!$A$2:$E$13, IF(COUNTBLANK('Attributes &amp; Prefixes'!$B$38:$C$38)&gt;0, "4", "5"), 0)), "")</f>
        <v>205</v>
      </c>
      <c r="Q412" s="137" t="str" cm="1">
        <f t="array" ref="Q412">IF(COUNTIF($B$38:$E$38, Q$2)&gt;0, _xlfn.IFS(COUNTIF($B$38:$C$38, Q$2)&gt;0, VLOOKUP($J412,'Gear Values'!$A$2:$E$13, IF(COUNTBLANK('Attributes &amp; Prefixes'!$B$38:$C$38)&gt;0, "2", "3"), 0), COUNTIF($D$38:$E$38, Q$2)&gt;0, VLOOKUP($J412,'Gear Values'!$A$2:$E$13, IF(COUNTBLANK('Attributes &amp; Prefixes'!$B$38:$C$38)&gt;0, "4", "5"), 0)), "")</f>
        <v/>
      </c>
      <c r="R412" s="137" t="str" cm="1">
        <f t="array" ref="R412">IF(COUNTIF($B$38:$E$38, R$2)&gt;0, _xlfn.IFS(COUNTIF($B$38:$C$38, R$2)&gt;0, VLOOKUP($J412,'Gear Values'!$A$2:$E$13, IF(COUNTBLANK('Attributes &amp; Prefixes'!$B$38:$C$38)&gt;0, "2", "3"), 0), COUNTIF($D$38:$E$38, R$2)&gt;0, VLOOKUP($J412,'Gear Values'!$A$2:$E$13, IF(COUNTBLANK('Attributes &amp; Prefixes'!$B$38:$C$38)&gt;0, "4", "5"), 0)), "")</f>
        <v/>
      </c>
      <c r="S412" s="138" cm="1">
        <f t="array" ref="S412">IF(COUNTIF($B$38:$E$38, S$2)&gt;0, _xlfn.IFS(COUNTIF($B$38:$C$38, S$2)&gt;0, VLOOKUP($J412,'Gear Values'!$A$2:$E$13, IF(COUNTBLANK('Attributes &amp; Prefixes'!$B$38:$C$38)&gt;0, "2", "3"), 0), COUNTIF($D$38:$E$38, S$2)&gt;0, VLOOKUP($J412,'Gear Values'!$A$2:$E$13, IF(COUNTBLANK('Attributes &amp; Prefixes'!$B$38:$C$38)&gt;0, "4", "5"), 0)), "")</f>
        <v>113</v>
      </c>
      <c r="V412" s="112"/>
      <c r="W412" s="112"/>
    </row>
    <row r="413" spans="6:23">
      <c r="F413" s="114"/>
      <c r="G413" s="114"/>
      <c r="H413" s="130" t="str">
        <f>_xlfn.CONCAT(I$411,J413)</f>
        <v>SageHead</v>
      </c>
      <c r="I413" s="520"/>
      <c r="J413" s="144" t="s">
        <v>40</v>
      </c>
      <c r="K413" s="136" cm="1">
        <f t="array" ref="K413">IF(COUNTIF($B$38:$E$38, K$2)&gt;0, _xlfn.IFS(COUNTIF($B$38:$C$38, K$2)&gt;0, VLOOKUP($J413,'Gear Values'!$A$2:$E$13, IF(COUNTBLANK('Attributes &amp; Prefixes'!$B$38:$C$38)&gt;0, "2", "3"), 0), COUNTIF($D$38:$E$38, K$2)&gt;0, VLOOKUP($J413,'Gear Values'!$A$2:$E$13, IF(COUNTBLANK('Attributes &amp; Prefixes'!$B$38:$C$38)&gt;0, "4", "5"), 0)), "")</f>
        <v>51</v>
      </c>
      <c r="L413" s="137" t="str" cm="1">
        <f t="array" ref="L413">IF(COUNTIF($B$38:$E$38, L$2)&gt;0, _xlfn.IFS(COUNTIF($B$38:$C$38, L$2)&gt;0, VLOOKUP($J413,'Gear Values'!$A$2:$E$13, IF(COUNTBLANK('Attributes &amp; Prefixes'!$B$38:$C$38)&gt;0, "2", "3"), 0), COUNTIF($D$38:$E$38, L$2)&gt;0, VLOOKUP($J413,'Gear Values'!$A$2:$E$13, IF(COUNTBLANK('Attributes &amp; Prefixes'!$B$38:$C$38)&gt;0, "4", "5"), 0)), "")</f>
        <v/>
      </c>
      <c r="M413" s="137" t="str" cm="1">
        <f t="array" ref="M413">IF(COUNTIF($B$38:$E$38, M$2)&gt;0, _xlfn.IFS(COUNTIF($B$38:$C$38, M$2)&gt;0, VLOOKUP($J413,'Gear Values'!$A$2:$E$13, IF(COUNTBLANK('Attributes &amp; Prefixes'!$B$38:$C$38)&gt;0, "2", "3"), 0), COUNTIF($D$38:$E$38, M$2)&gt;0, VLOOKUP($J413,'Gear Values'!$A$2:$E$13, IF(COUNTBLANK('Attributes &amp; Prefixes'!$B$38:$C$38)&gt;0, "4", "5"), 0)), "")</f>
        <v/>
      </c>
      <c r="N413" s="137" cm="1">
        <f t="array" ref="N413">IF(COUNTIF($B$38:$E$38, N$2)&gt;0, _xlfn.IFS(COUNTIF($B$38:$C$38, N$2)&gt;0, VLOOKUP($J413,'Gear Values'!$A$2:$E$13, IF(COUNTBLANK('Attributes &amp; Prefixes'!$B$38:$C$38)&gt;0, "2", "3"), 0), COUNTIF($D$38:$E$38, N$2)&gt;0, VLOOKUP($J413,'Gear Values'!$A$2:$E$13, IF(COUNTBLANK('Attributes &amp; Prefixes'!$B$38:$C$38)&gt;0, "4", "5"), 0)), "")</f>
        <v>28</v>
      </c>
      <c r="O413" s="137" t="str" cm="1">
        <f t="array" ref="O413">IF(COUNTIF($B$38:$E$38, O$2)&gt;0, _xlfn.IFS(COUNTIF($B$38:$C$38, O$2)&gt;0, VLOOKUP($J413,'Gear Values'!$A$2:$E$13, IF(COUNTBLANK('Attributes &amp; Prefixes'!$B$38:$C$38)&gt;0, "2", "3"), 0), COUNTIF($D$38:$E$38, O$2)&gt;0, VLOOKUP($J413,'Gear Values'!$A$2:$E$13, IF(COUNTBLANK('Attributes &amp; Prefixes'!$B$38:$C$38)&gt;0, "4", "5"), 0)), "")</f>
        <v/>
      </c>
      <c r="P413" s="137" cm="1">
        <f t="array" ref="P413">IF(COUNTIF($B$38:$E$38, P$2)&gt;0, _xlfn.IFS(COUNTIF($B$38:$C$38, P$2)&gt;0, VLOOKUP($J413,'Gear Values'!$A$2:$E$13, IF(COUNTBLANK('Attributes &amp; Prefixes'!$B$38:$C$38)&gt;0, "2", "3"), 0), COUNTIF($D$38:$E$38, P$2)&gt;0, VLOOKUP($J413,'Gear Values'!$A$2:$E$13, IF(COUNTBLANK('Attributes &amp; Prefixes'!$B$38:$C$38)&gt;0, "4", "5"), 0)), "")</f>
        <v>51</v>
      </c>
      <c r="Q413" s="137" t="str" cm="1">
        <f t="array" ref="Q413">IF(COUNTIF($B$38:$E$38, Q$2)&gt;0, _xlfn.IFS(COUNTIF($B$38:$C$38, Q$2)&gt;0, VLOOKUP($J413,'Gear Values'!$A$2:$E$13, IF(COUNTBLANK('Attributes &amp; Prefixes'!$B$38:$C$38)&gt;0, "2", "3"), 0), COUNTIF($D$38:$E$38, Q$2)&gt;0, VLOOKUP($J413,'Gear Values'!$A$2:$E$13, IF(COUNTBLANK('Attributes &amp; Prefixes'!$B$38:$C$38)&gt;0, "4", "5"), 0)), "")</f>
        <v/>
      </c>
      <c r="R413" s="137" t="str" cm="1">
        <f t="array" ref="R413">IF(COUNTIF($B$38:$E$38, R$2)&gt;0, _xlfn.IFS(COUNTIF($B$38:$C$38, R$2)&gt;0, VLOOKUP($J413,'Gear Values'!$A$2:$E$13, IF(COUNTBLANK('Attributes &amp; Prefixes'!$B$38:$C$38)&gt;0, "2", "3"), 0), COUNTIF($D$38:$E$38, R$2)&gt;0, VLOOKUP($J413,'Gear Values'!$A$2:$E$13, IF(COUNTBLANK('Attributes &amp; Prefixes'!$B$38:$C$38)&gt;0, "4", "5"), 0)), "")</f>
        <v/>
      </c>
      <c r="S413" s="138" cm="1">
        <f t="array" ref="S413">IF(COUNTIF($B$38:$E$38, S$2)&gt;0, _xlfn.IFS(COUNTIF($B$38:$C$38, S$2)&gt;0, VLOOKUP($J413,'Gear Values'!$A$2:$E$13, IF(COUNTBLANK('Attributes &amp; Prefixes'!$B$38:$C$38)&gt;0, "2", "3"), 0), COUNTIF($D$38:$E$38, S$2)&gt;0, VLOOKUP($J413,'Gear Values'!$A$2:$E$13, IF(COUNTBLANK('Attributes &amp; Prefixes'!$B$38:$C$38)&gt;0, "4", "5"), 0)), "")</f>
        <v>28</v>
      </c>
      <c r="V413" s="112"/>
      <c r="W413" s="112"/>
    </row>
    <row r="414" spans="6:23">
      <c r="F414" s="114"/>
      <c r="G414" s="114"/>
      <c r="H414" s="130" t="str">
        <f>_xlfn.CONCAT(I$411,J414)</f>
        <v>SageShoulders</v>
      </c>
      <c r="I414" s="520"/>
      <c r="J414" s="144" t="s">
        <v>42</v>
      </c>
      <c r="K414" s="136" cm="1">
        <f t="array" ref="K414">IF(COUNTIF($B$38:$E$38, K$2)&gt;0, _xlfn.IFS(COUNTIF($B$38:$C$38, K$2)&gt;0, VLOOKUP($J414,'Gear Values'!$A$2:$E$13, IF(COUNTBLANK('Attributes &amp; Prefixes'!$B$38:$C$38)&gt;0, "2", "3"), 0), COUNTIF($D$38:$E$38, K$2)&gt;0, VLOOKUP($J414,'Gear Values'!$A$2:$E$13, IF(COUNTBLANK('Attributes &amp; Prefixes'!$B$38:$C$38)&gt;0, "4", "5"), 0)), "")</f>
        <v>38</v>
      </c>
      <c r="L414" s="137" t="str" cm="1">
        <f t="array" ref="L414">IF(COUNTIF($B$38:$E$38, L$2)&gt;0, _xlfn.IFS(COUNTIF($B$38:$C$38, L$2)&gt;0, VLOOKUP($J414,'Gear Values'!$A$2:$E$13, IF(COUNTBLANK('Attributes &amp; Prefixes'!$B$38:$C$38)&gt;0, "2", "3"), 0), COUNTIF($D$38:$E$38, L$2)&gt;0, VLOOKUP($J414,'Gear Values'!$A$2:$E$13, IF(COUNTBLANK('Attributes &amp; Prefixes'!$B$38:$C$38)&gt;0, "4", "5"), 0)), "")</f>
        <v/>
      </c>
      <c r="M414" s="137" t="str" cm="1">
        <f t="array" ref="M414">IF(COUNTIF($B$38:$E$38, M$2)&gt;0, _xlfn.IFS(COUNTIF($B$38:$C$38, M$2)&gt;0, VLOOKUP($J414,'Gear Values'!$A$2:$E$13, IF(COUNTBLANK('Attributes &amp; Prefixes'!$B$38:$C$38)&gt;0, "2", "3"), 0), COUNTIF($D$38:$E$38, M$2)&gt;0, VLOOKUP($J414,'Gear Values'!$A$2:$E$13, IF(COUNTBLANK('Attributes &amp; Prefixes'!$B$38:$C$38)&gt;0, "4", "5"), 0)), "")</f>
        <v/>
      </c>
      <c r="N414" s="137" cm="1">
        <f t="array" ref="N414">IF(COUNTIF($B$38:$E$38, N$2)&gt;0, _xlfn.IFS(COUNTIF($B$38:$C$38, N$2)&gt;0, VLOOKUP($J414,'Gear Values'!$A$2:$E$13, IF(COUNTBLANK('Attributes &amp; Prefixes'!$B$38:$C$38)&gt;0, "2", "3"), 0), COUNTIF($D$38:$E$38, N$2)&gt;0, VLOOKUP($J414,'Gear Values'!$A$2:$E$13, IF(COUNTBLANK('Attributes &amp; Prefixes'!$B$38:$C$38)&gt;0, "4", "5"), 0)), "")</f>
        <v>21</v>
      </c>
      <c r="O414" s="137" t="str" cm="1">
        <f t="array" ref="O414">IF(COUNTIF($B$38:$E$38, O$2)&gt;0, _xlfn.IFS(COUNTIF($B$38:$C$38, O$2)&gt;0, VLOOKUP($J414,'Gear Values'!$A$2:$E$13, IF(COUNTBLANK('Attributes &amp; Prefixes'!$B$38:$C$38)&gt;0, "2", "3"), 0), COUNTIF($D$38:$E$38, O$2)&gt;0, VLOOKUP($J414,'Gear Values'!$A$2:$E$13, IF(COUNTBLANK('Attributes &amp; Prefixes'!$B$38:$C$38)&gt;0, "4", "5"), 0)), "")</f>
        <v/>
      </c>
      <c r="P414" s="137" cm="1">
        <f t="array" ref="P414">IF(COUNTIF($B$38:$E$38, P$2)&gt;0, _xlfn.IFS(COUNTIF($B$38:$C$38, P$2)&gt;0, VLOOKUP($J414,'Gear Values'!$A$2:$E$13, IF(COUNTBLANK('Attributes &amp; Prefixes'!$B$38:$C$38)&gt;0, "2", "3"), 0), COUNTIF($D$38:$E$38, P$2)&gt;0, VLOOKUP($J414,'Gear Values'!$A$2:$E$13, IF(COUNTBLANK('Attributes &amp; Prefixes'!$B$38:$C$38)&gt;0, "4", "5"), 0)), "")</f>
        <v>38</v>
      </c>
      <c r="Q414" s="137" t="str" cm="1">
        <f t="array" ref="Q414">IF(COUNTIF($B$38:$E$38, Q$2)&gt;0, _xlfn.IFS(COUNTIF($B$38:$C$38, Q$2)&gt;0, VLOOKUP($J414,'Gear Values'!$A$2:$E$13, IF(COUNTBLANK('Attributes &amp; Prefixes'!$B$38:$C$38)&gt;0, "2", "3"), 0), COUNTIF($D$38:$E$38, Q$2)&gt;0, VLOOKUP($J414,'Gear Values'!$A$2:$E$13, IF(COUNTBLANK('Attributes &amp; Prefixes'!$B$38:$C$38)&gt;0, "4", "5"), 0)), "")</f>
        <v/>
      </c>
      <c r="R414" s="137" t="str" cm="1">
        <f t="array" ref="R414">IF(COUNTIF($B$38:$E$38, R$2)&gt;0, _xlfn.IFS(COUNTIF($B$38:$C$38, R$2)&gt;0, VLOOKUP($J414,'Gear Values'!$A$2:$E$13, IF(COUNTBLANK('Attributes &amp; Prefixes'!$B$38:$C$38)&gt;0, "2", "3"), 0), COUNTIF($D$38:$E$38, R$2)&gt;0, VLOOKUP($J414,'Gear Values'!$A$2:$E$13, IF(COUNTBLANK('Attributes &amp; Prefixes'!$B$38:$C$38)&gt;0, "4", "5"), 0)), "")</f>
        <v/>
      </c>
      <c r="S414" s="138" cm="1">
        <f t="array" ref="S414">IF(COUNTIF($B$38:$E$38, S$2)&gt;0, _xlfn.IFS(COUNTIF($B$38:$C$38, S$2)&gt;0, VLOOKUP($J414,'Gear Values'!$A$2:$E$13, IF(COUNTBLANK('Attributes &amp; Prefixes'!$B$38:$C$38)&gt;0, "2", "3"), 0), COUNTIF($D$38:$E$38, S$2)&gt;0, VLOOKUP($J414,'Gear Values'!$A$2:$E$13, IF(COUNTBLANK('Attributes &amp; Prefixes'!$B$38:$C$38)&gt;0, "4", "5"), 0)), "")</f>
        <v>21</v>
      </c>
      <c r="V414" s="112"/>
      <c r="W414" s="112"/>
    </row>
    <row r="415" spans="6:23">
      <c r="F415" s="114"/>
      <c r="G415" s="114"/>
      <c r="H415" s="130" t="str">
        <f>_xlfn.CONCAT(I$411,J415)</f>
        <v>SageChest</v>
      </c>
      <c r="I415" s="520"/>
      <c r="J415" s="144" t="s">
        <v>44</v>
      </c>
      <c r="K415" s="136" cm="1">
        <f t="array" ref="K415">IF(COUNTIF($B$38:$E$38, K$2)&gt;0, _xlfn.IFS(COUNTIF($B$38:$C$38, K$2)&gt;0, VLOOKUP($J415,'Gear Values'!$A$2:$E$13, IF(COUNTBLANK('Attributes &amp; Prefixes'!$B$38:$C$38)&gt;0, "2", "3"), 0), COUNTIF($D$38:$E$38, K$2)&gt;0, VLOOKUP($J415,'Gear Values'!$A$2:$E$13, IF(COUNTBLANK('Attributes &amp; Prefixes'!$B$38:$C$38)&gt;0, "4", "5"), 0)), "")</f>
        <v>115</v>
      </c>
      <c r="L415" s="137" t="str" cm="1">
        <f t="array" ref="L415">IF(COUNTIF($B$38:$E$38, L$2)&gt;0, _xlfn.IFS(COUNTIF($B$38:$C$38, L$2)&gt;0, VLOOKUP($J415,'Gear Values'!$A$2:$E$13, IF(COUNTBLANK('Attributes &amp; Prefixes'!$B$38:$C$38)&gt;0, "2", "3"), 0), COUNTIF($D$38:$E$38, L$2)&gt;0, VLOOKUP($J415,'Gear Values'!$A$2:$E$13, IF(COUNTBLANK('Attributes &amp; Prefixes'!$B$38:$C$38)&gt;0, "4", "5"), 0)), "")</f>
        <v/>
      </c>
      <c r="M415" s="137" t="str" cm="1">
        <f t="array" ref="M415">IF(COUNTIF($B$38:$E$38, M$2)&gt;0, _xlfn.IFS(COUNTIF($B$38:$C$38, M$2)&gt;0, VLOOKUP($J415,'Gear Values'!$A$2:$E$13, IF(COUNTBLANK('Attributes &amp; Prefixes'!$B$38:$C$38)&gt;0, "2", "3"), 0), COUNTIF($D$38:$E$38, M$2)&gt;0, VLOOKUP($J415,'Gear Values'!$A$2:$E$13, IF(COUNTBLANK('Attributes &amp; Prefixes'!$B$38:$C$38)&gt;0, "4", "5"), 0)), "")</f>
        <v/>
      </c>
      <c r="N415" s="137" cm="1">
        <f t="array" ref="N415">IF(COUNTIF($B$38:$E$38, N$2)&gt;0, _xlfn.IFS(COUNTIF($B$38:$C$38, N$2)&gt;0, VLOOKUP($J415,'Gear Values'!$A$2:$E$13, IF(COUNTBLANK('Attributes &amp; Prefixes'!$B$38:$C$38)&gt;0, "2", "3"), 0), COUNTIF($D$38:$E$38, N$2)&gt;0, VLOOKUP($J415,'Gear Values'!$A$2:$E$13, IF(COUNTBLANK('Attributes &amp; Prefixes'!$B$38:$C$38)&gt;0, "4", "5"), 0)), "")</f>
        <v>63</v>
      </c>
      <c r="O415" s="137" t="str" cm="1">
        <f t="array" ref="O415">IF(COUNTIF($B$38:$E$38, O$2)&gt;0, _xlfn.IFS(COUNTIF($B$38:$C$38, O$2)&gt;0, VLOOKUP($J415,'Gear Values'!$A$2:$E$13, IF(COUNTBLANK('Attributes &amp; Prefixes'!$B$38:$C$38)&gt;0, "2", "3"), 0), COUNTIF($D$38:$E$38, O$2)&gt;0, VLOOKUP($J415,'Gear Values'!$A$2:$E$13, IF(COUNTBLANK('Attributes &amp; Prefixes'!$B$38:$C$38)&gt;0, "4", "5"), 0)), "")</f>
        <v/>
      </c>
      <c r="P415" s="137" cm="1">
        <f t="array" ref="P415">IF(COUNTIF($B$38:$E$38, P$2)&gt;0, _xlfn.IFS(COUNTIF($B$38:$C$38, P$2)&gt;0, VLOOKUP($J415,'Gear Values'!$A$2:$E$13, IF(COUNTBLANK('Attributes &amp; Prefixes'!$B$38:$C$38)&gt;0, "2", "3"), 0), COUNTIF($D$38:$E$38, P$2)&gt;0, VLOOKUP($J415,'Gear Values'!$A$2:$E$13, IF(COUNTBLANK('Attributes &amp; Prefixes'!$B$38:$C$38)&gt;0, "4", "5"), 0)), "")</f>
        <v>115</v>
      </c>
      <c r="Q415" s="137" t="str" cm="1">
        <f t="array" ref="Q415">IF(COUNTIF($B$38:$E$38, Q$2)&gt;0, _xlfn.IFS(COUNTIF($B$38:$C$38, Q$2)&gt;0, VLOOKUP($J415,'Gear Values'!$A$2:$E$13, IF(COUNTBLANK('Attributes &amp; Prefixes'!$B$38:$C$38)&gt;0, "2", "3"), 0), COUNTIF($D$38:$E$38, Q$2)&gt;0, VLOOKUP($J415,'Gear Values'!$A$2:$E$13, IF(COUNTBLANK('Attributes &amp; Prefixes'!$B$38:$C$38)&gt;0, "4", "5"), 0)), "")</f>
        <v/>
      </c>
      <c r="R415" s="137" t="str" cm="1">
        <f t="array" ref="R415">IF(COUNTIF($B$38:$E$38, R$2)&gt;0, _xlfn.IFS(COUNTIF($B$38:$C$38, R$2)&gt;0, VLOOKUP($J415,'Gear Values'!$A$2:$E$13, IF(COUNTBLANK('Attributes &amp; Prefixes'!$B$38:$C$38)&gt;0, "2", "3"), 0), COUNTIF($D$38:$E$38, R$2)&gt;0, VLOOKUP($J415,'Gear Values'!$A$2:$E$13, IF(COUNTBLANK('Attributes &amp; Prefixes'!$B$38:$C$38)&gt;0, "4", "5"), 0)), "")</f>
        <v/>
      </c>
      <c r="S415" s="138" cm="1">
        <f t="array" ref="S415">IF(COUNTIF($B$38:$E$38, S$2)&gt;0, _xlfn.IFS(COUNTIF($B$38:$C$38, S$2)&gt;0, VLOOKUP($J415,'Gear Values'!$A$2:$E$13, IF(COUNTBLANK('Attributes &amp; Prefixes'!$B$38:$C$38)&gt;0, "2", "3"), 0), COUNTIF($D$38:$E$38, S$2)&gt;0, VLOOKUP($J415,'Gear Values'!$A$2:$E$13, IF(COUNTBLANK('Attributes &amp; Prefixes'!$B$38:$C$38)&gt;0, "4", "5"), 0)), "")</f>
        <v>63</v>
      </c>
      <c r="V415" s="112"/>
      <c r="W415" s="112"/>
    </row>
    <row r="416" spans="6:23">
      <c r="F416" s="114"/>
      <c r="G416" s="114"/>
      <c r="H416" s="130" t="str">
        <f>_xlfn.CONCAT(I$411,J416)</f>
        <v>SageHands</v>
      </c>
      <c r="I416" s="520"/>
      <c r="J416" s="144" t="s">
        <v>45</v>
      </c>
      <c r="K416" s="136" cm="1">
        <f t="array" ref="K416">IF(COUNTIF($B$38:$E$38, K$2)&gt;0, _xlfn.IFS(COUNTIF($B$38:$C$38, K$2)&gt;0, VLOOKUP($J416,'Gear Values'!$A$2:$E$13, IF(COUNTBLANK('Attributes &amp; Prefixes'!$B$38:$C$38)&gt;0, "2", "3"), 0), COUNTIF($D$38:$E$38, K$2)&gt;0, VLOOKUP($J416,'Gear Values'!$A$2:$E$13, IF(COUNTBLANK('Attributes &amp; Prefixes'!$B$38:$C$38)&gt;0, "4", "5"), 0)), "")</f>
        <v>38</v>
      </c>
      <c r="L416" s="137" t="str" cm="1">
        <f t="array" ref="L416">IF(COUNTIF($B$38:$E$38, L$2)&gt;0, _xlfn.IFS(COUNTIF($B$38:$C$38, L$2)&gt;0, VLOOKUP($J416,'Gear Values'!$A$2:$E$13, IF(COUNTBLANK('Attributes &amp; Prefixes'!$B$38:$C$38)&gt;0, "2", "3"), 0), COUNTIF($D$38:$E$38, L$2)&gt;0, VLOOKUP($J416,'Gear Values'!$A$2:$E$13, IF(COUNTBLANK('Attributes &amp; Prefixes'!$B$38:$C$38)&gt;0, "4", "5"), 0)), "")</f>
        <v/>
      </c>
      <c r="M416" s="137" t="str" cm="1">
        <f t="array" ref="M416">IF(COUNTIF($B$38:$E$38, M$2)&gt;0, _xlfn.IFS(COUNTIF($B$38:$C$38, M$2)&gt;0, VLOOKUP($J416,'Gear Values'!$A$2:$E$13, IF(COUNTBLANK('Attributes &amp; Prefixes'!$B$38:$C$38)&gt;0, "2", "3"), 0), COUNTIF($D$38:$E$38, M$2)&gt;0, VLOOKUP($J416,'Gear Values'!$A$2:$E$13, IF(COUNTBLANK('Attributes &amp; Prefixes'!$B$38:$C$38)&gt;0, "4", "5"), 0)), "")</f>
        <v/>
      </c>
      <c r="N416" s="137" cm="1">
        <f t="array" ref="N416">IF(COUNTIF($B$38:$E$38, N$2)&gt;0, _xlfn.IFS(COUNTIF($B$38:$C$38, N$2)&gt;0, VLOOKUP($J416,'Gear Values'!$A$2:$E$13, IF(COUNTBLANK('Attributes &amp; Prefixes'!$B$38:$C$38)&gt;0, "2", "3"), 0), COUNTIF($D$38:$E$38, N$2)&gt;0, VLOOKUP($J416,'Gear Values'!$A$2:$E$13, IF(COUNTBLANK('Attributes &amp; Prefixes'!$B$38:$C$38)&gt;0, "4", "5"), 0)), "")</f>
        <v>21</v>
      </c>
      <c r="O416" s="137" t="str" cm="1">
        <f t="array" ref="O416">IF(COUNTIF($B$38:$E$38, O$2)&gt;0, _xlfn.IFS(COUNTIF($B$38:$C$38, O$2)&gt;0, VLOOKUP($J416,'Gear Values'!$A$2:$E$13, IF(COUNTBLANK('Attributes &amp; Prefixes'!$B$38:$C$38)&gt;0, "2", "3"), 0), COUNTIF($D$38:$E$38, O$2)&gt;0, VLOOKUP($J416,'Gear Values'!$A$2:$E$13, IF(COUNTBLANK('Attributes &amp; Prefixes'!$B$38:$C$38)&gt;0, "4", "5"), 0)), "")</f>
        <v/>
      </c>
      <c r="P416" s="137" cm="1">
        <f t="array" ref="P416">IF(COUNTIF($B$38:$E$38, P$2)&gt;0, _xlfn.IFS(COUNTIF($B$38:$C$38, P$2)&gt;0, VLOOKUP($J416,'Gear Values'!$A$2:$E$13, IF(COUNTBLANK('Attributes &amp; Prefixes'!$B$38:$C$38)&gt;0, "2", "3"), 0), COUNTIF($D$38:$E$38, P$2)&gt;0, VLOOKUP($J416,'Gear Values'!$A$2:$E$13, IF(COUNTBLANK('Attributes &amp; Prefixes'!$B$38:$C$38)&gt;0, "4", "5"), 0)), "")</f>
        <v>38</v>
      </c>
      <c r="Q416" s="137" t="str" cm="1">
        <f t="array" ref="Q416">IF(COUNTIF($B$38:$E$38, Q$2)&gt;0, _xlfn.IFS(COUNTIF($B$38:$C$38, Q$2)&gt;0, VLOOKUP($J416,'Gear Values'!$A$2:$E$13, IF(COUNTBLANK('Attributes &amp; Prefixes'!$B$38:$C$38)&gt;0, "2", "3"), 0), COUNTIF($D$38:$E$38, Q$2)&gt;0, VLOOKUP($J416,'Gear Values'!$A$2:$E$13, IF(COUNTBLANK('Attributes &amp; Prefixes'!$B$38:$C$38)&gt;0, "4", "5"), 0)), "")</f>
        <v/>
      </c>
      <c r="R416" s="137" t="str" cm="1">
        <f t="array" ref="R416">IF(COUNTIF($B$38:$E$38, R$2)&gt;0, _xlfn.IFS(COUNTIF($B$38:$C$38, R$2)&gt;0, VLOOKUP($J416,'Gear Values'!$A$2:$E$13, IF(COUNTBLANK('Attributes &amp; Prefixes'!$B$38:$C$38)&gt;0, "2", "3"), 0), COUNTIF($D$38:$E$38, R$2)&gt;0, VLOOKUP($J416,'Gear Values'!$A$2:$E$13, IF(COUNTBLANK('Attributes &amp; Prefixes'!$B$38:$C$38)&gt;0, "4", "5"), 0)), "")</f>
        <v/>
      </c>
      <c r="S416" s="138" cm="1">
        <f t="array" ref="S416">IF(COUNTIF($B$38:$E$38, S$2)&gt;0, _xlfn.IFS(COUNTIF($B$38:$C$38, S$2)&gt;0, VLOOKUP($J416,'Gear Values'!$A$2:$E$13, IF(COUNTBLANK('Attributes &amp; Prefixes'!$B$38:$C$38)&gt;0, "2", "3"), 0), COUNTIF($D$38:$E$38, S$2)&gt;0, VLOOKUP($J416,'Gear Values'!$A$2:$E$13, IF(COUNTBLANK('Attributes &amp; Prefixes'!$B$38:$C$38)&gt;0, "4", "5"), 0)), "")</f>
        <v>21</v>
      </c>
      <c r="V416" s="112"/>
      <c r="W416" s="112"/>
    </row>
    <row r="417" spans="6:23">
      <c r="F417" s="114"/>
      <c r="G417" s="114"/>
      <c r="H417" s="130" t="str">
        <f>_xlfn.CONCAT(I$411,J417)</f>
        <v>SageLegs</v>
      </c>
      <c r="I417" s="520"/>
      <c r="J417" s="144" t="s">
        <v>47</v>
      </c>
      <c r="K417" s="136" cm="1">
        <f t="array" ref="K417">IF(COUNTIF($B$38:$E$38, K$2)&gt;0, _xlfn.IFS(COUNTIF($B$38:$C$38, K$2)&gt;0, VLOOKUP($J417,'Gear Values'!$A$2:$E$13, IF(COUNTBLANK('Attributes &amp; Prefixes'!$B$38:$C$38)&gt;0, "2", "3"), 0), COUNTIF($D$38:$E$38, K$2)&gt;0, VLOOKUP($J417,'Gear Values'!$A$2:$E$13, IF(COUNTBLANK('Attributes &amp; Prefixes'!$B$38:$C$38)&gt;0, "4", "5"), 0)), "")</f>
        <v>77</v>
      </c>
      <c r="L417" s="137" t="str" cm="1">
        <f t="array" ref="L417">IF(COUNTIF($B$38:$E$38, L$2)&gt;0, _xlfn.IFS(COUNTIF($B$38:$C$38, L$2)&gt;0, VLOOKUP($J417,'Gear Values'!$A$2:$E$13, IF(COUNTBLANK('Attributes &amp; Prefixes'!$B$38:$C$38)&gt;0, "2", "3"), 0), COUNTIF($D$38:$E$38, L$2)&gt;0, VLOOKUP($J417,'Gear Values'!$A$2:$E$13, IF(COUNTBLANK('Attributes &amp; Prefixes'!$B$38:$C$38)&gt;0, "4", "5"), 0)), "")</f>
        <v/>
      </c>
      <c r="M417" s="137" t="str" cm="1">
        <f t="array" ref="M417">IF(COUNTIF($B$38:$E$38, M$2)&gt;0, _xlfn.IFS(COUNTIF($B$38:$C$38, M$2)&gt;0, VLOOKUP($J417,'Gear Values'!$A$2:$E$13, IF(COUNTBLANK('Attributes &amp; Prefixes'!$B$38:$C$38)&gt;0, "2", "3"), 0), COUNTIF($D$38:$E$38, M$2)&gt;0, VLOOKUP($J417,'Gear Values'!$A$2:$E$13, IF(COUNTBLANK('Attributes &amp; Prefixes'!$B$38:$C$38)&gt;0, "4", "5"), 0)), "")</f>
        <v/>
      </c>
      <c r="N417" s="137" cm="1">
        <f t="array" ref="N417">IF(COUNTIF($B$38:$E$38, N$2)&gt;0, _xlfn.IFS(COUNTIF($B$38:$C$38, N$2)&gt;0, VLOOKUP($J417,'Gear Values'!$A$2:$E$13, IF(COUNTBLANK('Attributes &amp; Prefixes'!$B$38:$C$38)&gt;0, "2", "3"), 0), COUNTIF($D$38:$E$38, N$2)&gt;0, VLOOKUP($J417,'Gear Values'!$A$2:$E$13, IF(COUNTBLANK('Attributes &amp; Prefixes'!$B$38:$C$38)&gt;0, "4", "5"), 0)), "")</f>
        <v>42</v>
      </c>
      <c r="O417" s="137" t="str" cm="1">
        <f t="array" ref="O417">IF(COUNTIF($B$38:$E$38, O$2)&gt;0, _xlfn.IFS(COUNTIF($B$38:$C$38, O$2)&gt;0, VLOOKUP($J417,'Gear Values'!$A$2:$E$13, IF(COUNTBLANK('Attributes &amp; Prefixes'!$B$38:$C$38)&gt;0, "2", "3"), 0), COUNTIF($D$38:$E$38, O$2)&gt;0, VLOOKUP($J417,'Gear Values'!$A$2:$E$13, IF(COUNTBLANK('Attributes &amp; Prefixes'!$B$38:$C$38)&gt;0, "4", "5"), 0)), "")</f>
        <v/>
      </c>
      <c r="P417" s="137" cm="1">
        <f t="array" ref="P417">IF(COUNTIF($B$38:$E$38, P$2)&gt;0, _xlfn.IFS(COUNTIF($B$38:$C$38, P$2)&gt;0, VLOOKUP($J417,'Gear Values'!$A$2:$E$13, IF(COUNTBLANK('Attributes &amp; Prefixes'!$B$38:$C$38)&gt;0, "2", "3"), 0), COUNTIF($D$38:$E$38, P$2)&gt;0, VLOOKUP($J417,'Gear Values'!$A$2:$E$13, IF(COUNTBLANK('Attributes &amp; Prefixes'!$B$38:$C$38)&gt;0, "4", "5"), 0)), "")</f>
        <v>77</v>
      </c>
      <c r="Q417" s="137" t="str" cm="1">
        <f t="array" ref="Q417">IF(COUNTIF($B$38:$E$38, Q$2)&gt;0, _xlfn.IFS(COUNTIF($B$38:$C$38, Q$2)&gt;0, VLOOKUP($J417,'Gear Values'!$A$2:$E$13, IF(COUNTBLANK('Attributes &amp; Prefixes'!$B$38:$C$38)&gt;0, "2", "3"), 0), COUNTIF($D$38:$E$38, Q$2)&gt;0, VLOOKUP($J417,'Gear Values'!$A$2:$E$13, IF(COUNTBLANK('Attributes &amp; Prefixes'!$B$38:$C$38)&gt;0, "4", "5"), 0)), "")</f>
        <v/>
      </c>
      <c r="R417" s="137" t="str" cm="1">
        <f t="array" ref="R417">IF(COUNTIF($B$38:$E$38, R$2)&gt;0, _xlfn.IFS(COUNTIF($B$38:$C$38, R$2)&gt;0, VLOOKUP($J417,'Gear Values'!$A$2:$E$13, IF(COUNTBLANK('Attributes &amp; Prefixes'!$B$38:$C$38)&gt;0, "2", "3"), 0), COUNTIF($D$38:$E$38, R$2)&gt;0, VLOOKUP($J417,'Gear Values'!$A$2:$E$13, IF(COUNTBLANK('Attributes &amp; Prefixes'!$B$38:$C$38)&gt;0, "4", "5"), 0)), "")</f>
        <v/>
      </c>
      <c r="S417" s="138" cm="1">
        <f t="array" ref="S417">IF(COUNTIF($B$38:$E$38, S$2)&gt;0, _xlfn.IFS(COUNTIF($B$38:$C$38, S$2)&gt;0, VLOOKUP($J417,'Gear Values'!$A$2:$E$13, IF(COUNTBLANK('Attributes &amp; Prefixes'!$B$38:$C$38)&gt;0, "2", "3"), 0), COUNTIF($D$38:$E$38, S$2)&gt;0, VLOOKUP($J417,'Gear Values'!$A$2:$E$13, IF(COUNTBLANK('Attributes &amp; Prefixes'!$B$38:$C$38)&gt;0, "4", "5"), 0)), "")</f>
        <v>42</v>
      </c>
      <c r="V417" s="112"/>
      <c r="W417" s="112"/>
    </row>
    <row r="418" spans="6:23">
      <c r="F418" s="114"/>
      <c r="G418" s="114"/>
      <c r="H418" s="130" t="str">
        <f>_xlfn.CONCAT(I$411,J418)</f>
        <v>SageFeet</v>
      </c>
      <c r="I418" s="520"/>
      <c r="J418" s="144" t="s">
        <v>48</v>
      </c>
      <c r="K418" s="136" cm="1">
        <f t="array" ref="K418">IF(COUNTIF($B$38:$E$38, K$2)&gt;0, _xlfn.IFS(COUNTIF($B$38:$C$38, K$2)&gt;0, VLOOKUP($J418,'Gear Values'!$A$2:$E$13, IF(COUNTBLANK('Attributes &amp; Prefixes'!$B$38:$C$38)&gt;0, "2", "3"), 0), COUNTIF($D$38:$E$38, K$2)&gt;0, VLOOKUP($J418,'Gear Values'!$A$2:$E$13, IF(COUNTBLANK('Attributes &amp; Prefixes'!$B$38:$C$38)&gt;0, "4", "5"), 0)), "")</f>
        <v>38</v>
      </c>
      <c r="L418" s="137" t="str" cm="1">
        <f t="array" ref="L418">IF(COUNTIF($B$38:$E$38, L$2)&gt;0, _xlfn.IFS(COUNTIF($B$38:$C$38, L$2)&gt;0, VLOOKUP($J418,'Gear Values'!$A$2:$E$13, IF(COUNTBLANK('Attributes &amp; Prefixes'!$B$38:$C$38)&gt;0, "2", "3"), 0), COUNTIF($D$38:$E$38, L$2)&gt;0, VLOOKUP($J418,'Gear Values'!$A$2:$E$13, IF(COUNTBLANK('Attributes &amp; Prefixes'!$B$38:$C$38)&gt;0, "4", "5"), 0)), "")</f>
        <v/>
      </c>
      <c r="M418" s="137" t="str" cm="1">
        <f t="array" ref="M418">IF(COUNTIF($B$38:$E$38, M$2)&gt;0, _xlfn.IFS(COUNTIF($B$38:$C$38, M$2)&gt;0, VLOOKUP($J418,'Gear Values'!$A$2:$E$13, IF(COUNTBLANK('Attributes &amp; Prefixes'!$B$38:$C$38)&gt;0, "2", "3"), 0), COUNTIF($D$38:$E$38, M$2)&gt;0, VLOOKUP($J418,'Gear Values'!$A$2:$E$13, IF(COUNTBLANK('Attributes &amp; Prefixes'!$B$38:$C$38)&gt;0, "4", "5"), 0)), "")</f>
        <v/>
      </c>
      <c r="N418" s="137" cm="1">
        <f t="array" ref="N418">IF(COUNTIF($B$38:$E$38, N$2)&gt;0, _xlfn.IFS(COUNTIF($B$38:$C$38, N$2)&gt;0, VLOOKUP($J418,'Gear Values'!$A$2:$E$13, IF(COUNTBLANK('Attributes &amp; Prefixes'!$B$38:$C$38)&gt;0, "2", "3"), 0), COUNTIF($D$38:$E$38, N$2)&gt;0, VLOOKUP($J418,'Gear Values'!$A$2:$E$13, IF(COUNTBLANK('Attributes &amp; Prefixes'!$B$38:$C$38)&gt;0, "4", "5"), 0)), "")</f>
        <v>21</v>
      </c>
      <c r="O418" s="137" t="str" cm="1">
        <f t="array" ref="O418">IF(COUNTIF($B$38:$E$38, O$2)&gt;0, _xlfn.IFS(COUNTIF($B$38:$C$38, O$2)&gt;0, VLOOKUP($J418,'Gear Values'!$A$2:$E$13, IF(COUNTBLANK('Attributes &amp; Prefixes'!$B$38:$C$38)&gt;0, "2", "3"), 0), COUNTIF($D$38:$E$38, O$2)&gt;0, VLOOKUP($J418,'Gear Values'!$A$2:$E$13, IF(COUNTBLANK('Attributes &amp; Prefixes'!$B$38:$C$38)&gt;0, "4", "5"), 0)), "")</f>
        <v/>
      </c>
      <c r="P418" s="137" cm="1">
        <f t="array" ref="P418">IF(COUNTIF($B$38:$E$38, P$2)&gt;0, _xlfn.IFS(COUNTIF($B$38:$C$38, P$2)&gt;0, VLOOKUP($J418,'Gear Values'!$A$2:$E$13, IF(COUNTBLANK('Attributes &amp; Prefixes'!$B$38:$C$38)&gt;0, "2", "3"), 0), COUNTIF($D$38:$E$38, P$2)&gt;0, VLOOKUP($J418,'Gear Values'!$A$2:$E$13, IF(COUNTBLANK('Attributes &amp; Prefixes'!$B$38:$C$38)&gt;0, "4", "5"), 0)), "")</f>
        <v>38</v>
      </c>
      <c r="Q418" s="137" t="str" cm="1">
        <f t="array" ref="Q418">IF(COUNTIF($B$38:$E$38, Q$2)&gt;0, _xlfn.IFS(COUNTIF($B$38:$C$38, Q$2)&gt;0, VLOOKUP($J418,'Gear Values'!$A$2:$E$13, IF(COUNTBLANK('Attributes &amp; Prefixes'!$B$38:$C$38)&gt;0, "2", "3"), 0), COUNTIF($D$38:$E$38, Q$2)&gt;0, VLOOKUP($J418,'Gear Values'!$A$2:$E$13, IF(COUNTBLANK('Attributes &amp; Prefixes'!$B$38:$C$38)&gt;0, "4", "5"), 0)), "")</f>
        <v/>
      </c>
      <c r="R418" s="137" t="str" cm="1">
        <f t="array" ref="R418">IF(COUNTIF($B$38:$E$38, R$2)&gt;0, _xlfn.IFS(COUNTIF($B$38:$C$38, R$2)&gt;0, VLOOKUP($J418,'Gear Values'!$A$2:$E$13, IF(COUNTBLANK('Attributes &amp; Prefixes'!$B$38:$C$38)&gt;0, "2", "3"), 0), COUNTIF($D$38:$E$38, R$2)&gt;0, VLOOKUP($J418,'Gear Values'!$A$2:$E$13, IF(COUNTBLANK('Attributes &amp; Prefixes'!$B$38:$C$38)&gt;0, "4", "5"), 0)), "")</f>
        <v/>
      </c>
      <c r="S418" s="138" cm="1">
        <f t="array" ref="S418">IF(COUNTIF($B$38:$E$38, S$2)&gt;0, _xlfn.IFS(COUNTIF($B$38:$C$38, S$2)&gt;0, VLOOKUP($J418,'Gear Values'!$A$2:$E$13, IF(COUNTBLANK('Attributes &amp; Prefixes'!$B$38:$C$38)&gt;0, "2", "3"), 0), COUNTIF($D$38:$E$38, S$2)&gt;0, VLOOKUP($J418,'Gear Values'!$A$2:$E$13, IF(COUNTBLANK('Attributes &amp; Prefixes'!$B$38:$C$38)&gt;0, "4", "5"), 0)), "")</f>
        <v>21</v>
      </c>
      <c r="V418" s="112"/>
      <c r="W418" s="112"/>
    </row>
    <row r="419" spans="6:23">
      <c r="F419" s="114"/>
      <c r="G419" s="114"/>
      <c r="H419" s="130" t="str">
        <f>_xlfn.CONCAT(I$411,J419)</f>
        <v>SageEar</v>
      </c>
      <c r="I419" s="520"/>
      <c r="J419" s="144" t="s">
        <v>49</v>
      </c>
      <c r="K419" s="136" cm="1">
        <f t="array" ref="K419">IF(COUNTIF($B$38:$E$38, K$2)&gt;0, _xlfn.IFS(COUNTIF($B$38:$C$38, K$2)&gt;0, VLOOKUP($J419,'Gear Values'!$A$2:$E$13, IF(COUNTBLANK('Attributes &amp; Prefixes'!$B$38:$C$38)&gt;0, "2", "3"), 0), COUNTIF($D$38:$E$38, K$2)&gt;0, VLOOKUP($J419,'Gear Values'!$A$2:$E$13, IF(COUNTBLANK('Attributes &amp; Prefixes'!$B$38:$C$38)&gt;0, "4", "5"), 0)), "")</f>
        <v>64</v>
      </c>
      <c r="L419" s="137" t="str" cm="1">
        <f t="array" ref="L419">IF(COUNTIF($B$38:$E$38, L$2)&gt;0, _xlfn.IFS(COUNTIF($B$38:$C$38, L$2)&gt;0, VLOOKUP($J419,'Gear Values'!$A$2:$E$13, IF(COUNTBLANK('Attributes &amp; Prefixes'!$B$38:$C$38)&gt;0, "2", "3"), 0), COUNTIF($D$38:$E$38, L$2)&gt;0, VLOOKUP($J419,'Gear Values'!$A$2:$E$13, IF(COUNTBLANK('Attributes &amp; Prefixes'!$B$38:$C$38)&gt;0, "4", "5"), 0)), "")</f>
        <v/>
      </c>
      <c r="M419" s="137" t="str" cm="1">
        <f t="array" ref="M419">IF(COUNTIF($B$38:$E$38, M$2)&gt;0, _xlfn.IFS(COUNTIF($B$38:$C$38, M$2)&gt;0, VLOOKUP($J419,'Gear Values'!$A$2:$E$13, IF(COUNTBLANK('Attributes &amp; Prefixes'!$B$38:$C$38)&gt;0, "2", "3"), 0), COUNTIF($D$38:$E$38, M$2)&gt;0, VLOOKUP($J419,'Gear Values'!$A$2:$E$13, IF(COUNTBLANK('Attributes &amp; Prefixes'!$B$38:$C$38)&gt;0, "4", "5"), 0)), "")</f>
        <v/>
      </c>
      <c r="N419" s="137" cm="1">
        <f t="array" ref="N419">IF(COUNTIF($B$38:$E$38, N$2)&gt;0, _xlfn.IFS(COUNTIF($B$38:$C$38, N$2)&gt;0, VLOOKUP($J419,'Gear Values'!$A$2:$E$13, IF(COUNTBLANK('Attributes &amp; Prefixes'!$B$38:$C$38)&gt;0, "2", "3"), 0), COUNTIF($D$38:$E$38, N$2)&gt;0, VLOOKUP($J419,'Gear Values'!$A$2:$E$13, IF(COUNTBLANK('Attributes &amp; Prefixes'!$B$38:$C$38)&gt;0, "4", "5"), 0)), "")</f>
        <v>35</v>
      </c>
      <c r="O419" s="137" t="str" cm="1">
        <f t="array" ref="O419">IF(COUNTIF($B$38:$E$38, O$2)&gt;0, _xlfn.IFS(COUNTIF($B$38:$C$38, O$2)&gt;0, VLOOKUP($J419,'Gear Values'!$A$2:$E$13, IF(COUNTBLANK('Attributes &amp; Prefixes'!$B$38:$C$38)&gt;0, "2", "3"), 0), COUNTIF($D$38:$E$38, O$2)&gt;0, VLOOKUP($J419,'Gear Values'!$A$2:$E$13, IF(COUNTBLANK('Attributes &amp; Prefixes'!$B$38:$C$38)&gt;0, "4", "5"), 0)), "")</f>
        <v/>
      </c>
      <c r="P419" s="137" cm="1">
        <f t="array" ref="P419">IF(COUNTIF($B$38:$E$38, P$2)&gt;0, _xlfn.IFS(COUNTIF($B$38:$C$38, P$2)&gt;0, VLOOKUP($J419,'Gear Values'!$A$2:$E$13, IF(COUNTBLANK('Attributes &amp; Prefixes'!$B$38:$C$38)&gt;0, "2", "3"), 0), COUNTIF($D$38:$E$38, P$2)&gt;0, VLOOKUP($J419,'Gear Values'!$A$2:$E$13, IF(COUNTBLANK('Attributes &amp; Prefixes'!$B$38:$C$38)&gt;0, "4", "5"), 0)), "")</f>
        <v>64</v>
      </c>
      <c r="Q419" s="137" t="str" cm="1">
        <f t="array" ref="Q419">IF(COUNTIF($B$38:$E$38, Q$2)&gt;0, _xlfn.IFS(COUNTIF($B$38:$C$38, Q$2)&gt;0, VLOOKUP($J419,'Gear Values'!$A$2:$E$13, IF(COUNTBLANK('Attributes &amp; Prefixes'!$B$38:$C$38)&gt;0, "2", "3"), 0), COUNTIF($D$38:$E$38, Q$2)&gt;0, VLOOKUP($J419,'Gear Values'!$A$2:$E$13, IF(COUNTBLANK('Attributes &amp; Prefixes'!$B$38:$C$38)&gt;0, "4", "5"), 0)), "")</f>
        <v/>
      </c>
      <c r="R419" s="137" t="str" cm="1">
        <f t="array" ref="R419">IF(COUNTIF($B$38:$E$38, R$2)&gt;0, _xlfn.IFS(COUNTIF($B$38:$C$38, R$2)&gt;0, VLOOKUP($J419,'Gear Values'!$A$2:$E$13, IF(COUNTBLANK('Attributes &amp; Prefixes'!$B$38:$C$38)&gt;0, "2", "3"), 0), COUNTIF($D$38:$E$38, R$2)&gt;0, VLOOKUP($J419,'Gear Values'!$A$2:$E$13, IF(COUNTBLANK('Attributes &amp; Prefixes'!$B$38:$C$38)&gt;0, "4", "5"), 0)), "")</f>
        <v/>
      </c>
      <c r="S419" s="138" cm="1">
        <f t="array" ref="S419">IF(COUNTIF($B$38:$E$38, S$2)&gt;0, _xlfn.IFS(COUNTIF($B$38:$C$38, S$2)&gt;0, VLOOKUP($J419,'Gear Values'!$A$2:$E$13, IF(COUNTBLANK('Attributes &amp; Prefixes'!$B$38:$C$38)&gt;0, "2", "3"), 0), COUNTIF($D$38:$E$38, S$2)&gt;0, VLOOKUP($J419,'Gear Values'!$A$2:$E$13, IF(COUNTBLANK('Attributes &amp; Prefixes'!$B$38:$C$38)&gt;0, "4", "5"), 0)), "")</f>
        <v>35</v>
      </c>
      <c r="V419" s="112"/>
      <c r="W419" s="112"/>
    </row>
    <row r="420" spans="6:23">
      <c r="F420" s="114"/>
      <c r="G420" s="114"/>
      <c r="H420" s="130" t="str">
        <f>_xlfn.CONCAT(I$411,J420)</f>
        <v>SageFinger</v>
      </c>
      <c r="I420" s="520"/>
      <c r="J420" s="144" t="s">
        <v>51</v>
      </c>
      <c r="K420" s="136" cm="1">
        <f t="array" ref="K420">IF(COUNTIF($B$38:$E$38, K$2)&gt;0, _xlfn.IFS(COUNTIF($B$38:$C$38, K$2)&gt;0, VLOOKUP($J420,'Gear Values'!$A$2:$E$13, IF(COUNTBLANK('Attributes &amp; Prefixes'!$B$38:$C$38)&gt;0, "2", "3"), 0), COUNTIF($D$38:$E$38, K$2)&gt;0, VLOOKUP($J420,'Gear Values'!$A$2:$E$13, IF(COUNTBLANK('Attributes &amp; Prefixes'!$B$38:$C$38)&gt;0, "4", "5"), 0)), "")</f>
        <v>77</v>
      </c>
      <c r="L420" s="137" t="str" cm="1">
        <f t="array" ref="L420">IF(COUNTIF($B$38:$E$38, L$2)&gt;0, _xlfn.IFS(COUNTIF($B$38:$C$38, L$2)&gt;0, VLOOKUP($J420,'Gear Values'!$A$2:$E$13, IF(COUNTBLANK('Attributes &amp; Prefixes'!$B$38:$C$38)&gt;0, "2", "3"), 0), COUNTIF($D$38:$E$38, L$2)&gt;0, VLOOKUP($J420,'Gear Values'!$A$2:$E$13, IF(COUNTBLANK('Attributes &amp; Prefixes'!$B$38:$C$38)&gt;0, "4", "5"), 0)), "")</f>
        <v/>
      </c>
      <c r="M420" s="137" t="str" cm="1">
        <f t="array" ref="M420">IF(COUNTIF($B$38:$E$38, M$2)&gt;0, _xlfn.IFS(COUNTIF($B$38:$C$38, M$2)&gt;0, VLOOKUP($J420,'Gear Values'!$A$2:$E$13, IF(COUNTBLANK('Attributes &amp; Prefixes'!$B$38:$C$38)&gt;0, "2", "3"), 0), COUNTIF($D$38:$E$38, M$2)&gt;0, VLOOKUP($J420,'Gear Values'!$A$2:$E$13, IF(COUNTBLANK('Attributes &amp; Prefixes'!$B$38:$C$38)&gt;0, "4", "5"), 0)), "")</f>
        <v/>
      </c>
      <c r="N420" s="137" cm="1">
        <f t="array" ref="N420">IF(COUNTIF($B$38:$E$38, N$2)&gt;0, _xlfn.IFS(COUNTIF($B$38:$C$38, N$2)&gt;0, VLOOKUP($J420,'Gear Values'!$A$2:$E$13, IF(COUNTBLANK('Attributes &amp; Prefixes'!$B$38:$C$38)&gt;0, "2", "3"), 0), COUNTIF($D$38:$E$38, N$2)&gt;0, VLOOKUP($J420,'Gear Values'!$A$2:$E$13, IF(COUNTBLANK('Attributes &amp; Prefixes'!$B$38:$C$38)&gt;0, "4", "5"), 0)), "")</f>
        <v>42</v>
      </c>
      <c r="O420" s="137" t="str" cm="1">
        <f t="array" ref="O420">IF(COUNTIF($B$38:$E$38, O$2)&gt;0, _xlfn.IFS(COUNTIF($B$38:$C$38, O$2)&gt;0, VLOOKUP($J420,'Gear Values'!$A$2:$E$13, IF(COUNTBLANK('Attributes &amp; Prefixes'!$B$38:$C$38)&gt;0, "2", "3"), 0), COUNTIF($D$38:$E$38, O$2)&gt;0, VLOOKUP($J420,'Gear Values'!$A$2:$E$13, IF(COUNTBLANK('Attributes &amp; Prefixes'!$B$38:$C$38)&gt;0, "4", "5"), 0)), "")</f>
        <v/>
      </c>
      <c r="P420" s="137" cm="1">
        <f t="array" ref="P420">IF(COUNTIF($B$38:$E$38, P$2)&gt;0, _xlfn.IFS(COUNTIF($B$38:$C$38, P$2)&gt;0, VLOOKUP($J420,'Gear Values'!$A$2:$E$13, IF(COUNTBLANK('Attributes &amp; Prefixes'!$B$38:$C$38)&gt;0, "2", "3"), 0), COUNTIF($D$38:$E$38, P$2)&gt;0, VLOOKUP($J420,'Gear Values'!$A$2:$E$13, IF(COUNTBLANK('Attributes &amp; Prefixes'!$B$38:$C$38)&gt;0, "4", "5"), 0)), "")</f>
        <v>77</v>
      </c>
      <c r="Q420" s="137" t="str" cm="1">
        <f t="array" ref="Q420">IF(COUNTIF($B$38:$E$38, Q$2)&gt;0, _xlfn.IFS(COUNTIF($B$38:$C$38, Q$2)&gt;0, VLOOKUP($J420,'Gear Values'!$A$2:$E$13, IF(COUNTBLANK('Attributes &amp; Prefixes'!$B$38:$C$38)&gt;0, "2", "3"), 0), COUNTIF($D$38:$E$38, Q$2)&gt;0, VLOOKUP($J420,'Gear Values'!$A$2:$E$13, IF(COUNTBLANK('Attributes &amp; Prefixes'!$B$38:$C$38)&gt;0, "4", "5"), 0)), "")</f>
        <v/>
      </c>
      <c r="R420" s="137" t="str" cm="1">
        <f t="array" ref="R420">IF(COUNTIF($B$38:$E$38, R$2)&gt;0, _xlfn.IFS(COUNTIF($B$38:$C$38, R$2)&gt;0, VLOOKUP($J420,'Gear Values'!$A$2:$E$13, IF(COUNTBLANK('Attributes &amp; Prefixes'!$B$38:$C$38)&gt;0, "2", "3"), 0), COUNTIF($D$38:$E$38, R$2)&gt;0, VLOOKUP($J420,'Gear Values'!$A$2:$E$13, IF(COUNTBLANK('Attributes &amp; Prefixes'!$B$38:$C$38)&gt;0, "4", "5"), 0)), "")</f>
        <v/>
      </c>
      <c r="S420" s="138" cm="1">
        <f t="array" ref="S420">IF(COUNTIF($B$38:$E$38, S$2)&gt;0, _xlfn.IFS(COUNTIF($B$38:$C$38, S$2)&gt;0, VLOOKUP($J420,'Gear Values'!$A$2:$E$13, IF(COUNTBLANK('Attributes &amp; Prefixes'!$B$38:$C$38)&gt;0, "2", "3"), 0), COUNTIF($D$38:$E$38, S$2)&gt;0, VLOOKUP($J420,'Gear Values'!$A$2:$E$13, IF(COUNTBLANK('Attributes &amp; Prefixes'!$B$38:$C$38)&gt;0, "4", "5"), 0)), "")</f>
        <v>42</v>
      </c>
      <c r="V420" s="112"/>
      <c r="W420" s="112"/>
    </row>
    <row r="421" spans="6:23">
      <c r="F421" s="114"/>
      <c r="G421" s="114"/>
      <c r="H421" s="130" t="str">
        <f>_xlfn.CONCAT(I$411,J421)</f>
        <v>SageNeck</v>
      </c>
      <c r="I421" s="520"/>
      <c r="J421" s="144" t="s">
        <v>52</v>
      </c>
      <c r="K421" s="136" cm="1">
        <f t="array" ref="K421">IF(COUNTIF($B$38:$E$38, K$2)&gt;0, _xlfn.IFS(COUNTIF($B$38:$C$38, K$2)&gt;0, VLOOKUP($J421,'Gear Values'!$A$2:$E$13, IF(COUNTBLANK('Attributes &amp; Prefixes'!$B$38:$C$38)&gt;0, "2", "3"), 0), COUNTIF($D$38:$E$38, K$2)&gt;0, VLOOKUP($J421,'Gear Values'!$A$2:$E$13, IF(COUNTBLANK('Attributes &amp; Prefixes'!$B$38:$C$38)&gt;0, "4", "5"), 0)), "")</f>
        <v>102</v>
      </c>
      <c r="L421" s="137" t="str" cm="1">
        <f t="array" ref="L421">IF(COUNTIF($B$38:$E$38, L$2)&gt;0, _xlfn.IFS(COUNTIF($B$38:$C$38, L$2)&gt;0, VLOOKUP($J421,'Gear Values'!$A$2:$E$13, IF(COUNTBLANK('Attributes &amp; Prefixes'!$B$38:$C$38)&gt;0, "2", "3"), 0), COUNTIF($D$38:$E$38, L$2)&gt;0, VLOOKUP($J421,'Gear Values'!$A$2:$E$13, IF(COUNTBLANK('Attributes &amp; Prefixes'!$B$38:$C$38)&gt;0, "4", "5"), 0)), "")</f>
        <v/>
      </c>
      <c r="M421" s="137" t="str" cm="1">
        <f t="array" ref="M421">IF(COUNTIF($B$38:$E$38, M$2)&gt;0, _xlfn.IFS(COUNTIF($B$38:$C$38, M$2)&gt;0, VLOOKUP($J421,'Gear Values'!$A$2:$E$13, IF(COUNTBLANK('Attributes &amp; Prefixes'!$B$38:$C$38)&gt;0, "2", "3"), 0), COUNTIF($D$38:$E$38, M$2)&gt;0, VLOOKUP($J421,'Gear Values'!$A$2:$E$13, IF(COUNTBLANK('Attributes &amp; Prefixes'!$B$38:$C$38)&gt;0, "4", "5"), 0)), "")</f>
        <v/>
      </c>
      <c r="N421" s="137" cm="1">
        <f t="array" ref="N421">IF(COUNTIF($B$38:$E$38, N$2)&gt;0, _xlfn.IFS(COUNTIF($B$38:$C$38, N$2)&gt;0, VLOOKUP($J421,'Gear Values'!$A$2:$E$13, IF(COUNTBLANK('Attributes &amp; Prefixes'!$B$38:$C$38)&gt;0, "2", "3"), 0), COUNTIF($D$38:$E$38, N$2)&gt;0, VLOOKUP($J421,'Gear Values'!$A$2:$E$13, IF(COUNTBLANK('Attributes &amp; Prefixes'!$B$38:$C$38)&gt;0, "4", "5"), 0)), "")</f>
        <v>56</v>
      </c>
      <c r="O421" s="137" t="str" cm="1">
        <f t="array" ref="O421">IF(COUNTIF($B$38:$E$38, O$2)&gt;0, _xlfn.IFS(COUNTIF($B$38:$C$38, O$2)&gt;0, VLOOKUP($J421,'Gear Values'!$A$2:$E$13, IF(COUNTBLANK('Attributes &amp; Prefixes'!$B$38:$C$38)&gt;0, "2", "3"), 0), COUNTIF($D$38:$E$38, O$2)&gt;0, VLOOKUP($J421,'Gear Values'!$A$2:$E$13, IF(COUNTBLANK('Attributes &amp; Prefixes'!$B$38:$C$38)&gt;0, "4", "5"), 0)), "")</f>
        <v/>
      </c>
      <c r="P421" s="137" cm="1">
        <f t="array" ref="P421">IF(COUNTIF($B$38:$E$38, P$2)&gt;0, _xlfn.IFS(COUNTIF($B$38:$C$38, P$2)&gt;0, VLOOKUP($J421,'Gear Values'!$A$2:$E$13, IF(COUNTBLANK('Attributes &amp; Prefixes'!$B$38:$C$38)&gt;0, "2", "3"), 0), COUNTIF($D$38:$E$38, P$2)&gt;0, VLOOKUP($J421,'Gear Values'!$A$2:$E$13, IF(COUNTBLANK('Attributes &amp; Prefixes'!$B$38:$C$38)&gt;0, "4", "5"), 0)), "")</f>
        <v>102</v>
      </c>
      <c r="Q421" s="137" t="str" cm="1">
        <f t="array" ref="Q421">IF(COUNTIF($B$38:$E$38, Q$2)&gt;0, _xlfn.IFS(COUNTIF($B$38:$C$38, Q$2)&gt;0, VLOOKUP($J421,'Gear Values'!$A$2:$E$13, IF(COUNTBLANK('Attributes &amp; Prefixes'!$B$38:$C$38)&gt;0, "2", "3"), 0), COUNTIF($D$38:$E$38, Q$2)&gt;0, VLOOKUP($J421,'Gear Values'!$A$2:$E$13, IF(COUNTBLANK('Attributes &amp; Prefixes'!$B$38:$C$38)&gt;0, "4", "5"), 0)), "")</f>
        <v/>
      </c>
      <c r="R421" s="137" t="str" cm="1">
        <f t="array" ref="R421">IF(COUNTIF($B$38:$E$38, R$2)&gt;0, _xlfn.IFS(COUNTIF($B$38:$C$38, R$2)&gt;0, VLOOKUP($J421,'Gear Values'!$A$2:$E$13, IF(COUNTBLANK('Attributes &amp; Prefixes'!$B$38:$C$38)&gt;0, "2", "3"), 0), COUNTIF($D$38:$E$38, R$2)&gt;0, VLOOKUP($J421,'Gear Values'!$A$2:$E$13, IF(COUNTBLANK('Attributes &amp; Prefixes'!$B$38:$C$38)&gt;0, "4", "5"), 0)), "")</f>
        <v/>
      </c>
      <c r="S421" s="138" cm="1">
        <f t="array" ref="S421">IF(COUNTIF($B$38:$E$38, S$2)&gt;0, _xlfn.IFS(COUNTIF($B$38:$C$38, S$2)&gt;0, VLOOKUP($J421,'Gear Values'!$A$2:$E$13, IF(COUNTBLANK('Attributes &amp; Prefixes'!$B$38:$C$38)&gt;0, "2", "3"), 0), COUNTIF($D$38:$E$38, S$2)&gt;0, VLOOKUP($J421,'Gear Values'!$A$2:$E$13, IF(COUNTBLANK('Attributes &amp; Prefixes'!$B$38:$C$38)&gt;0, "4", "5"), 0)), "")</f>
        <v>56</v>
      </c>
      <c r="V421" s="112"/>
      <c r="W421" s="112"/>
    </row>
    <row r="422" spans="6:23">
      <c r="F422" s="114"/>
      <c r="G422" s="114"/>
      <c r="H422" s="130" t="str">
        <f>_xlfn.CONCAT(I$411,J422)</f>
        <v>SageBack</v>
      </c>
      <c r="I422" s="521"/>
      <c r="J422" s="146" t="s">
        <v>53</v>
      </c>
      <c r="K422" s="147" t="str" cm="1">
        <f t="array" ref="K422">IF(COUNTIF($B$38:$E$38, K$2)&gt;0, _xlfn.IFS(COUNTIF($B$38:$C$38, K$2)&gt;0, VLOOKUP($J422,'Gear Values'!$A$2:$E$13, IF(COUNTBLANK('Attributes &amp; Prefixes'!$B$38:$C$38)&gt;0, "2", "3"), 0), COUNTIF($D$38:$E$38, K$2)&gt;0, VLOOKUP($J422,'Gear Values'!$A$2:$E$13, IF(COUNTBLANK('Attributes &amp; Prefixes'!$B$38:$C$38)&gt;0, "4", "5"), 0)), "")</f>
        <v>N/A</v>
      </c>
      <c r="L422" s="148" t="str" cm="1">
        <f t="array" ref="L422">IF(COUNTIF($B$38:$E$38, L$2)&gt;0, _xlfn.IFS(COUNTIF($B$38:$C$38, L$2)&gt;0, VLOOKUP($J422,'Gear Values'!$A$2:$E$13, IF(COUNTBLANK('Attributes &amp; Prefixes'!$B$38:$C$38)&gt;0, "2", "3"), 0), COUNTIF($D$38:$E$38, L$2)&gt;0, VLOOKUP($J422,'Gear Values'!$A$2:$E$13, IF(COUNTBLANK('Attributes &amp; Prefixes'!$B$38:$C$38)&gt;0, "4", "5"), 0)), "")</f>
        <v/>
      </c>
      <c r="M422" s="148" t="str" cm="1">
        <f t="array" ref="M422">IF(COUNTIF($B$38:$E$38, M$2)&gt;0, _xlfn.IFS(COUNTIF($B$38:$C$38, M$2)&gt;0, VLOOKUP($J422,'Gear Values'!$A$2:$E$13, IF(COUNTBLANK('Attributes &amp; Prefixes'!$B$38:$C$38)&gt;0, "2", "3"), 0), COUNTIF($D$38:$E$38, M$2)&gt;0, VLOOKUP($J422,'Gear Values'!$A$2:$E$13, IF(COUNTBLANK('Attributes &amp; Prefixes'!$B$38:$C$38)&gt;0, "4", "5"), 0)), "")</f>
        <v/>
      </c>
      <c r="N422" s="148" t="str" cm="1">
        <f t="array" ref="N422">IF(COUNTIF($B$38:$E$38, N$2)&gt;0, _xlfn.IFS(COUNTIF($B$38:$C$38, N$2)&gt;0, VLOOKUP($J422,'Gear Values'!$A$2:$E$13, IF(COUNTBLANK('Attributes &amp; Prefixes'!$B$38:$C$38)&gt;0, "2", "3"), 0), COUNTIF($D$38:$E$38, N$2)&gt;0, VLOOKUP($J422,'Gear Values'!$A$2:$E$13, IF(COUNTBLANK('Attributes &amp; Prefixes'!$B$38:$C$38)&gt;0, "4", "5"), 0)), "")</f>
        <v>N/A</v>
      </c>
      <c r="O422" s="148" t="str" cm="1">
        <f t="array" ref="O422">IF(COUNTIF($B$38:$E$38, O$2)&gt;0, _xlfn.IFS(COUNTIF($B$38:$C$38, O$2)&gt;0, VLOOKUP($J422,'Gear Values'!$A$2:$E$13, IF(COUNTBLANK('Attributes &amp; Prefixes'!$B$38:$C$38)&gt;0, "2", "3"), 0), COUNTIF($D$38:$E$38, O$2)&gt;0, VLOOKUP($J422,'Gear Values'!$A$2:$E$13, IF(COUNTBLANK('Attributes &amp; Prefixes'!$B$38:$C$38)&gt;0, "4", "5"), 0)), "")</f>
        <v/>
      </c>
      <c r="P422" s="148" t="str" cm="1">
        <f t="array" ref="P422">IF(COUNTIF($B$38:$E$38, P$2)&gt;0, _xlfn.IFS(COUNTIF($B$38:$C$38, P$2)&gt;0, VLOOKUP($J422,'Gear Values'!$A$2:$E$13, IF(COUNTBLANK('Attributes &amp; Prefixes'!$B$38:$C$38)&gt;0, "2", "3"), 0), COUNTIF($D$38:$E$38, P$2)&gt;0, VLOOKUP($J422,'Gear Values'!$A$2:$E$13, IF(COUNTBLANK('Attributes &amp; Prefixes'!$B$38:$C$38)&gt;0, "4", "5"), 0)), "")</f>
        <v>N/A</v>
      </c>
      <c r="Q422" s="148" t="str" cm="1">
        <f t="array" ref="Q422">IF(COUNTIF($B$38:$E$38, Q$2)&gt;0, _xlfn.IFS(COUNTIF($B$38:$C$38, Q$2)&gt;0, VLOOKUP($J422,'Gear Values'!$A$2:$E$13, IF(COUNTBLANK('Attributes &amp; Prefixes'!$B$38:$C$38)&gt;0, "2", "3"), 0), COUNTIF($D$38:$E$38, Q$2)&gt;0, VLOOKUP($J422,'Gear Values'!$A$2:$E$13, IF(COUNTBLANK('Attributes &amp; Prefixes'!$B$38:$C$38)&gt;0, "4", "5"), 0)), "")</f>
        <v/>
      </c>
      <c r="R422" s="148" t="str" cm="1">
        <f t="array" ref="R422">IF(COUNTIF($B$38:$E$38, R$2)&gt;0, _xlfn.IFS(COUNTIF($B$38:$C$38, R$2)&gt;0, VLOOKUP($J422,'Gear Values'!$A$2:$E$13, IF(COUNTBLANK('Attributes &amp; Prefixes'!$B$38:$C$38)&gt;0, "2", "3"), 0), COUNTIF($D$38:$E$38, R$2)&gt;0, VLOOKUP($J422,'Gear Values'!$A$2:$E$13, IF(COUNTBLANK('Attributes &amp; Prefixes'!$B$38:$C$38)&gt;0, "4", "5"), 0)), "")</f>
        <v/>
      </c>
      <c r="S422" s="150" t="str" cm="1">
        <f t="array" ref="S422">IF(COUNTIF($B$38:$E$38, S$2)&gt;0, _xlfn.IFS(COUNTIF($B$38:$C$38, S$2)&gt;0, VLOOKUP($J422,'Gear Values'!$A$2:$E$13, IF(COUNTBLANK('Attributes &amp; Prefixes'!$B$38:$C$38)&gt;0, "2", "3"), 0), COUNTIF($D$38:$E$38, S$2)&gt;0, VLOOKUP($J422,'Gear Values'!$A$2:$E$13, IF(COUNTBLANK('Attributes &amp; Prefixes'!$B$38:$C$38)&gt;0, "4", "5"), 0)), "")</f>
        <v>N/A</v>
      </c>
      <c r="V422" s="112"/>
      <c r="W422" s="112"/>
    </row>
    <row r="423" spans="6:23">
      <c r="F423" s="114"/>
      <c r="G423" s="114"/>
      <c r="H423" s="130" t="str">
        <f>_xlfn.CONCAT(I$423,J423)</f>
        <v>SentinelWeapon (1H)</v>
      </c>
      <c r="I423" s="519" t="str">
        <f>A39</f>
        <v>Sentinel</v>
      </c>
      <c r="J423" s="145" t="s">
        <v>37</v>
      </c>
      <c r="K423" s="133" cm="1">
        <f t="array" ref="K423">IF(COUNTIF($B$39:$E$39, K$2)&gt;0, _xlfn.IFS(COUNTIF($B$39:$C$39, K$2)&gt;0, VLOOKUP($J423,'Gear Values'!$A$2:$E$13, IF(COUNTBLANK('Attributes &amp; Prefixes'!$B$39:$C$39)&gt;0, "2", "3"), 0), COUNTIF($D$39:$E$39, K$2)&gt;0, VLOOKUP($J423,'Gear Values'!$A$2:$E$13, IF(COUNTBLANK('Attributes &amp; Prefixes'!$B$39:$C$39)&gt;0, "4", "5"), 0)), "")</f>
        <v>85</v>
      </c>
      <c r="L423" s="134" t="str" cm="1">
        <f t="array" ref="L423">IF(COUNTIF($B$39:$E$39, L$2)&gt;0, _xlfn.IFS(COUNTIF($B$39:$C$39, L$2)&gt;0, VLOOKUP($J423,'Gear Values'!$A$2:$E$13, IF(COUNTBLANK('Attributes &amp; Prefixes'!$B$39:$C$39)&gt;0, "2", "3"), 0), COUNTIF($D$39:$E$39, L$2)&gt;0, VLOOKUP($J423,'Gear Values'!$A$2:$E$13, IF(COUNTBLANK('Attributes &amp; Prefixes'!$B$39:$C$39)&gt;0, "4", "5"), 0)), "")</f>
        <v/>
      </c>
      <c r="M423" s="134" cm="1">
        <f t="array" ref="M423">IF(COUNTIF($B$39:$E$39, M$2)&gt;0, _xlfn.IFS(COUNTIF($B$39:$C$39, M$2)&gt;0, VLOOKUP($J423,'Gear Values'!$A$2:$E$13, IF(COUNTBLANK('Attributes &amp; Prefixes'!$B$39:$C$39)&gt;0, "2", "3"), 0), COUNTIF($D$39:$E$39, M$2)&gt;0, VLOOKUP($J423,'Gear Values'!$A$2:$E$13, IF(COUNTBLANK('Attributes &amp; Prefixes'!$B$39:$C$39)&gt;0, "4", "5"), 0)), "")</f>
        <v>85</v>
      </c>
      <c r="N423" s="134" cm="1">
        <f t="array" ref="N423">IF(COUNTIF($B$39:$E$39, N$2)&gt;0, _xlfn.IFS(COUNTIF($B$39:$C$39, N$2)&gt;0, VLOOKUP($J423,'Gear Values'!$A$2:$E$13, IF(COUNTBLANK('Attributes &amp; Prefixes'!$B$39:$C$39)&gt;0, "2", "3"), 0), COUNTIF($D$39:$E$39, N$2)&gt;0, VLOOKUP($J423,'Gear Values'!$A$2:$E$13, IF(COUNTBLANK('Attributes &amp; Prefixes'!$B$39:$C$39)&gt;0, "4", "5"), 0)), "")</f>
        <v>120</v>
      </c>
      <c r="O423" s="134" t="str" cm="1">
        <f t="array" ref="O423">IF(COUNTIF($B$39:$E$39, O$2)&gt;0, _xlfn.IFS(COUNTIF($B$39:$C$39, O$2)&gt;0, VLOOKUP($J423,'Gear Values'!$A$2:$E$13, IF(COUNTBLANK('Attributes &amp; Prefixes'!$B$39:$C$39)&gt;0, "2", "3"), 0), COUNTIF($D$39:$E$39, O$2)&gt;0, VLOOKUP($J423,'Gear Values'!$A$2:$E$13, IF(COUNTBLANK('Attributes &amp; Prefixes'!$B$39:$C$39)&gt;0, "4", "5"), 0)), "")</f>
        <v/>
      </c>
      <c r="P423" s="134" t="str" cm="1">
        <f t="array" ref="P423">IF(COUNTIF($B$39:$E$39, P$2)&gt;0, _xlfn.IFS(COUNTIF($B$39:$C$39, P$2)&gt;0, VLOOKUP($J423,'Gear Values'!$A$2:$E$13, IF(COUNTBLANK('Attributes &amp; Prefixes'!$B$39:$C$39)&gt;0, "2", "3"), 0), COUNTIF($D$39:$E$39, P$2)&gt;0, VLOOKUP($J423,'Gear Values'!$A$2:$E$13, IF(COUNTBLANK('Attributes &amp; Prefixes'!$B$39:$C$39)&gt;0, "4", "5"), 0)), "")</f>
        <v/>
      </c>
      <c r="Q423" s="134" t="str" cm="1">
        <f t="array" ref="Q423">IF(COUNTIF($B$39:$E$39, Q$2)&gt;0, _xlfn.IFS(COUNTIF($B$39:$C$39, Q$2)&gt;0, VLOOKUP($J423,'Gear Values'!$A$2:$E$13, IF(COUNTBLANK('Attributes &amp; Prefixes'!$B$39:$C$39)&gt;0, "2", "3"), 0), COUNTIF($D$39:$E$39, Q$2)&gt;0, VLOOKUP($J423,'Gear Values'!$A$2:$E$13, IF(COUNTBLANK('Attributes &amp; Prefixes'!$B$39:$C$39)&gt;0, "4", "5"), 0)), "")</f>
        <v/>
      </c>
      <c r="R423" s="134" t="str" cm="1">
        <f t="array" ref="R423">IF(COUNTIF($B$39:$E$39, R$2)&gt;0, _xlfn.IFS(COUNTIF($B$39:$C$39, R$2)&gt;0, VLOOKUP($J423,'Gear Values'!$A$2:$E$13, IF(COUNTBLANK('Attributes &amp; Prefixes'!$B$39:$C$39)&gt;0, "2", "3"), 0), COUNTIF($D$39:$E$39, R$2)&gt;0, VLOOKUP($J423,'Gear Values'!$A$2:$E$13, IF(COUNTBLANK('Attributes &amp; Prefixes'!$B$39:$C$39)&gt;0, "4", "5"), 0)), "")</f>
        <v/>
      </c>
      <c r="S423" s="135" t="str" cm="1">
        <f t="array" ref="S423">IF(COUNTIF($B$39:$E$39, S$2)&gt;0, _xlfn.IFS(COUNTIF($B$39:$C$39, S$2)&gt;0, VLOOKUP($J423,'Gear Values'!$A$2:$E$13, IF(COUNTBLANK('Attributes &amp; Prefixes'!$B$39:$C$39)&gt;0, "2", "3"), 0), COUNTIF($D$39:$E$39, S$2)&gt;0, VLOOKUP($J423,'Gear Values'!$A$2:$E$13, IF(COUNTBLANK('Attributes &amp; Prefixes'!$B$39:$C$39)&gt;0, "4", "5"), 0)), "")</f>
        <v/>
      </c>
      <c r="V423" s="112"/>
      <c r="W423" s="112"/>
    </row>
    <row r="424" spans="6:23">
      <c r="F424" s="114"/>
      <c r="G424" s="114"/>
      <c r="H424" s="130" t="str">
        <f>_xlfn.CONCAT(I$423,J424)</f>
        <v>SentinelWeapon (2H)</v>
      </c>
      <c r="I424" s="520"/>
      <c r="J424" s="144" t="s">
        <v>39</v>
      </c>
      <c r="K424" s="136" cm="1">
        <f t="array" ref="K424">IF(COUNTIF($B$39:$E$39, K$2)&gt;0, _xlfn.IFS(COUNTIF($B$39:$C$39, K$2)&gt;0, VLOOKUP($J424,'Gear Values'!$A$2:$E$13, IF(COUNTBLANK('Attributes &amp; Prefixes'!$B$39:$C$39)&gt;0, "2", "3"), 0), COUNTIF($D$39:$E$39, K$2)&gt;0, VLOOKUP($J424,'Gear Values'!$A$2:$E$13, IF(COUNTBLANK('Attributes &amp; Prefixes'!$B$39:$C$39)&gt;0, "4", "5"), 0)), "")</f>
        <v>171</v>
      </c>
      <c r="L424" s="137" t="str" cm="1">
        <f t="array" ref="L424">IF(COUNTIF($B$39:$E$39, L$2)&gt;0, _xlfn.IFS(COUNTIF($B$39:$C$39, L$2)&gt;0, VLOOKUP($J424,'Gear Values'!$A$2:$E$13, IF(COUNTBLANK('Attributes &amp; Prefixes'!$B$39:$C$39)&gt;0, "2", "3"), 0), COUNTIF($D$39:$E$39, L$2)&gt;0, VLOOKUP($J424,'Gear Values'!$A$2:$E$13, IF(COUNTBLANK('Attributes &amp; Prefixes'!$B$39:$C$39)&gt;0, "4", "5"), 0)), "")</f>
        <v/>
      </c>
      <c r="M424" s="137" cm="1">
        <f t="array" ref="M424">IF(COUNTIF($B$39:$E$39, M$2)&gt;0, _xlfn.IFS(COUNTIF($B$39:$C$39, M$2)&gt;0, VLOOKUP($J424,'Gear Values'!$A$2:$E$13, IF(COUNTBLANK('Attributes &amp; Prefixes'!$B$39:$C$39)&gt;0, "2", "3"), 0), COUNTIF($D$39:$E$39, M$2)&gt;0, VLOOKUP($J424,'Gear Values'!$A$2:$E$13, IF(COUNTBLANK('Attributes &amp; Prefixes'!$B$39:$C$39)&gt;0, "4", "5"), 0)), "")</f>
        <v>171</v>
      </c>
      <c r="N424" s="137" cm="1">
        <f t="array" ref="N424">IF(COUNTIF($B$39:$E$39, N$2)&gt;0, _xlfn.IFS(COUNTIF($B$39:$C$39, N$2)&gt;0, VLOOKUP($J424,'Gear Values'!$A$2:$E$13, IF(COUNTBLANK('Attributes &amp; Prefixes'!$B$39:$C$39)&gt;0, "2", "3"), 0), COUNTIF($D$39:$E$39, N$2)&gt;0, VLOOKUP($J424,'Gear Values'!$A$2:$E$13, IF(COUNTBLANK('Attributes &amp; Prefixes'!$B$39:$C$39)&gt;0, "4", "5"), 0)), "")</f>
        <v>239</v>
      </c>
      <c r="O424" s="137" t="str" cm="1">
        <f t="array" ref="O424">IF(COUNTIF($B$39:$E$39, O$2)&gt;0, _xlfn.IFS(COUNTIF($B$39:$C$39, O$2)&gt;0, VLOOKUP($J424,'Gear Values'!$A$2:$E$13, IF(COUNTBLANK('Attributes &amp; Prefixes'!$B$39:$C$39)&gt;0, "2", "3"), 0), COUNTIF($D$39:$E$39, O$2)&gt;0, VLOOKUP($J424,'Gear Values'!$A$2:$E$13, IF(COUNTBLANK('Attributes &amp; Prefixes'!$B$39:$C$39)&gt;0, "4", "5"), 0)), "")</f>
        <v/>
      </c>
      <c r="P424" s="137" t="str" cm="1">
        <f t="array" ref="P424">IF(COUNTIF($B$39:$E$39, P$2)&gt;0, _xlfn.IFS(COUNTIF($B$39:$C$39, P$2)&gt;0, VLOOKUP($J424,'Gear Values'!$A$2:$E$13, IF(COUNTBLANK('Attributes &amp; Prefixes'!$B$39:$C$39)&gt;0, "2", "3"), 0), COUNTIF($D$39:$E$39, P$2)&gt;0, VLOOKUP($J424,'Gear Values'!$A$2:$E$13, IF(COUNTBLANK('Attributes &amp; Prefixes'!$B$39:$C$39)&gt;0, "4", "5"), 0)), "")</f>
        <v/>
      </c>
      <c r="Q424" s="137" t="str" cm="1">
        <f t="array" ref="Q424">IF(COUNTIF($B$39:$E$39, Q$2)&gt;0, _xlfn.IFS(COUNTIF($B$39:$C$39, Q$2)&gt;0, VLOOKUP($J424,'Gear Values'!$A$2:$E$13, IF(COUNTBLANK('Attributes &amp; Prefixes'!$B$39:$C$39)&gt;0, "2", "3"), 0), COUNTIF($D$39:$E$39, Q$2)&gt;0, VLOOKUP($J424,'Gear Values'!$A$2:$E$13, IF(COUNTBLANK('Attributes &amp; Prefixes'!$B$39:$C$39)&gt;0, "4", "5"), 0)), "")</f>
        <v/>
      </c>
      <c r="R424" s="137" t="str" cm="1">
        <f t="array" ref="R424">IF(COUNTIF($B$39:$E$39, R$2)&gt;0, _xlfn.IFS(COUNTIF($B$39:$C$39, R$2)&gt;0, VLOOKUP($J424,'Gear Values'!$A$2:$E$13, IF(COUNTBLANK('Attributes &amp; Prefixes'!$B$39:$C$39)&gt;0, "2", "3"), 0), COUNTIF($D$39:$E$39, R$2)&gt;0, VLOOKUP($J424,'Gear Values'!$A$2:$E$13, IF(COUNTBLANK('Attributes &amp; Prefixes'!$B$39:$C$39)&gt;0, "4", "5"), 0)), "")</f>
        <v/>
      </c>
      <c r="S424" s="138" t="str" cm="1">
        <f t="array" ref="S424">IF(COUNTIF($B$39:$E$39, S$2)&gt;0, _xlfn.IFS(COUNTIF($B$39:$C$39, S$2)&gt;0, VLOOKUP($J424,'Gear Values'!$A$2:$E$13, IF(COUNTBLANK('Attributes &amp; Prefixes'!$B$39:$C$39)&gt;0, "2", "3"), 0), COUNTIF($D$39:$E$39, S$2)&gt;0, VLOOKUP($J424,'Gear Values'!$A$2:$E$13, IF(COUNTBLANK('Attributes &amp; Prefixes'!$B$39:$C$39)&gt;0, "4", "5"), 0)), "")</f>
        <v/>
      </c>
      <c r="V424" s="112"/>
      <c r="W424" s="112"/>
    </row>
    <row r="425" spans="6:23">
      <c r="F425" s="114"/>
      <c r="G425" s="114"/>
      <c r="H425" s="130" t="str">
        <f>_xlfn.CONCAT(I$423,J425)</f>
        <v>SentinelHead</v>
      </c>
      <c r="I425" s="520"/>
      <c r="J425" s="144" t="s">
        <v>40</v>
      </c>
      <c r="K425" s="136" cm="1">
        <f t="array" ref="K425">IF(COUNTIF($B$39:$E$39, K$2)&gt;0, _xlfn.IFS(COUNTIF($B$39:$C$39, K$2)&gt;0, VLOOKUP($J425,'Gear Values'!$A$2:$E$13, IF(COUNTBLANK('Attributes &amp; Prefixes'!$B$39:$C$39)&gt;0, "2", "3"), 0), COUNTIF($D$39:$E$39, K$2)&gt;0, VLOOKUP($J425,'Gear Values'!$A$2:$E$13, IF(COUNTBLANK('Attributes &amp; Prefixes'!$B$39:$C$39)&gt;0, "4", "5"), 0)), "")</f>
        <v>43</v>
      </c>
      <c r="L425" s="137" t="str" cm="1">
        <f t="array" ref="L425">IF(COUNTIF($B$39:$E$39, L$2)&gt;0, _xlfn.IFS(COUNTIF($B$39:$C$39, L$2)&gt;0, VLOOKUP($J425,'Gear Values'!$A$2:$E$13, IF(COUNTBLANK('Attributes &amp; Prefixes'!$B$39:$C$39)&gt;0, "2", "3"), 0), COUNTIF($D$39:$E$39, L$2)&gt;0, VLOOKUP($J425,'Gear Values'!$A$2:$E$13, IF(COUNTBLANK('Attributes &amp; Prefixes'!$B$39:$C$39)&gt;0, "4", "5"), 0)), "")</f>
        <v/>
      </c>
      <c r="M425" s="137" cm="1">
        <f t="array" ref="M425">IF(COUNTIF($B$39:$E$39, M$2)&gt;0, _xlfn.IFS(COUNTIF($B$39:$C$39, M$2)&gt;0, VLOOKUP($J425,'Gear Values'!$A$2:$E$13, IF(COUNTBLANK('Attributes &amp; Prefixes'!$B$39:$C$39)&gt;0, "2", "3"), 0), COUNTIF($D$39:$E$39, M$2)&gt;0, VLOOKUP($J425,'Gear Values'!$A$2:$E$13, IF(COUNTBLANK('Attributes &amp; Prefixes'!$B$39:$C$39)&gt;0, "4", "5"), 0)), "")</f>
        <v>43</v>
      </c>
      <c r="N425" s="137" cm="1">
        <f t="array" ref="N425">IF(COUNTIF($B$39:$E$39, N$2)&gt;0, _xlfn.IFS(COUNTIF($B$39:$C$39, N$2)&gt;0, VLOOKUP($J425,'Gear Values'!$A$2:$E$13, IF(COUNTBLANK('Attributes &amp; Prefixes'!$B$39:$C$39)&gt;0, "2", "3"), 0), COUNTIF($D$39:$E$39, N$2)&gt;0, VLOOKUP($J425,'Gear Values'!$A$2:$E$13, IF(COUNTBLANK('Attributes &amp; Prefixes'!$B$39:$C$39)&gt;0, "4", "5"), 0)), "")</f>
        <v>60</v>
      </c>
      <c r="O425" s="137" t="str" cm="1">
        <f t="array" ref="O425">IF(COUNTIF($B$39:$E$39, O$2)&gt;0, _xlfn.IFS(COUNTIF($B$39:$C$39, O$2)&gt;0, VLOOKUP($J425,'Gear Values'!$A$2:$E$13, IF(COUNTBLANK('Attributes &amp; Prefixes'!$B$39:$C$39)&gt;0, "2", "3"), 0), COUNTIF($D$39:$E$39, O$2)&gt;0, VLOOKUP($J425,'Gear Values'!$A$2:$E$13, IF(COUNTBLANK('Attributes &amp; Prefixes'!$B$39:$C$39)&gt;0, "4", "5"), 0)), "")</f>
        <v/>
      </c>
      <c r="P425" s="137" t="str" cm="1">
        <f t="array" ref="P425">IF(COUNTIF($B$39:$E$39, P$2)&gt;0, _xlfn.IFS(COUNTIF($B$39:$C$39, P$2)&gt;0, VLOOKUP($J425,'Gear Values'!$A$2:$E$13, IF(COUNTBLANK('Attributes &amp; Prefixes'!$B$39:$C$39)&gt;0, "2", "3"), 0), COUNTIF($D$39:$E$39, P$2)&gt;0, VLOOKUP($J425,'Gear Values'!$A$2:$E$13, IF(COUNTBLANK('Attributes &amp; Prefixes'!$B$39:$C$39)&gt;0, "4", "5"), 0)), "")</f>
        <v/>
      </c>
      <c r="Q425" s="137" t="str" cm="1">
        <f t="array" ref="Q425">IF(COUNTIF($B$39:$E$39, Q$2)&gt;0, _xlfn.IFS(COUNTIF($B$39:$C$39, Q$2)&gt;0, VLOOKUP($J425,'Gear Values'!$A$2:$E$13, IF(COUNTBLANK('Attributes &amp; Prefixes'!$B$39:$C$39)&gt;0, "2", "3"), 0), COUNTIF($D$39:$E$39, Q$2)&gt;0, VLOOKUP($J425,'Gear Values'!$A$2:$E$13, IF(COUNTBLANK('Attributes &amp; Prefixes'!$B$39:$C$39)&gt;0, "4", "5"), 0)), "")</f>
        <v/>
      </c>
      <c r="R425" s="137" t="str" cm="1">
        <f t="array" ref="R425">IF(COUNTIF($B$39:$E$39, R$2)&gt;0, _xlfn.IFS(COUNTIF($B$39:$C$39, R$2)&gt;0, VLOOKUP($J425,'Gear Values'!$A$2:$E$13, IF(COUNTBLANK('Attributes &amp; Prefixes'!$B$39:$C$39)&gt;0, "2", "3"), 0), COUNTIF($D$39:$E$39, R$2)&gt;0, VLOOKUP($J425,'Gear Values'!$A$2:$E$13, IF(COUNTBLANK('Attributes &amp; Prefixes'!$B$39:$C$39)&gt;0, "4", "5"), 0)), "")</f>
        <v/>
      </c>
      <c r="S425" s="138" t="str" cm="1">
        <f t="array" ref="S425">IF(COUNTIF($B$39:$E$39, S$2)&gt;0, _xlfn.IFS(COUNTIF($B$39:$C$39, S$2)&gt;0, VLOOKUP($J425,'Gear Values'!$A$2:$E$13, IF(COUNTBLANK('Attributes &amp; Prefixes'!$B$39:$C$39)&gt;0, "2", "3"), 0), COUNTIF($D$39:$E$39, S$2)&gt;0, VLOOKUP($J425,'Gear Values'!$A$2:$E$13, IF(COUNTBLANK('Attributes &amp; Prefixes'!$B$39:$C$39)&gt;0, "4", "5"), 0)), "")</f>
        <v/>
      </c>
      <c r="V425" s="112"/>
      <c r="W425" s="112"/>
    </row>
    <row r="426" spans="6:23">
      <c r="F426" s="114"/>
      <c r="G426" s="114"/>
      <c r="H426" s="130" t="str">
        <f>_xlfn.CONCAT(I$423,J426)</f>
        <v>SentinelShoulders</v>
      </c>
      <c r="I426" s="520"/>
      <c r="J426" s="144" t="s">
        <v>42</v>
      </c>
      <c r="K426" s="136" cm="1">
        <f t="array" ref="K426">IF(COUNTIF($B$39:$E$39, K$2)&gt;0, _xlfn.IFS(COUNTIF($B$39:$C$39, K$2)&gt;0, VLOOKUP($J426,'Gear Values'!$A$2:$E$13, IF(COUNTBLANK('Attributes &amp; Prefixes'!$B$39:$C$39)&gt;0, "2", "3"), 0), COUNTIF($D$39:$E$39, K$2)&gt;0, VLOOKUP($J426,'Gear Values'!$A$2:$E$13, IF(COUNTBLANK('Attributes &amp; Prefixes'!$B$39:$C$39)&gt;0, "4", "5"), 0)), "")</f>
        <v>32</v>
      </c>
      <c r="L426" s="137" t="str" cm="1">
        <f t="array" ref="L426">IF(COUNTIF($B$39:$E$39, L$2)&gt;0, _xlfn.IFS(COUNTIF($B$39:$C$39, L$2)&gt;0, VLOOKUP($J426,'Gear Values'!$A$2:$E$13, IF(COUNTBLANK('Attributes &amp; Prefixes'!$B$39:$C$39)&gt;0, "2", "3"), 0), COUNTIF($D$39:$E$39, L$2)&gt;0, VLOOKUP($J426,'Gear Values'!$A$2:$E$13, IF(COUNTBLANK('Attributes &amp; Prefixes'!$B$39:$C$39)&gt;0, "4", "5"), 0)), "")</f>
        <v/>
      </c>
      <c r="M426" s="137" cm="1">
        <f t="array" ref="M426">IF(COUNTIF($B$39:$E$39, M$2)&gt;0, _xlfn.IFS(COUNTIF($B$39:$C$39, M$2)&gt;0, VLOOKUP($J426,'Gear Values'!$A$2:$E$13, IF(COUNTBLANK('Attributes &amp; Prefixes'!$B$39:$C$39)&gt;0, "2", "3"), 0), COUNTIF($D$39:$E$39, M$2)&gt;0, VLOOKUP($J426,'Gear Values'!$A$2:$E$13, IF(COUNTBLANK('Attributes &amp; Prefixes'!$B$39:$C$39)&gt;0, "4", "5"), 0)), "")</f>
        <v>32</v>
      </c>
      <c r="N426" s="137" cm="1">
        <f t="array" ref="N426">IF(COUNTIF($B$39:$E$39, N$2)&gt;0, _xlfn.IFS(COUNTIF($B$39:$C$39, N$2)&gt;0, VLOOKUP($J426,'Gear Values'!$A$2:$E$13, IF(COUNTBLANK('Attributes &amp; Prefixes'!$B$39:$C$39)&gt;0, "2", "3"), 0), COUNTIF($D$39:$E$39, N$2)&gt;0, VLOOKUP($J426,'Gear Values'!$A$2:$E$13, IF(COUNTBLANK('Attributes &amp; Prefixes'!$B$39:$C$39)&gt;0, "4", "5"), 0)), "")</f>
        <v>45</v>
      </c>
      <c r="O426" s="137" t="str" cm="1">
        <f t="array" ref="O426">IF(COUNTIF($B$39:$E$39, O$2)&gt;0, _xlfn.IFS(COUNTIF($B$39:$C$39, O$2)&gt;0, VLOOKUP($J426,'Gear Values'!$A$2:$E$13, IF(COUNTBLANK('Attributes &amp; Prefixes'!$B$39:$C$39)&gt;0, "2", "3"), 0), COUNTIF($D$39:$E$39, O$2)&gt;0, VLOOKUP($J426,'Gear Values'!$A$2:$E$13, IF(COUNTBLANK('Attributes &amp; Prefixes'!$B$39:$C$39)&gt;0, "4", "5"), 0)), "")</f>
        <v/>
      </c>
      <c r="P426" s="137" t="str" cm="1">
        <f t="array" ref="P426">IF(COUNTIF($B$39:$E$39, P$2)&gt;0, _xlfn.IFS(COUNTIF($B$39:$C$39, P$2)&gt;0, VLOOKUP($J426,'Gear Values'!$A$2:$E$13, IF(COUNTBLANK('Attributes &amp; Prefixes'!$B$39:$C$39)&gt;0, "2", "3"), 0), COUNTIF($D$39:$E$39, P$2)&gt;0, VLOOKUP($J426,'Gear Values'!$A$2:$E$13, IF(COUNTBLANK('Attributes &amp; Prefixes'!$B$39:$C$39)&gt;0, "4", "5"), 0)), "")</f>
        <v/>
      </c>
      <c r="Q426" s="137" t="str" cm="1">
        <f t="array" ref="Q426">IF(COUNTIF($B$39:$E$39, Q$2)&gt;0, _xlfn.IFS(COUNTIF($B$39:$C$39, Q$2)&gt;0, VLOOKUP($J426,'Gear Values'!$A$2:$E$13, IF(COUNTBLANK('Attributes &amp; Prefixes'!$B$39:$C$39)&gt;0, "2", "3"), 0), COUNTIF($D$39:$E$39, Q$2)&gt;0, VLOOKUP($J426,'Gear Values'!$A$2:$E$13, IF(COUNTBLANK('Attributes &amp; Prefixes'!$B$39:$C$39)&gt;0, "4", "5"), 0)), "")</f>
        <v/>
      </c>
      <c r="R426" s="137" t="str" cm="1">
        <f t="array" ref="R426">IF(COUNTIF($B$39:$E$39, R$2)&gt;0, _xlfn.IFS(COUNTIF($B$39:$C$39, R$2)&gt;0, VLOOKUP($J426,'Gear Values'!$A$2:$E$13, IF(COUNTBLANK('Attributes &amp; Prefixes'!$B$39:$C$39)&gt;0, "2", "3"), 0), COUNTIF($D$39:$E$39, R$2)&gt;0, VLOOKUP($J426,'Gear Values'!$A$2:$E$13, IF(COUNTBLANK('Attributes &amp; Prefixes'!$B$39:$C$39)&gt;0, "4", "5"), 0)), "")</f>
        <v/>
      </c>
      <c r="S426" s="138" t="str" cm="1">
        <f t="array" ref="S426">IF(COUNTIF($B$39:$E$39, S$2)&gt;0, _xlfn.IFS(COUNTIF($B$39:$C$39, S$2)&gt;0, VLOOKUP($J426,'Gear Values'!$A$2:$E$13, IF(COUNTBLANK('Attributes &amp; Prefixes'!$B$39:$C$39)&gt;0, "2", "3"), 0), COUNTIF($D$39:$E$39, S$2)&gt;0, VLOOKUP($J426,'Gear Values'!$A$2:$E$13, IF(COUNTBLANK('Attributes &amp; Prefixes'!$B$39:$C$39)&gt;0, "4", "5"), 0)), "")</f>
        <v/>
      </c>
      <c r="V426" s="112"/>
      <c r="W426" s="112"/>
    </row>
    <row r="427" spans="6:23">
      <c r="F427" s="114"/>
      <c r="G427" s="114"/>
      <c r="H427" s="130" t="str">
        <f>_xlfn.CONCAT(I$423,J427)</f>
        <v>SentinelChest</v>
      </c>
      <c r="I427" s="520"/>
      <c r="J427" s="144" t="s">
        <v>44</v>
      </c>
      <c r="K427" s="136" cm="1">
        <f t="array" ref="K427">IF(COUNTIF($B$39:$E$39, K$2)&gt;0, _xlfn.IFS(COUNTIF($B$39:$C$39, K$2)&gt;0, VLOOKUP($J427,'Gear Values'!$A$2:$E$13, IF(COUNTBLANK('Attributes &amp; Prefixes'!$B$39:$C$39)&gt;0, "2", "3"), 0), COUNTIF($D$39:$E$39, K$2)&gt;0, VLOOKUP($J427,'Gear Values'!$A$2:$E$13, IF(COUNTBLANK('Attributes &amp; Prefixes'!$B$39:$C$39)&gt;0, "4", "5"), 0)), "")</f>
        <v>96</v>
      </c>
      <c r="L427" s="137" t="str" cm="1">
        <f t="array" ref="L427">IF(COUNTIF($B$39:$E$39, L$2)&gt;0, _xlfn.IFS(COUNTIF($B$39:$C$39, L$2)&gt;0, VLOOKUP($J427,'Gear Values'!$A$2:$E$13, IF(COUNTBLANK('Attributes &amp; Prefixes'!$B$39:$C$39)&gt;0, "2", "3"), 0), COUNTIF($D$39:$E$39, L$2)&gt;0, VLOOKUP($J427,'Gear Values'!$A$2:$E$13, IF(COUNTBLANK('Attributes &amp; Prefixes'!$B$39:$C$39)&gt;0, "4", "5"), 0)), "")</f>
        <v/>
      </c>
      <c r="M427" s="137" cm="1">
        <f t="array" ref="M427">IF(COUNTIF($B$39:$E$39, M$2)&gt;0, _xlfn.IFS(COUNTIF($B$39:$C$39, M$2)&gt;0, VLOOKUP($J427,'Gear Values'!$A$2:$E$13, IF(COUNTBLANK('Attributes &amp; Prefixes'!$B$39:$C$39)&gt;0, "2", "3"), 0), COUNTIF($D$39:$E$39, M$2)&gt;0, VLOOKUP($J427,'Gear Values'!$A$2:$E$13, IF(COUNTBLANK('Attributes &amp; Prefixes'!$B$39:$C$39)&gt;0, "4", "5"), 0)), "")</f>
        <v>96</v>
      </c>
      <c r="N427" s="137" cm="1">
        <f t="array" ref="N427">IF(COUNTIF($B$39:$E$39, N$2)&gt;0, _xlfn.IFS(COUNTIF($B$39:$C$39, N$2)&gt;0, VLOOKUP($J427,'Gear Values'!$A$2:$E$13, IF(COUNTBLANK('Attributes &amp; Prefixes'!$B$39:$C$39)&gt;0, "2", "3"), 0), COUNTIF($D$39:$E$39, N$2)&gt;0, VLOOKUP($J427,'Gear Values'!$A$2:$E$13, IF(COUNTBLANK('Attributes &amp; Prefixes'!$B$39:$C$39)&gt;0, "4", "5"), 0)), "")</f>
        <v>134</v>
      </c>
      <c r="O427" s="137" t="str" cm="1">
        <f t="array" ref="O427">IF(COUNTIF($B$39:$E$39, O$2)&gt;0, _xlfn.IFS(COUNTIF($B$39:$C$39, O$2)&gt;0, VLOOKUP($J427,'Gear Values'!$A$2:$E$13, IF(COUNTBLANK('Attributes &amp; Prefixes'!$B$39:$C$39)&gt;0, "2", "3"), 0), COUNTIF($D$39:$E$39, O$2)&gt;0, VLOOKUP($J427,'Gear Values'!$A$2:$E$13, IF(COUNTBLANK('Attributes &amp; Prefixes'!$B$39:$C$39)&gt;0, "4", "5"), 0)), "")</f>
        <v/>
      </c>
      <c r="P427" s="137" t="str" cm="1">
        <f t="array" ref="P427">IF(COUNTIF($B$39:$E$39, P$2)&gt;0, _xlfn.IFS(COUNTIF($B$39:$C$39, P$2)&gt;0, VLOOKUP($J427,'Gear Values'!$A$2:$E$13, IF(COUNTBLANK('Attributes &amp; Prefixes'!$B$39:$C$39)&gt;0, "2", "3"), 0), COUNTIF($D$39:$E$39, P$2)&gt;0, VLOOKUP($J427,'Gear Values'!$A$2:$E$13, IF(COUNTBLANK('Attributes &amp; Prefixes'!$B$39:$C$39)&gt;0, "4", "5"), 0)), "")</f>
        <v/>
      </c>
      <c r="Q427" s="137" t="str" cm="1">
        <f t="array" ref="Q427">IF(COUNTIF($B$39:$E$39, Q$2)&gt;0, _xlfn.IFS(COUNTIF($B$39:$C$39, Q$2)&gt;0, VLOOKUP($J427,'Gear Values'!$A$2:$E$13, IF(COUNTBLANK('Attributes &amp; Prefixes'!$B$39:$C$39)&gt;0, "2", "3"), 0), COUNTIF($D$39:$E$39, Q$2)&gt;0, VLOOKUP($J427,'Gear Values'!$A$2:$E$13, IF(COUNTBLANK('Attributes &amp; Prefixes'!$B$39:$C$39)&gt;0, "4", "5"), 0)), "")</f>
        <v/>
      </c>
      <c r="R427" s="137" t="str" cm="1">
        <f t="array" ref="R427">IF(COUNTIF($B$39:$E$39, R$2)&gt;0, _xlfn.IFS(COUNTIF($B$39:$C$39, R$2)&gt;0, VLOOKUP($J427,'Gear Values'!$A$2:$E$13, IF(COUNTBLANK('Attributes &amp; Prefixes'!$B$39:$C$39)&gt;0, "2", "3"), 0), COUNTIF($D$39:$E$39, R$2)&gt;0, VLOOKUP($J427,'Gear Values'!$A$2:$E$13, IF(COUNTBLANK('Attributes &amp; Prefixes'!$B$39:$C$39)&gt;0, "4", "5"), 0)), "")</f>
        <v/>
      </c>
      <c r="S427" s="138" t="str" cm="1">
        <f t="array" ref="S427">IF(COUNTIF($B$39:$E$39, S$2)&gt;0, _xlfn.IFS(COUNTIF($B$39:$C$39, S$2)&gt;0, VLOOKUP($J427,'Gear Values'!$A$2:$E$13, IF(COUNTBLANK('Attributes &amp; Prefixes'!$B$39:$C$39)&gt;0, "2", "3"), 0), COUNTIF($D$39:$E$39, S$2)&gt;0, VLOOKUP($J427,'Gear Values'!$A$2:$E$13, IF(COUNTBLANK('Attributes &amp; Prefixes'!$B$39:$C$39)&gt;0, "4", "5"), 0)), "")</f>
        <v/>
      </c>
      <c r="V427" s="112"/>
      <c r="W427" s="113"/>
    </row>
    <row r="428" spans="6:23">
      <c r="F428" s="114"/>
      <c r="G428" s="114"/>
      <c r="H428" s="130" t="str">
        <f>_xlfn.CONCAT(I$423,J428)</f>
        <v>SentinelHands</v>
      </c>
      <c r="I428" s="520"/>
      <c r="J428" s="144" t="s">
        <v>45</v>
      </c>
      <c r="K428" s="136" cm="1">
        <f t="array" ref="K428">IF(COUNTIF($B$39:$E$39, K$2)&gt;0, _xlfn.IFS(COUNTIF($B$39:$C$39, K$2)&gt;0, VLOOKUP($J428,'Gear Values'!$A$2:$E$13, IF(COUNTBLANK('Attributes &amp; Prefixes'!$B$39:$C$39)&gt;0, "2", "3"), 0), COUNTIF($D$39:$E$39, K$2)&gt;0, VLOOKUP($J428,'Gear Values'!$A$2:$E$13, IF(COUNTBLANK('Attributes &amp; Prefixes'!$B$39:$C$39)&gt;0, "4", "5"), 0)), "")</f>
        <v>32</v>
      </c>
      <c r="L428" s="137" t="str" cm="1">
        <f t="array" ref="L428">IF(COUNTIF($B$39:$E$39, L$2)&gt;0, _xlfn.IFS(COUNTIF($B$39:$C$39, L$2)&gt;0, VLOOKUP($J428,'Gear Values'!$A$2:$E$13, IF(COUNTBLANK('Attributes &amp; Prefixes'!$B$39:$C$39)&gt;0, "2", "3"), 0), COUNTIF($D$39:$E$39, L$2)&gt;0, VLOOKUP($J428,'Gear Values'!$A$2:$E$13, IF(COUNTBLANK('Attributes &amp; Prefixes'!$B$39:$C$39)&gt;0, "4", "5"), 0)), "")</f>
        <v/>
      </c>
      <c r="M428" s="137" cm="1">
        <f t="array" ref="M428">IF(COUNTIF($B$39:$E$39, M$2)&gt;0, _xlfn.IFS(COUNTIF($B$39:$C$39, M$2)&gt;0, VLOOKUP($J428,'Gear Values'!$A$2:$E$13, IF(COUNTBLANK('Attributes &amp; Prefixes'!$B$39:$C$39)&gt;0, "2", "3"), 0), COUNTIF($D$39:$E$39, M$2)&gt;0, VLOOKUP($J428,'Gear Values'!$A$2:$E$13, IF(COUNTBLANK('Attributes &amp; Prefixes'!$B$39:$C$39)&gt;0, "4", "5"), 0)), "")</f>
        <v>32</v>
      </c>
      <c r="N428" s="137" cm="1">
        <f t="array" ref="N428">IF(COUNTIF($B$39:$E$39, N$2)&gt;0, _xlfn.IFS(COUNTIF($B$39:$C$39, N$2)&gt;0, VLOOKUP($J428,'Gear Values'!$A$2:$E$13, IF(COUNTBLANK('Attributes &amp; Prefixes'!$B$39:$C$39)&gt;0, "2", "3"), 0), COUNTIF($D$39:$E$39, N$2)&gt;0, VLOOKUP($J428,'Gear Values'!$A$2:$E$13, IF(COUNTBLANK('Attributes &amp; Prefixes'!$B$39:$C$39)&gt;0, "4", "5"), 0)), "")</f>
        <v>45</v>
      </c>
      <c r="O428" s="137" t="str" cm="1">
        <f t="array" ref="O428">IF(COUNTIF($B$39:$E$39, O$2)&gt;0, _xlfn.IFS(COUNTIF($B$39:$C$39, O$2)&gt;0, VLOOKUP($J428,'Gear Values'!$A$2:$E$13, IF(COUNTBLANK('Attributes &amp; Prefixes'!$B$39:$C$39)&gt;0, "2", "3"), 0), COUNTIF($D$39:$E$39, O$2)&gt;0, VLOOKUP($J428,'Gear Values'!$A$2:$E$13, IF(COUNTBLANK('Attributes &amp; Prefixes'!$B$39:$C$39)&gt;0, "4", "5"), 0)), "")</f>
        <v/>
      </c>
      <c r="P428" s="137" t="str" cm="1">
        <f t="array" ref="P428">IF(COUNTIF($B$39:$E$39, P$2)&gt;0, _xlfn.IFS(COUNTIF($B$39:$C$39, P$2)&gt;0, VLOOKUP($J428,'Gear Values'!$A$2:$E$13, IF(COUNTBLANK('Attributes &amp; Prefixes'!$B$39:$C$39)&gt;0, "2", "3"), 0), COUNTIF($D$39:$E$39, P$2)&gt;0, VLOOKUP($J428,'Gear Values'!$A$2:$E$13, IF(COUNTBLANK('Attributes &amp; Prefixes'!$B$39:$C$39)&gt;0, "4", "5"), 0)), "")</f>
        <v/>
      </c>
      <c r="Q428" s="137" t="str" cm="1">
        <f t="array" ref="Q428">IF(COUNTIF($B$39:$E$39, Q$2)&gt;0, _xlfn.IFS(COUNTIF($B$39:$C$39, Q$2)&gt;0, VLOOKUP($J428,'Gear Values'!$A$2:$E$13, IF(COUNTBLANK('Attributes &amp; Prefixes'!$B$39:$C$39)&gt;0, "2", "3"), 0), COUNTIF($D$39:$E$39, Q$2)&gt;0, VLOOKUP($J428,'Gear Values'!$A$2:$E$13, IF(COUNTBLANK('Attributes &amp; Prefixes'!$B$39:$C$39)&gt;0, "4", "5"), 0)), "")</f>
        <v/>
      </c>
      <c r="R428" s="137" t="str" cm="1">
        <f t="array" ref="R428">IF(COUNTIF($B$39:$E$39, R$2)&gt;0, _xlfn.IFS(COUNTIF($B$39:$C$39, R$2)&gt;0, VLOOKUP($J428,'Gear Values'!$A$2:$E$13, IF(COUNTBLANK('Attributes &amp; Prefixes'!$B$39:$C$39)&gt;0, "2", "3"), 0), COUNTIF($D$39:$E$39, R$2)&gt;0, VLOOKUP($J428,'Gear Values'!$A$2:$E$13, IF(COUNTBLANK('Attributes &amp; Prefixes'!$B$39:$C$39)&gt;0, "4", "5"), 0)), "")</f>
        <v/>
      </c>
      <c r="S428" s="138" t="str" cm="1">
        <f t="array" ref="S428">IF(COUNTIF($B$39:$E$39, S$2)&gt;0, _xlfn.IFS(COUNTIF($B$39:$C$39, S$2)&gt;0, VLOOKUP($J428,'Gear Values'!$A$2:$E$13, IF(COUNTBLANK('Attributes &amp; Prefixes'!$B$39:$C$39)&gt;0, "2", "3"), 0), COUNTIF($D$39:$E$39, S$2)&gt;0, VLOOKUP($J428,'Gear Values'!$A$2:$E$13, IF(COUNTBLANK('Attributes &amp; Prefixes'!$B$39:$C$39)&gt;0, "4", "5"), 0)), "")</f>
        <v/>
      </c>
      <c r="V428" s="112"/>
      <c r="W428" s="113"/>
    </row>
    <row r="429" spans="6:23">
      <c r="F429" s="114"/>
      <c r="G429" s="114"/>
      <c r="H429" s="130" t="str">
        <f>_xlfn.CONCAT(I$423,J429)</f>
        <v>SentinelLegs</v>
      </c>
      <c r="I429" s="520"/>
      <c r="J429" s="144" t="s">
        <v>47</v>
      </c>
      <c r="K429" s="136" cm="1">
        <f t="array" ref="K429">IF(COUNTIF($B$39:$E$39, K$2)&gt;0, _xlfn.IFS(COUNTIF($B$39:$C$39, K$2)&gt;0, VLOOKUP($J429,'Gear Values'!$A$2:$E$13, IF(COUNTBLANK('Attributes &amp; Prefixes'!$B$39:$C$39)&gt;0, "2", "3"), 0), COUNTIF($D$39:$E$39, K$2)&gt;0, VLOOKUP($J429,'Gear Values'!$A$2:$E$13, IF(COUNTBLANK('Attributes &amp; Prefixes'!$B$39:$C$39)&gt;0, "4", "5"), 0)), "")</f>
        <v>64</v>
      </c>
      <c r="L429" s="137" t="str" cm="1">
        <f t="array" ref="L429">IF(COUNTIF($B$39:$E$39, L$2)&gt;0, _xlfn.IFS(COUNTIF($B$39:$C$39, L$2)&gt;0, VLOOKUP($J429,'Gear Values'!$A$2:$E$13, IF(COUNTBLANK('Attributes &amp; Prefixes'!$B$39:$C$39)&gt;0, "2", "3"), 0), COUNTIF($D$39:$E$39, L$2)&gt;0, VLOOKUP($J429,'Gear Values'!$A$2:$E$13, IF(COUNTBLANK('Attributes &amp; Prefixes'!$B$39:$C$39)&gt;0, "4", "5"), 0)), "")</f>
        <v/>
      </c>
      <c r="M429" s="137" cm="1">
        <f t="array" ref="M429">IF(COUNTIF($B$39:$E$39, M$2)&gt;0, _xlfn.IFS(COUNTIF($B$39:$C$39, M$2)&gt;0, VLOOKUP($J429,'Gear Values'!$A$2:$E$13, IF(COUNTBLANK('Attributes &amp; Prefixes'!$B$39:$C$39)&gt;0, "2", "3"), 0), COUNTIF($D$39:$E$39, M$2)&gt;0, VLOOKUP($J429,'Gear Values'!$A$2:$E$13, IF(COUNTBLANK('Attributes &amp; Prefixes'!$B$39:$C$39)&gt;0, "4", "5"), 0)), "")</f>
        <v>64</v>
      </c>
      <c r="N429" s="137" cm="1">
        <f t="array" ref="N429">IF(COUNTIF($B$39:$E$39, N$2)&gt;0, _xlfn.IFS(COUNTIF($B$39:$C$39, N$2)&gt;0, VLOOKUP($J429,'Gear Values'!$A$2:$E$13, IF(COUNTBLANK('Attributes &amp; Prefixes'!$B$39:$C$39)&gt;0, "2", "3"), 0), COUNTIF($D$39:$E$39, N$2)&gt;0, VLOOKUP($J429,'Gear Values'!$A$2:$E$13, IF(COUNTBLANK('Attributes &amp; Prefixes'!$B$39:$C$39)&gt;0, "4", "5"), 0)), "")</f>
        <v>90</v>
      </c>
      <c r="O429" s="137" t="str" cm="1">
        <f t="array" ref="O429">IF(COUNTIF($B$39:$E$39, O$2)&gt;0, _xlfn.IFS(COUNTIF($B$39:$C$39, O$2)&gt;0, VLOOKUP($J429,'Gear Values'!$A$2:$E$13, IF(COUNTBLANK('Attributes &amp; Prefixes'!$B$39:$C$39)&gt;0, "2", "3"), 0), COUNTIF($D$39:$E$39, O$2)&gt;0, VLOOKUP($J429,'Gear Values'!$A$2:$E$13, IF(COUNTBLANK('Attributes &amp; Prefixes'!$B$39:$C$39)&gt;0, "4", "5"), 0)), "")</f>
        <v/>
      </c>
      <c r="P429" s="137" t="str" cm="1">
        <f t="array" ref="P429">IF(COUNTIF($B$39:$E$39, P$2)&gt;0, _xlfn.IFS(COUNTIF($B$39:$C$39, P$2)&gt;0, VLOOKUP($J429,'Gear Values'!$A$2:$E$13, IF(COUNTBLANK('Attributes &amp; Prefixes'!$B$39:$C$39)&gt;0, "2", "3"), 0), COUNTIF($D$39:$E$39, P$2)&gt;0, VLOOKUP($J429,'Gear Values'!$A$2:$E$13, IF(COUNTBLANK('Attributes &amp; Prefixes'!$B$39:$C$39)&gt;0, "4", "5"), 0)), "")</f>
        <v/>
      </c>
      <c r="Q429" s="137" t="str" cm="1">
        <f t="array" ref="Q429">IF(COUNTIF($B$39:$E$39, Q$2)&gt;0, _xlfn.IFS(COUNTIF($B$39:$C$39, Q$2)&gt;0, VLOOKUP($J429,'Gear Values'!$A$2:$E$13, IF(COUNTBLANK('Attributes &amp; Prefixes'!$B$39:$C$39)&gt;0, "2", "3"), 0), COUNTIF($D$39:$E$39, Q$2)&gt;0, VLOOKUP($J429,'Gear Values'!$A$2:$E$13, IF(COUNTBLANK('Attributes &amp; Prefixes'!$B$39:$C$39)&gt;0, "4", "5"), 0)), "")</f>
        <v/>
      </c>
      <c r="R429" s="137" t="str" cm="1">
        <f t="array" ref="R429">IF(COUNTIF($B$39:$E$39, R$2)&gt;0, _xlfn.IFS(COUNTIF($B$39:$C$39, R$2)&gt;0, VLOOKUP($J429,'Gear Values'!$A$2:$E$13, IF(COUNTBLANK('Attributes &amp; Prefixes'!$B$39:$C$39)&gt;0, "2", "3"), 0), COUNTIF($D$39:$E$39, R$2)&gt;0, VLOOKUP($J429,'Gear Values'!$A$2:$E$13, IF(COUNTBLANK('Attributes &amp; Prefixes'!$B$39:$C$39)&gt;0, "4", "5"), 0)), "")</f>
        <v/>
      </c>
      <c r="S429" s="138" t="str" cm="1">
        <f t="array" ref="S429">IF(COUNTIF($B$39:$E$39, S$2)&gt;0, _xlfn.IFS(COUNTIF($B$39:$C$39, S$2)&gt;0, VLOOKUP($J429,'Gear Values'!$A$2:$E$13, IF(COUNTBLANK('Attributes &amp; Prefixes'!$B$39:$C$39)&gt;0, "2", "3"), 0), COUNTIF($D$39:$E$39, S$2)&gt;0, VLOOKUP($J429,'Gear Values'!$A$2:$E$13, IF(COUNTBLANK('Attributes &amp; Prefixes'!$B$39:$C$39)&gt;0, "4", "5"), 0)), "")</f>
        <v/>
      </c>
      <c r="V429" s="112"/>
      <c r="W429" s="113"/>
    </row>
    <row r="430" spans="6:23">
      <c r="H430" s="130" t="str">
        <f>_xlfn.CONCAT(I$423,J430)</f>
        <v>SentinelFeet</v>
      </c>
      <c r="I430" s="520"/>
      <c r="J430" s="144" t="s">
        <v>48</v>
      </c>
      <c r="K430" s="136" cm="1">
        <f t="array" ref="K430">IF(COUNTIF($B$39:$E$39, K$2)&gt;0, _xlfn.IFS(COUNTIF($B$39:$C$39, K$2)&gt;0, VLOOKUP($J430,'Gear Values'!$A$2:$E$13, IF(COUNTBLANK('Attributes &amp; Prefixes'!$B$39:$C$39)&gt;0, "2", "3"), 0), COUNTIF($D$39:$E$39, K$2)&gt;0, VLOOKUP($J430,'Gear Values'!$A$2:$E$13, IF(COUNTBLANK('Attributes &amp; Prefixes'!$B$39:$C$39)&gt;0, "4", "5"), 0)), "")</f>
        <v>32</v>
      </c>
      <c r="L430" s="137" t="str" cm="1">
        <f t="array" ref="L430">IF(COUNTIF($B$39:$E$39, L$2)&gt;0, _xlfn.IFS(COUNTIF($B$39:$C$39, L$2)&gt;0, VLOOKUP($J430,'Gear Values'!$A$2:$E$13, IF(COUNTBLANK('Attributes &amp; Prefixes'!$B$39:$C$39)&gt;0, "2", "3"), 0), COUNTIF($D$39:$E$39, L$2)&gt;0, VLOOKUP($J430,'Gear Values'!$A$2:$E$13, IF(COUNTBLANK('Attributes &amp; Prefixes'!$B$39:$C$39)&gt;0, "4", "5"), 0)), "")</f>
        <v/>
      </c>
      <c r="M430" s="137" cm="1">
        <f t="array" ref="M430">IF(COUNTIF($B$39:$E$39, M$2)&gt;0, _xlfn.IFS(COUNTIF($B$39:$C$39, M$2)&gt;0, VLOOKUP($J430,'Gear Values'!$A$2:$E$13, IF(COUNTBLANK('Attributes &amp; Prefixes'!$B$39:$C$39)&gt;0, "2", "3"), 0), COUNTIF($D$39:$E$39, M$2)&gt;0, VLOOKUP($J430,'Gear Values'!$A$2:$E$13, IF(COUNTBLANK('Attributes &amp; Prefixes'!$B$39:$C$39)&gt;0, "4", "5"), 0)), "")</f>
        <v>32</v>
      </c>
      <c r="N430" s="137" cm="1">
        <f t="array" ref="N430">IF(COUNTIF($B$39:$E$39, N$2)&gt;0, _xlfn.IFS(COUNTIF($B$39:$C$39, N$2)&gt;0, VLOOKUP($J430,'Gear Values'!$A$2:$E$13, IF(COUNTBLANK('Attributes &amp; Prefixes'!$B$39:$C$39)&gt;0, "2", "3"), 0), COUNTIF($D$39:$E$39, N$2)&gt;0, VLOOKUP($J430,'Gear Values'!$A$2:$E$13, IF(COUNTBLANK('Attributes &amp; Prefixes'!$B$39:$C$39)&gt;0, "4", "5"), 0)), "")</f>
        <v>45</v>
      </c>
      <c r="O430" s="137" t="str" cm="1">
        <f t="array" ref="O430">IF(COUNTIF($B$39:$E$39, O$2)&gt;0, _xlfn.IFS(COUNTIF($B$39:$C$39, O$2)&gt;0, VLOOKUP($J430,'Gear Values'!$A$2:$E$13, IF(COUNTBLANK('Attributes &amp; Prefixes'!$B$39:$C$39)&gt;0, "2", "3"), 0), COUNTIF($D$39:$E$39, O$2)&gt;0, VLOOKUP($J430,'Gear Values'!$A$2:$E$13, IF(COUNTBLANK('Attributes &amp; Prefixes'!$B$39:$C$39)&gt;0, "4", "5"), 0)), "")</f>
        <v/>
      </c>
      <c r="P430" s="137" t="str" cm="1">
        <f t="array" ref="P430">IF(COUNTIF($B$39:$E$39, P$2)&gt;0, _xlfn.IFS(COUNTIF($B$39:$C$39, P$2)&gt;0, VLOOKUP($J430,'Gear Values'!$A$2:$E$13, IF(COUNTBLANK('Attributes &amp; Prefixes'!$B$39:$C$39)&gt;0, "2", "3"), 0), COUNTIF($D$39:$E$39, P$2)&gt;0, VLOOKUP($J430,'Gear Values'!$A$2:$E$13, IF(COUNTBLANK('Attributes &amp; Prefixes'!$B$39:$C$39)&gt;0, "4", "5"), 0)), "")</f>
        <v/>
      </c>
      <c r="Q430" s="137" t="str" cm="1">
        <f t="array" ref="Q430">IF(COUNTIF($B$39:$E$39, Q$2)&gt;0, _xlfn.IFS(COUNTIF($B$39:$C$39, Q$2)&gt;0, VLOOKUP($J430,'Gear Values'!$A$2:$E$13, IF(COUNTBLANK('Attributes &amp; Prefixes'!$B$39:$C$39)&gt;0, "2", "3"), 0), COUNTIF($D$39:$E$39, Q$2)&gt;0, VLOOKUP($J430,'Gear Values'!$A$2:$E$13, IF(COUNTBLANK('Attributes &amp; Prefixes'!$B$39:$C$39)&gt;0, "4", "5"), 0)), "")</f>
        <v/>
      </c>
      <c r="R430" s="137" t="str" cm="1">
        <f t="array" ref="R430">IF(COUNTIF($B$39:$E$39, R$2)&gt;0, _xlfn.IFS(COUNTIF($B$39:$C$39, R$2)&gt;0, VLOOKUP($J430,'Gear Values'!$A$2:$E$13, IF(COUNTBLANK('Attributes &amp; Prefixes'!$B$39:$C$39)&gt;0, "2", "3"), 0), COUNTIF($D$39:$E$39, R$2)&gt;0, VLOOKUP($J430,'Gear Values'!$A$2:$E$13, IF(COUNTBLANK('Attributes &amp; Prefixes'!$B$39:$C$39)&gt;0, "4", "5"), 0)), "")</f>
        <v/>
      </c>
      <c r="S430" s="138" t="str" cm="1">
        <f t="array" ref="S430">IF(COUNTIF($B$39:$E$39, S$2)&gt;0, _xlfn.IFS(COUNTIF($B$39:$C$39, S$2)&gt;0, VLOOKUP($J430,'Gear Values'!$A$2:$E$13, IF(COUNTBLANK('Attributes &amp; Prefixes'!$B$39:$C$39)&gt;0, "2", "3"), 0), COUNTIF($D$39:$E$39, S$2)&gt;0, VLOOKUP($J430,'Gear Values'!$A$2:$E$13, IF(COUNTBLANK('Attributes &amp; Prefixes'!$B$39:$C$39)&gt;0, "4", "5"), 0)), "")</f>
        <v/>
      </c>
      <c r="V430" s="112"/>
      <c r="W430" s="113"/>
    </row>
    <row r="431" spans="6:23">
      <c r="H431" s="130" t="str">
        <f>_xlfn.CONCAT($A$57,J431)</f>
        <v>AzuriteEar</v>
      </c>
      <c r="I431" s="520"/>
      <c r="J431" s="144" t="s">
        <v>49</v>
      </c>
      <c r="K431" s="136" cm="1">
        <f t="array" ref="K431">IF(COUNTIF($B$39:$E$39, K$2)&gt;0, _xlfn.IFS(COUNTIF($B$39:$C$39, K$2)&gt;0, VLOOKUP($J431,'Gear Values'!$A$2:$E$13, IF(COUNTBLANK('Attributes &amp; Prefixes'!$B$39:$C$39)&gt;0, "2", "3"), 0), COUNTIF($D$39:$E$39, K$2)&gt;0, VLOOKUP($J431,'Gear Values'!$A$2:$E$13, IF(COUNTBLANK('Attributes &amp; Prefixes'!$B$39:$C$39)&gt;0, "4", "5"), 0)), "")</f>
        <v>53</v>
      </c>
      <c r="L431" s="137" t="str" cm="1">
        <f t="array" ref="L431">IF(COUNTIF($B$39:$E$39, L$2)&gt;0, _xlfn.IFS(COUNTIF($B$39:$C$39, L$2)&gt;0, VLOOKUP($J431,'Gear Values'!$A$2:$E$13, IF(COUNTBLANK('Attributes &amp; Prefixes'!$B$39:$C$39)&gt;0, "2", "3"), 0), COUNTIF($D$39:$E$39, L$2)&gt;0, VLOOKUP($J431,'Gear Values'!$A$2:$E$13, IF(COUNTBLANK('Attributes &amp; Prefixes'!$B$39:$C$39)&gt;0, "4", "5"), 0)), "")</f>
        <v/>
      </c>
      <c r="M431" s="137" cm="1">
        <f t="array" ref="M431">IF(COUNTIF($B$39:$E$39, M$2)&gt;0, _xlfn.IFS(COUNTIF($B$39:$C$39, M$2)&gt;0, VLOOKUP($J431,'Gear Values'!$A$2:$E$13, IF(COUNTBLANK('Attributes &amp; Prefixes'!$B$39:$C$39)&gt;0, "2", "3"), 0), COUNTIF($D$39:$E$39, M$2)&gt;0, VLOOKUP($J431,'Gear Values'!$A$2:$E$13, IF(COUNTBLANK('Attributes &amp; Prefixes'!$B$39:$C$39)&gt;0, "4", "5"), 0)), "")</f>
        <v>53</v>
      </c>
      <c r="N431" s="137" cm="1">
        <f t="array" ref="N431">IF(COUNTIF($B$39:$E$39, N$2)&gt;0, _xlfn.IFS(COUNTIF($B$39:$C$39, N$2)&gt;0, VLOOKUP($J431,'Gear Values'!$A$2:$E$13, IF(COUNTBLANK('Attributes &amp; Prefixes'!$B$39:$C$39)&gt;0, "2", "3"), 0), COUNTIF($D$39:$E$39, N$2)&gt;0, VLOOKUP($J431,'Gear Values'!$A$2:$E$13, IF(COUNTBLANK('Attributes &amp; Prefixes'!$B$39:$C$39)&gt;0, "4", "5"), 0)), "")</f>
        <v>75</v>
      </c>
      <c r="O431" s="137" t="str" cm="1">
        <f t="array" ref="O431">IF(COUNTIF($B$39:$E$39, O$2)&gt;0, _xlfn.IFS(COUNTIF($B$39:$C$39, O$2)&gt;0, VLOOKUP($J431,'Gear Values'!$A$2:$E$13, IF(COUNTBLANK('Attributes &amp; Prefixes'!$B$39:$C$39)&gt;0, "2", "3"), 0), COUNTIF($D$39:$E$39, O$2)&gt;0, VLOOKUP($J431,'Gear Values'!$A$2:$E$13, IF(COUNTBLANK('Attributes &amp; Prefixes'!$B$39:$C$39)&gt;0, "4", "5"), 0)), "")</f>
        <v/>
      </c>
      <c r="P431" s="137" t="str" cm="1">
        <f t="array" ref="P431">IF(COUNTIF($B$39:$E$39, P$2)&gt;0, _xlfn.IFS(COUNTIF($B$39:$C$39, P$2)&gt;0, VLOOKUP($J431,'Gear Values'!$A$2:$E$13, IF(COUNTBLANK('Attributes &amp; Prefixes'!$B$39:$C$39)&gt;0, "2", "3"), 0), COUNTIF($D$39:$E$39, P$2)&gt;0, VLOOKUP($J431,'Gear Values'!$A$2:$E$13, IF(COUNTBLANK('Attributes &amp; Prefixes'!$B$39:$C$39)&gt;0, "4", "5"), 0)), "")</f>
        <v/>
      </c>
      <c r="Q431" s="137" t="str" cm="1">
        <f t="array" ref="Q431">IF(COUNTIF($B$39:$E$39, Q$2)&gt;0, _xlfn.IFS(COUNTIF($B$39:$C$39, Q$2)&gt;0, VLOOKUP($J431,'Gear Values'!$A$2:$E$13, IF(COUNTBLANK('Attributes &amp; Prefixes'!$B$39:$C$39)&gt;0, "2", "3"), 0), COUNTIF($D$39:$E$39, Q$2)&gt;0, VLOOKUP($J431,'Gear Values'!$A$2:$E$13, IF(COUNTBLANK('Attributes &amp; Prefixes'!$B$39:$C$39)&gt;0, "4", "5"), 0)), "")</f>
        <v/>
      </c>
      <c r="R431" s="137" t="str" cm="1">
        <f t="array" ref="R431">IF(COUNTIF($B$39:$E$39, R$2)&gt;0, _xlfn.IFS(COUNTIF($B$39:$C$39, R$2)&gt;0, VLOOKUP($J431,'Gear Values'!$A$2:$E$13, IF(COUNTBLANK('Attributes &amp; Prefixes'!$B$39:$C$39)&gt;0, "2", "3"), 0), COUNTIF($D$39:$E$39, R$2)&gt;0, VLOOKUP($J431,'Gear Values'!$A$2:$E$13, IF(COUNTBLANK('Attributes &amp; Prefixes'!$B$39:$C$39)&gt;0, "4", "5"), 0)), "")</f>
        <v/>
      </c>
      <c r="S431" s="138" t="str" cm="1">
        <f t="array" ref="S431">IF(COUNTIF($B$39:$E$39, S$2)&gt;0, _xlfn.IFS(COUNTIF($B$39:$C$39, S$2)&gt;0, VLOOKUP($J431,'Gear Values'!$A$2:$E$13, IF(COUNTBLANK('Attributes &amp; Prefixes'!$B$39:$C$39)&gt;0, "2", "3"), 0), COUNTIF($D$39:$E$39, S$2)&gt;0, VLOOKUP($J431,'Gear Values'!$A$2:$E$13, IF(COUNTBLANK('Attributes &amp; Prefixes'!$B$39:$C$39)&gt;0, "4", "5"), 0)), "")</f>
        <v/>
      </c>
      <c r="V431" s="112"/>
      <c r="W431" s="113"/>
    </row>
    <row r="432" spans="6:23">
      <c r="H432" s="130" t="str">
        <f>_xlfn.CONCAT($A$57,J432)</f>
        <v>AzuriteFinger</v>
      </c>
      <c r="I432" s="520"/>
      <c r="J432" s="144" t="s">
        <v>51</v>
      </c>
      <c r="K432" s="136" cm="1">
        <f t="array" ref="K432">IF(COUNTIF($B$39:$E$39, K$2)&gt;0, _xlfn.IFS(COUNTIF($B$39:$C$39, K$2)&gt;0, VLOOKUP($J432,'Gear Values'!$A$2:$E$13, IF(COUNTBLANK('Attributes &amp; Prefixes'!$B$39:$C$39)&gt;0, "2", "3"), 0), COUNTIF($D$39:$E$39, K$2)&gt;0, VLOOKUP($J432,'Gear Values'!$A$2:$E$13, IF(COUNTBLANK('Attributes &amp; Prefixes'!$B$39:$C$39)&gt;0, "4", "5"), 0)), "")</f>
        <v>64</v>
      </c>
      <c r="L432" s="137" t="str" cm="1">
        <f t="array" ref="L432">IF(COUNTIF($B$39:$E$39, L$2)&gt;0, _xlfn.IFS(COUNTIF($B$39:$C$39, L$2)&gt;0, VLOOKUP($J432,'Gear Values'!$A$2:$E$13, IF(COUNTBLANK('Attributes &amp; Prefixes'!$B$39:$C$39)&gt;0, "2", "3"), 0), COUNTIF($D$39:$E$39, L$2)&gt;0, VLOOKUP($J432,'Gear Values'!$A$2:$E$13, IF(COUNTBLANK('Attributes &amp; Prefixes'!$B$39:$C$39)&gt;0, "4", "5"), 0)), "")</f>
        <v/>
      </c>
      <c r="M432" s="137" cm="1">
        <f t="array" ref="M432">IF(COUNTIF($B$39:$E$39, M$2)&gt;0, _xlfn.IFS(COUNTIF($B$39:$C$39, M$2)&gt;0, VLOOKUP($J432,'Gear Values'!$A$2:$E$13, IF(COUNTBLANK('Attributes &amp; Prefixes'!$B$39:$C$39)&gt;0, "2", "3"), 0), COUNTIF($D$39:$E$39, M$2)&gt;0, VLOOKUP($J432,'Gear Values'!$A$2:$E$13, IF(COUNTBLANK('Attributes &amp; Prefixes'!$B$39:$C$39)&gt;0, "4", "5"), 0)), "")</f>
        <v>64</v>
      </c>
      <c r="N432" s="137" cm="1">
        <f t="array" ref="N432">IF(COUNTIF($B$39:$E$39, N$2)&gt;0, _xlfn.IFS(COUNTIF($B$39:$C$39, N$2)&gt;0, VLOOKUP($J432,'Gear Values'!$A$2:$E$13, IF(COUNTBLANK('Attributes &amp; Prefixes'!$B$39:$C$39)&gt;0, "2", "3"), 0), COUNTIF($D$39:$E$39, N$2)&gt;0, VLOOKUP($J432,'Gear Values'!$A$2:$E$13, IF(COUNTBLANK('Attributes &amp; Prefixes'!$B$39:$C$39)&gt;0, "4", "5"), 0)), "")</f>
        <v>90</v>
      </c>
      <c r="O432" s="137" t="str" cm="1">
        <f t="array" ref="O432">IF(COUNTIF($B$39:$E$39, O$2)&gt;0, _xlfn.IFS(COUNTIF($B$39:$C$39, O$2)&gt;0, VLOOKUP($J432,'Gear Values'!$A$2:$E$13, IF(COUNTBLANK('Attributes &amp; Prefixes'!$B$39:$C$39)&gt;0, "2", "3"), 0), COUNTIF($D$39:$E$39, O$2)&gt;0, VLOOKUP($J432,'Gear Values'!$A$2:$E$13, IF(COUNTBLANK('Attributes &amp; Prefixes'!$B$39:$C$39)&gt;0, "4", "5"), 0)), "")</f>
        <v/>
      </c>
      <c r="P432" s="137" t="str" cm="1">
        <f t="array" ref="P432">IF(COUNTIF($B$39:$E$39, P$2)&gt;0, _xlfn.IFS(COUNTIF($B$39:$C$39, P$2)&gt;0, VLOOKUP($J432,'Gear Values'!$A$2:$E$13, IF(COUNTBLANK('Attributes &amp; Prefixes'!$B$39:$C$39)&gt;0, "2", "3"), 0), COUNTIF($D$39:$E$39, P$2)&gt;0, VLOOKUP($J432,'Gear Values'!$A$2:$E$13, IF(COUNTBLANK('Attributes &amp; Prefixes'!$B$39:$C$39)&gt;0, "4", "5"), 0)), "")</f>
        <v/>
      </c>
      <c r="Q432" s="137" t="str" cm="1">
        <f t="array" ref="Q432">IF(COUNTIF($B$39:$E$39, Q$2)&gt;0, _xlfn.IFS(COUNTIF($B$39:$C$39, Q$2)&gt;0, VLOOKUP($J432,'Gear Values'!$A$2:$E$13, IF(COUNTBLANK('Attributes &amp; Prefixes'!$B$39:$C$39)&gt;0, "2", "3"), 0), COUNTIF($D$39:$E$39, Q$2)&gt;0, VLOOKUP($J432,'Gear Values'!$A$2:$E$13, IF(COUNTBLANK('Attributes &amp; Prefixes'!$B$39:$C$39)&gt;0, "4", "5"), 0)), "")</f>
        <v/>
      </c>
      <c r="R432" s="137" t="str" cm="1">
        <f t="array" ref="R432">IF(COUNTIF($B$39:$E$39, R$2)&gt;0, _xlfn.IFS(COUNTIF($B$39:$C$39, R$2)&gt;0, VLOOKUP($J432,'Gear Values'!$A$2:$E$13, IF(COUNTBLANK('Attributes &amp; Prefixes'!$B$39:$C$39)&gt;0, "2", "3"), 0), COUNTIF($D$39:$E$39, R$2)&gt;0, VLOOKUP($J432,'Gear Values'!$A$2:$E$13, IF(COUNTBLANK('Attributes &amp; Prefixes'!$B$39:$C$39)&gt;0, "4", "5"), 0)), "")</f>
        <v/>
      </c>
      <c r="S432" s="138" t="str" cm="1">
        <f t="array" ref="S432">IF(COUNTIF($B$39:$E$39, S$2)&gt;0, _xlfn.IFS(COUNTIF($B$39:$C$39, S$2)&gt;0, VLOOKUP($J432,'Gear Values'!$A$2:$E$13, IF(COUNTBLANK('Attributes &amp; Prefixes'!$B$39:$C$39)&gt;0, "2", "3"), 0), COUNTIF($D$39:$E$39, S$2)&gt;0, VLOOKUP($J432,'Gear Values'!$A$2:$E$13, IF(COUNTBLANK('Attributes &amp; Prefixes'!$B$39:$C$39)&gt;0, "4", "5"), 0)), "")</f>
        <v/>
      </c>
      <c r="V432" s="112"/>
      <c r="W432" s="113"/>
    </row>
    <row r="433" spans="8:23">
      <c r="H433" s="130" t="str">
        <f>_xlfn.CONCAT($A$57,J433)</f>
        <v>AzuriteNeck</v>
      </c>
      <c r="I433" s="520"/>
      <c r="J433" s="144" t="s">
        <v>52</v>
      </c>
      <c r="K433" s="136" cm="1">
        <f t="array" ref="K433">IF(COUNTIF($B$39:$E$39, K$2)&gt;0, _xlfn.IFS(COUNTIF($B$39:$C$39, K$2)&gt;0, VLOOKUP($J433,'Gear Values'!$A$2:$E$13, IF(COUNTBLANK('Attributes &amp; Prefixes'!$B$39:$C$39)&gt;0, "2", "3"), 0), COUNTIF($D$39:$E$39, K$2)&gt;0, VLOOKUP($J433,'Gear Values'!$A$2:$E$13, IF(COUNTBLANK('Attributes &amp; Prefixes'!$B$39:$C$39)&gt;0, "4", "5"), 0)), "")</f>
        <v>85</v>
      </c>
      <c r="L433" s="137" t="str" cm="1">
        <f t="array" ref="L433">IF(COUNTIF($B$39:$E$39, L$2)&gt;0, _xlfn.IFS(COUNTIF($B$39:$C$39, L$2)&gt;0, VLOOKUP($J433,'Gear Values'!$A$2:$E$13, IF(COUNTBLANK('Attributes &amp; Prefixes'!$B$39:$C$39)&gt;0, "2", "3"), 0), COUNTIF($D$39:$E$39, L$2)&gt;0, VLOOKUP($J433,'Gear Values'!$A$2:$E$13, IF(COUNTBLANK('Attributes &amp; Prefixes'!$B$39:$C$39)&gt;0, "4", "5"), 0)), "")</f>
        <v/>
      </c>
      <c r="M433" s="137" cm="1">
        <f t="array" ref="M433">IF(COUNTIF($B$39:$E$39, M$2)&gt;0, _xlfn.IFS(COUNTIF($B$39:$C$39, M$2)&gt;0, VLOOKUP($J433,'Gear Values'!$A$2:$E$13, IF(COUNTBLANK('Attributes &amp; Prefixes'!$B$39:$C$39)&gt;0, "2", "3"), 0), COUNTIF($D$39:$E$39, M$2)&gt;0, VLOOKUP($J433,'Gear Values'!$A$2:$E$13, IF(COUNTBLANK('Attributes &amp; Prefixes'!$B$39:$C$39)&gt;0, "4", "5"), 0)), "")</f>
        <v>85</v>
      </c>
      <c r="N433" s="137" cm="1">
        <f t="array" ref="N433">IF(COUNTIF($B$39:$E$39, N$2)&gt;0, _xlfn.IFS(COUNTIF($B$39:$C$39, N$2)&gt;0, VLOOKUP($J433,'Gear Values'!$A$2:$E$13, IF(COUNTBLANK('Attributes &amp; Prefixes'!$B$39:$C$39)&gt;0, "2", "3"), 0), COUNTIF($D$39:$E$39, N$2)&gt;0, VLOOKUP($J433,'Gear Values'!$A$2:$E$13, IF(COUNTBLANK('Attributes &amp; Prefixes'!$B$39:$C$39)&gt;0, "4", "5"), 0)), "")</f>
        <v>120</v>
      </c>
      <c r="O433" s="137" t="str" cm="1">
        <f t="array" ref="O433">IF(COUNTIF($B$39:$E$39, O$2)&gt;0, _xlfn.IFS(COUNTIF($B$39:$C$39, O$2)&gt;0, VLOOKUP($J433,'Gear Values'!$A$2:$E$13, IF(COUNTBLANK('Attributes &amp; Prefixes'!$B$39:$C$39)&gt;0, "2", "3"), 0), COUNTIF($D$39:$E$39, O$2)&gt;0, VLOOKUP($J433,'Gear Values'!$A$2:$E$13, IF(COUNTBLANK('Attributes &amp; Prefixes'!$B$39:$C$39)&gt;0, "4", "5"), 0)), "")</f>
        <v/>
      </c>
      <c r="P433" s="137" t="str" cm="1">
        <f t="array" ref="P433">IF(COUNTIF($B$39:$E$39, P$2)&gt;0, _xlfn.IFS(COUNTIF($B$39:$C$39, P$2)&gt;0, VLOOKUP($J433,'Gear Values'!$A$2:$E$13, IF(COUNTBLANK('Attributes &amp; Prefixes'!$B$39:$C$39)&gt;0, "2", "3"), 0), COUNTIF($D$39:$E$39, P$2)&gt;0, VLOOKUP($J433,'Gear Values'!$A$2:$E$13, IF(COUNTBLANK('Attributes &amp; Prefixes'!$B$39:$C$39)&gt;0, "4", "5"), 0)), "")</f>
        <v/>
      </c>
      <c r="Q433" s="137" t="str" cm="1">
        <f t="array" ref="Q433">IF(COUNTIF($B$39:$E$39, Q$2)&gt;0, _xlfn.IFS(COUNTIF($B$39:$C$39, Q$2)&gt;0, VLOOKUP($J433,'Gear Values'!$A$2:$E$13, IF(COUNTBLANK('Attributes &amp; Prefixes'!$B$39:$C$39)&gt;0, "2", "3"), 0), COUNTIF($D$39:$E$39, Q$2)&gt;0, VLOOKUP($J433,'Gear Values'!$A$2:$E$13, IF(COUNTBLANK('Attributes &amp; Prefixes'!$B$39:$C$39)&gt;0, "4", "5"), 0)), "")</f>
        <v/>
      </c>
      <c r="R433" s="137" t="str" cm="1">
        <f t="array" ref="R433">IF(COUNTIF($B$39:$E$39, R$2)&gt;0, _xlfn.IFS(COUNTIF($B$39:$C$39, R$2)&gt;0, VLOOKUP($J433,'Gear Values'!$A$2:$E$13, IF(COUNTBLANK('Attributes &amp; Prefixes'!$B$39:$C$39)&gt;0, "2", "3"), 0), COUNTIF($D$39:$E$39, R$2)&gt;0, VLOOKUP($J433,'Gear Values'!$A$2:$E$13, IF(COUNTBLANK('Attributes &amp; Prefixes'!$B$39:$C$39)&gt;0, "4", "5"), 0)), "")</f>
        <v/>
      </c>
      <c r="S433" s="138" t="str" cm="1">
        <f t="array" ref="S433">IF(COUNTIF($B$39:$E$39, S$2)&gt;0, _xlfn.IFS(COUNTIF($B$39:$C$39, S$2)&gt;0, VLOOKUP($J433,'Gear Values'!$A$2:$E$13, IF(COUNTBLANK('Attributes &amp; Prefixes'!$B$39:$C$39)&gt;0, "2", "3"), 0), COUNTIF($D$39:$E$39, S$2)&gt;0, VLOOKUP($J433,'Gear Values'!$A$2:$E$13, IF(COUNTBLANK('Attributes &amp; Prefixes'!$B$39:$C$39)&gt;0, "4", "5"), 0)), "")</f>
        <v/>
      </c>
      <c r="V433" s="112"/>
      <c r="W433" s="113"/>
    </row>
    <row r="434" spans="8:23">
      <c r="H434" s="130" t="str">
        <f>_xlfn.CONCAT(I$423,J434)</f>
        <v>SentinelBack</v>
      </c>
      <c r="I434" s="521"/>
      <c r="J434" s="146" t="s">
        <v>53</v>
      </c>
      <c r="K434" s="147" cm="1">
        <f t="array" ref="K434">IF(COUNTIF($B$39:$E$39, K$2)&gt;0, _xlfn.IFS(COUNTIF($B$39:$C$39, K$2)&gt;0, VLOOKUP($J434,'Gear Values'!$A$2:$E$13, IF(COUNTBLANK('Attributes &amp; Prefixes'!$B$39:$C$39)&gt;0, "2", "3"), 0), COUNTIF($D$39:$E$39, K$2)&gt;0, VLOOKUP($J434,'Gear Values'!$A$2:$E$13, IF(COUNTBLANK('Attributes &amp; Prefixes'!$B$39:$C$39)&gt;0, "4", "5"), 0)), "")</f>
        <v>18</v>
      </c>
      <c r="L434" s="148" t="str" cm="1">
        <f t="array" ref="L434">IF(COUNTIF($B$39:$E$39, L$2)&gt;0, _xlfn.IFS(COUNTIF($B$39:$C$39, L$2)&gt;0, VLOOKUP($J434,'Gear Values'!$A$2:$E$13, IF(COUNTBLANK('Attributes &amp; Prefixes'!$B$39:$C$39)&gt;0, "2", "3"), 0), COUNTIF($D$39:$E$39, L$2)&gt;0, VLOOKUP($J434,'Gear Values'!$A$2:$E$13, IF(COUNTBLANK('Attributes &amp; Prefixes'!$B$39:$C$39)&gt;0, "4", "5"), 0)), "")</f>
        <v/>
      </c>
      <c r="M434" s="148" cm="1">
        <f t="array" ref="M434">IF(COUNTIF($B$39:$E$39, M$2)&gt;0, _xlfn.IFS(COUNTIF($B$39:$C$39, M$2)&gt;0, VLOOKUP($J434,'Gear Values'!$A$2:$E$13, IF(COUNTBLANK('Attributes &amp; Prefixes'!$B$39:$C$39)&gt;0, "2", "3"), 0), COUNTIF($D$39:$E$39, M$2)&gt;0, VLOOKUP($J434,'Gear Values'!$A$2:$E$13, IF(COUNTBLANK('Attributes &amp; Prefixes'!$B$39:$C$39)&gt;0, "4", "5"), 0)), "")</f>
        <v>18</v>
      </c>
      <c r="N434" s="148" cm="1">
        <f t="array" ref="N434">IF(COUNTIF($B$39:$E$39, N$2)&gt;0, _xlfn.IFS(COUNTIF($B$39:$C$39, N$2)&gt;0, VLOOKUP($J434,'Gear Values'!$A$2:$E$13, IF(COUNTBLANK('Attributes &amp; Prefixes'!$B$39:$C$39)&gt;0, "2", "3"), 0), COUNTIF($D$39:$E$39, N$2)&gt;0, VLOOKUP($J434,'Gear Values'!$A$2:$E$13, IF(COUNTBLANK('Attributes &amp; Prefixes'!$B$39:$C$39)&gt;0, "4", "5"), 0)), "")</f>
        <v>32</v>
      </c>
      <c r="O434" s="148" t="str" cm="1">
        <f t="array" ref="O434">IF(COUNTIF($B$39:$E$39, O$2)&gt;0, _xlfn.IFS(COUNTIF($B$39:$C$39, O$2)&gt;0, VLOOKUP($J434,'Gear Values'!$A$2:$E$13, IF(COUNTBLANK('Attributes &amp; Prefixes'!$B$39:$C$39)&gt;0, "2", "3"), 0), COUNTIF($D$39:$E$39, O$2)&gt;0, VLOOKUP($J434,'Gear Values'!$A$2:$E$13, IF(COUNTBLANK('Attributes &amp; Prefixes'!$B$39:$C$39)&gt;0, "4", "5"), 0)), "")</f>
        <v/>
      </c>
      <c r="P434" s="148" t="str" cm="1">
        <f t="array" ref="P434">IF(COUNTIF($B$39:$E$39, P$2)&gt;0, _xlfn.IFS(COUNTIF($B$39:$C$39, P$2)&gt;0, VLOOKUP($J434,'Gear Values'!$A$2:$E$13, IF(COUNTBLANK('Attributes &amp; Prefixes'!$B$39:$C$39)&gt;0, "2", "3"), 0), COUNTIF($D$39:$E$39, P$2)&gt;0, VLOOKUP($J434,'Gear Values'!$A$2:$E$13, IF(COUNTBLANK('Attributes &amp; Prefixes'!$B$39:$C$39)&gt;0, "4", "5"), 0)), "")</f>
        <v/>
      </c>
      <c r="Q434" s="148" t="str" cm="1">
        <f t="array" ref="Q434">IF(COUNTIF($B$39:$E$39, Q$2)&gt;0, _xlfn.IFS(COUNTIF($B$39:$C$39, Q$2)&gt;0, VLOOKUP($J434,'Gear Values'!$A$2:$E$13, IF(COUNTBLANK('Attributes &amp; Prefixes'!$B$39:$C$39)&gt;0, "2", "3"), 0), COUNTIF($D$39:$E$39, Q$2)&gt;0, VLOOKUP($J434,'Gear Values'!$A$2:$E$13, IF(COUNTBLANK('Attributes &amp; Prefixes'!$B$39:$C$39)&gt;0, "4", "5"), 0)), "")</f>
        <v/>
      </c>
      <c r="R434" s="148" t="str" cm="1">
        <f t="array" ref="R434">IF(COUNTIF($B$39:$E$39, R$2)&gt;0, _xlfn.IFS(COUNTIF($B$39:$C$39, R$2)&gt;0, VLOOKUP($J434,'Gear Values'!$A$2:$E$13, IF(COUNTBLANK('Attributes &amp; Prefixes'!$B$39:$C$39)&gt;0, "2", "3"), 0), COUNTIF($D$39:$E$39, R$2)&gt;0, VLOOKUP($J434,'Gear Values'!$A$2:$E$13, IF(COUNTBLANK('Attributes &amp; Prefixes'!$B$39:$C$39)&gt;0, "4", "5"), 0)), "")</f>
        <v/>
      </c>
      <c r="S434" s="150" t="str" cm="1">
        <f t="array" ref="S434">IF(COUNTIF($B$39:$E$39, S$2)&gt;0, _xlfn.IFS(COUNTIF($B$39:$C$39, S$2)&gt;0, VLOOKUP($J434,'Gear Values'!$A$2:$E$13, IF(COUNTBLANK('Attributes &amp; Prefixes'!$B$39:$C$39)&gt;0, "2", "3"), 0), COUNTIF($D$39:$E$39, S$2)&gt;0, VLOOKUP($J434,'Gear Values'!$A$2:$E$13, IF(COUNTBLANK('Attributes &amp; Prefixes'!$B$39:$C$39)&gt;0, "4", "5"), 0)), "")</f>
        <v/>
      </c>
      <c r="V434" s="112"/>
      <c r="W434" s="113"/>
    </row>
    <row r="435" spans="8:23">
      <c r="H435" s="130" t="str">
        <f>_xlfn.CONCAT(I$435,J435)</f>
        <v>SeraphWeapon (1H)</v>
      </c>
      <c r="I435" s="519" t="str">
        <f>A40</f>
        <v>Seraph</v>
      </c>
      <c r="J435" s="145" t="s">
        <v>37</v>
      </c>
      <c r="K435" s="133" t="str" cm="1">
        <f t="array" ref="K435">IF(COUNTIF($B$40:$E$40, K$2)&gt;0, _xlfn.IFS(COUNTIF($B$40:$C$40, K$2)&gt;0, VLOOKUP($J435,'Gear Values'!$A$2:$E$13, IF(COUNTBLANK('Attributes &amp; Prefixes'!$B$40:$C$40)&gt;0, "2", "3"), 0), COUNTIF($D$40:$E$40, K$2)&gt;0, VLOOKUP($J435,'Gear Values'!$A$2:$E$13, IF(COUNTBLANK('Attributes &amp; Prefixes'!$B$40:$C$40)&gt;0, "4", "5"), 0)), "")</f>
        <v/>
      </c>
      <c r="L435" s="134" cm="1">
        <f t="array" ref="L435">IF(COUNTIF($B$40:$E$40, L$2)&gt;0, _xlfn.IFS(COUNTIF($B$40:$C$40, L$2)&gt;0, VLOOKUP($J435,'Gear Values'!$A$2:$E$13, IF(COUNTBLANK('Attributes &amp; Prefixes'!$B$40:$C$40)&gt;0, "2", "3"), 0), COUNTIF($D$40:$E$40, L$2)&gt;0, VLOOKUP($J435,'Gear Values'!$A$2:$E$13, IF(COUNTBLANK('Attributes &amp; Prefixes'!$B$40:$C$40)&gt;0, "4", "5"), 0)), "")</f>
        <v>102</v>
      </c>
      <c r="M435" s="134" t="str" cm="1">
        <f t="array" ref="M435">IF(COUNTIF($B$40:$E$40, M$2)&gt;0, _xlfn.IFS(COUNTIF($B$40:$C$40, M$2)&gt;0, VLOOKUP($J435,'Gear Values'!$A$2:$E$13, IF(COUNTBLANK('Attributes &amp; Prefixes'!$B$40:$C$40)&gt;0, "2", "3"), 0), COUNTIF($D$40:$E$40, M$2)&gt;0, VLOOKUP($J435,'Gear Values'!$A$2:$E$13, IF(COUNTBLANK('Attributes &amp; Prefixes'!$B$40:$C$40)&gt;0, "4", "5"), 0)), "")</f>
        <v/>
      </c>
      <c r="N435" s="134" t="str" cm="1">
        <f t="array" ref="N435">IF(COUNTIF($B$40:$E$40, N$2)&gt;0, _xlfn.IFS(COUNTIF($B$40:$C$40, N$2)&gt;0, VLOOKUP($J435,'Gear Values'!$A$2:$E$13, IF(COUNTBLANK('Attributes &amp; Prefixes'!$B$40:$C$40)&gt;0, "2", "3"), 0), COUNTIF($D$40:$E$40, N$2)&gt;0, VLOOKUP($J435,'Gear Values'!$A$2:$E$13, IF(COUNTBLANK('Attributes &amp; Prefixes'!$B$40:$C$40)&gt;0, "4", "5"), 0)), "")</f>
        <v/>
      </c>
      <c r="O435" s="134" cm="1">
        <f t="array" ref="O435">IF(COUNTIF($B$40:$E$40, O$2)&gt;0, _xlfn.IFS(COUNTIF($B$40:$C$40, O$2)&gt;0, VLOOKUP($J435,'Gear Values'!$A$2:$E$13, IF(COUNTBLANK('Attributes &amp; Prefixes'!$B$40:$C$40)&gt;0, "2", "3"), 0), COUNTIF($D$40:$E$40, O$2)&gt;0, VLOOKUP($J435,'Gear Values'!$A$2:$E$13, IF(COUNTBLANK('Attributes &amp; Prefixes'!$B$40:$C$40)&gt;0, "4", "5"), 0)), "")</f>
        <v>56</v>
      </c>
      <c r="P435" s="134" cm="1">
        <f t="array" ref="P435">IF(COUNTIF($B$40:$E$40, P$2)&gt;0, _xlfn.IFS(COUNTIF($B$40:$C$40, P$2)&gt;0, VLOOKUP($J435,'Gear Values'!$A$2:$E$13, IF(COUNTBLANK('Attributes &amp; Prefixes'!$B$40:$C$40)&gt;0, "2", "3"), 0), COUNTIF($D$40:$E$40, P$2)&gt;0, VLOOKUP($J435,'Gear Values'!$A$2:$E$13, IF(COUNTBLANK('Attributes &amp; Prefixes'!$B$40:$C$40)&gt;0, "4", "5"), 0)), "")</f>
        <v>102</v>
      </c>
      <c r="Q435" s="134" t="str" cm="1">
        <f t="array" ref="Q435">IF(COUNTIF($B$40:$E$40, Q$2)&gt;0, _xlfn.IFS(COUNTIF($B$40:$C$40, Q$2)&gt;0, VLOOKUP($J435,'Gear Values'!$A$2:$E$13, IF(COUNTBLANK('Attributes &amp; Prefixes'!$B$40:$C$40)&gt;0, "2", "3"), 0), COUNTIF($D$40:$E$40, Q$2)&gt;0, VLOOKUP($J435,'Gear Values'!$A$2:$E$13, IF(COUNTBLANK('Attributes &amp; Prefixes'!$B$40:$C$40)&gt;0, "4", "5"), 0)), "")</f>
        <v/>
      </c>
      <c r="R435" s="134" t="str" cm="1">
        <f t="array" ref="R435">IF(COUNTIF($B$40:$E$40, R$2)&gt;0, _xlfn.IFS(COUNTIF($B$40:$C$40, R$2)&gt;0, VLOOKUP($J435,'Gear Values'!$A$2:$E$13, IF(COUNTBLANK('Attributes &amp; Prefixes'!$B$40:$C$40)&gt;0, "2", "3"), 0), COUNTIF($D$40:$E$40, R$2)&gt;0, VLOOKUP($J435,'Gear Values'!$A$2:$E$13, IF(COUNTBLANK('Attributes &amp; Prefixes'!$B$40:$C$40)&gt;0, "4", "5"), 0)), "")</f>
        <v/>
      </c>
      <c r="S435" s="135" cm="1">
        <f t="array" ref="S435">IF(COUNTIF($B$40:$E$40, S$2)&gt;0, _xlfn.IFS(COUNTIF($B$40:$C$40, S$2)&gt;0, VLOOKUP($J435,'Gear Values'!$A$2:$E$13, IF(COUNTBLANK('Attributes &amp; Prefixes'!$B$40:$C$40)&gt;0, "2", "3"), 0), COUNTIF($D$40:$E$40, S$2)&gt;0, VLOOKUP($J435,'Gear Values'!$A$2:$E$13, IF(COUNTBLANK('Attributes &amp; Prefixes'!$B$40:$C$40)&gt;0, "4", "5"), 0)), "")</f>
        <v>56</v>
      </c>
      <c r="V435" s="112"/>
      <c r="W435" s="113"/>
    </row>
    <row r="436" spans="8:23">
      <c r="H436" s="130" t="str">
        <f>_xlfn.CONCAT(I$435,J436)</f>
        <v>SeraphWeapon (2H)</v>
      </c>
      <c r="I436" s="520"/>
      <c r="J436" s="144" t="s">
        <v>39</v>
      </c>
      <c r="K436" s="136" t="str" cm="1">
        <f t="array" ref="K436">IF(COUNTIF($B$40:$E$40, K$2)&gt;0, _xlfn.IFS(COUNTIF($B$40:$C$40, K$2)&gt;0, VLOOKUP($J436,'Gear Values'!$A$2:$E$13, IF(COUNTBLANK('Attributes &amp; Prefixes'!$B$40:$C$40)&gt;0, "2", "3"), 0), COUNTIF($D$40:$E$40, K$2)&gt;0, VLOOKUP($J436,'Gear Values'!$A$2:$E$13, IF(COUNTBLANK('Attributes &amp; Prefixes'!$B$40:$C$40)&gt;0, "4", "5"), 0)), "")</f>
        <v/>
      </c>
      <c r="L436" s="137" cm="1">
        <f t="array" ref="L436">IF(COUNTIF($B$40:$E$40, L$2)&gt;0, _xlfn.IFS(COUNTIF($B$40:$C$40, L$2)&gt;0, VLOOKUP($J436,'Gear Values'!$A$2:$E$13, IF(COUNTBLANK('Attributes &amp; Prefixes'!$B$40:$C$40)&gt;0, "2", "3"), 0), COUNTIF($D$40:$E$40, L$2)&gt;0, VLOOKUP($J436,'Gear Values'!$A$2:$E$13, IF(COUNTBLANK('Attributes &amp; Prefixes'!$B$40:$C$40)&gt;0, "4", "5"), 0)), "")</f>
        <v>205</v>
      </c>
      <c r="M436" s="137" t="str" cm="1">
        <f t="array" ref="M436">IF(COUNTIF($B$40:$E$40, M$2)&gt;0, _xlfn.IFS(COUNTIF($B$40:$C$40, M$2)&gt;0, VLOOKUP($J436,'Gear Values'!$A$2:$E$13, IF(COUNTBLANK('Attributes &amp; Prefixes'!$B$40:$C$40)&gt;0, "2", "3"), 0), COUNTIF($D$40:$E$40, M$2)&gt;0, VLOOKUP($J436,'Gear Values'!$A$2:$E$13, IF(COUNTBLANK('Attributes &amp; Prefixes'!$B$40:$C$40)&gt;0, "4", "5"), 0)), "")</f>
        <v/>
      </c>
      <c r="N436" s="137" t="str" cm="1">
        <f t="array" ref="N436">IF(COUNTIF($B$40:$E$40, N$2)&gt;0, _xlfn.IFS(COUNTIF($B$40:$C$40, N$2)&gt;0, VLOOKUP($J436,'Gear Values'!$A$2:$E$13, IF(COUNTBLANK('Attributes &amp; Prefixes'!$B$40:$C$40)&gt;0, "2", "3"), 0), COUNTIF($D$40:$E$40, N$2)&gt;0, VLOOKUP($J436,'Gear Values'!$A$2:$E$13, IF(COUNTBLANK('Attributes &amp; Prefixes'!$B$40:$C$40)&gt;0, "4", "5"), 0)), "")</f>
        <v/>
      </c>
      <c r="O436" s="137" cm="1">
        <f t="array" ref="O436">IF(COUNTIF($B$40:$E$40, O$2)&gt;0, _xlfn.IFS(COUNTIF($B$40:$C$40, O$2)&gt;0, VLOOKUP($J436,'Gear Values'!$A$2:$E$13, IF(COUNTBLANK('Attributes &amp; Prefixes'!$B$40:$C$40)&gt;0, "2", "3"), 0), COUNTIF($D$40:$E$40, O$2)&gt;0, VLOOKUP($J436,'Gear Values'!$A$2:$E$13, IF(COUNTBLANK('Attributes &amp; Prefixes'!$B$40:$C$40)&gt;0, "4", "5"), 0)), "")</f>
        <v>113</v>
      </c>
      <c r="P436" s="137" cm="1">
        <f t="array" ref="P436">IF(COUNTIF($B$40:$E$40, P$2)&gt;0, _xlfn.IFS(COUNTIF($B$40:$C$40, P$2)&gt;0, VLOOKUP($J436,'Gear Values'!$A$2:$E$13, IF(COUNTBLANK('Attributes &amp; Prefixes'!$B$40:$C$40)&gt;0, "2", "3"), 0), COUNTIF($D$40:$E$40, P$2)&gt;0, VLOOKUP($J436,'Gear Values'!$A$2:$E$13, IF(COUNTBLANK('Attributes &amp; Prefixes'!$B$40:$C$40)&gt;0, "4", "5"), 0)), "")</f>
        <v>205</v>
      </c>
      <c r="Q436" s="137" t="str" cm="1">
        <f t="array" ref="Q436">IF(COUNTIF($B$40:$E$40, Q$2)&gt;0, _xlfn.IFS(COUNTIF($B$40:$C$40, Q$2)&gt;0, VLOOKUP($J436,'Gear Values'!$A$2:$E$13, IF(COUNTBLANK('Attributes &amp; Prefixes'!$B$40:$C$40)&gt;0, "2", "3"), 0), COUNTIF($D$40:$E$40, Q$2)&gt;0, VLOOKUP($J436,'Gear Values'!$A$2:$E$13, IF(COUNTBLANK('Attributes &amp; Prefixes'!$B$40:$C$40)&gt;0, "4", "5"), 0)), "")</f>
        <v/>
      </c>
      <c r="R436" s="137" t="str" cm="1">
        <f t="array" ref="R436">IF(COUNTIF($B$40:$E$40, R$2)&gt;0, _xlfn.IFS(COUNTIF($B$40:$C$40, R$2)&gt;0, VLOOKUP($J436,'Gear Values'!$A$2:$E$13, IF(COUNTBLANK('Attributes &amp; Prefixes'!$B$40:$C$40)&gt;0, "2", "3"), 0), COUNTIF($D$40:$E$40, R$2)&gt;0, VLOOKUP($J436,'Gear Values'!$A$2:$E$13, IF(COUNTBLANK('Attributes &amp; Prefixes'!$B$40:$C$40)&gt;0, "4", "5"), 0)), "")</f>
        <v/>
      </c>
      <c r="S436" s="138" cm="1">
        <f t="array" ref="S436">IF(COUNTIF($B$40:$E$40, S$2)&gt;0, _xlfn.IFS(COUNTIF($B$40:$C$40, S$2)&gt;0, VLOOKUP($J436,'Gear Values'!$A$2:$E$13, IF(COUNTBLANK('Attributes &amp; Prefixes'!$B$40:$C$40)&gt;0, "2", "3"), 0), COUNTIF($D$40:$E$40, S$2)&gt;0, VLOOKUP($J436,'Gear Values'!$A$2:$E$13, IF(COUNTBLANK('Attributes &amp; Prefixes'!$B$40:$C$40)&gt;0, "4", "5"), 0)), "")</f>
        <v>113</v>
      </c>
      <c r="V436" s="112"/>
      <c r="W436" s="113"/>
    </row>
    <row r="437" spans="8:23">
      <c r="H437" s="130" t="str">
        <f>_xlfn.CONCAT(I$435,J437)</f>
        <v>SeraphHead</v>
      </c>
      <c r="I437" s="520"/>
      <c r="J437" s="144" t="s">
        <v>40</v>
      </c>
      <c r="K437" s="136" t="str" cm="1">
        <f t="array" ref="K437">IF(COUNTIF($B$40:$E$40, K$2)&gt;0, _xlfn.IFS(COUNTIF($B$40:$C$40, K$2)&gt;0, VLOOKUP($J437,'Gear Values'!$A$2:$E$13, IF(COUNTBLANK('Attributes &amp; Prefixes'!$B$40:$C$40)&gt;0, "2", "3"), 0), COUNTIF($D$40:$E$40, K$2)&gt;0, VLOOKUP($J437,'Gear Values'!$A$2:$E$13, IF(COUNTBLANK('Attributes &amp; Prefixes'!$B$40:$C$40)&gt;0, "4", "5"), 0)), "")</f>
        <v/>
      </c>
      <c r="L437" s="137" cm="1">
        <f t="array" ref="L437">IF(COUNTIF($B$40:$E$40, L$2)&gt;0, _xlfn.IFS(COUNTIF($B$40:$C$40, L$2)&gt;0, VLOOKUP($J437,'Gear Values'!$A$2:$E$13, IF(COUNTBLANK('Attributes &amp; Prefixes'!$B$40:$C$40)&gt;0, "2", "3"), 0), COUNTIF($D$40:$E$40, L$2)&gt;0, VLOOKUP($J437,'Gear Values'!$A$2:$E$13, IF(COUNTBLANK('Attributes &amp; Prefixes'!$B$40:$C$40)&gt;0, "4", "5"), 0)), "")</f>
        <v>51</v>
      </c>
      <c r="M437" s="137" t="str" cm="1">
        <f t="array" ref="M437">IF(COUNTIF($B$40:$E$40, M$2)&gt;0, _xlfn.IFS(COUNTIF($B$40:$C$40, M$2)&gt;0, VLOOKUP($J437,'Gear Values'!$A$2:$E$13, IF(COUNTBLANK('Attributes &amp; Prefixes'!$B$40:$C$40)&gt;0, "2", "3"), 0), COUNTIF($D$40:$E$40, M$2)&gt;0, VLOOKUP($J437,'Gear Values'!$A$2:$E$13, IF(COUNTBLANK('Attributes &amp; Prefixes'!$B$40:$C$40)&gt;0, "4", "5"), 0)), "")</f>
        <v/>
      </c>
      <c r="N437" s="137" t="str" cm="1">
        <f t="array" ref="N437">IF(COUNTIF($B$40:$E$40, N$2)&gt;0, _xlfn.IFS(COUNTIF($B$40:$C$40, N$2)&gt;0, VLOOKUP($J437,'Gear Values'!$A$2:$E$13, IF(COUNTBLANK('Attributes &amp; Prefixes'!$B$40:$C$40)&gt;0, "2", "3"), 0), COUNTIF($D$40:$E$40, N$2)&gt;0, VLOOKUP($J437,'Gear Values'!$A$2:$E$13, IF(COUNTBLANK('Attributes &amp; Prefixes'!$B$40:$C$40)&gt;0, "4", "5"), 0)), "")</f>
        <v/>
      </c>
      <c r="O437" s="137" cm="1">
        <f t="array" ref="O437">IF(COUNTIF($B$40:$E$40, O$2)&gt;0, _xlfn.IFS(COUNTIF($B$40:$C$40, O$2)&gt;0, VLOOKUP($J437,'Gear Values'!$A$2:$E$13, IF(COUNTBLANK('Attributes &amp; Prefixes'!$B$40:$C$40)&gt;0, "2", "3"), 0), COUNTIF($D$40:$E$40, O$2)&gt;0, VLOOKUP($J437,'Gear Values'!$A$2:$E$13, IF(COUNTBLANK('Attributes &amp; Prefixes'!$B$40:$C$40)&gt;0, "4", "5"), 0)), "")</f>
        <v>28</v>
      </c>
      <c r="P437" s="137" cm="1">
        <f t="array" ref="P437">IF(COUNTIF($B$40:$E$40, P$2)&gt;0, _xlfn.IFS(COUNTIF($B$40:$C$40, P$2)&gt;0, VLOOKUP($J437,'Gear Values'!$A$2:$E$13, IF(COUNTBLANK('Attributes &amp; Prefixes'!$B$40:$C$40)&gt;0, "2", "3"), 0), COUNTIF($D$40:$E$40, P$2)&gt;0, VLOOKUP($J437,'Gear Values'!$A$2:$E$13, IF(COUNTBLANK('Attributes &amp; Prefixes'!$B$40:$C$40)&gt;0, "4", "5"), 0)), "")</f>
        <v>51</v>
      </c>
      <c r="Q437" s="137" t="str" cm="1">
        <f t="array" ref="Q437">IF(COUNTIF($B$40:$E$40, Q$2)&gt;0, _xlfn.IFS(COUNTIF($B$40:$C$40, Q$2)&gt;0, VLOOKUP($J437,'Gear Values'!$A$2:$E$13, IF(COUNTBLANK('Attributes &amp; Prefixes'!$B$40:$C$40)&gt;0, "2", "3"), 0), COUNTIF($D$40:$E$40, Q$2)&gt;0, VLOOKUP($J437,'Gear Values'!$A$2:$E$13, IF(COUNTBLANK('Attributes &amp; Prefixes'!$B$40:$C$40)&gt;0, "4", "5"), 0)), "")</f>
        <v/>
      </c>
      <c r="R437" s="137" t="str" cm="1">
        <f t="array" ref="R437">IF(COUNTIF($B$40:$E$40, R$2)&gt;0, _xlfn.IFS(COUNTIF($B$40:$C$40, R$2)&gt;0, VLOOKUP($J437,'Gear Values'!$A$2:$E$13, IF(COUNTBLANK('Attributes &amp; Prefixes'!$B$40:$C$40)&gt;0, "2", "3"), 0), COUNTIF($D$40:$E$40, R$2)&gt;0, VLOOKUP($J437,'Gear Values'!$A$2:$E$13, IF(COUNTBLANK('Attributes &amp; Prefixes'!$B$40:$C$40)&gt;0, "4", "5"), 0)), "")</f>
        <v/>
      </c>
      <c r="S437" s="138" cm="1">
        <f t="array" ref="S437">IF(COUNTIF($B$40:$E$40, S$2)&gt;0, _xlfn.IFS(COUNTIF($B$40:$C$40, S$2)&gt;0, VLOOKUP($J437,'Gear Values'!$A$2:$E$13, IF(COUNTBLANK('Attributes &amp; Prefixes'!$B$40:$C$40)&gt;0, "2", "3"), 0), COUNTIF($D$40:$E$40, S$2)&gt;0, VLOOKUP($J437,'Gear Values'!$A$2:$E$13, IF(COUNTBLANK('Attributes &amp; Prefixes'!$B$40:$C$40)&gt;0, "4", "5"), 0)), "")</f>
        <v>28</v>
      </c>
      <c r="V437" s="112"/>
      <c r="W437" s="112"/>
    </row>
    <row r="438" spans="8:23">
      <c r="H438" s="130" t="str">
        <f>_xlfn.CONCAT(I$435,J438)</f>
        <v>SeraphShoulders</v>
      </c>
      <c r="I438" s="520"/>
      <c r="J438" s="144" t="s">
        <v>42</v>
      </c>
      <c r="K438" s="136" t="str" cm="1">
        <f t="array" ref="K438">IF(COUNTIF($B$40:$E$40, K$2)&gt;0, _xlfn.IFS(COUNTIF($B$40:$C$40, K$2)&gt;0, VLOOKUP($J438,'Gear Values'!$A$2:$E$13, IF(COUNTBLANK('Attributes &amp; Prefixes'!$B$40:$C$40)&gt;0, "2", "3"), 0), COUNTIF($D$40:$E$40, K$2)&gt;0, VLOOKUP($J438,'Gear Values'!$A$2:$E$13, IF(COUNTBLANK('Attributes &amp; Prefixes'!$B$40:$C$40)&gt;0, "4", "5"), 0)), "")</f>
        <v/>
      </c>
      <c r="L438" s="137" cm="1">
        <f t="array" ref="L438">IF(COUNTIF($B$40:$E$40, L$2)&gt;0, _xlfn.IFS(COUNTIF($B$40:$C$40, L$2)&gt;0, VLOOKUP($J438,'Gear Values'!$A$2:$E$13, IF(COUNTBLANK('Attributes &amp; Prefixes'!$B$40:$C$40)&gt;0, "2", "3"), 0), COUNTIF($D$40:$E$40, L$2)&gt;0, VLOOKUP($J438,'Gear Values'!$A$2:$E$13, IF(COUNTBLANK('Attributes &amp; Prefixes'!$B$40:$C$40)&gt;0, "4", "5"), 0)), "")</f>
        <v>38</v>
      </c>
      <c r="M438" s="137" t="str" cm="1">
        <f t="array" ref="M438">IF(COUNTIF($B$40:$E$40, M$2)&gt;0, _xlfn.IFS(COUNTIF($B$40:$C$40, M$2)&gt;0, VLOOKUP($J438,'Gear Values'!$A$2:$E$13, IF(COUNTBLANK('Attributes &amp; Prefixes'!$B$40:$C$40)&gt;0, "2", "3"), 0), COUNTIF($D$40:$E$40, M$2)&gt;0, VLOOKUP($J438,'Gear Values'!$A$2:$E$13, IF(COUNTBLANK('Attributes &amp; Prefixes'!$B$40:$C$40)&gt;0, "4", "5"), 0)), "")</f>
        <v/>
      </c>
      <c r="N438" s="137" t="str" cm="1">
        <f t="array" ref="N438">IF(COUNTIF($B$40:$E$40, N$2)&gt;0, _xlfn.IFS(COUNTIF($B$40:$C$40, N$2)&gt;0, VLOOKUP($J438,'Gear Values'!$A$2:$E$13, IF(COUNTBLANK('Attributes &amp; Prefixes'!$B$40:$C$40)&gt;0, "2", "3"), 0), COUNTIF($D$40:$E$40, N$2)&gt;0, VLOOKUP($J438,'Gear Values'!$A$2:$E$13, IF(COUNTBLANK('Attributes &amp; Prefixes'!$B$40:$C$40)&gt;0, "4", "5"), 0)), "")</f>
        <v/>
      </c>
      <c r="O438" s="137" cm="1">
        <f t="array" ref="O438">IF(COUNTIF($B$40:$E$40, O$2)&gt;0, _xlfn.IFS(COUNTIF($B$40:$C$40, O$2)&gt;0, VLOOKUP($J438,'Gear Values'!$A$2:$E$13, IF(COUNTBLANK('Attributes &amp; Prefixes'!$B$40:$C$40)&gt;0, "2", "3"), 0), COUNTIF($D$40:$E$40, O$2)&gt;0, VLOOKUP($J438,'Gear Values'!$A$2:$E$13, IF(COUNTBLANK('Attributes &amp; Prefixes'!$B$40:$C$40)&gt;0, "4", "5"), 0)), "")</f>
        <v>21</v>
      </c>
      <c r="P438" s="137" cm="1">
        <f t="array" ref="P438">IF(COUNTIF($B$40:$E$40, P$2)&gt;0, _xlfn.IFS(COUNTIF($B$40:$C$40, P$2)&gt;0, VLOOKUP($J438,'Gear Values'!$A$2:$E$13, IF(COUNTBLANK('Attributes &amp; Prefixes'!$B$40:$C$40)&gt;0, "2", "3"), 0), COUNTIF($D$40:$E$40, P$2)&gt;0, VLOOKUP($J438,'Gear Values'!$A$2:$E$13, IF(COUNTBLANK('Attributes &amp; Prefixes'!$B$40:$C$40)&gt;0, "4", "5"), 0)), "")</f>
        <v>38</v>
      </c>
      <c r="Q438" s="137" t="str" cm="1">
        <f t="array" ref="Q438">IF(COUNTIF($B$40:$E$40, Q$2)&gt;0, _xlfn.IFS(COUNTIF($B$40:$C$40, Q$2)&gt;0, VLOOKUP($J438,'Gear Values'!$A$2:$E$13, IF(COUNTBLANK('Attributes &amp; Prefixes'!$B$40:$C$40)&gt;0, "2", "3"), 0), COUNTIF($D$40:$E$40, Q$2)&gt;0, VLOOKUP($J438,'Gear Values'!$A$2:$E$13, IF(COUNTBLANK('Attributes &amp; Prefixes'!$B$40:$C$40)&gt;0, "4", "5"), 0)), "")</f>
        <v/>
      </c>
      <c r="R438" s="137" t="str" cm="1">
        <f t="array" ref="R438">IF(COUNTIF($B$40:$E$40, R$2)&gt;0, _xlfn.IFS(COUNTIF($B$40:$C$40, R$2)&gt;0, VLOOKUP($J438,'Gear Values'!$A$2:$E$13, IF(COUNTBLANK('Attributes &amp; Prefixes'!$B$40:$C$40)&gt;0, "2", "3"), 0), COUNTIF($D$40:$E$40, R$2)&gt;0, VLOOKUP($J438,'Gear Values'!$A$2:$E$13, IF(COUNTBLANK('Attributes &amp; Prefixes'!$B$40:$C$40)&gt;0, "4", "5"), 0)), "")</f>
        <v/>
      </c>
      <c r="S438" s="138" cm="1">
        <f t="array" ref="S438">IF(COUNTIF($B$40:$E$40, S$2)&gt;0, _xlfn.IFS(COUNTIF($B$40:$C$40, S$2)&gt;0, VLOOKUP($J438,'Gear Values'!$A$2:$E$13, IF(COUNTBLANK('Attributes &amp; Prefixes'!$B$40:$C$40)&gt;0, "2", "3"), 0), COUNTIF($D$40:$E$40, S$2)&gt;0, VLOOKUP($J438,'Gear Values'!$A$2:$E$13, IF(COUNTBLANK('Attributes &amp; Prefixes'!$B$40:$C$40)&gt;0, "4", "5"), 0)), "")</f>
        <v>21</v>
      </c>
      <c r="V438" s="112"/>
      <c r="W438" s="113"/>
    </row>
    <row r="439" spans="8:23">
      <c r="H439" s="130" t="str">
        <f>_xlfn.CONCAT(I$435,J439)</f>
        <v>SeraphChest</v>
      </c>
      <c r="I439" s="520"/>
      <c r="J439" s="144" t="s">
        <v>44</v>
      </c>
      <c r="K439" s="136" t="str" cm="1">
        <f t="array" ref="K439">IF(COUNTIF($B$40:$E$40, K$2)&gt;0, _xlfn.IFS(COUNTIF($B$40:$C$40, K$2)&gt;0, VLOOKUP($J439,'Gear Values'!$A$2:$E$13, IF(COUNTBLANK('Attributes &amp; Prefixes'!$B$40:$C$40)&gt;0, "2", "3"), 0), COUNTIF($D$40:$E$40, K$2)&gt;0, VLOOKUP($J439,'Gear Values'!$A$2:$E$13, IF(COUNTBLANK('Attributes &amp; Prefixes'!$B$40:$C$40)&gt;0, "4", "5"), 0)), "")</f>
        <v/>
      </c>
      <c r="L439" s="137" cm="1">
        <f t="array" ref="L439">IF(COUNTIF($B$40:$E$40, L$2)&gt;0, _xlfn.IFS(COUNTIF($B$40:$C$40, L$2)&gt;0, VLOOKUP($J439,'Gear Values'!$A$2:$E$13, IF(COUNTBLANK('Attributes &amp; Prefixes'!$B$40:$C$40)&gt;0, "2", "3"), 0), COUNTIF($D$40:$E$40, L$2)&gt;0, VLOOKUP($J439,'Gear Values'!$A$2:$E$13, IF(COUNTBLANK('Attributes &amp; Prefixes'!$B$40:$C$40)&gt;0, "4", "5"), 0)), "")</f>
        <v>115</v>
      </c>
      <c r="M439" s="137" t="str" cm="1">
        <f t="array" ref="M439">IF(COUNTIF($B$40:$E$40, M$2)&gt;0, _xlfn.IFS(COUNTIF($B$40:$C$40, M$2)&gt;0, VLOOKUP($J439,'Gear Values'!$A$2:$E$13, IF(COUNTBLANK('Attributes &amp; Prefixes'!$B$40:$C$40)&gt;0, "2", "3"), 0), COUNTIF($D$40:$E$40, M$2)&gt;0, VLOOKUP($J439,'Gear Values'!$A$2:$E$13, IF(COUNTBLANK('Attributes &amp; Prefixes'!$B$40:$C$40)&gt;0, "4", "5"), 0)), "")</f>
        <v/>
      </c>
      <c r="N439" s="137" t="str" cm="1">
        <f t="array" ref="N439">IF(COUNTIF($B$40:$E$40, N$2)&gt;0, _xlfn.IFS(COUNTIF($B$40:$C$40, N$2)&gt;0, VLOOKUP($J439,'Gear Values'!$A$2:$E$13, IF(COUNTBLANK('Attributes &amp; Prefixes'!$B$40:$C$40)&gt;0, "2", "3"), 0), COUNTIF($D$40:$E$40, N$2)&gt;0, VLOOKUP($J439,'Gear Values'!$A$2:$E$13, IF(COUNTBLANK('Attributes &amp; Prefixes'!$B$40:$C$40)&gt;0, "4", "5"), 0)), "")</f>
        <v/>
      </c>
      <c r="O439" s="137" cm="1">
        <f t="array" ref="O439">IF(COUNTIF($B$40:$E$40, O$2)&gt;0, _xlfn.IFS(COUNTIF($B$40:$C$40, O$2)&gt;0, VLOOKUP($J439,'Gear Values'!$A$2:$E$13, IF(COUNTBLANK('Attributes &amp; Prefixes'!$B$40:$C$40)&gt;0, "2", "3"), 0), COUNTIF($D$40:$E$40, O$2)&gt;0, VLOOKUP($J439,'Gear Values'!$A$2:$E$13, IF(COUNTBLANK('Attributes &amp; Prefixes'!$B$40:$C$40)&gt;0, "4", "5"), 0)), "")</f>
        <v>63</v>
      </c>
      <c r="P439" s="137" cm="1">
        <f t="array" ref="P439">IF(COUNTIF($B$40:$E$40, P$2)&gt;0, _xlfn.IFS(COUNTIF($B$40:$C$40, P$2)&gt;0, VLOOKUP($J439,'Gear Values'!$A$2:$E$13, IF(COUNTBLANK('Attributes &amp; Prefixes'!$B$40:$C$40)&gt;0, "2", "3"), 0), COUNTIF($D$40:$E$40, P$2)&gt;0, VLOOKUP($J439,'Gear Values'!$A$2:$E$13, IF(COUNTBLANK('Attributes &amp; Prefixes'!$B$40:$C$40)&gt;0, "4", "5"), 0)), "")</f>
        <v>115</v>
      </c>
      <c r="Q439" s="137" t="str" cm="1">
        <f t="array" ref="Q439">IF(COUNTIF($B$40:$E$40, Q$2)&gt;0, _xlfn.IFS(COUNTIF($B$40:$C$40, Q$2)&gt;0, VLOOKUP($J439,'Gear Values'!$A$2:$E$13, IF(COUNTBLANK('Attributes &amp; Prefixes'!$B$40:$C$40)&gt;0, "2", "3"), 0), COUNTIF($D$40:$E$40, Q$2)&gt;0, VLOOKUP($J439,'Gear Values'!$A$2:$E$13, IF(COUNTBLANK('Attributes &amp; Prefixes'!$B$40:$C$40)&gt;0, "4", "5"), 0)), "")</f>
        <v/>
      </c>
      <c r="R439" s="137" t="str" cm="1">
        <f t="array" ref="R439">IF(COUNTIF($B$40:$E$40, R$2)&gt;0, _xlfn.IFS(COUNTIF($B$40:$C$40, R$2)&gt;0, VLOOKUP($J439,'Gear Values'!$A$2:$E$13, IF(COUNTBLANK('Attributes &amp; Prefixes'!$B$40:$C$40)&gt;0, "2", "3"), 0), COUNTIF($D$40:$E$40, R$2)&gt;0, VLOOKUP($J439,'Gear Values'!$A$2:$E$13, IF(COUNTBLANK('Attributes &amp; Prefixes'!$B$40:$C$40)&gt;0, "4", "5"), 0)), "")</f>
        <v/>
      </c>
      <c r="S439" s="138" cm="1">
        <f t="array" ref="S439">IF(COUNTIF($B$40:$E$40, S$2)&gt;0, _xlfn.IFS(COUNTIF($B$40:$C$40, S$2)&gt;0, VLOOKUP($J439,'Gear Values'!$A$2:$E$13, IF(COUNTBLANK('Attributes &amp; Prefixes'!$B$40:$C$40)&gt;0, "2", "3"), 0), COUNTIF($D$40:$E$40, S$2)&gt;0, VLOOKUP($J439,'Gear Values'!$A$2:$E$13, IF(COUNTBLANK('Attributes &amp; Prefixes'!$B$40:$C$40)&gt;0, "4", "5"), 0)), "")</f>
        <v>63</v>
      </c>
      <c r="V439" s="112"/>
      <c r="W439" s="113"/>
    </row>
    <row r="440" spans="8:23">
      <c r="H440" s="130" t="str">
        <f>_xlfn.CONCAT(I$435,J440)</f>
        <v>SeraphHands</v>
      </c>
      <c r="I440" s="520"/>
      <c r="J440" s="144" t="s">
        <v>45</v>
      </c>
      <c r="K440" s="136" t="str" cm="1">
        <f t="array" ref="K440">IF(COUNTIF($B$40:$E$40, K$2)&gt;0, _xlfn.IFS(COUNTIF($B$40:$C$40, K$2)&gt;0, VLOOKUP($J440,'Gear Values'!$A$2:$E$13, IF(COUNTBLANK('Attributes &amp; Prefixes'!$B$40:$C$40)&gt;0, "2", "3"), 0), COUNTIF($D$40:$E$40, K$2)&gt;0, VLOOKUP($J440,'Gear Values'!$A$2:$E$13, IF(COUNTBLANK('Attributes &amp; Prefixes'!$B$40:$C$40)&gt;0, "4", "5"), 0)), "")</f>
        <v/>
      </c>
      <c r="L440" s="137" cm="1">
        <f t="array" ref="L440">IF(COUNTIF($B$40:$E$40, L$2)&gt;0, _xlfn.IFS(COUNTIF($B$40:$C$40, L$2)&gt;0, VLOOKUP($J440,'Gear Values'!$A$2:$E$13, IF(COUNTBLANK('Attributes &amp; Prefixes'!$B$40:$C$40)&gt;0, "2", "3"), 0), COUNTIF($D$40:$E$40, L$2)&gt;0, VLOOKUP($J440,'Gear Values'!$A$2:$E$13, IF(COUNTBLANK('Attributes &amp; Prefixes'!$B$40:$C$40)&gt;0, "4", "5"), 0)), "")</f>
        <v>38</v>
      </c>
      <c r="M440" s="137" t="str" cm="1">
        <f t="array" ref="M440">IF(COUNTIF($B$40:$E$40, M$2)&gt;0, _xlfn.IFS(COUNTIF($B$40:$C$40, M$2)&gt;0, VLOOKUP($J440,'Gear Values'!$A$2:$E$13, IF(COUNTBLANK('Attributes &amp; Prefixes'!$B$40:$C$40)&gt;0, "2", "3"), 0), COUNTIF($D$40:$E$40, M$2)&gt;0, VLOOKUP($J440,'Gear Values'!$A$2:$E$13, IF(COUNTBLANK('Attributes &amp; Prefixes'!$B$40:$C$40)&gt;0, "4", "5"), 0)), "")</f>
        <v/>
      </c>
      <c r="N440" s="137" t="str" cm="1">
        <f t="array" ref="N440">IF(COUNTIF($B$40:$E$40, N$2)&gt;0, _xlfn.IFS(COUNTIF($B$40:$C$40, N$2)&gt;0, VLOOKUP($J440,'Gear Values'!$A$2:$E$13, IF(COUNTBLANK('Attributes &amp; Prefixes'!$B$40:$C$40)&gt;0, "2", "3"), 0), COUNTIF($D$40:$E$40, N$2)&gt;0, VLOOKUP($J440,'Gear Values'!$A$2:$E$13, IF(COUNTBLANK('Attributes &amp; Prefixes'!$B$40:$C$40)&gt;0, "4", "5"), 0)), "")</f>
        <v/>
      </c>
      <c r="O440" s="137" cm="1">
        <f t="array" ref="O440">IF(COUNTIF($B$40:$E$40, O$2)&gt;0, _xlfn.IFS(COUNTIF($B$40:$C$40, O$2)&gt;0, VLOOKUP($J440,'Gear Values'!$A$2:$E$13, IF(COUNTBLANK('Attributes &amp; Prefixes'!$B$40:$C$40)&gt;0, "2", "3"), 0), COUNTIF($D$40:$E$40, O$2)&gt;0, VLOOKUP($J440,'Gear Values'!$A$2:$E$13, IF(COUNTBLANK('Attributes &amp; Prefixes'!$B$40:$C$40)&gt;0, "4", "5"), 0)), "")</f>
        <v>21</v>
      </c>
      <c r="P440" s="137" cm="1">
        <f t="array" ref="P440">IF(COUNTIF($B$40:$E$40, P$2)&gt;0, _xlfn.IFS(COUNTIF($B$40:$C$40, P$2)&gt;0, VLOOKUP($J440,'Gear Values'!$A$2:$E$13, IF(COUNTBLANK('Attributes &amp; Prefixes'!$B$40:$C$40)&gt;0, "2", "3"), 0), COUNTIF($D$40:$E$40, P$2)&gt;0, VLOOKUP($J440,'Gear Values'!$A$2:$E$13, IF(COUNTBLANK('Attributes &amp; Prefixes'!$B$40:$C$40)&gt;0, "4", "5"), 0)), "")</f>
        <v>38</v>
      </c>
      <c r="Q440" s="137" t="str" cm="1">
        <f t="array" ref="Q440">IF(COUNTIF($B$40:$E$40, Q$2)&gt;0, _xlfn.IFS(COUNTIF($B$40:$C$40, Q$2)&gt;0, VLOOKUP($J440,'Gear Values'!$A$2:$E$13, IF(COUNTBLANK('Attributes &amp; Prefixes'!$B$40:$C$40)&gt;0, "2", "3"), 0), COUNTIF($D$40:$E$40, Q$2)&gt;0, VLOOKUP($J440,'Gear Values'!$A$2:$E$13, IF(COUNTBLANK('Attributes &amp; Prefixes'!$B$40:$C$40)&gt;0, "4", "5"), 0)), "")</f>
        <v/>
      </c>
      <c r="R440" s="137" t="str" cm="1">
        <f t="array" ref="R440">IF(COUNTIF($B$40:$E$40, R$2)&gt;0, _xlfn.IFS(COUNTIF($B$40:$C$40, R$2)&gt;0, VLOOKUP($J440,'Gear Values'!$A$2:$E$13, IF(COUNTBLANK('Attributes &amp; Prefixes'!$B$40:$C$40)&gt;0, "2", "3"), 0), COUNTIF($D$40:$E$40, R$2)&gt;0, VLOOKUP($J440,'Gear Values'!$A$2:$E$13, IF(COUNTBLANK('Attributes &amp; Prefixes'!$B$40:$C$40)&gt;0, "4", "5"), 0)), "")</f>
        <v/>
      </c>
      <c r="S440" s="138" cm="1">
        <f t="array" ref="S440">IF(COUNTIF($B$40:$E$40, S$2)&gt;0, _xlfn.IFS(COUNTIF($B$40:$C$40, S$2)&gt;0, VLOOKUP($J440,'Gear Values'!$A$2:$E$13, IF(COUNTBLANK('Attributes &amp; Prefixes'!$B$40:$C$40)&gt;0, "2", "3"), 0), COUNTIF($D$40:$E$40, S$2)&gt;0, VLOOKUP($J440,'Gear Values'!$A$2:$E$13, IF(COUNTBLANK('Attributes &amp; Prefixes'!$B$40:$C$40)&gt;0, "4", "5"), 0)), "")</f>
        <v>21</v>
      </c>
      <c r="V440" s="112"/>
      <c r="W440" s="112"/>
    </row>
    <row r="441" spans="8:23">
      <c r="H441" s="130" t="str">
        <f>_xlfn.CONCAT(I$435,J441)</f>
        <v>SeraphLegs</v>
      </c>
      <c r="I441" s="520"/>
      <c r="J441" s="144" t="s">
        <v>47</v>
      </c>
      <c r="K441" s="136" t="str" cm="1">
        <f t="array" ref="K441">IF(COUNTIF($B$40:$E$40, K$2)&gt;0, _xlfn.IFS(COUNTIF($B$40:$C$40, K$2)&gt;0, VLOOKUP($J441,'Gear Values'!$A$2:$E$13, IF(COUNTBLANK('Attributes &amp; Prefixes'!$B$40:$C$40)&gt;0, "2", "3"), 0), COUNTIF($D$40:$E$40, K$2)&gt;0, VLOOKUP($J441,'Gear Values'!$A$2:$E$13, IF(COUNTBLANK('Attributes &amp; Prefixes'!$B$40:$C$40)&gt;0, "4", "5"), 0)), "")</f>
        <v/>
      </c>
      <c r="L441" s="137" cm="1">
        <f t="array" ref="L441">IF(COUNTIF($B$40:$E$40, L$2)&gt;0, _xlfn.IFS(COUNTIF($B$40:$C$40, L$2)&gt;0, VLOOKUP($J441,'Gear Values'!$A$2:$E$13, IF(COUNTBLANK('Attributes &amp; Prefixes'!$B$40:$C$40)&gt;0, "2", "3"), 0), COUNTIF($D$40:$E$40, L$2)&gt;0, VLOOKUP($J441,'Gear Values'!$A$2:$E$13, IF(COUNTBLANK('Attributes &amp; Prefixes'!$B$40:$C$40)&gt;0, "4", "5"), 0)), "")</f>
        <v>77</v>
      </c>
      <c r="M441" s="137" t="str" cm="1">
        <f t="array" ref="M441">IF(COUNTIF($B$40:$E$40, M$2)&gt;0, _xlfn.IFS(COUNTIF($B$40:$C$40, M$2)&gt;0, VLOOKUP($J441,'Gear Values'!$A$2:$E$13, IF(COUNTBLANK('Attributes &amp; Prefixes'!$B$40:$C$40)&gt;0, "2", "3"), 0), COUNTIF($D$40:$E$40, M$2)&gt;0, VLOOKUP($J441,'Gear Values'!$A$2:$E$13, IF(COUNTBLANK('Attributes &amp; Prefixes'!$B$40:$C$40)&gt;0, "4", "5"), 0)), "")</f>
        <v/>
      </c>
      <c r="N441" s="137" t="str" cm="1">
        <f t="array" ref="N441">IF(COUNTIF($B$40:$E$40, N$2)&gt;0, _xlfn.IFS(COUNTIF($B$40:$C$40, N$2)&gt;0, VLOOKUP($J441,'Gear Values'!$A$2:$E$13, IF(COUNTBLANK('Attributes &amp; Prefixes'!$B$40:$C$40)&gt;0, "2", "3"), 0), COUNTIF($D$40:$E$40, N$2)&gt;0, VLOOKUP($J441,'Gear Values'!$A$2:$E$13, IF(COUNTBLANK('Attributes &amp; Prefixes'!$B$40:$C$40)&gt;0, "4", "5"), 0)), "")</f>
        <v/>
      </c>
      <c r="O441" s="137" cm="1">
        <f t="array" ref="O441">IF(COUNTIF($B$40:$E$40, O$2)&gt;0, _xlfn.IFS(COUNTIF($B$40:$C$40, O$2)&gt;0, VLOOKUP($J441,'Gear Values'!$A$2:$E$13, IF(COUNTBLANK('Attributes &amp; Prefixes'!$B$40:$C$40)&gt;0, "2", "3"), 0), COUNTIF($D$40:$E$40, O$2)&gt;0, VLOOKUP($J441,'Gear Values'!$A$2:$E$13, IF(COUNTBLANK('Attributes &amp; Prefixes'!$B$40:$C$40)&gt;0, "4", "5"), 0)), "")</f>
        <v>42</v>
      </c>
      <c r="P441" s="137" cm="1">
        <f t="array" ref="P441">IF(COUNTIF($B$40:$E$40, P$2)&gt;0, _xlfn.IFS(COUNTIF($B$40:$C$40, P$2)&gt;0, VLOOKUP($J441,'Gear Values'!$A$2:$E$13, IF(COUNTBLANK('Attributes &amp; Prefixes'!$B$40:$C$40)&gt;0, "2", "3"), 0), COUNTIF($D$40:$E$40, P$2)&gt;0, VLOOKUP($J441,'Gear Values'!$A$2:$E$13, IF(COUNTBLANK('Attributes &amp; Prefixes'!$B$40:$C$40)&gt;0, "4", "5"), 0)), "")</f>
        <v>77</v>
      </c>
      <c r="Q441" s="137" t="str" cm="1">
        <f t="array" ref="Q441">IF(COUNTIF($B$40:$E$40, Q$2)&gt;0, _xlfn.IFS(COUNTIF($B$40:$C$40, Q$2)&gt;0, VLOOKUP($J441,'Gear Values'!$A$2:$E$13, IF(COUNTBLANK('Attributes &amp; Prefixes'!$B$40:$C$40)&gt;0, "2", "3"), 0), COUNTIF($D$40:$E$40, Q$2)&gt;0, VLOOKUP($J441,'Gear Values'!$A$2:$E$13, IF(COUNTBLANK('Attributes &amp; Prefixes'!$B$40:$C$40)&gt;0, "4", "5"), 0)), "")</f>
        <v/>
      </c>
      <c r="R441" s="137" t="str" cm="1">
        <f t="array" ref="R441">IF(COUNTIF($B$40:$E$40, R$2)&gt;0, _xlfn.IFS(COUNTIF($B$40:$C$40, R$2)&gt;0, VLOOKUP($J441,'Gear Values'!$A$2:$E$13, IF(COUNTBLANK('Attributes &amp; Prefixes'!$B$40:$C$40)&gt;0, "2", "3"), 0), COUNTIF($D$40:$E$40, R$2)&gt;0, VLOOKUP($J441,'Gear Values'!$A$2:$E$13, IF(COUNTBLANK('Attributes &amp; Prefixes'!$B$40:$C$40)&gt;0, "4", "5"), 0)), "")</f>
        <v/>
      </c>
      <c r="S441" s="138" cm="1">
        <f t="array" ref="S441">IF(COUNTIF($B$40:$E$40, S$2)&gt;0, _xlfn.IFS(COUNTIF($B$40:$C$40, S$2)&gt;0, VLOOKUP($J441,'Gear Values'!$A$2:$E$13, IF(COUNTBLANK('Attributes &amp; Prefixes'!$B$40:$C$40)&gt;0, "2", "3"), 0), COUNTIF($D$40:$E$40, S$2)&gt;0, VLOOKUP($J441,'Gear Values'!$A$2:$E$13, IF(COUNTBLANK('Attributes &amp; Prefixes'!$B$40:$C$40)&gt;0, "4", "5"), 0)), "")</f>
        <v>42</v>
      </c>
      <c r="V441" s="112"/>
      <c r="W441" s="112"/>
    </row>
    <row r="442" spans="8:23">
      <c r="H442" s="130" t="str">
        <f>_xlfn.CONCAT(I$435,J442)</f>
        <v>SeraphFeet</v>
      </c>
      <c r="I442" s="520"/>
      <c r="J442" s="144" t="s">
        <v>48</v>
      </c>
      <c r="K442" s="136" t="str" cm="1">
        <f t="array" ref="K442">IF(COUNTIF($B$40:$E$40, K$2)&gt;0, _xlfn.IFS(COUNTIF($B$40:$C$40, K$2)&gt;0, VLOOKUP($J442,'Gear Values'!$A$2:$E$13, IF(COUNTBLANK('Attributes &amp; Prefixes'!$B$40:$C$40)&gt;0, "2", "3"), 0), COUNTIF($D$40:$E$40, K$2)&gt;0, VLOOKUP($J442,'Gear Values'!$A$2:$E$13, IF(COUNTBLANK('Attributes &amp; Prefixes'!$B$40:$C$40)&gt;0, "4", "5"), 0)), "")</f>
        <v/>
      </c>
      <c r="L442" s="137" cm="1">
        <f t="array" ref="L442">IF(COUNTIF($B$40:$E$40, L$2)&gt;0, _xlfn.IFS(COUNTIF($B$40:$C$40, L$2)&gt;0, VLOOKUP($J442,'Gear Values'!$A$2:$E$13, IF(COUNTBLANK('Attributes &amp; Prefixes'!$B$40:$C$40)&gt;0, "2", "3"), 0), COUNTIF($D$40:$E$40, L$2)&gt;0, VLOOKUP($J442,'Gear Values'!$A$2:$E$13, IF(COUNTBLANK('Attributes &amp; Prefixes'!$B$40:$C$40)&gt;0, "4", "5"), 0)), "")</f>
        <v>38</v>
      </c>
      <c r="M442" s="137" t="str" cm="1">
        <f t="array" ref="M442">IF(COUNTIF($B$40:$E$40, M$2)&gt;0, _xlfn.IFS(COUNTIF($B$40:$C$40, M$2)&gt;0, VLOOKUP($J442,'Gear Values'!$A$2:$E$13, IF(COUNTBLANK('Attributes &amp; Prefixes'!$B$40:$C$40)&gt;0, "2", "3"), 0), COUNTIF($D$40:$E$40, M$2)&gt;0, VLOOKUP($J442,'Gear Values'!$A$2:$E$13, IF(COUNTBLANK('Attributes &amp; Prefixes'!$B$40:$C$40)&gt;0, "4", "5"), 0)), "")</f>
        <v/>
      </c>
      <c r="N442" s="137" t="str" cm="1">
        <f t="array" ref="N442">IF(COUNTIF($B$40:$E$40, N$2)&gt;0, _xlfn.IFS(COUNTIF($B$40:$C$40, N$2)&gt;0, VLOOKUP($J442,'Gear Values'!$A$2:$E$13, IF(COUNTBLANK('Attributes &amp; Prefixes'!$B$40:$C$40)&gt;0, "2", "3"), 0), COUNTIF($D$40:$E$40, N$2)&gt;0, VLOOKUP($J442,'Gear Values'!$A$2:$E$13, IF(COUNTBLANK('Attributes &amp; Prefixes'!$B$40:$C$40)&gt;0, "4", "5"), 0)), "")</f>
        <v/>
      </c>
      <c r="O442" s="137" cm="1">
        <f t="array" ref="O442">IF(COUNTIF($B$40:$E$40, O$2)&gt;0, _xlfn.IFS(COUNTIF($B$40:$C$40, O$2)&gt;0, VLOOKUP($J442,'Gear Values'!$A$2:$E$13, IF(COUNTBLANK('Attributes &amp; Prefixes'!$B$40:$C$40)&gt;0, "2", "3"), 0), COUNTIF($D$40:$E$40, O$2)&gt;0, VLOOKUP($J442,'Gear Values'!$A$2:$E$13, IF(COUNTBLANK('Attributes &amp; Prefixes'!$B$40:$C$40)&gt;0, "4", "5"), 0)), "")</f>
        <v>21</v>
      </c>
      <c r="P442" s="137" cm="1">
        <f t="array" ref="P442">IF(COUNTIF($B$40:$E$40, P$2)&gt;0, _xlfn.IFS(COUNTIF($B$40:$C$40, P$2)&gt;0, VLOOKUP($J442,'Gear Values'!$A$2:$E$13, IF(COUNTBLANK('Attributes &amp; Prefixes'!$B$40:$C$40)&gt;0, "2", "3"), 0), COUNTIF($D$40:$E$40, P$2)&gt;0, VLOOKUP($J442,'Gear Values'!$A$2:$E$13, IF(COUNTBLANK('Attributes &amp; Prefixes'!$B$40:$C$40)&gt;0, "4", "5"), 0)), "")</f>
        <v>38</v>
      </c>
      <c r="Q442" s="137" t="str" cm="1">
        <f t="array" ref="Q442">IF(COUNTIF($B$40:$E$40, Q$2)&gt;0, _xlfn.IFS(COUNTIF($B$40:$C$40, Q$2)&gt;0, VLOOKUP($J442,'Gear Values'!$A$2:$E$13, IF(COUNTBLANK('Attributes &amp; Prefixes'!$B$40:$C$40)&gt;0, "2", "3"), 0), COUNTIF($D$40:$E$40, Q$2)&gt;0, VLOOKUP($J442,'Gear Values'!$A$2:$E$13, IF(COUNTBLANK('Attributes &amp; Prefixes'!$B$40:$C$40)&gt;0, "4", "5"), 0)), "")</f>
        <v/>
      </c>
      <c r="R442" s="137" t="str" cm="1">
        <f t="array" ref="R442">IF(COUNTIF($B$40:$E$40, R$2)&gt;0, _xlfn.IFS(COUNTIF($B$40:$C$40, R$2)&gt;0, VLOOKUP($J442,'Gear Values'!$A$2:$E$13, IF(COUNTBLANK('Attributes &amp; Prefixes'!$B$40:$C$40)&gt;0, "2", "3"), 0), COUNTIF($D$40:$E$40, R$2)&gt;0, VLOOKUP($J442,'Gear Values'!$A$2:$E$13, IF(COUNTBLANK('Attributes &amp; Prefixes'!$B$40:$C$40)&gt;0, "4", "5"), 0)), "")</f>
        <v/>
      </c>
      <c r="S442" s="138" cm="1">
        <f t="array" ref="S442">IF(COUNTIF($B$40:$E$40, S$2)&gt;0, _xlfn.IFS(COUNTIF($B$40:$C$40, S$2)&gt;0, VLOOKUP($J442,'Gear Values'!$A$2:$E$13, IF(COUNTBLANK('Attributes &amp; Prefixes'!$B$40:$C$40)&gt;0, "2", "3"), 0), COUNTIF($D$40:$E$40, S$2)&gt;0, VLOOKUP($J442,'Gear Values'!$A$2:$E$13, IF(COUNTBLANK('Attributes &amp; Prefixes'!$B$40:$C$40)&gt;0, "4", "5"), 0)), "")</f>
        <v>21</v>
      </c>
      <c r="V442" s="112"/>
      <c r="W442" s="112"/>
    </row>
    <row r="443" spans="8:23">
      <c r="H443" s="130" t="str">
        <f>_xlfn.CONCAT(I$435,J443)</f>
        <v>SeraphEar</v>
      </c>
      <c r="I443" s="520"/>
      <c r="J443" s="144" t="s">
        <v>49</v>
      </c>
      <c r="K443" s="136" t="str" cm="1">
        <f t="array" ref="K443">IF(COUNTIF($B$40:$E$40, K$2)&gt;0, _xlfn.IFS(COUNTIF($B$40:$C$40, K$2)&gt;0, VLOOKUP($J443,'Gear Values'!$A$2:$E$13, IF(COUNTBLANK('Attributes &amp; Prefixes'!$B$40:$C$40)&gt;0, "2", "3"), 0), COUNTIF($D$40:$E$40, K$2)&gt;0, VLOOKUP($J443,'Gear Values'!$A$2:$E$13, IF(COUNTBLANK('Attributes &amp; Prefixes'!$B$40:$C$40)&gt;0, "4", "5"), 0)), "")</f>
        <v/>
      </c>
      <c r="L443" s="137" cm="1">
        <f t="array" ref="L443">IF(COUNTIF($B$40:$E$40, L$2)&gt;0, _xlfn.IFS(COUNTIF($B$40:$C$40, L$2)&gt;0, VLOOKUP($J443,'Gear Values'!$A$2:$E$13, IF(COUNTBLANK('Attributes &amp; Prefixes'!$B$40:$C$40)&gt;0, "2", "3"), 0), COUNTIF($D$40:$E$40, L$2)&gt;0, VLOOKUP($J443,'Gear Values'!$A$2:$E$13, IF(COUNTBLANK('Attributes &amp; Prefixes'!$B$40:$C$40)&gt;0, "4", "5"), 0)), "")</f>
        <v>64</v>
      </c>
      <c r="M443" s="137" t="str" cm="1">
        <f t="array" ref="M443">IF(COUNTIF($B$40:$E$40, M$2)&gt;0, _xlfn.IFS(COUNTIF($B$40:$C$40, M$2)&gt;0, VLOOKUP($J443,'Gear Values'!$A$2:$E$13, IF(COUNTBLANK('Attributes &amp; Prefixes'!$B$40:$C$40)&gt;0, "2", "3"), 0), COUNTIF($D$40:$E$40, M$2)&gt;0, VLOOKUP($J443,'Gear Values'!$A$2:$E$13, IF(COUNTBLANK('Attributes &amp; Prefixes'!$B$40:$C$40)&gt;0, "4", "5"), 0)), "")</f>
        <v/>
      </c>
      <c r="N443" s="137" t="str" cm="1">
        <f t="array" ref="N443">IF(COUNTIF($B$40:$E$40, N$2)&gt;0, _xlfn.IFS(COUNTIF($B$40:$C$40, N$2)&gt;0, VLOOKUP($J443,'Gear Values'!$A$2:$E$13, IF(COUNTBLANK('Attributes &amp; Prefixes'!$B$40:$C$40)&gt;0, "2", "3"), 0), COUNTIF($D$40:$E$40, N$2)&gt;0, VLOOKUP($J443,'Gear Values'!$A$2:$E$13, IF(COUNTBLANK('Attributes &amp; Prefixes'!$B$40:$C$40)&gt;0, "4", "5"), 0)), "")</f>
        <v/>
      </c>
      <c r="O443" s="137" cm="1">
        <f t="array" ref="O443">IF(COUNTIF($B$40:$E$40, O$2)&gt;0, _xlfn.IFS(COUNTIF($B$40:$C$40, O$2)&gt;0, VLOOKUP($J443,'Gear Values'!$A$2:$E$13, IF(COUNTBLANK('Attributes &amp; Prefixes'!$B$40:$C$40)&gt;0, "2", "3"), 0), COUNTIF($D$40:$E$40, O$2)&gt;0, VLOOKUP($J443,'Gear Values'!$A$2:$E$13, IF(COUNTBLANK('Attributes &amp; Prefixes'!$B$40:$C$40)&gt;0, "4", "5"), 0)), "")</f>
        <v>35</v>
      </c>
      <c r="P443" s="137" cm="1">
        <f t="array" ref="P443">IF(COUNTIF($B$40:$E$40, P$2)&gt;0, _xlfn.IFS(COUNTIF($B$40:$C$40, P$2)&gt;0, VLOOKUP($J443,'Gear Values'!$A$2:$E$13, IF(COUNTBLANK('Attributes &amp; Prefixes'!$B$40:$C$40)&gt;0, "2", "3"), 0), COUNTIF($D$40:$E$40, P$2)&gt;0, VLOOKUP($J443,'Gear Values'!$A$2:$E$13, IF(COUNTBLANK('Attributes &amp; Prefixes'!$B$40:$C$40)&gt;0, "4", "5"), 0)), "")</f>
        <v>64</v>
      </c>
      <c r="Q443" s="137" t="str" cm="1">
        <f t="array" ref="Q443">IF(COUNTIF($B$40:$E$40, Q$2)&gt;0, _xlfn.IFS(COUNTIF($B$40:$C$40, Q$2)&gt;0, VLOOKUP($J443,'Gear Values'!$A$2:$E$13, IF(COUNTBLANK('Attributes &amp; Prefixes'!$B$40:$C$40)&gt;0, "2", "3"), 0), COUNTIF($D$40:$E$40, Q$2)&gt;0, VLOOKUP($J443,'Gear Values'!$A$2:$E$13, IF(COUNTBLANK('Attributes &amp; Prefixes'!$B$40:$C$40)&gt;0, "4", "5"), 0)), "")</f>
        <v/>
      </c>
      <c r="R443" s="137" t="str" cm="1">
        <f t="array" ref="R443">IF(COUNTIF($B$40:$E$40, R$2)&gt;0, _xlfn.IFS(COUNTIF($B$40:$C$40, R$2)&gt;0, VLOOKUP($J443,'Gear Values'!$A$2:$E$13, IF(COUNTBLANK('Attributes &amp; Prefixes'!$B$40:$C$40)&gt;0, "2", "3"), 0), COUNTIF($D$40:$E$40, R$2)&gt;0, VLOOKUP($J443,'Gear Values'!$A$2:$E$13, IF(COUNTBLANK('Attributes &amp; Prefixes'!$B$40:$C$40)&gt;0, "4", "5"), 0)), "")</f>
        <v/>
      </c>
      <c r="S443" s="138" cm="1">
        <f t="array" ref="S443">IF(COUNTIF($B$40:$E$40, S$2)&gt;0, _xlfn.IFS(COUNTIF($B$40:$C$40, S$2)&gt;0, VLOOKUP($J443,'Gear Values'!$A$2:$E$13, IF(COUNTBLANK('Attributes &amp; Prefixes'!$B$40:$C$40)&gt;0, "2", "3"), 0), COUNTIF($D$40:$E$40, S$2)&gt;0, VLOOKUP($J443,'Gear Values'!$A$2:$E$13, IF(COUNTBLANK('Attributes &amp; Prefixes'!$B$40:$C$40)&gt;0, "4", "5"), 0)), "")</f>
        <v>35</v>
      </c>
      <c r="V443" s="112"/>
      <c r="W443" s="112"/>
    </row>
    <row r="444" spans="8:23">
      <c r="H444" s="130" t="str">
        <f>_xlfn.CONCAT(I$435,J444)</f>
        <v>SeraphFinger</v>
      </c>
      <c r="I444" s="520"/>
      <c r="J444" s="144" t="s">
        <v>51</v>
      </c>
      <c r="K444" s="136" t="str" cm="1">
        <f t="array" ref="K444">IF(COUNTIF($B$40:$E$40, K$2)&gt;0, _xlfn.IFS(COUNTIF($B$40:$C$40, K$2)&gt;0, VLOOKUP($J444,'Gear Values'!$A$2:$E$13, IF(COUNTBLANK('Attributes &amp; Prefixes'!$B$40:$C$40)&gt;0, "2", "3"), 0), COUNTIF($D$40:$E$40, K$2)&gt;0, VLOOKUP($J444,'Gear Values'!$A$2:$E$13, IF(COUNTBLANK('Attributes &amp; Prefixes'!$B$40:$C$40)&gt;0, "4", "5"), 0)), "")</f>
        <v/>
      </c>
      <c r="L444" s="137" cm="1">
        <f t="array" ref="L444">IF(COUNTIF($B$40:$E$40, L$2)&gt;0, _xlfn.IFS(COUNTIF($B$40:$C$40, L$2)&gt;0, VLOOKUP($J444,'Gear Values'!$A$2:$E$13, IF(COUNTBLANK('Attributes &amp; Prefixes'!$B$40:$C$40)&gt;0, "2", "3"), 0), COUNTIF($D$40:$E$40, L$2)&gt;0, VLOOKUP($J444,'Gear Values'!$A$2:$E$13, IF(COUNTBLANK('Attributes &amp; Prefixes'!$B$40:$C$40)&gt;0, "4", "5"), 0)), "")</f>
        <v>77</v>
      </c>
      <c r="M444" s="137" t="str" cm="1">
        <f t="array" ref="M444">IF(COUNTIF($B$40:$E$40, M$2)&gt;0, _xlfn.IFS(COUNTIF($B$40:$C$40, M$2)&gt;0, VLOOKUP($J444,'Gear Values'!$A$2:$E$13, IF(COUNTBLANK('Attributes &amp; Prefixes'!$B$40:$C$40)&gt;0, "2", "3"), 0), COUNTIF($D$40:$E$40, M$2)&gt;0, VLOOKUP($J444,'Gear Values'!$A$2:$E$13, IF(COUNTBLANK('Attributes &amp; Prefixes'!$B$40:$C$40)&gt;0, "4", "5"), 0)), "")</f>
        <v/>
      </c>
      <c r="N444" s="137" t="str" cm="1">
        <f t="array" ref="N444">IF(COUNTIF($B$40:$E$40, N$2)&gt;0, _xlfn.IFS(COUNTIF($B$40:$C$40, N$2)&gt;0, VLOOKUP($J444,'Gear Values'!$A$2:$E$13, IF(COUNTBLANK('Attributes &amp; Prefixes'!$B$40:$C$40)&gt;0, "2", "3"), 0), COUNTIF($D$40:$E$40, N$2)&gt;0, VLOOKUP($J444,'Gear Values'!$A$2:$E$13, IF(COUNTBLANK('Attributes &amp; Prefixes'!$B$40:$C$40)&gt;0, "4", "5"), 0)), "")</f>
        <v/>
      </c>
      <c r="O444" s="137" cm="1">
        <f t="array" ref="O444">IF(COUNTIF($B$40:$E$40, O$2)&gt;0, _xlfn.IFS(COUNTIF($B$40:$C$40, O$2)&gt;0, VLOOKUP($J444,'Gear Values'!$A$2:$E$13, IF(COUNTBLANK('Attributes &amp; Prefixes'!$B$40:$C$40)&gt;0, "2", "3"), 0), COUNTIF($D$40:$E$40, O$2)&gt;0, VLOOKUP($J444,'Gear Values'!$A$2:$E$13, IF(COUNTBLANK('Attributes &amp; Prefixes'!$B$40:$C$40)&gt;0, "4", "5"), 0)), "")</f>
        <v>42</v>
      </c>
      <c r="P444" s="137" cm="1">
        <f t="array" ref="P444">IF(COUNTIF($B$40:$E$40, P$2)&gt;0, _xlfn.IFS(COUNTIF($B$40:$C$40, P$2)&gt;0, VLOOKUP($J444,'Gear Values'!$A$2:$E$13, IF(COUNTBLANK('Attributes &amp; Prefixes'!$B$40:$C$40)&gt;0, "2", "3"), 0), COUNTIF($D$40:$E$40, P$2)&gt;0, VLOOKUP($J444,'Gear Values'!$A$2:$E$13, IF(COUNTBLANK('Attributes &amp; Prefixes'!$B$40:$C$40)&gt;0, "4", "5"), 0)), "")</f>
        <v>77</v>
      </c>
      <c r="Q444" s="137" t="str" cm="1">
        <f t="array" ref="Q444">IF(COUNTIF($B$40:$E$40, Q$2)&gt;0, _xlfn.IFS(COUNTIF($B$40:$C$40, Q$2)&gt;0, VLOOKUP($J444,'Gear Values'!$A$2:$E$13, IF(COUNTBLANK('Attributes &amp; Prefixes'!$B$40:$C$40)&gt;0, "2", "3"), 0), COUNTIF($D$40:$E$40, Q$2)&gt;0, VLOOKUP($J444,'Gear Values'!$A$2:$E$13, IF(COUNTBLANK('Attributes &amp; Prefixes'!$B$40:$C$40)&gt;0, "4", "5"), 0)), "")</f>
        <v/>
      </c>
      <c r="R444" s="137" t="str" cm="1">
        <f t="array" ref="R444">IF(COUNTIF($B$40:$E$40, R$2)&gt;0, _xlfn.IFS(COUNTIF($B$40:$C$40, R$2)&gt;0, VLOOKUP($J444,'Gear Values'!$A$2:$E$13, IF(COUNTBLANK('Attributes &amp; Prefixes'!$B$40:$C$40)&gt;0, "2", "3"), 0), COUNTIF($D$40:$E$40, R$2)&gt;0, VLOOKUP($J444,'Gear Values'!$A$2:$E$13, IF(COUNTBLANK('Attributes &amp; Prefixes'!$B$40:$C$40)&gt;0, "4", "5"), 0)), "")</f>
        <v/>
      </c>
      <c r="S444" s="138" cm="1">
        <f t="array" ref="S444">IF(COUNTIF($B$40:$E$40, S$2)&gt;0, _xlfn.IFS(COUNTIF($B$40:$C$40, S$2)&gt;0, VLOOKUP($J444,'Gear Values'!$A$2:$E$13, IF(COUNTBLANK('Attributes &amp; Prefixes'!$B$40:$C$40)&gt;0, "2", "3"), 0), COUNTIF($D$40:$E$40, S$2)&gt;0, VLOOKUP($J444,'Gear Values'!$A$2:$E$13, IF(COUNTBLANK('Attributes &amp; Prefixes'!$B$40:$C$40)&gt;0, "4", "5"), 0)), "")</f>
        <v>42</v>
      </c>
      <c r="V444" s="112"/>
      <c r="W444" s="112"/>
    </row>
    <row r="445" spans="8:23">
      <c r="H445" s="130" t="str">
        <f>_xlfn.CONCAT(I$435,J445)</f>
        <v>SeraphNeck</v>
      </c>
      <c r="I445" s="520"/>
      <c r="J445" s="144" t="s">
        <v>52</v>
      </c>
      <c r="K445" s="136" t="str" cm="1">
        <f t="array" ref="K445">IF(COUNTIF($B$40:$E$40, K$2)&gt;0, _xlfn.IFS(COUNTIF($B$40:$C$40, K$2)&gt;0, VLOOKUP($J445,'Gear Values'!$A$2:$E$13, IF(COUNTBLANK('Attributes &amp; Prefixes'!$B$40:$C$40)&gt;0, "2", "3"), 0), COUNTIF($D$40:$E$40, K$2)&gt;0, VLOOKUP($J445,'Gear Values'!$A$2:$E$13, IF(COUNTBLANK('Attributes &amp; Prefixes'!$B$40:$C$40)&gt;0, "4", "5"), 0)), "")</f>
        <v/>
      </c>
      <c r="L445" s="137" cm="1">
        <f t="array" ref="L445">IF(COUNTIF($B$40:$E$40, L$2)&gt;0, _xlfn.IFS(COUNTIF($B$40:$C$40, L$2)&gt;0, VLOOKUP($J445,'Gear Values'!$A$2:$E$13, IF(COUNTBLANK('Attributes &amp; Prefixes'!$B$40:$C$40)&gt;0, "2", "3"), 0), COUNTIF($D$40:$E$40, L$2)&gt;0, VLOOKUP($J445,'Gear Values'!$A$2:$E$13, IF(COUNTBLANK('Attributes &amp; Prefixes'!$B$40:$C$40)&gt;0, "4", "5"), 0)), "")</f>
        <v>102</v>
      </c>
      <c r="M445" s="137" t="str" cm="1">
        <f t="array" ref="M445">IF(COUNTIF($B$40:$E$40, M$2)&gt;0, _xlfn.IFS(COUNTIF($B$40:$C$40, M$2)&gt;0, VLOOKUP($J445,'Gear Values'!$A$2:$E$13, IF(COUNTBLANK('Attributes &amp; Prefixes'!$B$40:$C$40)&gt;0, "2", "3"), 0), COUNTIF($D$40:$E$40, M$2)&gt;0, VLOOKUP($J445,'Gear Values'!$A$2:$E$13, IF(COUNTBLANK('Attributes &amp; Prefixes'!$B$40:$C$40)&gt;0, "4", "5"), 0)), "")</f>
        <v/>
      </c>
      <c r="N445" s="137" t="str" cm="1">
        <f t="array" ref="N445">IF(COUNTIF($B$40:$E$40, N$2)&gt;0, _xlfn.IFS(COUNTIF($B$40:$C$40, N$2)&gt;0, VLOOKUP($J445,'Gear Values'!$A$2:$E$13, IF(COUNTBLANK('Attributes &amp; Prefixes'!$B$40:$C$40)&gt;0, "2", "3"), 0), COUNTIF($D$40:$E$40, N$2)&gt;0, VLOOKUP($J445,'Gear Values'!$A$2:$E$13, IF(COUNTBLANK('Attributes &amp; Prefixes'!$B$40:$C$40)&gt;0, "4", "5"), 0)), "")</f>
        <v/>
      </c>
      <c r="O445" s="137" cm="1">
        <f t="array" ref="O445">IF(COUNTIF($B$40:$E$40, O$2)&gt;0, _xlfn.IFS(COUNTIF($B$40:$C$40, O$2)&gt;0, VLOOKUP($J445,'Gear Values'!$A$2:$E$13, IF(COUNTBLANK('Attributes &amp; Prefixes'!$B$40:$C$40)&gt;0, "2", "3"), 0), COUNTIF($D$40:$E$40, O$2)&gt;0, VLOOKUP($J445,'Gear Values'!$A$2:$E$13, IF(COUNTBLANK('Attributes &amp; Prefixes'!$B$40:$C$40)&gt;0, "4", "5"), 0)), "")</f>
        <v>56</v>
      </c>
      <c r="P445" s="137" cm="1">
        <f t="array" ref="P445">IF(COUNTIF($B$40:$E$40, P$2)&gt;0, _xlfn.IFS(COUNTIF($B$40:$C$40, P$2)&gt;0, VLOOKUP($J445,'Gear Values'!$A$2:$E$13, IF(COUNTBLANK('Attributes &amp; Prefixes'!$B$40:$C$40)&gt;0, "2", "3"), 0), COUNTIF($D$40:$E$40, P$2)&gt;0, VLOOKUP($J445,'Gear Values'!$A$2:$E$13, IF(COUNTBLANK('Attributes &amp; Prefixes'!$B$40:$C$40)&gt;0, "4", "5"), 0)), "")</f>
        <v>102</v>
      </c>
      <c r="Q445" s="137" t="str" cm="1">
        <f t="array" ref="Q445">IF(COUNTIF($B$40:$E$40, Q$2)&gt;0, _xlfn.IFS(COUNTIF($B$40:$C$40, Q$2)&gt;0, VLOOKUP($J445,'Gear Values'!$A$2:$E$13, IF(COUNTBLANK('Attributes &amp; Prefixes'!$B$40:$C$40)&gt;0, "2", "3"), 0), COUNTIF($D$40:$E$40, Q$2)&gt;0, VLOOKUP($J445,'Gear Values'!$A$2:$E$13, IF(COUNTBLANK('Attributes &amp; Prefixes'!$B$40:$C$40)&gt;0, "4", "5"), 0)), "")</f>
        <v/>
      </c>
      <c r="R445" s="137" t="str" cm="1">
        <f t="array" ref="R445">IF(COUNTIF($B$40:$E$40, R$2)&gt;0, _xlfn.IFS(COUNTIF($B$40:$C$40, R$2)&gt;0, VLOOKUP($J445,'Gear Values'!$A$2:$E$13, IF(COUNTBLANK('Attributes &amp; Prefixes'!$B$40:$C$40)&gt;0, "2", "3"), 0), COUNTIF($D$40:$E$40, R$2)&gt;0, VLOOKUP($J445,'Gear Values'!$A$2:$E$13, IF(COUNTBLANK('Attributes &amp; Prefixes'!$B$40:$C$40)&gt;0, "4", "5"), 0)), "")</f>
        <v/>
      </c>
      <c r="S445" s="138" cm="1">
        <f t="array" ref="S445">IF(COUNTIF($B$40:$E$40, S$2)&gt;0, _xlfn.IFS(COUNTIF($B$40:$C$40, S$2)&gt;0, VLOOKUP($J445,'Gear Values'!$A$2:$E$13, IF(COUNTBLANK('Attributes &amp; Prefixes'!$B$40:$C$40)&gt;0, "2", "3"), 0), COUNTIF($D$40:$E$40, S$2)&gt;0, VLOOKUP($J445,'Gear Values'!$A$2:$E$13, IF(COUNTBLANK('Attributes &amp; Prefixes'!$B$40:$C$40)&gt;0, "4", "5"), 0)), "")</f>
        <v>56</v>
      </c>
      <c r="V445" s="112"/>
      <c r="W445" s="112"/>
    </row>
    <row r="446" spans="8:23">
      <c r="H446" s="130" t="str">
        <f>_xlfn.CONCAT(I$435,J446)</f>
        <v>SeraphBack</v>
      </c>
      <c r="I446" s="521"/>
      <c r="J446" s="146" t="s">
        <v>53</v>
      </c>
      <c r="K446" s="147" t="str" cm="1">
        <f t="array" ref="K446">IF(COUNTIF($B$40:$E$40, K$2)&gt;0, _xlfn.IFS(COUNTIF($B$40:$C$40, K$2)&gt;0, VLOOKUP($J446,'Gear Values'!$A$2:$E$13, IF(COUNTBLANK('Attributes &amp; Prefixes'!$B$40:$C$40)&gt;0, "2", "3"), 0), COUNTIF($D$40:$E$40, K$2)&gt;0, VLOOKUP($J446,'Gear Values'!$A$2:$E$13, IF(COUNTBLANK('Attributes &amp; Prefixes'!$B$40:$C$40)&gt;0, "4", "5"), 0)), "")</f>
        <v/>
      </c>
      <c r="L446" s="148" t="str" cm="1">
        <f t="array" ref="L446">IF(COUNTIF($B$40:$E$40, L$2)&gt;0, _xlfn.IFS(COUNTIF($B$40:$C$40, L$2)&gt;0, VLOOKUP($J446,'Gear Values'!$A$2:$E$13, IF(COUNTBLANK('Attributes &amp; Prefixes'!$B$40:$C$40)&gt;0, "2", "3"), 0), COUNTIF($D$40:$E$40, L$2)&gt;0, VLOOKUP($J446,'Gear Values'!$A$2:$E$13, IF(COUNTBLANK('Attributes &amp; Prefixes'!$B$40:$C$40)&gt;0, "4", "5"), 0)), "")</f>
        <v>N/A</v>
      </c>
      <c r="M446" s="148" t="str" cm="1">
        <f t="array" ref="M446">IF(COUNTIF($B$40:$E$40, M$2)&gt;0, _xlfn.IFS(COUNTIF($B$40:$C$40, M$2)&gt;0, VLOOKUP($J446,'Gear Values'!$A$2:$E$13, IF(COUNTBLANK('Attributes &amp; Prefixes'!$B$40:$C$40)&gt;0, "2", "3"), 0), COUNTIF($D$40:$E$40, M$2)&gt;0, VLOOKUP($J446,'Gear Values'!$A$2:$E$13, IF(COUNTBLANK('Attributes &amp; Prefixes'!$B$40:$C$40)&gt;0, "4", "5"), 0)), "")</f>
        <v/>
      </c>
      <c r="N446" s="148" t="str" cm="1">
        <f t="array" ref="N446">IF(COUNTIF($B$40:$E$40, N$2)&gt;0, _xlfn.IFS(COUNTIF($B$40:$C$40, N$2)&gt;0, VLOOKUP($J446,'Gear Values'!$A$2:$E$13, IF(COUNTBLANK('Attributes &amp; Prefixes'!$B$40:$C$40)&gt;0, "2", "3"), 0), COUNTIF($D$40:$E$40, N$2)&gt;0, VLOOKUP($J446,'Gear Values'!$A$2:$E$13, IF(COUNTBLANK('Attributes &amp; Prefixes'!$B$40:$C$40)&gt;0, "4", "5"), 0)), "")</f>
        <v/>
      </c>
      <c r="O446" s="148" t="str" cm="1">
        <f t="array" ref="O446">IF(COUNTIF($B$40:$E$40, O$2)&gt;0, _xlfn.IFS(COUNTIF($B$40:$C$40, O$2)&gt;0, VLOOKUP($J446,'Gear Values'!$A$2:$E$13, IF(COUNTBLANK('Attributes &amp; Prefixes'!$B$40:$C$40)&gt;0, "2", "3"), 0), COUNTIF($D$40:$E$40, O$2)&gt;0, VLOOKUP($J446,'Gear Values'!$A$2:$E$13, IF(COUNTBLANK('Attributes &amp; Prefixes'!$B$40:$C$40)&gt;0, "4", "5"), 0)), "")</f>
        <v>N/A</v>
      </c>
      <c r="P446" s="148" t="str" cm="1">
        <f t="array" ref="P446">IF(COUNTIF($B$40:$E$40, P$2)&gt;0, _xlfn.IFS(COUNTIF($B$40:$C$40, P$2)&gt;0, VLOOKUP($J446,'Gear Values'!$A$2:$E$13, IF(COUNTBLANK('Attributes &amp; Prefixes'!$B$40:$C$40)&gt;0, "2", "3"), 0), COUNTIF($D$40:$E$40, P$2)&gt;0, VLOOKUP($J446,'Gear Values'!$A$2:$E$13, IF(COUNTBLANK('Attributes &amp; Prefixes'!$B$40:$C$40)&gt;0, "4", "5"), 0)), "")</f>
        <v>N/A</v>
      </c>
      <c r="Q446" s="148" t="str" cm="1">
        <f t="array" ref="Q446">IF(COUNTIF($B$40:$E$40, Q$2)&gt;0, _xlfn.IFS(COUNTIF($B$40:$C$40, Q$2)&gt;0, VLOOKUP($J446,'Gear Values'!$A$2:$E$13, IF(COUNTBLANK('Attributes &amp; Prefixes'!$B$40:$C$40)&gt;0, "2", "3"), 0), COUNTIF($D$40:$E$40, Q$2)&gt;0, VLOOKUP($J446,'Gear Values'!$A$2:$E$13, IF(COUNTBLANK('Attributes &amp; Prefixes'!$B$40:$C$40)&gt;0, "4", "5"), 0)), "")</f>
        <v/>
      </c>
      <c r="R446" s="148" t="str" cm="1">
        <f t="array" ref="R446">IF(COUNTIF($B$40:$E$40, R$2)&gt;0, _xlfn.IFS(COUNTIF($B$40:$C$40, R$2)&gt;0, VLOOKUP($J446,'Gear Values'!$A$2:$E$13, IF(COUNTBLANK('Attributes &amp; Prefixes'!$B$40:$C$40)&gt;0, "2", "3"), 0), COUNTIF($D$40:$E$40, R$2)&gt;0, VLOOKUP($J446,'Gear Values'!$A$2:$E$13, IF(COUNTBLANK('Attributes &amp; Prefixes'!$B$40:$C$40)&gt;0, "4", "5"), 0)), "")</f>
        <v/>
      </c>
      <c r="S446" s="150" t="str" cm="1">
        <f t="array" ref="S446">IF(COUNTIF($B$40:$E$40, S$2)&gt;0, _xlfn.IFS(COUNTIF($B$40:$C$40, S$2)&gt;0, VLOOKUP($J446,'Gear Values'!$A$2:$E$13, IF(COUNTBLANK('Attributes &amp; Prefixes'!$B$40:$C$40)&gt;0, "2", "3"), 0), COUNTIF($D$40:$E$40, S$2)&gt;0, VLOOKUP($J446,'Gear Values'!$A$2:$E$13, IF(COUNTBLANK('Attributes &amp; Prefixes'!$B$40:$C$40)&gt;0, "4", "5"), 0)), "")</f>
        <v>N/A</v>
      </c>
      <c r="V446" s="112"/>
      <c r="W446" s="112"/>
    </row>
    <row r="447" spans="8:23">
      <c r="H447" s="130" t="str">
        <f>_xlfn.CONCAT(I$447,J447)</f>
        <v>SettlerWeapon (1H)</v>
      </c>
      <c r="I447" s="519" t="str">
        <f>A41</f>
        <v>Settler</v>
      </c>
      <c r="J447" s="145" t="s">
        <v>37</v>
      </c>
      <c r="K447" s="133" t="str" cm="1">
        <f t="array" ref="K447">IF(COUNTIF($B$41:$E$41, K$2)&gt;0, _xlfn.IFS(COUNTIF($B$41:$C$41, K$2)&gt;0, VLOOKUP($J447,'Gear Values'!$A$2:$E$13, IF(COUNTBLANK('Attributes &amp; Prefixes'!$B$41:$C$41)&gt;0, "2", "3"), 0), COUNTIF($D$41:$E$41, K$2)&gt;0, VLOOKUP($J447,'Gear Values'!$A$2:$E$13, IF(COUNTBLANK('Attributes &amp; Prefixes'!$B$41:$C$41)&gt;0, "4", "5"), 0)), "")</f>
        <v/>
      </c>
      <c r="L447" s="134" t="str" cm="1">
        <f t="array" ref="L447">IF(COUNTIF($B$41:$E$41, L$2)&gt;0, _xlfn.IFS(COUNTIF($B$41:$C$41, L$2)&gt;0, VLOOKUP($J447,'Gear Values'!$A$2:$E$13, IF(COUNTBLANK('Attributes &amp; Prefixes'!$B$41:$C$41)&gt;0, "2", "3"), 0), COUNTIF($D$41:$E$41, L$2)&gt;0, VLOOKUP($J447,'Gear Values'!$A$2:$E$13, IF(COUNTBLANK('Attributes &amp; Prefixes'!$B$41:$C$41)&gt;0, "4", "5"), 0)), "")</f>
        <v/>
      </c>
      <c r="M447" s="134" cm="1">
        <f t="array" ref="M447">IF(COUNTIF($B$41:$E$41, M$2)&gt;0, _xlfn.IFS(COUNTIF($B$41:$C$41, M$2)&gt;0, VLOOKUP($J447,'Gear Values'!$A$2:$E$13, IF(COUNTBLANK('Attributes &amp; Prefixes'!$B$41:$C$41)&gt;0, "2", "3"), 0), COUNTIF($D$41:$E$41, M$2)&gt;0, VLOOKUP($J447,'Gear Values'!$A$2:$E$13, IF(COUNTBLANK('Attributes &amp; Prefixes'!$B$41:$C$41)&gt;0, "4", "5"), 0)), "")</f>
        <v>120</v>
      </c>
      <c r="N447" s="134" t="str" cm="1">
        <f t="array" ref="N447">IF(COUNTIF($B$41:$E$41, N$2)&gt;0, _xlfn.IFS(COUNTIF($B$41:$C$41, N$2)&gt;0, VLOOKUP($J447,'Gear Values'!$A$2:$E$13, IF(COUNTBLANK('Attributes &amp; Prefixes'!$B$41:$C$41)&gt;0, "2", "3"), 0), COUNTIF($D$41:$E$41, N$2)&gt;0, VLOOKUP($J447,'Gear Values'!$A$2:$E$13, IF(COUNTBLANK('Attributes &amp; Prefixes'!$B$41:$C$41)&gt;0, "4", "5"), 0)), "")</f>
        <v/>
      </c>
      <c r="O447" s="134" t="str" cm="1">
        <f t="array" ref="O447">IF(COUNTIF($B$41:$E$41, O$2)&gt;0, _xlfn.IFS(COUNTIF($B$41:$C$41, O$2)&gt;0, VLOOKUP($J447,'Gear Values'!$A$2:$E$13, IF(COUNTBLANK('Attributes &amp; Prefixes'!$B$41:$C$41)&gt;0, "2", "3"), 0), COUNTIF($D$41:$E$41, O$2)&gt;0, VLOOKUP($J447,'Gear Values'!$A$2:$E$13, IF(COUNTBLANK('Attributes &amp; Prefixes'!$B$41:$C$41)&gt;0, "4", "5"), 0)), "")</f>
        <v/>
      </c>
      <c r="P447" s="134" cm="1">
        <f t="array" ref="P447">IF(COUNTIF($B$41:$E$41, P$2)&gt;0, _xlfn.IFS(COUNTIF($B$41:$C$41, P$2)&gt;0, VLOOKUP($J447,'Gear Values'!$A$2:$E$13, IF(COUNTBLANK('Attributes &amp; Prefixes'!$B$41:$C$41)&gt;0, "2", "3"), 0), COUNTIF($D$41:$E$41, P$2)&gt;0, VLOOKUP($J447,'Gear Values'!$A$2:$E$13, IF(COUNTBLANK('Attributes &amp; Prefixes'!$B$41:$C$41)&gt;0, "4", "5"), 0)), "")</f>
        <v>85</v>
      </c>
      <c r="Q447" s="134" t="str" cm="1">
        <f t="array" ref="Q447">IF(COUNTIF($B$41:$E$41, Q$2)&gt;0, _xlfn.IFS(COUNTIF($B$41:$C$41, Q$2)&gt;0, VLOOKUP($J447,'Gear Values'!$A$2:$E$13, IF(COUNTBLANK('Attributes &amp; Prefixes'!$B$41:$C$41)&gt;0, "2", "3"), 0), COUNTIF($D$41:$E$41, Q$2)&gt;0, VLOOKUP($J447,'Gear Values'!$A$2:$E$13, IF(COUNTBLANK('Attributes &amp; Prefixes'!$B$41:$C$41)&gt;0, "4", "5"), 0)), "")</f>
        <v/>
      </c>
      <c r="R447" s="134" t="str" cm="1">
        <f t="array" ref="R447">IF(COUNTIF($B$41:$E$41, R$2)&gt;0, _xlfn.IFS(COUNTIF($B$41:$C$41, R$2)&gt;0, VLOOKUP($J447,'Gear Values'!$A$2:$E$13, IF(COUNTBLANK('Attributes &amp; Prefixes'!$B$41:$C$41)&gt;0, "2", "3"), 0), COUNTIF($D$41:$E$41, R$2)&gt;0, VLOOKUP($J447,'Gear Values'!$A$2:$E$13, IF(COUNTBLANK('Attributes &amp; Prefixes'!$B$41:$C$41)&gt;0, "4", "5"), 0)), "")</f>
        <v/>
      </c>
      <c r="S447" s="135" cm="1">
        <f t="array" ref="S447">IF(COUNTIF($B$41:$E$41, S$2)&gt;0, _xlfn.IFS(COUNTIF($B$41:$C$41, S$2)&gt;0, VLOOKUP($J447,'Gear Values'!$A$2:$E$13, IF(COUNTBLANK('Attributes &amp; Prefixes'!$B$41:$C$41)&gt;0, "2", "3"), 0), COUNTIF($D$41:$E$41, S$2)&gt;0, VLOOKUP($J447,'Gear Values'!$A$2:$E$13, IF(COUNTBLANK('Attributes &amp; Prefixes'!$B$41:$C$41)&gt;0, "4", "5"), 0)), "")</f>
        <v>85</v>
      </c>
      <c r="V447" s="112"/>
      <c r="W447" s="112"/>
    </row>
    <row r="448" spans="8:23">
      <c r="H448" s="130" t="str">
        <f>_xlfn.CONCAT(I$447,J448)</f>
        <v>SettlerWeapon (2H)</v>
      </c>
      <c r="I448" s="520"/>
      <c r="J448" s="144" t="s">
        <v>39</v>
      </c>
      <c r="K448" s="136" t="str" cm="1">
        <f t="array" ref="K448">IF(COUNTIF($B$41:$E$41, K$2)&gt;0, _xlfn.IFS(COUNTIF($B$41:$C$41, K$2)&gt;0, VLOOKUP($J448,'Gear Values'!$A$2:$E$13, IF(COUNTBLANK('Attributes &amp; Prefixes'!$B$41:$C$41)&gt;0, "2", "3"), 0), COUNTIF($D$41:$E$41, K$2)&gt;0, VLOOKUP($J448,'Gear Values'!$A$2:$E$13, IF(COUNTBLANK('Attributes &amp; Prefixes'!$B$41:$C$41)&gt;0, "4", "5"), 0)), "")</f>
        <v/>
      </c>
      <c r="L448" s="137" t="str" cm="1">
        <f t="array" ref="L448">IF(COUNTIF($B$41:$E$41, L$2)&gt;0, _xlfn.IFS(COUNTIF($B$41:$C$41, L$2)&gt;0, VLOOKUP($J448,'Gear Values'!$A$2:$E$13, IF(COUNTBLANK('Attributes &amp; Prefixes'!$B$41:$C$41)&gt;0, "2", "3"), 0), COUNTIF($D$41:$E$41, L$2)&gt;0, VLOOKUP($J448,'Gear Values'!$A$2:$E$13, IF(COUNTBLANK('Attributes &amp; Prefixes'!$B$41:$C$41)&gt;0, "4", "5"), 0)), "")</f>
        <v/>
      </c>
      <c r="M448" s="137" cm="1">
        <f t="array" ref="M448">IF(COUNTIF($B$41:$E$41, M$2)&gt;0, _xlfn.IFS(COUNTIF($B$41:$C$41, M$2)&gt;0, VLOOKUP($J448,'Gear Values'!$A$2:$E$13, IF(COUNTBLANK('Attributes &amp; Prefixes'!$B$41:$C$41)&gt;0, "2", "3"), 0), COUNTIF($D$41:$E$41, M$2)&gt;0, VLOOKUP($J448,'Gear Values'!$A$2:$E$13, IF(COUNTBLANK('Attributes &amp; Prefixes'!$B$41:$C$41)&gt;0, "4", "5"), 0)), "")</f>
        <v>239</v>
      </c>
      <c r="N448" s="137" t="str" cm="1">
        <f t="array" ref="N448">IF(COUNTIF($B$41:$E$41, N$2)&gt;0, _xlfn.IFS(COUNTIF($B$41:$C$41, N$2)&gt;0, VLOOKUP($J448,'Gear Values'!$A$2:$E$13, IF(COUNTBLANK('Attributes &amp; Prefixes'!$B$41:$C$41)&gt;0, "2", "3"), 0), COUNTIF($D$41:$E$41, N$2)&gt;0, VLOOKUP($J448,'Gear Values'!$A$2:$E$13, IF(COUNTBLANK('Attributes &amp; Prefixes'!$B$41:$C$41)&gt;0, "4", "5"), 0)), "")</f>
        <v/>
      </c>
      <c r="O448" s="137" t="str" cm="1">
        <f t="array" ref="O448">IF(COUNTIF($B$41:$E$41, O$2)&gt;0, _xlfn.IFS(COUNTIF($B$41:$C$41, O$2)&gt;0, VLOOKUP($J448,'Gear Values'!$A$2:$E$13, IF(COUNTBLANK('Attributes &amp; Prefixes'!$B$41:$C$41)&gt;0, "2", "3"), 0), COUNTIF($D$41:$E$41, O$2)&gt;0, VLOOKUP($J448,'Gear Values'!$A$2:$E$13, IF(COUNTBLANK('Attributes &amp; Prefixes'!$B$41:$C$41)&gt;0, "4", "5"), 0)), "")</f>
        <v/>
      </c>
      <c r="P448" s="137" cm="1">
        <f t="array" ref="P448">IF(COUNTIF($B$41:$E$41, P$2)&gt;0, _xlfn.IFS(COUNTIF($B$41:$C$41, P$2)&gt;0, VLOOKUP($J448,'Gear Values'!$A$2:$E$13, IF(COUNTBLANK('Attributes &amp; Prefixes'!$B$41:$C$41)&gt;0, "2", "3"), 0), COUNTIF($D$41:$E$41, P$2)&gt;0, VLOOKUP($J448,'Gear Values'!$A$2:$E$13, IF(COUNTBLANK('Attributes &amp; Prefixes'!$B$41:$C$41)&gt;0, "4", "5"), 0)), "")</f>
        <v>171</v>
      </c>
      <c r="Q448" s="137" t="str" cm="1">
        <f t="array" ref="Q448">IF(COUNTIF($B$41:$E$41, Q$2)&gt;0, _xlfn.IFS(COUNTIF($B$41:$C$41, Q$2)&gt;0, VLOOKUP($J448,'Gear Values'!$A$2:$E$13, IF(COUNTBLANK('Attributes &amp; Prefixes'!$B$41:$C$41)&gt;0, "2", "3"), 0), COUNTIF($D$41:$E$41, Q$2)&gt;0, VLOOKUP($J448,'Gear Values'!$A$2:$E$13, IF(COUNTBLANK('Attributes &amp; Prefixes'!$B$41:$C$41)&gt;0, "4", "5"), 0)), "")</f>
        <v/>
      </c>
      <c r="R448" s="137" t="str" cm="1">
        <f t="array" ref="R448">IF(COUNTIF($B$41:$E$41, R$2)&gt;0, _xlfn.IFS(COUNTIF($B$41:$C$41, R$2)&gt;0, VLOOKUP($J448,'Gear Values'!$A$2:$E$13, IF(COUNTBLANK('Attributes &amp; Prefixes'!$B$41:$C$41)&gt;0, "2", "3"), 0), COUNTIF($D$41:$E$41, R$2)&gt;0, VLOOKUP($J448,'Gear Values'!$A$2:$E$13, IF(COUNTBLANK('Attributes &amp; Prefixes'!$B$41:$C$41)&gt;0, "4", "5"), 0)), "")</f>
        <v/>
      </c>
      <c r="S448" s="138" cm="1">
        <f t="array" ref="S448">IF(COUNTIF($B$41:$E$41, S$2)&gt;0, _xlfn.IFS(COUNTIF($B$41:$C$41, S$2)&gt;0, VLOOKUP($J448,'Gear Values'!$A$2:$E$13, IF(COUNTBLANK('Attributes &amp; Prefixes'!$B$41:$C$41)&gt;0, "2", "3"), 0), COUNTIF($D$41:$E$41, S$2)&gt;0, VLOOKUP($J448,'Gear Values'!$A$2:$E$13, IF(COUNTBLANK('Attributes &amp; Prefixes'!$B$41:$C$41)&gt;0, "4", "5"), 0)), "")</f>
        <v>171</v>
      </c>
      <c r="V448" s="112"/>
      <c r="W448" s="112"/>
    </row>
    <row r="449" spans="6:23">
      <c r="H449" s="130" t="str">
        <f>_xlfn.CONCAT(I$447,J449)</f>
        <v>SettlerHead</v>
      </c>
      <c r="I449" s="520"/>
      <c r="J449" s="144" t="s">
        <v>40</v>
      </c>
      <c r="K449" s="136" t="str" cm="1">
        <f t="array" ref="K449">IF(COUNTIF($B$41:$E$41, K$2)&gt;0, _xlfn.IFS(COUNTIF($B$41:$C$41, K$2)&gt;0, VLOOKUP($J449,'Gear Values'!$A$2:$E$13, IF(COUNTBLANK('Attributes &amp; Prefixes'!$B$41:$C$41)&gt;0, "2", "3"), 0), COUNTIF($D$41:$E$41, K$2)&gt;0, VLOOKUP($J449,'Gear Values'!$A$2:$E$13, IF(COUNTBLANK('Attributes &amp; Prefixes'!$B$41:$C$41)&gt;0, "4", "5"), 0)), "")</f>
        <v/>
      </c>
      <c r="L449" s="137" t="str" cm="1">
        <f t="array" ref="L449">IF(COUNTIF($B$41:$E$41, L$2)&gt;0, _xlfn.IFS(COUNTIF($B$41:$C$41, L$2)&gt;0, VLOOKUP($J449,'Gear Values'!$A$2:$E$13, IF(COUNTBLANK('Attributes &amp; Prefixes'!$B$41:$C$41)&gt;0, "2", "3"), 0), COUNTIF($D$41:$E$41, L$2)&gt;0, VLOOKUP($J449,'Gear Values'!$A$2:$E$13, IF(COUNTBLANK('Attributes &amp; Prefixes'!$B$41:$C$41)&gt;0, "4", "5"), 0)), "")</f>
        <v/>
      </c>
      <c r="M449" s="137" cm="1">
        <f t="array" ref="M449">IF(COUNTIF($B$41:$E$41, M$2)&gt;0, _xlfn.IFS(COUNTIF($B$41:$C$41, M$2)&gt;0, VLOOKUP($J449,'Gear Values'!$A$2:$E$13, IF(COUNTBLANK('Attributes &amp; Prefixes'!$B$41:$C$41)&gt;0, "2", "3"), 0), COUNTIF($D$41:$E$41, M$2)&gt;0, VLOOKUP($J449,'Gear Values'!$A$2:$E$13, IF(COUNTBLANK('Attributes &amp; Prefixes'!$B$41:$C$41)&gt;0, "4", "5"), 0)), "")</f>
        <v>60</v>
      </c>
      <c r="N449" s="137" t="str" cm="1">
        <f t="array" ref="N449">IF(COUNTIF($B$41:$E$41, N$2)&gt;0, _xlfn.IFS(COUNTIF($B$41:$C$41, N$2)&gt;0, VLOOKUP($J449,'Gear Values'!$A$2:$E$13, IF(COUNTBLANK('Attributes &amp; Prefixes'!$B$41:$C$41)&gt;0, "2", "3"), 0), COUNTIF($D$41:$E$41, N$2)&gt;0, VLOOKUP($J449,'Gear Values'!$A$2:$E$13, IF(COUNTBLANK('Attributes &amp; Prefixes'!$B$41:$C$41)&gt;0, "4", "5"), 0)), "")</f>
        <v/>
      </c>
      <c r="O449" s="137" t="str" cm="1">
        <f t="array" ref="O449">IF(COUNTIF($B$41:$E$41, O$2)&gt;0, _xlfn.IFS(COUNTIF($B$41:$C$41, O$2)&gt;0, VLOOKUP($J449,'Gear Values'!$A$2:$E$13, IF(COUNTBLANK('Attributes &amp; Prefixes'!$B$41:$C$41)&gt;0, "2", "3"), 0), COUNTIF($D$41:$E$41, O$2)&gt;0, VLOOKUP($J449,'Gear Values'!$A$2:$E$13, IF(COUNTBLANK('Attributes &amp; Prefixes'!$B$41:$C$41)&gt;0, "4", "5"), 0)), "")</f>
        <v/>
      </c>
      <c r="P449" s="137" cm="1">
        <f t="array" ref="P449">IF(COUNTIF($B$41:$E$41, P$2)&gt;0, _xlfn.IFS(COUNTIF($B$41:$C$41, P$2)&gt;0, VLOOKUP($J449,'Gear Values'!$A$2:$E$13, IF(COUNTBLANK('Attributes &amp; Prefixes'!$B$41:$C$41)&gt;0, "2", "3"), 0), COUNTIF($D$41:$E$41, P$2)&gt;0, VLOOKUP($J449,'Gear Values'!$A$2:$E$13, IF(COUNTBLANK('Attributes &amp; Prefixes'!$B$41:$C$41)&gt;0, "4", "5"), 0)), "")</f>
        <v>43</v>
      </c>
      <c r="Q449" s="137" t="str" cm="1">
        <f t="array" ref="Q449">IF(COUNTIF($B$41:$E$41, Q$2)&gt;0, _xlfn.IFS(COUNTIF($B$41:$C$41, Q$2)&gt;0, VLOOKUP($J449,'Gear Values'!$A$2:$E$13, IF(COUNTBLANK('Attributes &amp; Prefixes'!$B$41:$C$41)&gt;0, "2", "3"), 0), COUNTIF($D$41:$E$41, Q$2)&gt;0, VLOOKUP($J449,'Gear Values'!$A$2:$E$13, IF(COUNTBLANK('Attributes &amp; Prefixes'!$B$41:$C$41)&gt;0, "4", "5"), 0)), "")</f>
        <v/>
      </c>
      <c r="R449" s="137" t="str" cm="1">
        <f t="array" ref="R449">IF(COUNTIF($B$41:$E$41, R$2)&gt;0, _xlfn.IFS(COUNTIF($B$41:$C$41, R$2)&gt;0, VLOOKUP($J449,'Gear Values'!$A$2:$E$13, IF(COUNTBLANK('Attributes &amp; Prefixes'!$B$41:$C$41)&gt;0, "2", "3"), 0), COUNTIF($D$41:$E$41, R$2)&gt;0, VLOOKUP($J449,'Gear Values'!$A$2:$E$13, IF(COUNTBLANK('Attributes &amp; Prefixes'!$B$41:$C$41)&gt;0, "4", "5"), 0)), "")</f>
        <v/>
      </c>
      <c r="S449" s="138" cm="1">
        <f t="array" ref="S449">IF(COUNTIF($B$41:$E$41, S$2)&gt;0, _xlfn.IFS(COUNTIF($B$41:$C$41, S$2)&gt;0, VLOOKUP($J449,'Gear Values'!$A$2:$E$13, IF(COUNTBLANK('Attributes &amp; Prefixes'!$B$41:$C$41)&gt;0, "2", "3"), 0), COUNTIF($D$41:$E$41, S$2)&gt;0, VLOOKUP($J449,'Gear Values'!$A$2:$E$13, IF(COUNTBLANK('Attributes &amp; Prefixes'!$B$41:$C$41)&gt;0, "4", "5"), 0)), "")</f>
        <v>43</v>
      </c>
      <c r="V449" s="112"/>
      <c r="W449" s="112"/>
    </row>
    <row r="450" spans="6:23">
      <c r="H450" s="130" t="str">
        <f>_xlfn.CONCAT(I$447,J450)</f>
        <v>SettlerShoulders</v>
      </c>
      <c r="I450" s="520"/>
      <c r="J450" s="144" t="s">
        <v>42</v>
      </c>
      <c r="K450" s="136" t="str" cm="1">
        <f t="array" ref="K450">IF(COUNTIF($B$41:$E$41, K$2)&gt;0, _xlfn.IFS(COUNTIF($B$41:$C$41, K$2)&gt;0, VLOOKUP($J450,'Gear Values'!$A$2:$E$13, IF(COUNTBLANK('Attributes &amp; Prefixes'!$B$41:$C$41)&gt;0, "2", "3"), 0), COUNTIF($D$41:$E$41, K$2)&gt;0, VLOOKUP($J450,'Gear Values'!$A$2:$E$13, IF(COUNTBLANK('Attributes &amp; Prefixes'!$B$41:$C$41)&gt;0, "4", "5"), 0)), "")</f>
        <v/>
      </c>
      <c r="L450" s="137" t="str" cm="1">
        <f t="array" ref="L450">IF(COUNTIF($B$41:$E$41, L$2)&gt;0, _xlfn.IFS(COUNTIF($B$41:$C$41, L$2)&gt;0, VLOOKUP($J450,'Gear Values'!$A$2:$E$13, IF(COUNTBLANK('Attributes &amp; Prefixes'!$B$41:$C$41)&gt;0, "2", "3"), 0), COUNTIF($D$41:$E$41, L$2)&gt;0, VLOOKUP($J450,'Gear Values'!$A$2:$E$13, IF(COUNTBLANK('Attributes &amp; Prefixes'!$B$41:$C$41)&gt;0, "4", "5"), 0)), "")</f>
        <v/>
      </c>
      <c r="M450" s="137" cm="1">
        <f t="array" ref="M450">IF(COUNTIF($B$41:$E$41, M$2)&gt;0, _xlfn.IFS(COUNTIF($B$41:$C$41, M$2)&gt;0, VLOOKUP($J450,'Gear Values'!$A$2:$E$13, IF(COUNTBLANK('Attributes &amp; Prefixes'!$B$41:$C$41)&gt;0, "2", "3"), 0), COUNTIF($D$41:$E$41, M$2)&gt;0, VLOOKUP($J450,'Gear Values'!$A$2:$E$13, IF(COUNTBLANK('Attributes &amp; Prefixes'!$B$41:$C$41)&gt;0, "4", "5"), 0)), "")</f>
        <v>45</v>
      </c>
      <c r="N450" s="137" t="str" cm="1">
        <f t="array" ref="N450">IF(COUNTIF($B$41:$E$41, N$2)&gt;0, _xlfn.IFS(COUNTIF($B$41:$C$41, N$2)&gt;0, VLOOKUP($J450,'Gear Values'!$A$2:$E$13, IF(COUNTBLANK('Attributes &amp; Prefixes'!$B$41:$C$41)&gt;0, "2", "3"), 0), COUNTIF($D$41:$E$41, N$2)&gt;0, VLOOKUP($J450,'Gear Values'!$A$2:$E$13, IF(COUNTBLANK('Attributes &amp; Prefixes'!$B$41:$C$41)&gt;0, "4", "5"), 0)), "")</f>
        <v/>
      </c>
      <c r="O450" s="137" t="str" cm="1">
        <f t="array" ref="O450">IF(COUNTIF($B$41:$E$41, O$2)&gt;0, _xlfn.IFS(COUNTIF($B$41:$C$41, O$2)&gt;0, VLOOKUP($J450,'Gear Values'!$A$2:$E$13, IF(COUNTBLANK('Attributes &amp; Prefixes'!$B$41:$C$41)&gt;0, "2", "3"), 0), COUNTIF($D$41:$E$41, O$2)&gt;0, VLOOKUP($J450,'Gear Values'!$A$2:$E$13, IF(COUNTBLANK('Attributes &amp; Prefixes'!$B$41:$C$41)&gt;0, "4", "5"), 0)), "")</f>
        <v/>
      </c>
      <c r="P450" s="137" cm="1">
        <f t="array" ref="P450">IF(COUNTIF($B$41:$E$41, P$2)&gt;0, _xlfn.IFS(COUNTIF($B$41:$C$41, P$2)&gt;0, VLOOKUP($J450,'Gear Values'!$A$2:$E$13, IF(COUNTBLANK('Attributes &amp; Prefixes'!$B$41:$C$41)&gt;0, "2", "3"), 0), COUNTIF($D$41:$E$41, P$2)&gt;0, VLOOKUP($J450,'Gear Values'!$A$2:$E$13, IF(COUNTBLANK('Attributes &amp; Prefixes'!$B$41:$C$41)&gt;0, "4", "5"), 0)), "")</f>
        <v>32</v>
      </c>
      <c r="Q450" s="137" t="str" cm="1">
        <f t="array" ref="Q450">IF(COUNTIF($B$41:$E$41, Q$2)&gt;0, _xlfn.IFS(COUNTIF($B$41:$C$41, Q$2)&gt;0, VLOOKUP($J450,'Gear Values'!$A$2:$E$13, IF(COUNTBLANK('Attributes &amp; Prefixes'!$B$41:$C$41)&gt;0, "2", "3"), 0), COUNTIF($D$41:$E$41, Q$2)&gt;0, VLOOKUP($J450,'Gear Values'!$A$2:$E$13, IF(COUNTBLANK('Attributes &amp; Prefixes'!$B$41:$C$41)&gt;0, "4", "5"), 0)), "")</f>
        <v/>
      </c>
      <c r="R450" s="137" t="str" cm="1">
        <f t="array" ref="R450">IF(COUNTIF($B$41:$E$41, R$2)&gt;0, _xlfn.IFS(COUNTIF($B$41:$C$41, R$2)&gt;0, VLOOKUP($J450,'Gear Values'!$A$2:$E$13, IF(COUNTBLANK('Attributes &amp; Prefixes'!$B$41:$C$41)&gt;0, "2", "3"), 0), COUNTIF($D$41:$E$41, R$2)&gt;0, VLOOKUP($J450,'Gear Values'!$A$2:$E$13, IF(COUNTBLANK('Attributes &amp; Prefixes'!$B$41:$C$41)&gt;0, "4", "5"), 0)), "")</f>
        <v/>
      </c>
      <c r="S450" s="138" cm="1">
        <f t="array" ref="S450">IF(COUNTIF($B$41:$E$41, S$2)&gt;0, _xlfn.IFS(COUNTIF($B$41:$C$41, S$2)&gt;0, VLOOKUP($J450,'Gear Values'!$A$2:$E$13, IF(COUNTBLANK('Attributes &amp; Prefixes'!$B$41:$C$41)&gt;0, "2", "3"), 0), COUNTIF($D$41:$E$41, S$2)&gt;0, VLOOKUP($J450,'Gear Values'!$A$2:$E$13, IF(COUNTBLANK('Attributes &amp; Prefixes'!$B$41:$C$41)&gt;0, "4", "5"), 0)), "")</f>
        <v>32</v>
      </c>
      <c r="V450" s="112"/>
      <c r="W450" s="112"/>
    </row>
    <row r="451" spans="6:23">
      <c r="H451" s="130" t="str">
        <f>_xlfn.CONCAT(I$447,J451)</f>
        <v>SettlerChest</v>
      </c>
      <c r="I451" s="520"/>
      <c r="J451" s="144" t="s">
        <v>44</v>
      </c>
      <c r="K451" s="136" t="str" cm="1">
        <f t="array" ref="K451">IF(COUNTIF($B$41:$E$41, K$2)&gt;0, _xlfn.IFS(COUNTIF($B$41:$C$41, K$2)&gt;0, VLOOKUP($J451,'Gear Values'!$A$2:$E$13, IF(COUNTBLANK('Attributes &amp; Prefixes'!$B$41:$C$41)&gt;0, "2", "3"), 0), COUNTIF($D$41:$E$41, K$2)&gt;0, VLOOKUP($J451,'Gear Values'!$A$2:$E$13, IF(COUNTBLANK('Attributes &amp; Prefixes'!$B$41:$C$41)&gt;0, "4", "5"), 0)), "")</f>
        <v/>
      </c>
      <c r="L451" s="137" t="str" cm="1">
        <f t="array" ref="L451">IF(COUNTIF($B$41:$E$41, L$2)&gt;0, _xlfn.IFS(COUNTIF($B$41:$C$41, L$2)&gt;0, VLOOKUP($J451,'Gear Values'!$A$2:$E$13, IF(COUNTBLANK('Attributes &amp; Prefixes'!$B$41:$C$41)&gt;0, "2", "3"), 0), COUNTIF($D$41:$E$41, L$2)&gt;0, VLOOKUP($J451,'Gear Values'!$A$2:$E$13, IF(COUNTBLANK('Attributes &amp; Prefixes'!$B$41:$C$41)&gt;0, "4", "5"), 0)), "")</f>
        <v/>
      </c>
      <c r="M451" s="137" cm="1">
        <f t="array" ref="M451">IF(COUNTIF($B$41:$E$41, M$2)&gt;0, _xlfn.IFS(COUNTIF($B$41:$C$41, M$2)&gt;0, VLOOKUP($J451,'Gear Values'!$A$2:$E$13, IF(COUNTBLANK('Attributes &amp; Prefixes'!$B$41:$C$41)&gt;0, "2", "3"), 0), COUNTIF($D$41:$E$41, M$2)&gt;0, VLOOKUP($J451,'Gear Values'!$A$2:$E$13, IF(COUNTBLANK('Attributes &amp; Prefixes'!$B$41:$C$41)&gt;0, "4", "5"), 0)), "")</f>
        <v>134</v>
      </c>
      <c r="N451" s="137" t="str" cm="1">
        <f t="array" ref="N451">IF(COUNTIF($B$41:$E$41, N$2)&gt;0, _xlfn.IFS(COUNTIF($B$41:$C$41, N$2)&gt;0, VLOOKUP($J451,'Gear Values'!$A$2:$E$13, IF(COUNTBLANK('Attributes &amp; Prefixes'!$B$41:$C$41)&gt;0, "2", "3"), 0), COUNTIF($D$41:$E$41, N$2)&gt;0, VLOOKUP($J451,'Gear Values'!$A$2:$E$13, IF(COUNTBLANK('Attributes &amp; Prefixes'!$B$41:$C$41)&gt;0, "4", "5"), 0)), "")</f>
        <v/>
      </c>
      <c r="O451" s="137" t="str" cm="1">
        <f t="array" ref="O451">IF(COUNTIF($B$41:$E$41, O$2)&gt;0, _xlfn.IFS(COUNTIF($B$41:$C$41, O$2)&gt;0, VLOOKUP($J451,'Gear Values'!$A$2:$E$13, IF(COUNTBLANK('Attributes &amp; Prefixes'!$B$41:$C$41)&gt;0, "2", "3"), 0), COUNTIF($D$41:$E$41, O$2)&gt;0, VLOOKUP($J451,'Gear Values'!$A$2:$E$13, IF(COUNTBLANK('Attributes &amp; Prefixes'!$B$41:$C$41)&gt;0, "4", "5"), 0)), "")</f>
        <v/>
      </c>
      <c r="P451" s="137" cm="1">
        <f t="array" ref="P451">IF(COUNTIF($B$41:$E$41, P$2)&gt;0, _xlfn.IFS(COUNTIF($B$41:$C$41, P$2)&gt;0, VLOOKUP($J451,'Gear Values'!$A$2:$E$13, IF(COUNTBLANK('Attributes &amp; Prefixes'!$B$41:$C$41)&gt;0, "2", "3"), 0), COUNTIF($D$41:$E$41, P$2)&gt;0, VLOOKUP($J451,'Gear Values'!$A$2:$E$13, IF(COUNTBLANK('Attributes &amp; Prefixes'!$B$41:$C$41)&gt;0, "4", "5"), 0)), "")</f>
        <v>96</v>
      </c>
      <c r="Q451" s="137" t="str" cm="1">
        <f t="array" ref="Q451">IF(COUNTIF($B$41:$E$41, Q$2)&gt;0, _xlfn.IFS(COUNTIF($B$41:$C$41, Q$2)&gt;0, VLOOKUP($J451,'Gear Values'!$A$2:$E$13, IF(COUNTBLANK('Attributes &amp; Prefixes'!$B$41:$C$41)&gt;0, "2", "3"), 0), COUNTIF($D$41:$E$41, Q$2)&gt;0, VLOOKUP($J451,'Gear Values'!$A$2:$E$13, IF(COUNTBLANK('Attributes &amp; Prefixes'!$B$41:$C$41)&gt;0, "4", "5"), 0)), "")</f>
        <v/>
      </c>
      <c r="R451" s="137" t="str" cm="1">
        <f t="array" ref="R451">IF(COUNTIF($B$41:$E$41, R$2)&gt;0, _xlfn.IFS(COUNTIF($B$41:$C$41, R$2)&gt;0, VLOOKUP($J451,'Gear Values'!$A$2:$E$13, IF(COUNTBLANK('Attributes &amp; Prefixes'!$B$41:$C$41)&gt;0, "2", "3"), 0), COUNTIF($D$41:$E$41, R$2)&gt;0, VLOOKUP($J451,'Gear Values'!$A$2:$E$13, IF(COUNTBLANK('Attributes &amp; Prefixes'!$B$41:$C$41)&gt;0, "4", "5"), 0)), "")</f>
        <v/>
      </c>
      <c r="S451" s="138" cm="1">
        <f t="array" ref="S451">IF(COUNTIF($B$41:$E$41, S$2)&gt;0, _xlfn.IFS(COUNTIF($B$41:$C$41, S$2)&gt;0, VLOOKUP($J451,'Gear Values'!$A$2:$E$13, IF(COUNTBLANK('Attributes &amp; Prefixes'!$B$41:$C$41)&gt;0, "2", "3"), 0), COUNTIF($D$41:$E$41, S$2)&gt;0, VLOOKUP($J451,'Gear Values'!$A$2:$E$13, IF(COUNTBLANK('Attributes &amp; Prefixes'!$B$41:$C$41)&gt;0, "4", "5"), 0)), "")</f>
        <v>96</v>
      </c>
      <c r="V451" s="112"/>
      <c r="W451" s="112"/>
    </row>
    <row r="452" spans="6:23">
      <c r="F452" s="114"/>
      <c r="G452" s="114"/>
      <c r="H452" s="130" t="str">
        <f>_xlfn.CONCAT(I$447,J452)</f>
        <v>SettlerHands</v>
      </c>
      <c r="I452" s="520"/>
      <c r="J452" s="144" t="s">
        <v>45</v>
      </c>
      <c r="K452" s="136" t="str" cm="1">
        <f t="array" ref="K452">IF(COUNTIF($B$41:$E$41, K$2)&gt;0, _xlfn.IFS(COUNTIF($B$41:$C$41, K$2)&gt;0, VLOOKUP($J452,'Gear Values'!$A$2:$E$13, IF(COUNTBLANK('Attributes &amp; Prefixes'!$B$41:$C$41)&gt;0, "2", "3"), 0), COUNTIF($D$41:$E$41, K$2)&gt;0, VLOOKUP($J452,'Gear Values'!$A$2:$E$13, IF(COUNTBLANK('Attributes &amp; Prefixes'!$B$41:$C$41)&gt;0, "4", "5"), 0)), "")</f>
        <v/>
      </c>
      <c r="L452" s="137" t="str" cm="1">
        <f t="array" ref="L452">IF(COUNTIF($B$41:$E$41, L$2)&gt;0, _xlfn.IFS(COUNTIF($B$41:$C$41, L$2)&gt;0, VLOOKUP($J452,'Gear Values'!$A$2:$E$13, IF(COUNTBLANK('Attributes &amp; Prefixes'!$B$41:$C$41)&gt;0, "2", "3"), 0), COUNTIF($D$41:$E$41, L$2)&gt;0, VLOOKUP($J452,'Gear Values'!$A$2:$E$13, IF(COUNTBLANK('Attributes &amp; Prefixes'!$B$41:$C$41)&gt;0, "4", "5"), 0)), "")</f>
        <v/>
      </c>
      <c r="M452" s="137" cm="1">
        <f t="array" ref="M452">IF(COUNTIF($B$41:$E$41, M$2)&gt;0, _xlfn.IFS(COUNTIF($B$41:$C$41, M$2)&gt;0, VLOOKUP($J452,'Gear Values'!$A$2:$E$13, IF(COUNTBLANK('Attributes &amp; Prefixes'!$B$41:$C$41)&gt;0, "2", "3"), 0), COUNTIF($D$41:$E$41, M$2)&gt;0, VLOOKUP($J452,'Gear Values'!$A$2:$E$13, IF(COUNTBLANK('Attributes &amp; Prefixes'!$B$41:$C$41)&gt;0, "4", "5"), 0)), "")</f>
        <v>45</v>
      </c>
      <c r="N452" s="137" t="str" cm="1">
        <f t="array" ref="N452">IF(COUNTIF($B$41:$E$41, N$2)&gt;0, _xlfn.IFS(COUNTIF($B$41:$C$41, N$2)&gt;0, VLOOKUP($J452,'Gear Values'!$A$2:$E$13, IF(COUNTBLANK('Attributes &amp; Prefixes'!$B$41:$C$41)&gt;0, "2", "3"), 0), COUNTIF($D$41:$E$41, N$2)&gt;0, VLOOKUP($J452,'Gear Values'!$A$2:$E$13, IF(COUNTBLANK('Attributes &amp; Prefixes'!$B$41:$C$41)&gt;0, "4", "5"), 0)), "")</f>
        <v/>
      </c>
      <c r="O452" s="137" t="str" cm="1">
        <f t="array" ref="O452">IF(COUNTIF($B$41:$E$41, O$2)&gt;0, _xlfn.IFS(COUNTIF($B$41:$C$41, O$2)&gt;0, VLOOKUP($J452,'Gear Values'!$A$2:$E$13, IF(COUNTBLANK('Attributes &amp; Prefixes'!$B$41:$C$41)&gt;0, "2", "3"), 0), COUNTIF($D$41:$E$41, O$2)&gt;0, VLOOKUP($J452,'Gear Values'!$A$2:$E$13, IF(COUNTBLANK('Attributes &amp; Prefixes'!$B$41:$C$41)&gt;0, "4", "5"), 0)), "")</f>
        <v/>
      </c>
      <c r="P452" s="137" cm="1">
        <f t="array" ref="P452">IF(COUNTIF($B$41:$E$41, P$2)&gt;0, _xlfn.IFS(COUNTIF($B$41:$C$41, P$2)&gt;0, VLOOKUP($J452,'Gear Values'!$A$2:$E$13, IF(COUNTBLANK('Attributes &amp; Prefixes'!$B$41:$C$41)&gt;0, "2", "3"), 0), COUNTIF($D$41:$E$41, P$2)&gt;0, VLOOKUP($J452,'Gear Values'!$A$2:$E$13, IF(COUNTBLANK('Attributes &amp; Prefixes'!$B$41:$C$41)&gt;0, "4", "5"), 0)), "")</f>
        <v>32</v>
      </c>
      <c r="Q452" s="137" t="str" cm="1">
        <f t="array" ref="Q452">IF(COUNTIF($B$41:$E$41, Q$2)&gt;0, _xlfn.IFS(COUNTIF($B$41:$C$41, Q$2)&gt;0, VLOOKUP($J452,'Gear Values'!$A$2:$E$13, IF(COUNTBLANK('Attributes &amp; Prefixes'!$B$41:$C$41)&gt;0, "2", "3"), 0), COUNTIF($D$41:$E$41, Q$2)&gt;0, VLOOKUP($J452,'Gear Values'!$A$2:$E$13, IF(COUNTBLANK('Attributes &amp; Prefixes'!$B$41:$C$41)&gt;0, "4", "5"), 0)), "")</f>
        <v/>
      </c>
      <c r="R452" s="137" t="str" cm="1">
        <f t="array" ref="R452">IF(COUNTIF($B$41:$E$41, R$2)&gt;0, _xlfn.IFS(COUNTIF($B$41:$C$41, R$2)&gt;0, VLOOKUP($J452,'Gear Values'!$A$2:$E$13, IF(COUNTBLANK('Attributes &amp; Prefixes'!$B$41:$C$41)&gt;0, "2", "3"), 0), COUNTIF($D$41:$E$41, R$2)&gt;0, VLOOKUP($J452,'Gear Values'!$A$2:$E$13, IF(COUNTBLANK('Attributes &amp; Prefixes'!$B$41:$C$41)&gt;0, "4", "5"), 0)), "")</f>
        <v/>
      </c>
      <c r="S452" s="138" cm="1">
        <f t="array" ref="S452">IF(COUNTIF($B$41:$E$41, S$2)&gt;0, _xlfn.IFS(COUNTIF($B$41:$C$41, S$2)&gt;0, VLOOKUP($J452,'Gear Values'!$A$2:$E$13, IF(COUNTBLANK('Attributes &amp; Prefixes'!$B$41:$C$41)&gt;0, "2", "3"), 0), COUNTIF($D$41:$E$41, S$2)&gt;0, VLOOKUP($J452,'Gear Values'!$A$2:$E$13, IF(COUNTBLANK('Attributes &amp; Prefixes'!$B$41:$C$41)&gt;0, "4", "5"), 0)), "")</f>
        <v>32</v>
      </c>
      <c r="V452" s="112"/>
      <c r="W452" s="112"/>
    </row>
    <row r="453" spans="6:23">
      <c r="F453" s="114"/>
      <c r="G453" s="114"/>
      <c r="H453" s="130" t="str">
        <f>_xlfn.CONCAT(I$447,J453)</f>
        <v>SettlerLegs</v>
      </c>
      <c r="I453" s="520"/>
      <c r="J453" s="144" t="s">
        <v>47</v>
      </c>
      <c r="K453" s="136" t="str" cm="1">
        <f t="array" ref="K453">IF(COUNTIF($B$41:$E$41, K$2)&gt;0, _xlfn.IFS(COUNTIF($B$41:$C$41, K$2)&gt;0, VLOOKUP($J453,'Gear Values'!$A$2:$E$13, IF(COUNTBLANK('Attributes &amp; Prefixes'!$B$41:$C$41)&gt;0, "2", "3"), 0), COUNTIF($D$41:$E$41, K$2)&gt;0, VLOOKUP($J453,'Gear Values'!$A$2:$E$13, IF(COUNTBLANK('Attributes &amp; Prefixes'!$B$41:$C$41)&gt;0, "4", "5"), 0)), "")</f>
        <v/>
      </c>
      <c r="L453" s="137" t="str" cm="1">
        <f t="array" ref="L453">IF(COUNTIF($B$41:$E$41, L$2)&gt;0, _xlfn.IFS(COUNTIF($B$41:$C$41, L$2)&gt;0, VLOOKUP($J453,'Gear Values'!$A$2:$E$13, IF(COUNTBLANK('Attributes &amp; Prefixes'!$B$41:$C$41)&gt;0, "2", "3"), 0), COUNTIF($D$41:$E$41, L$2)&gt;0, VLOOKUP($J453,'Gear Values'!$A$2:$E$13, IF(COUNTBLANK('Attributes &amp; Prefixes'!$B$41:$C$41)&gt;0, "4", "5"), 0)), "")</f>
        <v/>
      </c>
      <c r="M453" s="137" cm="1">
        <f t="array" ref="M453">IF(COUNTIF($B$41:$E$41, M$2)&gt;0, _xlfn.IFS(COUNTIF($B$41:$C$41, M$2)&gt;0, VLOOKUP($J453,'Gear Values'!$A$2:$E$13, IF(COUNTBLANK('Attributes &amp; Prefixes'!$B$41:$C$41)&gt;0, "2", "3"), 0), COUNTIF($D$41:$E$41, M$2)&gt;0, VLOOKUP($J453,'Gear Values'!$A$2:$E$13, IF(COUNTBLANK('Attributes &amp; Prefixes'!$B$41:$C$41)&gt;0, "4", "5"), 0)), "")</f>
        <v>90</v>
      </c>
      <c r="N453" s="137" t="str" cm="1">
        <f t="array" ref="N453">IF(COUNTIF($B$41:$E$41, N$2)&gt;0, _xlfn.IFS(COUNTIF($B$41:$C$41, N$2)&gt;0, VLOOKUP($J453,'Gear Values'!$A$2:$E$13, IF(COUNTBLANK('Attributes &amp; Prefixes'!$B$41:$C$41)&gt;0, "2", "3"), 0), COUNTIF($D$41:$E$41, N$2)&gt;0, VLOOKUP($J453,'Gear Values'!$A$2:$E$13, IF(COUNTBLANK('Attributes &amp; Prefixes'!$B$41:$C$41)&gt;0, "4", "5"), 0)), "")</f>
        <v/>
      </c>
      <c r="O453" s="137" t="str" cm="1">
        <f t="array" ref="O453">IF(COUNTIF($B$41:$E$41, O$2)&gt;0, _xlfn.IFS(COUNTIF($B$41:$C$41, O$2)&gt;0, VLOOKUP($J453,'Gear Values'!$A$2:$E$13, IF(COUNTBLANK('Attributes &amp; Prefixes'!$B$41:$C$41)&gt;0, "2", "3"), 0), COUNTIF($D$41:$E$41, O$2)&gt;0, VLOOKUP($J453,'Gear Values'!$A$2:$E$13, IF(COUNTBLANK('Attributes &amp; Prefixes'!$B$41:$C$41)&gt;0, "4", "5"), 0)), "")</f>
        <v/>
      </c>
      <c r="P453" s="137" cm="1">
        <f t="array" ref="P453">IF(COUNTIF($B$41:$E$41, P$2)&gt;0, _xlfn.IFS(COUNTIF($B$41:$C$41, P$2)&gt;0, VLOOKUP($J453,'Gear Values'!$A$2:$E$13, IF(COUNTBLANK('Attributes &amp; Prefixes'!$B$41:$C$41)&gt;0, "2", "3"), 0), COUNTIF($D$41:$E$41, P$2)&gt;0, VLOOKUP($J453,'Gear Values'!$A$2:$E$13, IF(COUNTBLANK('Attributes &amp; Prefixes'!$B$41:$C$41)&gt;0, "4", "5"), 0)), "")</f>
        <v>64</v>
      </c>
      <c r="Q453" s="137" t="str" cm="1">
        <f t="array" ref="Q453">IF(COUNTIF($B$41:$E$41, Q$2)&gt;0, _xlfn.IFS(COUNTIF($B$41:$C$41, Q$2)&gt;0, VLOOKUP($J453,'Gear Values'!$A$2:$E$13, IF(COUNTBLANK('Attributes &amp; Prefixes'!$B$41:$C$41)&gt;0, "2", "3"), 0), COUNTIF($D$41:$E$41, Q$2)&gt;0, VLOOKUP($J453,'Gear Values'!$A$2:$E$13, IF(COUNTBLANK('Attributes &amp; Prefixes'!$B$41:$C$41)&gt;0, "4", "5"), 0)), "")</f>
        <v/>
      </c>
      <c r="R453" s="137" t="str" cm="1">
        <f t="array" ref="R453">IF(COUNTIF($B$41:$E$41, R$2)&gt;0, _xlfn.IFS(COUNTIF($B$41:$C$41, R$2)&gt;0, VLOOKUP($J453,'Gear Values'!$A$2:$E$13, IF(COUNTBLANK('Attributes &amp; Prefixes'!$B$41:$C$41)&gt;0, "2", "3"), 0), COUNTIF($D$41:$E$41, R$2)&gt;0, VLOOKUP($J453,'Gear Values'!$A$2:$E$13, IF(COUNTBLANK('Attributes &amp; Prefixes'!$B$41:$C$41)&gt;0, "4", "5"), 0)), "")</f>
        <v/>
      </c>
      <c r="S453" s="138" cm="1">
        <f t="array" ref="S453">IF(COUNTIF($B$41:$E$41, S$2)&gt;0, _xlfn.IFS(COUNTIF($B$41:$C$41, S$2)&gt;0, VLOOKUP($J453,'Gear Values'!$A$2:$E$13, IF(COUNTBLANK('Attributes &amp; Prefixes'!$B$41:$C$41)&gt;0, "2", "3"), 0), COUNTIF($D$41:$E$41, S$2)&gt;0, VLOOKUP($J453,'Gear Values'!$A$2:$E$13, IF(COUNTBLANK('Attributes &amp; Prefixes'!$B$41:$C$41)&gt;0, "4", "5"), 0)), "")</f>
        <v>64</v>
      </c>
      <c r="V453" s="112"/>
      <c r="W453" s="112"/>
    </row>
    <row r="454" spans="6:23">
      <c r="F454" s="114"/>
      <c r="G454" s="114"/>
      <c r="H454" s="130" t="str">
        <f>_xlfn.CONCAT(I$447,J454)</f>
        <v>SettlerFeet</v>
      </c>
      <c r="I454" s="520"/>
      <c r="J454" s="144" t="s">
        <v>48</v>
      </c>
      <c r="K454" s="136" t="str" cm="1">
        <f t="array" ref="K454">IF(COUNTIF($B$41:$E$41, K$2)&gt;0, _xlfn.IFS(COUNTIF($B$41:$C$41, K$2)&gt;0, VLOOKUP($J454,'Gear Values'!$A$2:$E$13, IF(COUNTBLANK('Attributes &amp; Prefixes'!$B$41:$C$41)&gt;0, "2", "3"), 0), COUNTIF($D$41:$E$41, K$2)&gt;0, VLOOKUP($J454,'Gear Values'!$A$2:$E$13, IF(COUNTBLANK('Attributes &amp; Prefixes'!$B$41:$C$41)&gt;0, "4", "5"), 0)), "")</f>
        <v/>
      </c>
      <c r="L454" s="137" t="str" cm="1">
        <f t="array" ref="L454">IF(COUNTIF($B$41:$E$41, L$2)&gt;0, _xlfn.IFS(COUNTIF($B$41:$C$41, L$2)&gt;0, VLOOKUP($J454,'Gear Values'!$A$2:$E$13, IF(COUNTBLANK('Attributes &amp; Prefixes'!$B$41:$C$41)&gt;0, "2", "3"), 0), COUNTIF($D$41:$E$41, L$2)&gt;0, VLOOKUP($J454,'Gear Values'!$A$2:$E$13, IF(COUNTBLANK('Attributes &amp; Prefixes'!$B$41:$C$41)&gt;0, "4", "5"), 0)), "")</f>
        <v/>
      </c>
      <c r="M454" s="137" cm="1">
        <f t="array" ref="M454">IF(COUNTIF($B$41:$E$41, M$2)&gt;0, _xlfn.IFS(COUNTIF($B$41:$C$41, M$2)&gt;0, VLOOKUP($J454,'Gear Values'!$A$2:$E$13, IF(COUNTBLANK('Attributes &amp; Prefixes'!$B$41:$C$41)&gt;0, "2", "3"), 0), COUNTIF($D$41:$E$41, M$2)&gt;0, VLOOKUP($J454,'Gear Values'!$A$2:$E$13, IF(COUNTBLANK('Attributes &amp; Prefixes'!$B$41:$C$41)&gt;0, "4", "5"), 0)), "")</f>
        <v>45</v>
      </c>
      <c r="N454" s="137" t="str" cm="1">
        <f t="array" ref="N454">IF(COUNTIF($B$41:$E$41, N$2)&gt;0, _xlfn.IFS(COUNTIF($B$41:$C$41, N$2)&gt;0, VLOOKUP($J454,'Gear Values'!$A$2:$E$13, IF(COUNTBLANK('Attributes &amp; Prefixes'!$B$41:$C$41)&gt;0, "2", "3"), 0), COUNTIF($D$41:$E$41, N$2)&gt;0, VLOOKUP($J454,'Gear Values'!$A$2:$E$13, IF(COUNTBLANK('Attributes &amp; Prefixes'!$B$41:$C$41)&gt;0, "4", "5"), 0)), "")</f>
        <v/>
      </c>
      <c r="O454" s="137" t="str" cm="1">
        <f t="array" ref="O454">IF(COUNTIF($B$41:$E$41, O$2)&gt;0, _xlfn.IFS(COUNTIF($B$41:$C$41, O$2)&gt;0, VLOOKUP($J454,'Gear Values'!$A$2:$E$13, IF(COUNTBLANK('Attributes &amp; Prefixes'!$B$41:$C$41)&gt;0, "2", "3"), 0), COUNTIF($D$41:$E$41, O$2)&gt;0, VLOOKUP($J454,'Gear Values'!$A$2:$E$13, IF(COUNTBLANK('Attributes &amp; Prefixes'!$B$41:$C$41)&gt;0, "4", "5"), 0)), "")</f>
        <v/>
      </c>
      <c r="P454" s="137" cm="1">
        <f t="array" ref="P454">IF(COUNTIF($B$41:$E$41, P$2)&gt;0, _xlfn.IFS(COUNTIF($B$41:$C$41, P$2)&gt;0, VLOOKUP($J454,'Gear Values'!$A$2:$E$13, IF(COUNTBLANK('Attributes &amp; Prefixes'!$B$41:$C$41)&gt;0, "2", "3"), 0), COUNTIF($D$41:$E$41, P$2)&gt;0, VLOOKUP($J454,'Gear Values'!$A$2:$E$13, IF(COUNTBLANK('Attributes &amp; Prefixes'!$B$41:$C$41)&gt;0, "4", "5"), 0)), "")</f>
        <v>32</v>
      </c>
      <c r="Q454" s="137" t="str" cm="1">
        <f t="array" ref="Q454">IF(COUNTIF($B$41:$E$41, Q$2)&gt;0, _xlfn.IFS(COUNTIF($B$41:$C$41, Q$2)&gt;0, VLOOKUP($J454,'Gear Values'!$A$2:$E$13, IF(COUNTBLANK('Attributes &amp; Prefixes'!$B$41:$C$41)&gt;0, "2", "3"), 0), COUNTIF($D$41:$E$41, Q$2)&gt;0, VLOOKUP($J454,'Gear Values'!$A$2:$E$13, IF(COUNTBLANK('Attributes &amp; Prefixes'!$B$41:$C$41)&gt;0, "4", "5"), 0)), "")</f>
        <v/>
      </c>
      <c r="R454" s="137" t="str" cm="1">
        <f t="array" ref="R454">IF(COUNTIF($B$41:$E$41, R$2)&gt;0, _xlfn.IFS(COUNTIF($B$41:$C$41, R$2)&gt;0, VLOOKUP($J454,'Gear Values'!$A$2:$E$13, IF(COUNTBLANK('Attributes &amp; Prefixes'!$B$41:$C$41)&gt;0, "2", "3"), 0), COUNTIF($D$41:$E$41, R$2)&gt;0, VLOOKUP($J454,'Gear Values'!$A$2:$E$13, IF(COUNTBLANK('Attributes &amp; Prefixes'!$B$41:$C$41)&gt;0, "4", "5"), 0)), "")</f>
        <v/>
      </c>
      <c r="S454" s="138" cm="1">
        <f t="array" ref="S454">IF(COUNTIF($B$41:$E$41, S$2)&gt;0, _xlfn.IFS(COUNTIF($B$41:$C$41, S$2)&gt;0, VLOOKUP($J454,'Gear Values'!$A$2:$E$13, IF(COUNTBLANK('Attributes &amp; Prefixes'!$B$41:$C$41)&gt;0, "2", "3"), 0), COUNTIF($D$41:$E$41, S$2)&gt;0, VLOOKUP($J454,'Gear Values'!$A$2:$E$13, IF(COUNTBLANK('Attributes &amp; Prefixes'!$B$41:$C$41)&gt;0, "4", "5"), 0)), "")</f>
        <v>32</v>
      </c>
      <c r="V454" s="112"/>
      <c r="W454" s="112"/>
    </row>
    <row r="455" spans="6:23">
      <c r="F455" s="114"/>
      <c r="G455" s="114"/>
      <c r="H455" s="130" t="str">
        <f>_xlfn.CONCAT(I$447,J455)</f>
        <v>SettlerEar</v>
      </c>
      <c r="I455" s="520"/>
      <c r="J455" s="144" t="s">
        <v>49</v>
      </c>
      <c r="K455" s="136" t="str" cm="1">
        <f t="array" ref="K455">IF(COUNTIF($B$41:$E$41, K$2)&gt;0, _xlfn.IFS(COUNTIF($B$41:$C$41, K$2)&gt;0, VLOOKUP($J455,'Gear Values'!$A$2:$E$13, IF(COUNTBLANK('Attributes &amp; Prefixes'!$B$41:$C$41)&gt;0, "2", "3"), 0), COUNTIF($D$41:$E$41, K$2)&gt;0, VLOOKUP($J455,'Gear Values'!$A$2:$E$13, IF(COUNTBLANK('Attributes &amp; Prefixes'!$B$41:$C$41)&gt;0, "4", "5"), 0)), "")</f>
        <v/>
      </c>
      <c r="L455" s="137" t="str" cm="1">
        <f t="array" ref="L455">IF(COUNTIF($B$41:$E$41, L$2)&gt;0, _xlfn.IFS(COUNTIF($B$41:$C$41, L$2)&gt;0, VLOOKUP($J455,'Gear Values'!$A$2:$E$13, IF(COUNTBLANK('Attributes &amp; Prefixes'!$B$41:$C$41)&gt;0, "2", "3"), 0), COUNTIF($D$41:$E$41, L$2)&gt;0, VLOOKUP($J455,'Gear Values'!$A$2:$E$13, IF(COUNTBLANK('Attributes &amp; Prefixes'!$B$41:$C$41)&gt;0, "4", "5"), 0)), "")</f>
        <v/>
      </c>
      <c r="M455" s="137" cm="1">
        <f t="array" ref="M455">IF(COUNTIF($B$41:$E$41, M$2)&gt;0, _xlfn.IFS(COUNTIF($B$41:$C$41, M$2)&gt;0, VLOOKUP($J455,'Gear Values'!$A$2:$E$13, IF(COUNTBLANK('Attributes &amp; Prefixes'!$B$41:$C$41)&gt;0, "2", "3"), 0), COUNTIF($D$41:$E$41, M$2)&gt;0, VLOOKUP($J455,'Gear Values'!$A$2:$E$13, IF(COUNTBLANK('Attributes &amp; Prefixes'!$B$41:$C$41)&gt;0, "4", "5"), 0)), "")</f>
        <v>75</v>
      </c>
      <c r="N455" s="137" t="str" cm="1">
        <f t="array" ref="N455">IF(COUNTIF($B$41:$E$41, N$2)&gt;0, _xlfn.IFS(COUNTIF($B$41:$C$41, N$2)&gt;0, VLOOKUP($J455,'Gear Values'!$A$2:$E$13, IF(COUNTBLANK('Attributes &amp; Prefixes'!$B$41:$C$41)&gt;0, "2", "3"), 0), COUNTIF($D$41:$E$41, N$2)&gt;0, VLOOKUP($J455,'Gear Values'!$A$2:$E$13, IF(COUNTBLANK('Attributes &amp; Prefixes'!$B$41:$C$41)&gt;0, "4", "5"), 0)), "")</f>
        <v/>
      </c>
      <c r="O455" s="137" t="str" cm="1">
        <f t="array" ref="O455">IF(COUNTIF($B$41:$E$41, O$2)&gt;0, _xlfn.IFS(COUNTIF($B$41:$C$41, O$2)&gt;0, VLOOKUP($J455,'Gear Values'!$A$2:$E$13, IF(COUNTBLANK('Attributes &amp; Prefixes'!$B$41:$C$41)&gt;0, "2", "3"), 0), COUNTIF($D$41:$E$41, O$2)&gt;0, VLOOKUP($J455,'Gear Values'!$A$2:$E$13, IF(COUNTBLANK('Attributes &amp; Prefixes'!$B$41:$C$41)&gt;0, "4", "5"), 0)), "")</f>
        <v/>
      </c>
      <c r="P455" s="137" cm="1">
        <f t="array" ref="P455">IF(COUNTIF($B$41:$E$41, P$2)&gt;0, _xlfn.IFS(COUNTIF($B$41:$C$41, P$2)&gt;0, VLOOKUP($J455,'Gear Values'!$A$2:$E$13, IF(COUNTBLANK('Attributes &amp; Prefixes'!$B$41:$C$41)&gt;0, "2", "3"), 0), COUNTIF($D$41:$E$41, P$2)&gt;0, VLOOKUP($J455,'Gear Values'!$A$2:$E$13, IF(COUNTBLANK('Attributes &amp; Prefixes'!$B$41:$C$41)&gt;0, "4", "5"), 0)), "")</f>
        <v>53</v>
      </c>
      <c r="Q455" s="137" t="str" cm="1">
        <f t="array" ref="Q455">IF(COUNTIF($B$41:$E$41, Q$2)&gt;0, _xlfn.IFS(COUNTIF($B$41:$C$41, Q$2)&gt;0, VLOOKUP($J455,'Gear Values'!$A$2:$E$13, IF(COUNTBLANK('Attributes &amp; Prefixes'!$B$41:$C$41)&gt;0, "2", "3"), 0), COUNTIF($D$41:$E$41, Q$2)&gt;0, VLOOKUP($J455,'Gear Values'!$A$2:$E$13, IF(COUNTBLANK('Attributes &amp; Prefixes'!$B$41:$C$41)&gt;0, "4", "5"), 0)), "")</f>
        <v/>
      </c>
      <c r="R455" s="137" t="str" cm="1">
        <f t="array" ref="R455">IF(COUNTIF($B$41:$E$41, R$2)&gt;0, _xlfn.IFS(COUNTIF($B$41:$C$41, R$2)&gt;0, VLOOKUP($J455,'Gear Values'!$A$2:$E$13, IF(COUNTBLANK('Attributes &amp; Prefixes'!$B$41:$C$41)&gt;0, "2", "3"), 0), COUNTIF($D$41:$E$41, R$2)&gt;0, VLOOKUP($J455,'Gear Values'!$A$2:$E$13, IF(COUNTBLANK('Attributes &amp; Prefixes'!$B$41:$C$41)&gt;0, "4", "5"), 0)), "")</f>
        <v/>
      </c>
      <c r="S455" s="138" cm="1">
        <f t="array" ref="S455">IF(COUNTIF($B$41:$E$41, S$2)&gt;0, _xlfn.IFS(COUNTIF($B$41:$C$41, S$2)&gt;0, VLOOKUP($J455,'Gear Values'!$A$2:$E$13, IF(COUNTBLANK('Attributes &amp; Prefixes'!$B$41:$C$41)&gt;0, "2", "3"), 0), COUNTIF($D$41:$E$41, S$2)&gt;0, VLOOKUP($J455,'Gear Values'!$A$2:$E$13, IF(COUNTBLANK('Attributes &amp; Prefixes'!$B$41:$C$41)&gt;0, "4", "5"), 0)), "")</f>
        <v>53</v>
      </c>
      <c r="V455" s="112"/>
      <c r="W455" s="112"/>
    </row>
    <row r="456" spans="6:23">
      <c r="F456" s="114"/>
      <c r="G456" s="114"/>
      <c r="H456" s="130" t="str">
        <f>_xlfn.CONCAT(I$447,J456)</f>
        <v>SettlerFinger</v>
      </c>
      <c r="I456" s="520"/>
      <c r="J456" s="144" t="s">
        <v>51</v>
      </c>
      <c r="K456" s="136" t="str" cm="1">
        <f t="array" ref="K456">IF(COUNTIF($B$41:$E$41, K$2)&gt;0, _xlfn.IFS(COUNTIF($B$41:$C$41, K$2)&gt;0, VLOOKUP($J456,'Gear Values'!$A$2:$E$13, IF(COUNTBLANK('Attributes &amp; Prefixes'!$B$41:$C$41)&gt;0, "2", "3"), 0), COUNTIF($D$41:$E$41, K$2)&gt;0, VLOOKUP($J456,'Gear Values'!$A$2:$E$13, IF(COUNTBLANK('Attributes &amp; Prefixes'!$B$41:$C$41)&gt;0, "4", "5"), 0)), "")</f>
        <v/>
      </c>
      <c r="L456" s="137" t="str" cm="1">
        <f t="array" ref="L456">IF(COUNTIF($B$41:$E$41, L$2)&gt;0, _xlfn.IFS(COUNTIF($B$41:$C$41, L$2)&gt;0, VLOOKUP($J456,'Gear Values'!$A$2:$E$13, IF(COUNTBLANK('Attributes &amp; Prefixes'!$B$41:$C$41)&gt;0, "2", "3"), 0), COUNTIF($D$41:$E$41, L$2)&gt;0, VLOOKUP($J456,'Gear Values'!$A$2:$E$13, IF(COUNTBLANK('Attributes &amp; Prefixes'!$B$41:$C$41)&gt;0, "4", "5"), 0)), "")</f>
        <v/>
      </c>
      <c r="M456" s="137" cm="1">
        <f t="array" ref="M456">IF(COUNTIF($B$41:$E$41, M$2)&gt;0, _xlfn.IFS(COUNTIF($B$41:$C$41, M$2)&gt;0, VLOOKUP($J456,'Gear Values'!$A$2:$E$13, IF(COUNTBLANK('Attributes &amp; Prefixes'!$B$41:$C$41)&gt;0, "2", "3"), 0), COUNTIF($D$41:$E$41, M$2)&gt;0, VLOOKUP($J456,'Gear Values'!$A$2:$E$13, IF(COUNTBLANK('Attributes &amp; Prefixes'!$B$41:$C$41)&gt;0, "4", "5"), 0)), "")</f>
        <v>90</v>
      </c>
      <c r="N456" s="137" t="str" cm="1">
        <f t="array" ref="N456">IF(COUNTIF($B$41:$E$41, N$2)&gt;0, _xlfn.IFS(COUNTIF($B$41:$C$41, N$2)&gt;0, VLOOKUP($J456,'Gear Values'!$A$2:$E$13, IF(COUNTBLANK('Attributes &amp; Prefixes'!$B$41:$C$41)&gt;0, "2", "3"), 0), COUNTIF($D$41:$E$41, N$2)&gt;0, VLOOKUP($J456,'Gear Values'!$A$2:$E$13, IF(COUNTBLANK('Attributes &amp; Prefixes'!$B$41:$C$41)&gt;0, "4", "5"), 0)), "")</f>
        <v/>
      </c>
      <c r="O456" s="137" t="str" cm="1">
        <f t="array" ref="O456">IF(COUNTIF($B$41:$E$41, O$2)&gt;0, _xlfn.IFS(COUNTIF($B$41:$C$41, O$2)&gt;0, VLOOKUP($J456,'Gear Values'!$A$2:$E$13, IF(COUNTBLANK('Attributes &amp; Prefixes'!$B$41:$C$41)&gt;0, "2", "3"), 0), COUNTIF($D$41:$E$41, O$2)&gt;0, VLOOKUP($J456,'Gear Values'!$A$2:$E$13, IF(COUNTBLANK('Attributes &amp; Prefixes'!$B$41:$C$41)&gt;0, "4", "5"), 0)), "")</f>
        <v/>
      </c>
      <c r="P456" s="137" cm="1">
        <f t="array" ref="P456">IF(COUNTIF($B$41:$E$41, P$2)&gt;0, _xlfn.IFS(COUNTIF($B$41:$C$41, P$2)&gt;0, VLOOKUP($J456,'Gear Values'!$A$2:$E$13, IF(COUNTBLANK('Attributes &amp; Prefixes'!$B$41:$C$41)&gt;0, "2", "3"), 0), COUNTIF($D$41:$E$41, P$2)&gt;0, VLOOKUP($J456,'Gear Values'!$A$2:$E$13, IF(COUNTBLANK('Attributes &amp; Prefixes'!$B$41:$C$41)&gt;0, "4", "5"), 0)), "")</f>
        <v>64</v>
      </c>
      <c r="Q456" s="137" t="str" cm="1">
        <f t="array" ref="Q456">IF(COUNTIF($B$41:$E$41, Q$2)&gt;0, _xlfn.IFS(COUNTIF($B$41:$C$41, Q$2)&gt;0, VLOOKUP($J456,'Gear Values'!$A$2:$E$13, IF(COUNTBLANK('Attributes &amp; Prefixes'!$B$41:$C$41)&gt;0, "2", "3"), 0), COUNTIF($D$41:$E$41, Q$2)&gt;0, VLOOKUP($J456,'Gear Values'!$A$2:$E$13, IF(COUNTBLANK('Attributes &amp; Prefixes'!$B$41:$C$41)&gt;0, "4", "5"), 0)), "")</f>
        <v/>
      </c>
      <c r="R456" s="137" t="str" cm="1">
        <f t="array" ref="R456">IF(COUNTIF($B$41:$E$41, R$2)&gt;0, _xlfn.IFS(COUNTIF($B$41:$C$41, R$2)&gt;0, VLOOKUP($J456,'Gear Values'!$A$2:$E$13, IF(COUNTBLANK('Attributes &amp; Prefixes'!$B$41:$C$41)&gt;0, "2", "3"), 0), COUNTIF($D$41:$E$41, R$2)&gt;0, VLOOKUP($J456,'Gear Values'!$A$2:$E$13, IF(COUNTBLANK('Attributes &amp; Prefixes'!$B$41:$C$41)&gt;0, "4", "5"), 0)), "")</f>
        <v/>
      </c>
      <c r="S456" s="138" cm="1">
        <f t="array" ref="S456">IF(COUNTIF($B$41:$E$41, S$2)&gt;0, _xlfn.IFS(COUNTIF($B$41:$C$41, S$2)&gt;0, VLOOKUP($J456,'Gear Values'!$A$2:$E$13, IF(COUNTBLANK('Attributes &amp; Prefixes'!$B$41:$C$41)&gt;0, "2", "3"), 0), COUNTIF($D$41:$E$41, S$2)&gt;0, VLOOKUP($J456,'Gear Values'!$A$2:$E$13, IF(COUNTBLANK('Attributes &amp; Prefixes'!$B$41:$C$41)&gt;0, "4", "5"), 0)), "")</f>
        <v>64</v>
      </c>
      <c r="V456" s="112"/>
      <c r="W456" s="112"/>
    </row>
    <row r="457" spans="6:23">
      <c r="F457" s="114"/>
      <c r="G457" s="114"/>
      <c r="H457" s="130" t="str">
        <f>_xlfn.CONCAT(I$447,J457)</f>
        <v>SettlerNeck</v>
      </c>
      <c r="I457" s="520"/>
      <c r="J457" s="144" t="s">
        <v>52</v>
      </c>
      <c r="K457" s="136" t="str" cm="1">
        <f t="array" ref="K457">IF(COUNTIF($B$41:$E$41, K$2)&gt;0, _xlfn.IFS(COUNTIF($B$41:$C$41, K$2)&gt;0, VLOOKUP($J457,'Gear Values'!$A$2:$E$13, IF(COUNTBLANK('Attributes &amp; Prefixes'!$B$41:$C$41)&gt;0, "2", "3"), 0), COUNTIF($D$41:$E$41, K$2)&gt;0, VLOOKUP($J457,'Gear Values'!$A$2:$E$13, IF(COUNTBLANK('Attributes &amp; Prefixes'!$B$41:$C$41)&gt;0, "4", "5"), 0)), "")</f>
        <v/>
      </c>
      <c r="L457" s="137" t="str" cm="1">
        <f t="array" ref="L457">IF(COUNTIF($B$41:$E$41, L$2)&gt;0, _xlfn.IFS(COUNTIF($B$41:$C$41, L$2)&gt;0, VLOOKUP($J457,'Gear Values'!$A$2:$E$13, IF(COUNTBLANK('Attributes &amp; Prefixes'!$B$41:$C$41)&gt;0, "2", "3"), 0), COUNTIF($D$41:$E$41, L$2)&gt;0, VLOOKUP($J457,'Gear Values'!$A$2:$E$13, IF(COUNTBLANK('Attributes &amp; Prefixes'!$B$41:$C$41)&gt;0, "4", "5"), 0)), "")</f>
        <v/>
      </c>
      <c r="M457" s="137" cm="1">
        <f t="array" ref="M457">IF(COUNTIF($B$41:$E$41, M$2)&gt;0, _xlfn.IFS(COUNTIF($B$41:$C$41, M$2)&gt;0, VLOOKUP($J457,'Gear Values'!$A$2:$E$13, IF(COUNTBLANK('Attributes &amp; Prefixes'!$B$41:$C$41)&gt;0, "2", "3"), 0), COUNTIF($D$41:$E$41, M$2)&gt;0, VLOOKUP($J457,'Gear Values'!$A$2:$E$13, IF(COUNTBLANK('Attributes &amp; Prefixes'!$B$41:$C$41)&gt;0, "4", "5"), 0)), "")</f>
        <v>120</v>
      </c>
      <c r="N457" s="137" t="str" cm="1">
        <f t="array" ref="N457">IF(COUNTIF($B$41:$E$41, N$2)&gt;0, _xlfn.IFS(COUNTIF($B$41:$C$41, N$2)&gt;0, VLOOKUP($J457,'Gear Values'!$A$2:$E$13, IF(COUNTBLANK('Attributes &amp; Prefixes'!$B$41:$C$41)&gt;0, "2", "3"), 0), COUNTIF($D$41:$E$41, N$2)&gt;0, VLOOKUP($J457,'Gear Values'!$A$2:$E$13, IF(COUNTBLANK('Attributes &amp; Prefixes'!$B$41:$C$41)&gt;0, "4", "5"), 0)), "")</f>
        <v/>
      </c>
      <c r="O457" s="137" t="str" cm="1">
        <f t="array" ref="O457">IF(COUNTIF($B$41:$E$41, O$2)&gt;0, _xlfn.IFS(COUNTIF($B$41:$C$41, O$2)&gt;0, VLOOKUP($J457,'Gear Values'!$A$2:$E$13, IF(COUNTBLANK('Attributes &amp; Prefixes'!$B$41:$C$41)&gt;0, "2", "3"), 0), COUNTIF($D$41:$E$41, O$2)&gt;0, VLOOKUP($J457,'Gear Values'!$A$2:$E$13, IF(COUNTBLANK('Attributes &amp; Prefixes'!$B$41:$C$41)&gt;0, "4", "5"), 0)), "")</f>
        <v/>
      </c>
      <c r="P457" s="137" cm="1">
        <f t="array" ref="P457">IF(COUNTIF($B$41:$E$41, P$2)&gt;0, _xlfn.IFS(COUNTIF($B$41:$C$41, P$2)&gt;0, VLOOKUP($J457,'Gear Values'!$A$2:$E$13, IF(COUNTBLANK('Attributes &amp; Prefixes'!$B$41:$C$41)&gt;0, "2", "3"), 0), COUNTIF($D$41:$E$41, P$2)&gt;0, VLOOKUP($J457,'Gear Values'!$A$2:$E$13, IF(COUNTBLANK('Attributes &amp; Prefixes'!$B$41:$C$41)&gt;0, "4", "5"), 0)), "")</f>
        <v>85</v>
      </c>
      <c r="Q457" s="137" t="str" cm="1">
        <f t="array" ref="Q457">IF(COUNTIF($B$41:$E$41, Q$2)&gt;0, _xlfn.IFS(COUNTIF($B$41:$C$41, Q$2)&gt;0, VLOOKUP($J457,'Gear Values'!$A$2:$E$13, IF(COUNTBLANK('Attributes &amp; Prefixes'!$B$41:$C$41)&gt;0, "2", "3"), 0), COUNTIF($D$41:$E$41, Q$2)&gt;0, VLOOKUP($J457,'Gear Values'!$A$2:$E$13, IF(COUNTBLANK('Attributes &amp; Prefixes'!$B$41:$C$41)&gt;0, "4", "5"), 0)), "")</f>
        <v/>
      </c>
      <c r="R457" s="137" t="str" cm="1">
        <f t="array" ref="R457">IF(COUNTIF($B$41:$E$41, R$2)&gt;0, _xlfn.IFS(COUNTIF($B$41:$C$41, R$2)&gt;0, VLOOKUP($J457,'Gear Values'!$A$2:$E$13, IF(COUNTBLANK('Attributes &amp; Prefixes'!$B$41:$C$41)&gt;0, "2", "3"), 0), COUNTIF($D$41:$E$41, R$2)&gt;0, VLOOKUP($J457,'Gear Values'!$A$2:$E$13, IF(COUNTBLANK('Attributes &amp; Prefixes'!$B$41:$C$41)&gt;0, "4", "5"), 0)), "")</f>
        <v/>
      </c>
      <c r="S457" s="138" cm="1">
        <f t="array" ref="S457">IF(COUNTIF($B$41:$E$41, S$2)&gt;0, _xlfn.IFS(COUNTIF($B$41:$C$41, S$2)&gt;0, VLOOKUP($J457,'Gear Values'!$A$2:$E$13, IF(COUNTBLANK('Attributes &amp; Prefixes'!$B$41:$C$41)&gt;0, "2", "3"), 0), COUNTIF($D$41:$E$41, S$2)&gt;0, VLOOKUP($J457,'Gear Values'!$A$2:$E$13, IF(COUNTBLANK('Attributes &amp; Prefixes'!$B$41:$C$41)&gt;0, "4", "5"), 0)), "")</f>
        <v>85</v>
      </c>
      <c r="V457" s="112"/>
      <c r="W457" s="112"/>
    </row>
    <row r="458" spans="6:23">
      <c r="F458" s="114"/>
      <c r="G458" s="114"/>
      <c r="H458" s="130" t="str">
        <f>_xlfn.CONCAT(I$447,J458)</f>
        <v>SettlerBack</v>
      </c>
      <c r="I458" s="521"/>
      <c r="J458" s="146" t="s">
        <v>53</v>
      </c>
      <c r="K458" s="147" t="str" cm="1">
        <f t="array" ref="K458">IF(COUNTIF($B$41:$E$41, K$2)&gt;0, _xlfn.IFS(COUNTIF($B$41:$C$41, K$2)&gt;0, VLOOKUP($J458,'Gear Values'!$A$2:$E$13, IF(COUNTBLANK('Attributes &amp; Prefixes'!$B$41:$C$41)&gt;0, "2", "3"), 0), COUNTIF($D$41:$E$41, K$2)&gt;0, VLOOKUP($J458,'Gear Values'!$A$2:$E$13, IF(COUNTBLANK('Attributes &amp; Prefixes'!$B$41:$C$41)&gt;0, "4", "5"), 0)), "")</f>
        <v/>
      </c>
      <c r="L458" s="148" t="str" cm="1">
        <f t="array" ref="L458">IF(COUNTIF($B$41:$E$41, L$2)&gt;0, _xlfn.IFS(COUNTIF($B$41:$C$41, L$2)&gt;0, VLOOKUP($J458,'Gear Values'!$A$2:$E$13, IF(COUNTBLANK('Attributes &amp; Prefixes'!$B$41:$C$41)&gt;0, "2", "3"), 0), COUNTIF($D$41:$E$41, L$2)&gt;0, VLOOKUP($J458,'Gear Values'!$A$2:$E$13, IF(COUNTBLANK('Attributes &amp; Prefixes'!$B$41:$C$41)&gt;0, "4", "5"), 0)), "")</f>
        <v/>
      </c>
      <c r="M458" s="148" cm="1">
        <f t="array" ref="M458">IF(COUNTIF($B$41:$E$41, M$2)&gt;0, _xlfn.IFS(COUNTIF($B$41:$C$41, M$2)&gt;0, VLOOKUP($J458,'Gear Values'!$A$2:$E$13, IF(COUNTBLANK('Attributes &amp; Prefixes'!$B$41:$C$41)&gt;0, "2", "3"), 0), COUNTIF($D$41:$E$41, M$2)&gt;0, VLOOKUP($J458,'Gear Values'!$A$2:$E$13, IF(COUNTBLANK('Attributes &amp; Prefixes'!$B$41:$C$41)&gt;0, "4", "5"), 0)), "")</f>
        <v>32</v>
      </c>
      <c r="N458" s="148" t="str" cm="1">
        <f t="array" ref="N458">IF(COUNTIF($B$41:$E$41, N$2)&gt;0, _xlfn.IFS(COUNTIF($B$41:$C$41, N$2)&gt;0, VLOOKUP($J458,'Gear Values'!$A$2:$E$13, IF(COUNTBLANK('Attributes &amp; Prefixes'!$B$41:$C$41)&gt;0, "2", "3"), 0), COUNTIF($D$41:$E$41, N$2)&gt;0, VLOOKUP($J458,'Gear Values'!$A$2:$E$13, IF(COUNTBLANK('Attributes &amp; Prefixes'!$B$41:$C$41)&gt;0, "4", "5"), 0)), "")</f>
        <v/>
      </c>
      <c r="O458" s="148" t="str" cm="1">
        <f t="array" ref="O458">IF(COUNTIF($B$41:$E$41, O$2)&gt;0, _xlfn.IFS(COUNTIF($B$41:$C$41, O$2)&gt;0, VLOOKUP($J458,'Gear Values'!$A$2:$E$13, IF(COUNTBLANK('Attributes &amp; Prefixes'!$B$41:$C$41)&gt;0, "2", "3"), 0), COUNTIF($D$41:$E$41, O$2)&gt;0, VLOOKUP($J458,'Gear Values'!$A$2:$E$13, IF(COUNTBLANK('Attributes &amp; Prefixes'!$B$41:$C$41)&gt;0, "4", "5"), 0)), "")</f>
        <v/>
      </c>
      <c r="P458" s="148" cm="1">
        <f t="array" ref="P458">IF(COUNTIF($B$41:$E$41, P$2)&gt;0, _xlfn.IFS(COUNTIF($B$41:$C$41, P$2)&gt;0, VLOOKUP($J458,'Gear Values'!$A$2:$E$13, IF(COUNTBLANK('Attributes &amp; Prefixes'!$B$41:$C$41)&gt;0, "2", "3"), 0), COUNTIF($D$41:$E$41, P$2)&gt;0, VLOOKUP($J458,'Gear Values'!$A$2:$E$13, IF(COUNTBLANK('Attributes &amp; Prefixes'!$B$41:$C$41)&gt;0, "4", "5"), 0)), "")</f>
        <v>18</v>
      </c>
      <c r="Q458" s="148" t="str" cm="1">
        <f t="array" ref="Q458">IF(COUNTIF($B$41:$E$41, Q$2)&gt;0, _xlfn.IFS(COUNTIF($B$41:$C$41, Q$2)&gt;0, VLOOKUP($J458,'Gear Values'!$A$2:$E$13, IF(COUNTBLANK('Attributes &amp; Prefixes'!$B$41:$C$41)&gt;0, "2", "3"), 0), COUNTIF($D$41:$E$41, Q$2)&gt;0, VLOOKUP($J458,'Gear Values'!$A$2:$E$13, IF(COUNTBLANK('Attributes &amp; Prefixes'!$B$41:$C$41)&gt;0, "4", "5"), 0)), "")</f>
        <v/>
      </c>
      <c r="R458" s="148" t="str" cm="1">
        <f t="array" ref="R458">IF(COUNTIF($B$41:$E$41, R$2)&gt;0, _xlfn.IFS(COUNTIF($B$41:$C$41, R$2)&gt;0, VLOOKUP($J458,'Gear Values'!$A$2:$E$13, IF(COUNTBLANK('Attributes &amp; Prefixes'!$B$41:$C$41)&gt;0, "2", "3"), 0), COUNTIF($D$41:$E$41, R$2)&gt;0, VLOOKUP($J458,'Gear Values'!$A$2:$E$13, IF(COUNTBLANK('Attributes &amp; Prefixes'!$B$41:$C$41)&gt;0, "4", "5"), 0)), "")</f>
        <v/>
      </c>
      <c r="S458" s="150" cm="1">
        <f t="array" ref="S458">IF(COUNTIF($B$41:$E$41, S$2)&gt;0, _xlfn.IFS(COUNTIF($B$41:$C$41, S$2)&gt;0, VLOOKUP($J458,'Gear Values'!$A$2:$E$13, IF(COUNTBLANK('Attributes &amp; Prefixes'!$B$41:$C$41)&gt;0, "2", "3"), 0), COUNTIF($D$41:$E$41, S$2)&gt;0, VLOOKUP($J458,'Gear Values'!$A$2:$E$13, IF(COUNTBLANK('Attributes &amp; Prefixes'!$B$41:$C$41)&gt;0, "4", "5"), 0)), "")</f>
        <v>18</v>
      </c>
      <c r="V458" s="112"/>
      <c r="W458" s="112"/>
    </row>
    <row r="459" spans="6:23">
      <c r="F459" s="114"/>
      <c r="G459" s="114"/>
      <c r="H459" s="130" t="str">
        <f>_xlfn.CONCAT(I$459,J459)</f>
        <v>ShamanWeapon (1H)</v>
      </c>
      <c r="I459" s="519" t="str">
        <f>A42</f>
        <v>Shaman</v>
      </c>
      <c r="J459" s="145" t="s">
        <v>37</v>
      </c>
      <c r="K459" s="133" t="str" cm="1">
        <f t="array" ref="K459">IF(COUNTIF($B$42:$E$42, K$2)&gt;0, _xlfn.IFS(COUNTIF($B$42:$C$42, K$2)&gt;0, VLOOKUP($J459,'Gear Values'!$A$2:$E$13, IF(COUNTBLANK('Attributes &amp; Prefixes'!$B$42:$C$42)&gt;0, "2", "3"), 0), COUNTIF($D$42:$E$42, K$2)&gt;0, VLOOKUP($J459,'Gear Values'!$A$2:$E$13, IF(COUNTBLANK('Attributes &amp; Prefixes'!$B$42:$C$42)&gt;0, "4", "5"), 0)), "")</f>
        <v/>
      </c>
      <c r="L459" s="134" t="str" cm="1">
        <f t="array" ref="L459">IF(COUNTIF($B$42:$E$42, L$2)&gt;0, _xlfn.IFS(COUNTIF($B$42:$C$42, L$2)&gt;0, VLOOKUP($J459,'Gear Values'!$A$2:$E$13, IF(COUNTBLANK('Attributes &amp; Prefixes'!$B$42:$C$42)&gt;0, "2", "3"), 0), COUNTIF($D$42:$E$42, L$2)&gt;0, VLOOKUP($J459,'Gear Values'!$A$2:$E$13, IF(COUNTBLANK('Attributes &amp; Prefixes'!$B$42:$C$42)&gt;0, "4", "5"), 0)), "")</f>
        <v/>
      </c>
      <c r="M459" s="134" t="str" cm="1">
        <f t="array" ref="M459">IF(COUNTIF($B$42:$E$42, M$2)&gt;0, _xlfn.IFS(COUNTIF($B$42:$C$42, M$2)&gt;0, VLOOKUP($J459,'Gear Values'!$A$2:$E$13, IF(COUNTBLANK('Attributes &amp; Prefixes'!$B$42:$C$42)&gt;0, "2", "3"), 0), COUNTIF($D$42:$E$42, M$2)&gt;0, VLOOKUP($J459,'Gear Values'!$A$2:$E$13, IF(COUNTBLANK('Attributes &amp; Prefixes'!$B$42:$C$42)&gt;0, "4", "5"), 0)), "")</f>
        <v/>
      </c>
      <c r="N459" s="134" cm="1">
        <f t="array" ref="N459">IF(COUNTIF($B$42:$E$42, N$2)&gt;0, _xlfn.IFS(COUNTIF($B$42:$C$42, N$2)&gt;0, VLOOKUP($J459,'Gear Values'!$A$2:$E$13, IF(COUNTBLANK('Attributes &amp; Prefixes'!$B$42:$C$42)&gt;0, "2", "3"), 0), COUNTIF($D$42:$E$42, N$2)&gt;0, VLOOKUP($J459,'Gear Values'!$A$2:$E$13, IF(COUNTBLANK('Attributes &amp; Prefixes'!$B$42:$C$42)&gt;0, "4", "5"), 0)), "")</f>
        <v>120</v>
      </c>
      <c r="O459" s="134" t="str" cm="1">
        <f t="array" ref="O459">IF(COUNTIF($B$42:$E$42, O$2)&gt;0, _xlfn.IFS(COUNTIF($B$42:$C$42, O$2)&gt;0, VLOOKUP($J459,'Gear Values'!$A$2:$E$13, IF(COUNTBLANK('Attributes &amp; Prefixes'!$B$42:$C$42)&gt;0, "2", "3"), 0), COUNTIF($D$42:$E$42, O$2)&gt;0, VLOOKUP($J459,'Gear Values'!$A$2:$E$13, IF(COUNTBLANK('Attributes &amp; Prefixes'!$B$42:$C$42)&gt;0, "4", "5"), 0)), "")</f>
        <v/>
      </c>
      <c r="P459" s="134" cm="1">
        <f t="array" ref="P459">IF(COUNTIF($B$42:$E$42, P$2)&gt;0, _xlfn.IFS(COUNTIF($B$42:$C$42, P$2)&gt;0, VLOOKUP($J459,'Gear Values'!$A$2:$E$13, IF(COUNTBLANK('Attributes &amp; Prefixes'!$B$42:$C$42)&gt;0, "2", "3"), 0), COUNTIF($D$42:$E$42, P$2)&gt;0, VLOOKUP($J459,'Gear Values'!$A$2:$E$13, IF(COUNTBLANK('Attributes &amp; Prefixes'!$B$42:$C$42)&gt;0, "4", "5"), 0)), "")</f>
        <v>85</v>
      </c>
      <c r="Q459" s="134" t="str" cm="1">
        <f t="array" ref="Q459">IF(COUNTIF($B$42:$E$42, Q$2)&gt;0, _xlfn.IFS(COUNTIF($B$42:$C$42, Q$2)&gt;0, VLOOKUP($J459,'Gear Values'!$A$2:$E$13, IF(COUNTBLANK('Attributes &amp; Prefixes'!$B$42:$C$42)&gt;0, "2", "3"), 0), COUNTIF($D$42:$E$42, Q$2)&gt;0, VLOOKUP($J459,'Gear Values'!$A$2:$E$13, IF(COUNTBLANK('Attributes &amp; Prefixes'!$B$42:$C$42)&gt;0, "4", "5"), 0)), "")</f>
        <v/>
      </c>
      <c r="R459" s="134" t="str" cm="1">
        <f t="array" ref="R459">IF(COUNTIF($B$42:$E$42, R$2)&gt;0, _xlfn.IFS(COUNTIF($B$42:$C$42, R$2)&gt;0, VLOOKUP($J459,'Gear Values'!$A$2:$E$13, IF(COUNTBLANK('Attributes &amp; Prefixes'!$B$42:$C$42)&gt;0, "2", "3"), 0), COUNTIF($D$42:$E$42, R$2)&gt;0, VLOOKUP($J459,'Gear Values'!$A$2:$E$13, IF(COUNTBLANK('Attributes &amp; Prefixes'!$B$42:$C$42)&gt;0, "4", "5"), 0)), "")</f>
        <v/>
      </c>
      <c r="S459" s="135" cm="1">
        <f t="array" ref="S459">IF(COUNTIF($B$42:$E$42, S$2)&gt;0, _xlfn.IFS(COUNTIF($B$42:$C$42, S$2)&gt;0, VLOOKUP($J459,'Gear Values'!$A$2:$E$13, IF(COUNTBLANK('Attributes &amp; Prefixes'!$B$42:$C$42)&gt;0, "2", "3"), 0), COUNTIF($D$42:$E$42, S$2)&gt;0, VLOOKUP($J459,'Gear Values'!$A$2:$E$13, IF(COUNTBLANK('Attributes &amp; Prefixes'!$B$42:$C$42)&gt;0, "4", "5"), 0)), "")</f>
        <v>85</v>
      </c>
      <c r="V459" s="112"/>
      <c r="W459" s="112"/>
    </row>
    <row r="460" spans="6:23">
      <c r="F460" s="114"/>
      <c r="G460" s="114"/>
      <c r="H460" s="130" t="str">
        <f>_xlfn.CONCAT(I$459,J460)</f>
        <v>ShamanWeapon (2H)</v>
      </c>
      <c r="I460" s="520"/>
      <c r="J460" s="144" t="s">
        <v>39</v>
      </c>
      <c r="K460" s="136" t="str" cm="1">
        <f t="array" ref="K460">IF(COUNTIF($B$42:$E$42, K$2)&gt;0, _xlfn.IFS(COUNTIF($B$42:$C$42, K$2)&gt;0, VLOOKUP($J460,'Gear Values'!$A$2:$E$13, IF(COUNTBLANK('Attributes &amp; Prefixes'!$B$42:$C$42)&gt;0, "2", "3"), 0), COUNTIF($D$42:$E$42, K$2)&gt;0, VLOOKUP($J460,'Gear Values'!$A$2:$E$13, IF(COUNTBLANK('Attributes &amp; Prefixes'!$B$42:$C$42)&gt;0, "4", "5"), 0)), "")</f>
        <v/>
      </c>
      <c r="L460" s="137" t="str" cm="1">
        <f t="array" ref="L460">IF(COUNTIF($B$42:$E$42, L$2)&gt;0, _xlfn.IFS(COUNTIF($B$42:$C$42, L$2)&gt;0, VLOOKUP($J460,'Gear Values'!$A$2:$E$13, IF(COUNTBLANK('Attributes &amp; Prefixes'!$B$42:$C$42)&gt;0, "2", "3"), 0), COUNTIF($D$42:$E$42, L$2)&gt;0, VLOOKUP($J460,'Gear Values'!$A$2:$E$13, IF(COUNTBLANK('Attributes &amp; Prefixes'!$B$42:$C$42)&gt;0, "4", "5"), 0)), "")</f>
        <v/>
      </c>
      <c r="M460" s="137" t="str" cm="1">
        <f t="array" ref="M460">IF(COUNTIF($B$42:$E$42, M$2)&gt;0, _xlfn.IFS(COUNTIF($B$42:$C$42, M$2)&gt;0, VLOOKUP($J460,'Gear Values'!$A$2:$E$13, IF(COUNTBLANK('Attributes &amp; Prefixes'!$B$42:$C$42)&gt;0, "2", "3"), 0), COUNTIF($D$42:$E$42, M$2)&gt;0, VLOOKUP($J460,'Gear Values'!$A$2:$E$13, IF(COUNTBLANK('Attributes &amp; Prefixes'!$B$42:$C$42)&gt;0, "4", "5"), 0)), "")</f>
        <v/>
      </c>
      <c r="N460" s="137" cm="1">
        <f t="array" ref="N460">IF(COUNTIF($B$42:$E$42, N$2)&gt;0, _xlfn.IFS(COUNTIF($B$42:$C$42, N$2)&gt;0, VLOOKUP($J460,'Gear Values'!$A$2:$E$13, IF(COUNTBLANK('Attributes &amp; Prefixes'!$B$42:$C$42)&gt;0, "2", "3"), 0), COUNTIF($D$42:$E$42, N$2)&gt;0, VLOOKUP($J460,'Gear Values'!$A$2:$E$13, IF(COUNTBLANK('Attributes &amp; Prefixes'!$B$42:$C$42)&gt;0, "4", "5"), 0)), "")</f>
        <v>239</v>
      </c>
      <c r="O460" s="137" t="str" cm="1">
        <f t="array" ref="O460">IF(COUNTIF($B$42:$E$42, O$2)&gt;0, _xlfn.IFS(COUNTIF($B$42:$C$42, O$2)&gt;0, VLOOKUP($J460,'Gear Values'!$A$2:$E$13, IF(COUNTBLANK('Attributes &amp; Prefixes'!$B$42:$C$42)&gt;0, "2", "3"), 0), COUNTIF($D$42:$E$42, O$2)&gt;0, VLOOKUP($J460,'Gear Values'!$A$2:$E$13, IF(COUNTBLANK('Attributes &amp; Prefixes'!$B$42:$C$42)&gt;0, "4", "5"), 0)), "")</f>
        <v/>
      </c>
      <c r="P460" s="137" cm="1">
        <f t="array" ref="P460">IF(COUNTIF($B$42:$E$42, P$2)&gt;0, _xlfn.IFS(COUNTIF($B$42:$C$42, P$2)&gt;0, VLOOKUP($J460,'Gear Values'!$A$2:$E$13, IF(COUNTBLANK('Attributes &amp; Prefixes'!$B$42:$C$42)&gt;0, "2", "3"), 0), COUNTIF($D$42:$E$42, P$2)&gt;0, VLOOKUP($J460,'Gear Values'!$A$2:$E$13, IF(COUNTBLANK('Attributes &amp; Prefixes'!$B$42:$C$42)&gt;0, "4", "5"), 0)), "")</f>
        <v>171</v>
      </c>
      <c r="Q460" s="137" t="str" cm="1">
        <f t="array" ref="Q460">IF(COUNTIF($B$42:$E$42, Q$2)&gt;0, _xlfn.IFS(COUNTIF($B$42:$C$42, Q$2)&gt;0, VLOOKUP($J460,'Gear Values'!$A$2:$E$13, IF(COUNTBLANK('Attributes &amp; Prefixes'!$B$42:$C$42)&gt;0, "2", "3"), 0), COUNTIF($D$42:$E$42, Q$2)&gt;0, VLOOKUP($J460,'Gear Values'!$A$2:$E$13, IF(COUNTBLANK('Attributes &amp; Prefixes'!$B$42:$C$42)&gt;0, "4", "5"), 0)), "")</f>
        <v/>
      </c>
      <c r="R460" s="137" t="str" cm="1">
        <f t="array" ref="R460">IF(COUNTIF($B$42:$E$42, R$2)&gt;0, _xlfn.IFS(COUNTIF($B$42:$C$42, R$2)&gt;0, VLOOKUP($J460,'Gear Values'!$A$2:$E$13, IF(COUNTBLANK('Attributes &amp; Prefixes'!$B$42:$C$42)&gt;0, "2", "3"), 0), COUNTIF($D$42:$E$42, R$2)&gt;0, VLOOKUP($J460,'Gear Values'!$A$2:$E$13, IF(COUNTBLANK('Attributes &amp; Prefixes'!$B$42:$C$42)&gt;0, "4", "5"), 0)), "")</f>
        <v/>
      </c>
      <c r="S460" s="138" cm="1">
        <f t="array" ref="S460">IF(COUNTIF($B$42:$E$42, S$2)&gt;0, _xlfn.IFS(COUNTIF($B$42:$C$42, S$2)&gt;0, VLOOKUP($J460,'Gear Values'!$A$2:$E$13, IF(COUNTBLANK('Attributes &amp; Prefixes'!$B$42:$C$42)&gt;0, "2", "3"), 0), COUNTIF($D$42:$E$42, S$2)&gt;0, VLOOKUP($J460,'Gear Values'!$A$2:$E$13, IF(COUNTBLANK('Attributes &amp; Prefixes'!$B$42:$C$42)&gt;0, "4", "5"), 0)), "")</f>
        <v>171</v>
      </c>
      <c r="V460" s="112"/>
      <c r="W460" s="112"/>
    </row>
    <row r="461" spans="6:23">
      <c r="F461" s="114"/>
      <c r="G461" s="114"/>
      <c r="H461" s="130" t="str">
        <f>_xlfn.CONCAT(I$459,J461)</f>
        <v>ShamanHead</v>
      </c>
      <c r="I461" s="520"/>
      <c r="J461" s="144" t="s">
        <v>40</v>
      </c>
      <c r="K461" s="136" t="str" cm="1">
        <f t="array" ref="K461">IF(COUNTIF($B$42:$E$42, K$2)&gt;0, _xlfn.IFS(COUNTIF($B$42:$C$42, K$2)&gt;0, VLOOKUP($J461,'Gear Values'!$A$2:$E$13, IF(COUNTBLANK('Attributes &amp; Prefixes'!$B$42:$C$42)&gt;0, "2", "3"), 0), COUNTIF($D$42:$E$42, K$2)&gt;0, VLOOKUP($J461,'Gear Values'!$A$2:$E$13, IF(COUNTBLANK('Attributes &amp; Prefixes'!$B$42:$C$42)&gt;0, "4", "5"), 0)), "")</f>
        <v/>
      </c>
      <c r="L461" s="137" t="str" cm="1">
        <f t="array" ref="L461">IF(COUNTIF($B$42:$E$42, L$2)&gt;0, _xlfn.IFS(COUNTIF($B$42:$C$42, L$2)&gt;0, VLOOKUP($J461,'Gear Values'!$A$2:$E$13, IF(COUNTBLANK('Attributes &amp; Prefixes'!$B$42:$C$42)&gt;0, "2", "3"), 0), COUNTIF($D$42:$E$42, L$2)&gt;0, VLOOKUP($J461,'Gear Values'!$A$2:$E$13, IF(COUNTBLANK('Attributes &amp; Prefixes'!$B$42:$C$42)&gt;0, "4", "5"), 0)), "")</f>
        <v/>
      </c>
      <c r="M461" s="137" t="str" cm="1">
        <f t="array" ref="M461">IF(COUNTIF($B$42:$E$42, M$2)&gt;0, _xlfn.IFS(COUNTIF($B$42:$C$42, M$2)&gt;0, VLOOKUP($J461,'Gear Values'!$A$2:$E$13, IF(COUNTBLANK('Attributes &amp; Prefixes'!$B$42:$C$42)&gt;0, "2", "3"), 0), COUNTIF($D$42:$E$42, M$2)&gt;0, VLOOKUP($J461,'Gear Values'!$A$2:$E$13, IF(COUNTBLANK('Attributes &amp; Prefixes'!$B$42:$C$42)&gt;0, "4", "5"), 0)), "")</f>
        <v/>
      </c>
      <c r="N461" s="137" cm="1">
        <f t="array" ref="N461">IF(COUNTIF($B$42:$E$42, N$2)&gt;0, _xlfn.IFS(COUNTIF($B$42:$C$42, N$2)&gt;0, VLOOKUP($J461,'Gear Values'!$A$2:$E$13, IF(COUNTBLANK('Attributes &amp; Prefixes'!$B$42:$C$42)&gt;0, "2", "3"), 0), COUNTIF($D$42:$E$42, N$2)&gt;0, VLOOKUP($J461,'Gear Values'!$A$2:$E$13, IF(COUNTBLANK('Attributes &amp; Prefixes'!$B$42:$C$42)&gt;0, "4", "5"), 0)), "")</f>
        <v>60</v>
      </c>
      <c r="O461" s="137" t="str" cm="1">
        <f t="array" ref="O461">IF(COUNTIF($B$42:$E$42, O$2)&gt;0, _xlfn.IFS(COUNTIF($B$42:$C$42, O$2)&gt;0, VLOOKUP($J461,'Gear Values'!$A$2:$E$13, IF(COUNTBLANK('Attributes &amp; Prefixes'!$B$42:$C$42)&gt;0, "2", "3"), 0), COUNTIF($D$42:$E$42, O$2)&gt;0, VLOOKUP($J461,'Gear Values'!$A$2:$E$13, IF(COUNTBLANK('Attributes &amp; Prefixes'!$B$42:$C$42)&gt;0, "4", "5"), 0)), "")</f>
        <v/>
      </c>
      <c r="P461" s="137" cm="1">
        <f t="array" ref="P461">IF(COUNTIF($B$42:$E$42, P$2)&gt;0, _xlfn.IFS(COUNTIF($B$42:$C$42, P$2)&gt;0, VLOOKUP($J461,'Gear Values'!$A$2:$E$13, IF(COUNTBLANK('Attributes &amp; Prefixes'!$B$42:$C$42)&gt;0, "2", "3"), 0), COUNTIF($D$42:$E$42, P$2)&gt;0, VLOOKUP($J461,'Gear Values'!$A$2:$E$13, IF(COUNTBLANK('Attributes &amp; Prefixes'!$B$42:$C$42)&gt;0, "4", "5"), 0)), "")</f>
        <v>43</v>
      </c>
      <c r="Q461" s="137" t="str" cm="1">
        <f t="array" ref="Q461">IF(COUNTIF($B$42:$E$42, Q$2)&gt;0, _xlfn.IFS(COUNTIF($B$42:$C$42, Q$2)&gt;0, VLOOKUP($J461,'Gear Values'!$A$2:$E$13, IF(COUNTBLANK('Attributes &amp; Prefixes'!$B$42:$C$42)&gt;0, "2", "3"), 0), COUNTIF($D$42:$E$42, Q$2)&gt;0, VLOOKUP($J461,'Gear Values'!$A$2:$E$13, IF(COUNTBLANK('Attributes &amp; Prefixes'!$B$42:$C$42)&gt;0, "4", "5"), 0)), "")</f>
        <v/>
      </c>
      <c r="R461" s="137" t="str" cm="1">
        <f t="array" ref="R461">IF(COUNTIF($B$42:$E$42, R$2)&gt;0, _xlfn.IFS(COUNTIF($B$42:$C$42, R$2)&gt;0, VLOOKUP($J461,'Gear Values'!$A$2:$E$13, IF(COUNTBLANK('Attributes &amp; Prefixes'!$B$42:$C$42)&gt;0, "2", "3"), 0), COUNTIF($D$42:$E$42, R$2)&gt;0, VLOOKUP($J461,'Gear Values'!$A$2:$E$13, IF(COUNTBLANK('Attributes &amp; Prefixes'!$B$42:$C$42)&gt;0, "4", "5"), 0)), "")</f>
        <v/>
      </c>
      <c r="S461" s="138" cm="1">
        <f t="array" ref="S461">IF(COUNTIF($B$42:$E$42, S$2)&gt;0, _xlfn.IFS(COUNTIF($B$42:$C$42, S$2)&gt;0, VLOOKUP($J461,'Gear Values'!$A$2:$E$13, IF(COUNTBLANK('Attributes &amp; Prefixes'!$B$42:$C$42)&gt;0, "2", "3"), 0), COUNTIF($D$42:$E$42, S$2)&gt;0, VLOOKUP($J461,'Gear Values'!$A$2:$E$13, IF(COUNTBLANK('Attributes &amp; Prefixes'!$B$42:$C$42)&gt;0, "4", "5"), 0)), "")</f>
        <v>43</v>
      </c>
      <c r="V461" s="112"/>
      <c r="W461" s="112"/>
    </row>
    <row r="462" spans="6:23">
      <c r="F462" s="114"/>
      <c r="G462" s="114"/>
      <c r="H462" s="130" t="str">
        <f>_xlfn.CONCAT(I$459,J462)</f>
        <v>ShamanShoulders</v>
      </c>
      <c r="I462" s="520"/>
      <c r="J462" s="144" t="s">
        <v>42</v>
      </c>
      <c r="K462" s="136" t="str" cm="1">
        <f t="array" ref="K462">IF(COUNTIF($B$42:$E$42, K$2)&gt;0, _xlfn.IFS(COUNTIF($B$42:$C$42, K$2)&gt;0, VLOOKUP($J462,'Gear Values'!$A$2:$E$13, IF(COUNTBLANK('Attributes &amp; Prefixes'!$B$42:$C$42)&gt;0, "2", "3"), 0), COUNTIF($D$42:$E$42, K$2)&gt;0, VLOOKUP($J462,'Gear Values'!$A$2:$E$13, IF(COUNTBLANK('Attributes &amp; Prefixes'!$B$42:$C$42)&gt;0, "4", "5"), 0)), "")</f>
        <v/>
      </c>
      <c r="L462" s="137" t="str" cm="1">
        <f t="array" ref="L462">IF(COUNTIF($B$42:$E$42, L$2)&gt;0, _xlfn.IFS(COUNTIF($B$42:$C$42, L$2)&gt;0, VLOOKUP($J462,'Gear Values'!$A$2:$E$13, IF(COUNTBLANK('Attributes &amp; Prefixes'!$B$42:$C$42)&gt;0, "2", "3"), 0), COUNTIF($D$42:$E$42, L$2)&gt;0, VLOOKUP($J462,'Gear Values'!$A$2:$E$13, IF(COUNTBLANK('Attributes &amp; Prefixes'!$B$42:$C$42)&gt;0, "4", "5"), 0)), "")</f>
        <v/>
      </c>
      <c r="M462" s="137" t="str" cm="1">
        <f t="array" ref="M462">IF(COUNTIF($B$42:$E$42, M$2)&gt;0, _xlfn.IFS(COUNTIF($B$42:$C$42, M$2)&gt;0, VLOOKUP($J462,'Gear Values'!$A$2:$E$13, IF(COUNTBLANK('Attributes &amp; Prefixes'!$B$42:$C$42)&gt;0, "2", "3"), 0), COUNTIF($D$42:$E$42, M$2)&gt;0, VLOOKUP($J462,'Gear Values'!$A$2:$E$13, IF(COUNTBLANK('Attributes &amp; Prefixes'!$B$42:$C$42)&gt;0, "4", "5"), 0)), "")</f>
        <v/>
      </c>
      <c r="N462" s="137" cm="1">
        <f t="array" ref="N462">IF(COUNTIF($B$42:$E$42, N$2)&gt;0, _xlfn.IFS(COUNTIF($B$42:$C$42, N$2)&gt;0, VLOOKUP($J462,'Gear Values'!$A$2:$E$13, IF(COUNTBLANK('Attributes &amp; Prefixes'!$B$42:$C$42)&gt;0, "2", "3"), 0), COUNTIF($D$42:$E$42, N$2)&gt;0, VLOOKUP($J462,'Gear Values'!$A$2:$E$13, IF(COUNTBLANK('Attributes &amp; Prefixes'!$B$42:$C$42)&gt;0, "4", "5"), 0)), "")</f>
        <v>45</v>
      </c>
      <c r="O462" s="137" t="str" cm="1">
        <f t="array" ref="O462">IF(COUNTIF($B$42:$E$42, O$2)&gt;0, _xlfn.IFS(COUNTIF($B$42:$C$42, O$2)&gt;0, VLOOKUP($J462,'Gear Values'!$A$2:$E$13, IF(COUNTBLANK('Attributes &amp; Prefixes'!$B$42:$C$42)&gt;0, "2", "3"), 0), COUNTIF($D$42:$E$42, O$2)&gt;0, VLOOKUP($J462,'Gear Values'!$A$2:$E$13, IF(COUNTBLANK('Attributes &amp; Prefixes'!$B$42:$C$42)&gt;0, "4", "5"), 0)), "")</f>
        <v/>
      </c>
      <c r="P462" s="137" cm="1">
        <f t="array" ref="P462">IF(COUNTIF($B$42:$E$42, P$2)&gt;0, _xlfn.IFS(COUNTIF($B$42:$C$42, P$2)&gt;0, VLOOKUP($J462,'Gear Values'!$A$2:$E$13, IF(COUNTBLANK('Attributes &amp; Prefixes'!$B$42:$C$42)&gt;0, "2", "3"), 0), COUNTIF($D$42:$E$42, P$2)&gt;0, VLOOKUP($J462,'Gear Values'!$A$2:$E$13, IF(COUNTBLANK('Attributes &amp; Prefixes'!$B$42:$C$42)&gt;0, "4", "5"), 0)), "")</f>
        <v>32</v>
      </c>
      <c r="Q462" s="137" t="str" cm="1">
        <f t="array" ref="Q462">IF(COUNTIF($B$42:$E$42, Q$2)&gt;0, _xlfn.IFS(COUNTIF($B$42:$C$42, Q$2)&gt;0, VLOOKUP($J462,'Gear Values'!$A$2:$E$13, IF(COUNTBLANK('Attributes &amp; Prefixes'!$B$42:$C$42)&gt;0, "2", "3"), 0), COUNTIF($D$42:$E$42, Q$2)&gt;0, VLOOKUP($J462,'Gear Values'!$A$2:$E$13, IF(COUNTBLANK('Attributes &amp; Prefixes'!$B$42:$C$42)&gt;0, "4", "5"), 0)), "")</f>
        <v/>
      </c>
      <c r="R462" s="137" t="str" cm="1">
        <f t="array" ref="R462">IF(COUNTIF($B$42:$E$42, R$2)&gt;0, _xlfn.IFS(COUNTIF($B$42:$C$42, R$2)&gt;0, VLOOKUP($J462,'Gear Values'!$A$2:$E$13, IF(COUNTBLANK('Attributes &amp; Prefixes'!$B$42:$C$42)&gt;0, "2", "3"), 0), COUNTIF($D$42:$E$42, R$2)&gt;0, VLOOKUP($J462,'Gear Values'!$A$2:$E$13, IF(COUNTBLANK('Attributes &amp; Prefixes'!$B$42:$C$42)&gt;0, "4", "5"), 0)), "")</f>
        <v/>
      </c>
      <c r="S462" s="138" cm="1">
        <f t="array" ref="S462">IF(COUNTIF($B$42:$E$42, S$2)&gt;0, _xlfn.IFS(COUNTIF($B$42:$C$42, S$2)&gt;0, VLOOKUP($J462,'Gear Values'!$A$2:$E$13, IF(COUNTBLANK('Attributes &amp; Prefixes'!$B$42:$C$42)&gt;0, "2", "3"), 0), COUNTIF($D$42:$E$42, S$2)&gt;0, VLOOKUP($J462,'Gear Values'!$A$2:$E$13, IF(COUNTBLANK('Attributes &amp; Prefixes'!$B$42:$C$42)&gt;0, "4", "5"), 0)), "")</f>
        <v>32</v>
      </c>
      <c r="V462" s="112"/>
      <c r="W462" s="112"/>
    </row>
    <row r="463" spans="6:23">
      <c r="F463" s="114"/>
      <c r="G463" s="114"/>
      <c r="H463" s="130" t="str">
        <f>_xlfn.CONCAT(I$459,J463)</f>
        <v>ShamanChest</v>
      </c>
      <c r="I463" s="520"/>
      <c r="J463" s="144" t="s">
        <v>44</v>
      </c>
      <c r="K463" s="136" t="str" cm="1">
        <f t="array" ref="K463">IF(COUNTIF($B$42:$E$42, K$2)&gt;0, _xlfn.IFS(COUNTIF($B$42:$C$42, K$2)&gt;0, VLOOKUP($J463,'Gear Values'!$A$2:$E$13, IF(COUNTBLANK('Attributes &amp; Prefixes'!$B$42:$C$42)&gt;0, "2", "3"), 0), COUNTIF($D$42:$E$42, K$2)&gt;0, VLOOKUP($J463,'Gear Values'!$A$2:$E$13, IF(COUNTBLANK('Attributes &amp; Prefixes'!$B$42:$C$42)&gt;0, "4", "5"), 0)), "")</f>
        <v/>
      </c>
      <c r="L463" s="137" t="str" cm="1">
        <f t="array" ref="L463">IF(COUNTIF($B$42:$E$42, L$2)&gt;0, _xlfn.IFS(COUNTIF($B$42:$C$42, L$2)&gt;0, VLOOKUP($J463,'Gear Values'!$A$2:$E$13, IF(COUNTBLANK('Attributes &amp; Prefixes'!$B$42:$C$42)&gt;0, "2", "3"), 0), COUNTIF($D$42:$E$42, L$2)&gt;0, VLOOKUP($J463,'Gear Values'!$A$2:$E$13, IF(COUNTBLANK('Attributes &amp; Prefixes'!$B$42:$C$42)&gt;0, "4", "5"), 0)), "")</f>
        <v/>
      </c>
      <c r="M463" s="137" t="str" cm="1">
        <f t="array" ref="M463">IF(COUNTIF($B$42:$E$42, M$2)&gt;0, _xlfn.IFS(COUNTIF($B$42:$C$42, M$2)&gt;0, VLOOKUP($J463,'Gear Values'!$A$2:$E$13, IF(COUNTBLANK('Attributes &amp; Prefixes'!$B$42:$C$42)&gt;0, "2", "3"), 0), COUNTIF($D$42:$E$42, M$2)&gt;0, VLOOKUP($J463,'Gear Values'!$A$2:$E$13, IF(COUNTBLANK('Attributes &amp; Prefixes'!$B$42:$C$42)&gt;0, "4", "5"), 0)), "")</f>
        <v/>
      </c>
      <c r="N463" s="137" cm="1">
        <f t="array" ref="N463">IF(COUNTIF($B$42:$E$42, N$2)&gt;0, _xlfn.IFS(COUNTIF($B$42:$C$42, N$2)&gt;0, VLOOKUP($J463,'Gear Values'!$A$2:$E$13, IF(COUNTBLANK('Attributes &amp; Prefixes'!$B$42:$C$42)&gt;0, "2", "3"), 0), COUNTIF($D$42:$E$42, N$2)&gt;0, VLOOKUP($J463,'Gear Values'!$A$2:$E$13, IF(COUNTBLANK('Attributes &amp; Prefixes'!$B$42:$C$42)&gt;0, "4", "5"), 0)), "")</f>
        <v>134</v>
      </c>
      <c r="O463" s="137" t="str" cm="1">
        <f t="array" ref="O463">IF(COUNTIF($B$42:$E$42, O$2)&gt;0, _xlfn.IFS(COUNTIF($B$42:$C$42, O$2)&gt;0, VLOOKUP($J463,'Gear Values'!$A$2:$E$13, IF(COUNTBLANK('Attributes &amp; Prefixes'!$B$42:$C$42)&gt;0, "2", "3"), 0), COUNTIF($D$42:$E$42, O$2)&gt;0, VLOOKUP($J463,'Gear Values'!$A$2:$E$13, IF(COUNTBLANK('Attributes &amp; Prefixes'!$B$42:$C$42)&gt;0, "4", "5"), 0)), "")</f>
        <v/>
      </c>
      <c r="P463" s="137" cm="1">
        <f t="array" ref="P463">IF(COUNTIF($B$42:$E$42, P$2)&gt;0, _xlfn.IFS(COUNTIF($B$42:$C$42, P$2)&gt;0, VLOOKUP($J463,'Gear Values'!$A$2:$E$13, IF(COUNTBLANK('Attributes &amp; Prefixes'!$B$42:$C$42)&gt;0, "2", "3"), 0), COUNTIF($D$42:$E$42, P$2)&gt;0, VLOOKUP($J463,'Gear Values'!$A$2:$E$13, IF(COUNTBLANK('Attributes &amp; Prefixes'!$B$42:$C$42)&gt;0, "4", "5"), 0)), "")</f>
        <v>96</v>
      </c>
      <c r="Q463" s="137" t="str" cm="1">
        <f t="array" ref="Q463">IF(COUNTIF($B$42:$E$42, Q$2)&gt;0, _xlfn.IFS(COUNTIF($B$42:$C$42, Q$2)&gt;0, VLOOKUP($J463,'Gear Values'!$A$2:$E$13, IF(COUNTBLANK('Attributes &amp; Prefixes'!$B$42:$C$42)&gt;0, "2", "3"), 0), COUNTIF($D$42:$E$42, Q$2)&gt;0, VLOOKUP($J463,'Gear Values'!$A$2:$E$13, IF(COUNTBLANK('Attributes &amp; Prefixes'!$B$42:$C$42)&gt;0, "4", "5"), 0)), "")</f>
        <v/>
      </c>
      <c r="R463" s="137" t="str" cm="1">
        <f t="array" ref="R463">IF(COUNTIF($B$42:$E$42, R$2)&gt;0, _xlfn.IFS(COUNTIF($B$42:$C$42, R$2)&gt;0, VLOOKUP($J463,'Gear Values'!$A$2:$E$13, IF(COUNTBLANK('Attributes &amp; Prefixes'!$B$42:$C$42)&gt;0, "2", "3"), 0), COUNTIF($D$42:$E$42, R$2)&gt;0, VLOOKUP($J463,'Gear Values'!$A$2:$E$13, IF(COUNTBLANK('Attributes &amp; Prefixes'!$B$42:$C$42)&gt;0, "4", "5"), 0)), "")</f>
        <v/>
      </c>
      <c r="S463" s="138" cm="1">
        <f t="array" ref="S463">IF(COUNTIF($B$42:$E$42, S$2)&gt;0, _xlfn.IFS(COUNTIF($B$42:$C$42, S$2)&gt;0, VLOOKUP($J463,'Gear Values'!$A$2:$E$13, IF(COUNTBLANK('Attributes &amp; Prefixes'!$B$42:$C$42)&gt;0, "2", "3"), 0), COUNTIF($D$42:$E$42, S$2)&gt;0, VLOOKUP($J463,'Gear Values'!$A$2:$E$13, IF(COUNTBLANK('Attributes &amp; Prefixes'!$B$42:$C$42)&gt;0, "4", "5"), 0)), "")</f>
        <v>96</v>
      </c>
      <c r="V463" s="112"/>
      <c r="W463" s="112"/>
    </row>
    <row r="464" spans="6:23">
      <c r="F464" s="114"/>
      <c r="G464" s="114"/>
      <c r="H464" s="130" t="str">
        <f>_xlfn.CONCAT(I$459,J464)</f>
        <v>ShamanHands</v>
      </c>
      <c r="I464" s="520"/>
      <c r="J464" s="144" t="s">
        <v>45</v>
      </c>
      <c r="K464" s="136" t="str" cm="1">
        <f t="array" ref="K464">IF(COUNTIF($B$42:$E$42, K$2)&gt;0, _xlfn.IFS(COUNTIF($B$42:$C$42, K$2)&gt;0, VLOOKUP($J464,'Gear Values'!$A$2:$E$13, IF(COUNTBLANK('Attributes &amp; Prefixes'!$B$42:$C$42)&gt;0, "2", "3"), 0), COUNTIF($D$42:$E$42, K$2)&gt;0, VLOOKUP($J464,'Gear Values'!$A$2:$E$13, IF(COUNTBLANK('Attributes &amp; Prefixes'!$B$42:$C$42)&gt;0, "4", "5"), 0)), "")</f>
        <v/>
      </c>
      <c r="L464" s="137" t="str" cm="1">
        <f t="array" ref="L464">IF(COUNTIF($B$42:$E$42, L$2)&gt;0, _xlfn.IFS(COUNTIF($B$42:$C$42, L$2)&gt;0, VLOOKUP($J464,'Gear Values'!$A$2:$E$13, IF(COUNTBLANK('Attributes &amp; Prefixes'!$B$42:$C$42)&gt;0, "2", "3"), 0), COUNTIF($D$42:$E$42, L$2)&gt;0, VLOOKUP($J464,'Gear Values'!$A$2:$E$13, IF(COUNTBLANK('Attributes &amp; Prefixes'!$B$42:$C$42)&gt;0, "4", "5"), 0)), "")</f>
        <v/>
      </c>
      <c r="M464" s="137" t="str" cm="1">
        <f t="array" ref="M464">IF(COUNTIF($B$42:$E$42, M$2)&gt;0, _xlfn.IFS(COUNTIF($B$42:$C$42, M$2)&gt;0, VLOOKUP($J464,'Gear Values'!$A$2:$E$13, IF(COUNTBLANK('Attributes &amp; Prefixes'!$B$42:$C$42)&gt;0, "2", "3"), 0), COUNTIF($D$42:$E$42, M$2)&gt;0, VLOOKUP($J464,'Gear Values'!$A$2:$E$13, IF(COUNTBLANK('Attributes &amp; Prefixes'!$B$42:$C$42)&gt;0, "4", "5"), 0)), "")</f>
        <v/>
      </c>
      <c r="N464" s="137" cm="1">
        <f t="array" ref="N464">IF(COUNTIF($B$42:$E$42, N$2)&gt;0, _xlfn.IFS(COUNTIF($B$42:$C$42, N$2)&gt;0, VLOOKUP($J464,'Gear Values'!$A$2:$E$13, IF(COUNTBLANK('Attributes &amp; Prefixes'!$B$42:$C$42)&gt;0, "2", "3"), 0), COUNTIF($D$42:$E$42, N$2)&gt;0, VLOOKUP($J464,'Gear Values'!$A$2:$E$13, IF(COUNTBLANK('Attributes &amp; Prefixes'!$B$42:$C$42)&gt;0, "4", "5"), 0)), "")</f>
        <v>45</v>
      </c>
      <c r="O464" s="137" t="str" cm="1">
        <f t="array" ref="O464">IF(COUNTIF($B$42:$E$42, O$2)&gt;0, _xlfn.IFS(COUNTIF($B$42:$C$42, O$2)&gt;0, VLOOKUP($J464,'Gear Values'!$A$2:$E$13, IF(COUNTBLANK('Attributes &amp; Prefixes'!$B$42:$C$42)&gt;0, "2", "3"), 0), COUNTIF($D$42:$E$42, O$2)&gt;0, VLOOKUP($J464,'Gear Values'!$A$2:$E$13, IF(COUNTBLANK('Attributes &amp; Prefixes'!$B$42:$C$42)&gt;0, "4", "5"), 0)), "")</f>
        <v/>
      </c>
      <c r="P464" s="137" cm="1">
        <f t="array" ref="P464">IF(COUNTIF($B$42:$E$42, P$2)&gt;0, _xlfn.IFS(COUNTIF($B$42:$C$42, P$2)&gt;0, VLOOKUP($J464,'Gear Values'!$A$2:$E$13, IF(COUNTBLANK('Attributes &amp; Prefixes'!$B$42:$C$42)&gt;0, "2", "3"), 0), COUNTIF($D$42:$E$42, P$2)&gt;0, VLOOKUP($J464,'Gear Values'!$A$2:$E$13, IF(COUNTBLANK('Attributes &amp; Prefixes'!$B$42:$C$42)&gt;0, "4", "5"), 0)), "")</f>
        <v>32</v>
      </c>
      <c r="Q464" s="137" t="str" cm="1">
        <f t="array" ref="Q464">IF(COUNTIF($B$42:$E$42, Q$2)&gt;0, _xlfn.IFS(COUNTIF($B$42:$C$42, Q$2)&gt;0, VLOOKUP($J464,'Gear Values'!$A$2:$E$13, IF(COUNTBLANK('Attributes &amp; Prefixes'!$B$42:$C$42)&gt;0, "2", "3"), 0), COUNTIF($D$42:$E$42, Q$2)&gt;0, VLOOKUP($J464,'Gear Values'!$A$2:$E$13, IF(COUNTBLANK('Attributes &amp; Prefixes'!$B$42:$C$42)&gt;0, "4", "5"), 0)), "")</f>
        <v/>
      </c>
      <c r="R464" s="137" t="str" cm="1">
        <f t="array" ref="R464">IF(COUNTIF($B$42:$E$42, R$2)&gt;0, _xlfn.IFS(COUNTIF($B$42:$C$42, R$2)&gt;0, VLOOKUP($J464,'Gear Values'!$A$2:$E$13, IF(COUNTBLANK('Attributes &amp; Prefixes'!$B$42:$C$42)&gt;0, "2", "3"), 0), COUNTIF($D$42:$E$42, R$2)&gt;0, VLOOKUP($J464,'Gear Values'!$A$2:$E$13, IF(COUNTBLANK('Attributes &amp; Prefixes'!$B$42:$C$42)&gt;0, "4", "5"), 0)), "")</f>
        <v/>
      </c>
      <c r="S464" s="138" cm="1">
        <f t="array" ref="S464">IF(COUNTIF($B$42:$E$42, S$2)&gt;0, _xlfn.IFS(COUNTIF($B$42:$C$42, S$2)&gt;0, VLOOKUP($J464,'Gear Values'!$A$2:$E$13, IF(COUNTBLANK('Attributes &amp; Prefixes'!$B$42:$C$42)&gt;0, "2", "3"), 0), COUNTIF($D$42:$E$42, S$2)&gt;0, VLOOKUP($J464,'Gear Values'!$A$2:$E$13, IF(COUNTBLANK('Attributes &amp; Prefixes'!$B$42:$C$42)&gt;0, "4", "5"), 0)), "")</f>
        <v>32</v>
      </c>
      <c r="V464" s="112"/>
      <c r="W464" s="112"/>
    </row>
    <row r="465" spans="6:23">
      <c r="F465" s="114"/>
      <c r="G465" s="114"/>
      <c r="H465" s="130" t="str">
        <f>_xlfn.CONCAT(I$459,J465)</f>
        <v>ShamanLegs</v>
      </c>
      <c r="I465" s="520"/>
      <c r="J465" s="144" t="s">
        <v>47</v>
      </c>
      <c r="K465" s="136" t="str" cm="1">
        <f t="array" ref="K465">IF(COUNTIF($B$42:$E$42, K$2)&gt;0, _xlfn.IFS(COUNTIF($B$42:$C$42, K$2)&gt;0, VLOOKUP($J465,'Gear Values'!$A$2:$E$13, IF(COUNTBLANK('Attributes &amp; Prefixes'!$B$42:$C$42)&gt;0, "2", "3"), 0), COUNTIF($D$42:$E$42, K$2)&gt;0, VLOOKUP($J465,'Gear Values'!$A$2:$E$13, IF(COUNTBLANK('Attributes &amp; Prefixes'!$B$42:$C$42)&gt;0, "4", "5"), 0)), "")</f>
        <v/>
      </c>
      <c r="L465" s="137" t="str" cm="1">
        <f t="array" ref="L465">IF(COUNTIF($B$42:$E$42, L$2)&gt;0, _xlfn.IFS(COUNTIF($B$42:$C$42, L$2)&gt;0, VLOOKUP($J465,'Gear Values'!$A$2:$E$13, IF(COUNTBLANK('Attributes &amp; Prefixes'!$B$42:$C$42)&gt;0, "2", "3"), 0), COUNTIF($D$42:$E$42, L$2)&gt;0, VLOOKUP($J465,'Gear Values'!$A$2:$E$13, IF(COUNTBLANK('Attributes &amp; Prefixes'!$B$42:$C$42)&gt;0, "4", "5"), 0)), "")</f>
        <v/>
      </c>
      <c r="M465" s="137" t="str" cm="1">
        <f t="array" ref="M465">IF(COUNTIF($B$42:$E$42, M$2)&gt;0, _xlfn.IFS(COUNTIF($B$42:$C$42, M$2)&gt;0, VLOOKUP($J465,'Gear Values'!$A$2:$E$13, IF(COUNTBLANK('Attributes &amp; Prefixes'!$B$42:$C$42)&gt;0, "2", "3"), 0), COUNTIF($D$42:$E$42, M$2)&gt;0, VLOOKUP($J465,'Gear Values'!$A$2:$E$13, IF(COUNTBLANK('Attributes &amp; Prefixes'!$B$42:$C$42)&gt;0, "4", "5"), 0)), "")</f>
        <v/>
      </c>
      <c r="N465" s="137" cm="1">
        <f t="array" ref="N465">IF(COUNTIF($B$42:$E$42, N$2)&gt;0, _xlfn.IFS(COUNTIF($B$42:$C$42, N$2)&gt;0, VLOOKUP($J465,'Gear Values'!$A$2:$E$13, IF(COUNTBLANK('Attributes &amp; Prefixes'!$B$42:$C$42)&gt;0, "2", "3"), 0), COUNTIF($D$42:$E$42, N$2)&gt;0, VLOOKUP($J465,'Gear Values'!$A$2:$E$13, IF(COUNTBLANK('Attributes &amp; Prefixes'!$B$42:$C$42)&gt;0, "4", "5"), 0)), "")</f>
        <v>90</v>
      </c>
      <c r="O465" s="137" t="str" cm="1">
        <f t="array" ref="O465">IF(COUNTIF($B$42:$E$42, O$2)&gt;0, _xlfn.IFS(COUNTIF($B$42:$C$42, O$2)&gt;0, VLOOKUP($J465,'Gear Values'!$A$2:$E$13, IF(COUNTBLANK('Attributes &amp; Prefixes'!$B$42:$C$42)&gt;0, "2", "3"), 0), COUNTIF($D$42:$E$42, O$2)&gt;0, VLOOKUP($J465,'Gear Values'!$A$2:$E$13, IF(COUNTBLANK('Attributes &amp; Prefixes'!$B$42:$C$42)&gt;0, "4", "5"), 0)), "")</f>
        <v/>
      </c>
      <c r="P465" s="137" cm="1">
        <f t="array" ref="P465">IF(COUNTIF($B$42:$E$42, P$2)&gt;0, _xlfn.IFS(COUNTIF($B$42:$C$42, P$2)&gt;0, VLOOKUP($J465,'Gear Values'!$A$2:$E$13, IF(COUNTBLANK('Attributes &amp; Prefixes'!$B$42:$C$42)&gt;0, "2", "3"), 0), COUNTIF($D$42:$E$42, P$2)&gt;0, VLOOKUP($J465,'Gear Values'!$A$2:$E$13, IF(COUNTBLANK('Attributes &amp; Prefixes'!$B$42:$C$42)&gt;0, "4", "5"), 0)), "")</f>
        <v>64</v>
      </c>
      <c r="Q465" s="137" t="str" cm="1">
        <f t="array" ref="Q465">IF(COUNTIF($B$42:$E$42, Q$2)&gt;0, _xlfn.IFS(COUNTIF($B$42:$C$42, Q$2)&gt;0, VLOOKUP($J465,'Gear Values'!$A$2:$E$13, IF(COUNTBLANK('Attributes &amp; Prefixes'!$B$42:$C$42)&gt;0, "2", "3"), 0), COUNTIF($D$42:$E$42, Q$2)&gt;0, VLOOKUP($J465,'Gear Values'!$A$2:$E$13, IF(COUNTBLANK('Attributes &amp; Prefixes'!$B$42:$C$42)&gt;0, "4", "5"), 0)), "")</f>
        <v/>
      </c>
      <c r="R465" s="137" t="str" cm="1">
        <f t="array" ref="R465">IF(COUNTIF($B$42:$E$42, R$2)&gt;0, _xlfn.IFS(COUNTIF($B$42:$C$42, R$2)&gt;0, VLOOKUP($J465,'Gear Values'!$A$2:$E$13, IF(COUNTBLANK('Attributes &amp; Prefixes'!$B$42:$C$42)&gt;0, "2", "3"), 0), COUNTIF($D$42:$E$42, R$2)&gt;0, VLOOKUP($J465,'Gear Values'!$A$2:$E$13, IF(COUNTBLANK('Attributes &amp; Prefixes'!$B$42:$C$42)&gt;0, "4", "5"), 0)), "")</f>
        <v/>
      </c>
      <c r="S465" s="138" cm="1">
        <f t="array" ref="S465">IF(COUNTIF($B$42:$E$42, S$2)&gt;0, _xlfn.IFS(COUNTIF($B$42:$C$42, S$2)&gt;0, VLOOKUP($J465,'Gear Values'!$A$2:$E$13, IF(COUNTBLANK('Attributes &amp; Prefixes'!$B$42:$C$42)&gt;0, "2", "3"), 0), COUNTIF($D$42:$E$42, S$2)&gt;0, VLOOKUP($J465,'Gear Values'!$A$2:$E$13, IF(COUNTBLANK('Attributes &amp; Prefixes'!$B$42:$C$42)&gt;0, "4", "5"), 0)), "")</f>
        <v>64</v>
      </c>
      <c r="V465" s="112"/>
      <c r="W465" s="112"/>
    </row>
    <row r="466" spans="6:23">
      <c r="F466" s="114"/>
      <c r="G466" s="114"/>
      <c r="H466" s="130" t="str">
        <f>_xlfn.CONCAT(I$459,J466)</f>
        <v>ShamanFeet</v>
      </c>
      <c r="I466" s="520"/>
      <c r="J466" s="144" t="s">
        <v>48</v>
      </c>
      <c r="K466" s="136" t="str" cm="1">
        <f t="array" ref="K466">IF(COUNTIF($B$42:$E$42, K$2)&gt;0, _xlfn.IFS(COUNTIF($B$42:$C$42, K$2)&gt;0, VLOOKUP($J466,'Gear Values'!$A$2:$E$13, IF(COUNTBLANK('Attributes &amp; Prefixes'!$B$42:$C$42)&gt;0, "2", "3"), 0), COUNTIF($D$42:$E$42, K$2)&gt;0, VLOOKUP($J466,'Gear Values'!$A$2:$E$13, IF(COUNTBLANK('Attributes &amp; Prefixes'!$B$42:$C$42)&gt;0, "4", "5"), 0)), "")</f>
        <v/>
      </c>
      <c r="L466" s="137" t="str" cm="1">
        <f t="array" ref="L466">IF(COUNTIF($B$42:$E$42, L$2)&gt;0, _xlfn.IFS(COUNTIF($B$42:$C$42, L$2)&gt;0, VLOOKUP($J466,'Gear Values'!$A$2:$E$13, IF(COUNTBLANK('Attributes &amp; Prefixes'!$B$42:$C$42)&gt;0, "2", "3"), 0), COUNTIF($D$42:$E$42, L$2)&gt;0, VLOOKUP($J466,'Gear Values'!$A$2:$E$13, IF(COUNTBLANK('Attributes &amp; Prefixes'!$B$42:$C$42)&gt;0, "4", "5"), 0)), "")</f>
        <v/>
      </c>
      <c r="M466" s="137" t="str" cm="1">
        <f t="array" ref="M466">IF(COUNTIF($B$42:$E$42, M$2)&gt;0, _xlfn.IFS(COUNTIF($B$42:$C$42, M$2)&gt;0, VLOOKUP($J466,'Gear Values'!$A$2:$E$13, IF(COUNTBLANK('Attributes &amp; Prefixes'!$B$42:$C$42)&gt;0, "2", "3"), 0), COUNTIF($D$42:$E$42, M$2)&gt;0, VLOOKUP($J466,'Gear Values'!$A$2:$E$13, IF(COUNTBLANK('Attributes &amp; Prefixes'!$B$42:$C$42)&gt;0, "4", "5"), 0)), "")</f>
        <v/>
      </c>
      <c r="N466" s="137" cm="1">
        <f t="array" ref="N466">IF(COUNTIF($B$42:$E$42, N$2)&gt;0, _xlfn.IFS(COUNTIF($B$42:$C$42, N$2)&gt;0, VLOOKUP($J466,'Gear Values'!$A$2:$E$13, IF(COUNTBLANK('Attributes &amp; Prefixes'!$B$42:$C$42)&gt;0, "2", "3"), 0), COUNTIF($D$42:$E$42, N$2)&gt;0, VLOOKUP($J466,'Gear Values'!$A$2:$E$13, IF(COUNTBLANK('Attributes &amp; Prefixes'!$B$42:$C$42)&gt;0, "4", "5"), 0)), "")</f>
        <v>45</v>
      </c>
      <c r="O466" s="137" t="str" cm="1">
        <f t="array" ref="O466">IF(COUNTIF($B$42:$E$42, O$2)&gt;0, _xlfn.IFS(COUNTIF($B$42:$C$42, O$2)&gt;0, VLOOKUP($J466,'Gear Values'!$A$2:$E$13, IF(COUNTBLANK('Attributes &amp; Prefixes'!$B$42:$C$42)&gt;0, "2", "3"), 0), COUNTIF($D$42:$E$42, O$2)&gt;0, VLOOKUP($J466,'Gear Values'!$A$2:$E$13, IF(COUNTBLANK('Attributes &amp; Prefixes'!$B$42:$C$42)&gt;0, "4", "5"), 0)), "")</f>
        <v/>
      </c>
      <c r="P466" s="137" cm="1">
        <f t="array" ref="P466">IF(COUNTIF($B$42:$E$42, P$2)&gt;0, _xlfn.IFS(COUNTIF($B$42:$C$42, P$2)&gt;0, VLOOKUP($J466,'Gear Values'!$A$2:$E$13, IF(COUNTBLANK('Attributes &amp; Prefixes'!$B$42:$C$42)&gt;0, "2", "3"), 0), COUNTIF($D$42:$E$42, P$2)&gt;0, VLOOKUP($J466,'Gear Values'!$A$2:$E$13, IF(COUNTBLANK('Attributes &amp; Prefixes'!$B$42:$C$42)&gt;0, "4", "5"), 0)), "")</f>
        <v>32</v>
      </c>
      <c r="Q466" s="137" t="str" cm="1">
        <f t="array" ref="Q466">IF(COUNTIF($B$42:$E$42, Q$2)&gt;0, _xlfn.IFS(COUNTIF($B$42:$C$42, Q$2)&gt;0, VLOOKUP($J466,'Gear Values'!$A$2:$E$13, IF(COUNTBLANK('Attributes &amp; Prefixes'!$B$42:$C$42)&gt;0, "2", "3"), 0), COUNTIF($D$42:$E$42, Q$2)&gt;0, VLOOKUP($J466,'Gear Values'!$A$2:$E$13, IF(COUNTBLANK('Attributes &amp; Prefixes'!$B$42:$C$42)&gt;0, "4", "5"), 0)), "")</f>
        <v/>
      </c>
      <c r="R466" s="137" t="str" cm="1">
        <f t="array" ref="R466">IF(COUNTIF($B$42:$E$42, R$2)&gt;0, _xlfn.IFS(COUNTIF($B$42:$C$42, R$2)&gt;0, VLOOKUP($J466,'Gear Values'!$A$2:$E$13, IF(COUNTBLANK('Attributes &amp; Prefixes'!$B$42:$C$42)&gt;0, "2", "3"), 0), COUNTIF($D$42:$E$42, R$2)&gt;0, VLOOKUP($J466,'Gear Values'!$A$2:$E$13, IF(COUNTBLANK('Attributes &amp; Prefixes'!$B$42:$C$42)&gt;0, "4", "5"), 0)), "")</f>
        <v/>
      </c>
      <c r="S466" s="138" cm="1">
        <f t="array" ref="S466">IF(COUNTIF($B$42:$E$42, S$2)&gt;0, _xlfn.IFS(COUNTIF($B$42:$C$42, S$2)&gt;0, VLOOKUP($J466,'Gear Values'!$A$2:$E$13, IF(COUNTBLANK('Attributes &amp; Prefixes'!$B$42:$C$42)&gt;0, "2", "3"), 0), COUNTIF($D$42:$E$42, S$2)&gt;0, VLOOKUP($J466,'Gear Values'!$A$2:$E$13, IF(COUNTBLANK('Attributes &amp; Prefixes'!$B$42:$C$42)&gt;0, "4", "5"), 0)), "")</f>
        <v>32</v>
      </c>
      <c r="V466" s="112"/>
      <c r="W466" s="112"/>
    </row>
    <row r="467" spans="6:23">
      <c r="F467" s="114"/>
      <c r="G467" s="114"/>
      <c r="H467" s="130" t="str">
        <f>_xlfn.CONCAT(I$459,J468)</f>
        <v>ShamanFinger</v>
      </c>
      <c r="I467" s="520"/>
      <c r="J467" s="144" t="s">
        <v>49</v>
      </c>
      <c r="K467" s="136" t="str" cm="1">
        <f t="array" ref="K467">IF(COUNTIF($B$42:$E$42, K$2)&gt;0, _xlfn.IFS(COUNTIF($B$42:$C$42, K$2)&gt;0, VLOOKUP($J468,'Gear Values'!$A$2:$E$13, IF(COUNTBLANK('Attributes &amp; Prefixes'!$B$42:$C$42)&gt;0, "2", "3"), 0), COUNTIF($D$42:$E$42, K$2)&gt;0, VLOOKUP($J468,'Gear Values'!$A$2:$E$13, IF(COUNTBLANK('Attributes &amp; Prefixes'!$B$42:$C$42)&gt;0, "4", "5"), 0)), "")</f>
        <v/>
      </c>
      <c r="L467" s="137" t="str" cm="1">
        <f t="array" ref="L467">IF(COUNTIF($B$42:$E$42, L$2)&gt;0, _xlfn.IFS(COUNTIF($B$42:$C$42, L$2)&gt;0, VLOOKUP($J468,'Gear Values'!$A$2:$E$13, IF(COUNTBLANK('Attributes &amp; Prefixes'!$B$42:$C$42)&gt;0, "2", "3"), 0), COUNTIF($D$42:$E$42, L$2)&gt;0, VLOOKUP($J468,'Gear Values'!$A$2:$E$13, IF(COUNTBLANK('Attributes &amp; Prefixes'!$B$42:$C$42)&gt;0, "4", "5"), 0)), "")</f>
        <v/>
      </c>
      <c r="M467" s="137" t="str" cm="1">
        <f t="array" ref="M467">IF(COUNTIF($B$42:$E$42, M$2)&gt;0, _xlfn.IFS(COUNTIF($B$42:$C$42, M$2)&gt;0, VLOOKUP($J468,'Gear Values'!$A$2:$E$13, IF(COUNTBLANK('Attributes &amp; Prefixes'!$B$42:$C$42)&gt;0, "2", "3"), 0), COUNTIF($D$42:$E$42, M$2)&gt;0, VLOOKUP($J468,'Gear Values'!$A$2:$E$13, IF(COUNTBLANK('Attributes &amp; Prefixes'!$B$42:$C$42)&gt;0, "4", "5"), 0)), "")</f>
        <v/>
      </c>
      <c r="N467" s="137" cm="1">
        <f t="array" ref="N467">IF(COUNTIF($B$42:$E$42, N$2)&gt;0, _xlfn.IFS(COUNTIF($B$42:$C$42, N$2)&gt;0, VLOOKUP($J468,'Gear Values'!$A$2:$E$13, IF(COUNTBLANK('Attributes &amp; Prefixes'!$B$42:$C$42)&gt;0, "2", "3"), 0), COUNTIF($D$42:$E$42, N$2)&gt;0, VLOOKUP($J468,'Gear Values'!$A$2:$E$13, IF(COUNTBLANK('Attributes &amp; Prefixes'!$B$42:$C$42)&gt;0, "4", "5"), 0)), "")</f>
        <v>90</v>
      </c>
      <c r="O467" s="137" t="str" cm="1">
        <f t="array" ref="O467">IF(COUNTIF($B$42:$E$42, O$2)&gt;0, _xlfn.IFS(COUNTIF($B$42:$C$42, O$2)&gt;0, VLOOKUP($J468,'Gear Values'!$A$2:$E$13, IF(COUNTBLANK('Attributes &amp; Prefixes'!$B$42:$C$42)&gt;0, "2", "3"), 0), COUNTIF($D$42:$E$42, O$2)&gt;0, VLOOKUP($J468,'Gear Values'!$A$2:$E$13, IF(COUNTBLANK('Attributes &amp; Prefixes'!$B$42:$C$42)&gt;0, "4", "5"), 0)), "")</f>
        <v/>
      </c>
      <c r="P467" s="137" cm="1">
        <f t="array" ref="P467">IF(COUNTIF($B$42:$E$42, P$2)&gt;0, _xlfn.IFS(COUNTIF($B$42:$C$42, P$2)&gt;0, VLOOKUP($J468,'Gear Values'!$A$2:$E$13, IF(COUNTBLANK('Attributes &amp; Prefixes'!$B$42:$C$42)&gt;0, "2", "3"), 0), COUNTIF($D$42:$E$42, P$2)&gt;0, VLOOKUP($J468,'Gear Values'!$A$2:$E$13, IF(COUNTBLANK('Attributes &amp; Prefixes'!$B$42:$C$42)&gt;0, "4", "5"), 0)), "")</f>
        <v>64</v>
      </c>
      <c r="Q467" s="137" t="str" cm="1">
        <f t="array" ref="Q467">IF(COUNTIF($B$42:$E$42, Q$2)&gt;0, _xlfn.IFS(COUNTIF($B$42:$C$42, Q$2)&gt;0, VLOOKUP($J468,'Gear Values'!$A$2:$E$13, IF(COUNTBLANK('Attributes &amp; Prefixes'!$B$42:$C$42)&gt;0, "2", "3"), 0), COUNTIF($D$42:$E$42, Q$2)&gt;0, VLOOKUP($J468,'Gear Values'!$A$2:$E$13, IF(COUNTBLANK('Attributes &amp; Prefixes'!$B$42:$C$42)&gt;0, "4", "5"), 0)), "")</f>
        <v/>
      </c>
      <c r="R467" s="137" t="str" cm="1">
        <f t="array" ref="R467">IF(COUNTIF($B$42:$E$42, R$2)&gt;0, _xlfn.IFS(COUNTIF($B$42:$C$42, R$2)&gt;0, VLOOKUP($J468,'Gear Values'!$A$2:$E$13, IF(COUNTBLANK('Attributes &amp; Prefixes'!$B$42:$C$42)&gt;0, "2", "3"), 0), COUNTIF($D$42:$E$42, R$2)&gt;0, VLOOKUP($J468,'Gear Values'!$A$2:$E$13, IF(COUNTBLANK('Attributes &amp; Prefixes'!$B$42:$C$42)&gt;0, "4", "5"), 0)), "")</f>
        <v/>
      </c>
      <c r="S467" s="138" cm="1">
        <f t="array" ref="S467">IF(COUNTIF($B$42:$E$42, S$2)&gt;0, _xlfn.IFS(COUNTIF($B$42:$C$42, S$2)&gt;0, VLOOKUP($J468,'Gear Values'!$A$2:$E$13, IF(COUNTBLANK('Attributes &amp; Prefixes'!$B$42:$C$42)&gt;0, "2", "3"), 0), COUNTIF($D$42:$E$42, S$2)&gt;0, VLOOKUP($J468,'Gear Values'!$A$2:$E$13, IF(COUNTBLANK('Attributes &amp; Prefixes'!$B$42:$C$42)&gt;0, "4", "5"), 0)), "")</f>
        <v>64</v>
      </c>
      <c r="V467" s="112"/>
      <c r="W467" s="112"/>
    </row>
    <row r="468" spans="6:23">
      <c r="F468" s="114"/>
      <c r="G468" s="114"/>
      <c r="H468" s="130" t="str">
        <f>_xlfn.CONCAT(I$459,J468)</f>
        <v>ShamanFinger</v>
      </c>
      <c r="I468" s="520"/>
      <c r="J468" s="144" t="s">
        <v>51</v>
      </c>
      <c r="K468" s="136" t="str" cm="1">
        <f t="array" ref="K468">IF(COUNTIF($B$42:$E$42, K$2)&gt;0, _xlfn.IFS(COUNTIF($B$42:$C$42, K$2)&gt;0, VLOOKUP($J468,'Gear Values'!$A$2:$E$13, IF(COUNTBLANK('Attributes &amp; Prefixes'!$B$42:$C$42)&gt;0, "2", "3"), 0), COUNTIF($D$42:$E$42, K$2)&gt;0, VLOOKUP($J468,'Gear Values'!$A$2:$E$13, IF(COUNTBLANK('Attributes &amp; Prefixes'!$B$42:$C$42)&gt;0, "4", "5"), 0)), "")</f>
        <v/>
      </c>
      <c r="L468" s="137" t="str" cm="1">
        <f t="array" ref="L468">IF(COUNTIF($B$42:$E$42, L$2)&gt;0, _xlfn.IFS(COUNTIF($B$42:$C$42, L$2)&gt;0, VLOOKUP($J468,'Gear Values'!$A$2:$E$13, IF(COUNTBLANK('Attributes &amp; Prefixes'!$B$42:$C$42)&gt;0, "2", "3"), 0), COUNTIF($D$42:$E$42, L$2)&gt;0, VLOOKUP($J468,'Gear Values'!$A$2:$E$13, IF(COUNTBLANK('Attributes &amp; Prefixes'!$B$42:$C$42)&gt;0, "4", "5"), 0)), "")</f>
        <v/>
      </c>
      <c r="M468" s="137" t="str" cm="1">
        <f t="array" ref="M468">IF(COUNTIF($B$42:$E$42, M$2)&gt;0, _xlfn.IFS(COUNTIF($B$42:$C$42, M$2)&gt;0, VLOOKUP($J468,'Gear Values'!$A$2:$E$13, IF(COUNTBLANK('Attributes &amp; Prefixes'!$B$42:$C$42)&gt;0, "2", "3"), 0), COUNTIF($D$42:$E$42, M$2)&gt;0, VLOOKUP($J468,'Gear Values'!$A$2:$E$13, IF(COUNTBLANK('Attributes &amp; Prefixes'!$B$42:$C$42)&gt;0, "4", "5"), 0)), "")</f>
        <v/>
      </c>
      <c r="N468" s="137" cm="1">
        <f t="array" ref="N468">IF(COUNTIF($B$42:$E$42, N$2)&gt;0, _xlfn.IFS(COUNTIF($B$42:$C$42, N$2)&gt;0, VLOOKUP($J468,'Gear Values'!$A$2:$E$13, IF(COUNTBLANK('Attributes &amp; Prefixes'!$B$42:$C$42)&gt;0, "2", "3"), 0), COUNTIF($D$42:$E$42, N$2)&gt;0, VLOOKUP($J468,'Gear Values'!$A$2:$E$13, IF(COUNTBLANK('Attributes &amp; Prefixes'!$B$42:$C$42)&gt;0, "4", "5"), 0)), "")</f>
        <v>90</v>
      </c>
      <c r="O468" s="137" t="str" cm="1">
        <f t="array" ref="O468">IF(COUNTIF($B$42:$E$42, O$2)&gt;0, _xlfn.IFS(COUNTIF($B$42:$C$42, O$2)&gt;0, VLOOKUP($J468,'Gear Values'!$A$2:$E$13, IF(COUNTBLANK('Attributes &amp; Prefixes'!$B$42:$C$42)&gt;0, "2", "3"), 0), COUNTIF($D$42:$E$42, O$2)&gt;0, VLOOKUP($J468,'Gear Values'!$A$2:$E$13, IF(COUNTBLANK('Attributes &amp; Prefixes'!$B$42:$C$42)&gt;0, "4", "5"), 0)), "")</f>
        <v/>
      </c>
      <c r="P468" s="137" cm="1">
        <f t="array" ref="P468">IF(COUNTIF($B$42:$E$42, P$2)&gt;0, _xlfn.IFS(COUNTIF($B$42:$C$42, P$2)&gt;0, VLOOKUP($J468,'Gear Values'!$A$2:$E$13, IF(COUNTBLANK('Attributes &amp; Prefixes'!$B$42:$C$42)&gt;0, "2", "3"), 0), COUNTIF($D$42:$E$42, P$2)&gt;0, VLOOKUP($J468,'Gear Values'!$A$2:$E$13, IF(COUNTBLANK('Attributes &amp; Prefixes'!$B$42:$C$42)&gt;0, "4", "5"), 0)), "")</f>
        <v>64</v>
      </c>
      <c r="Q468" s="137" t="str" cm="1">
        <f t="array" ref="Q468">IF(COUNTIF($B$42:$E$42, Q$2)&gt;0, _xlfn.IFS(COUNTIF($B$42:$C$42, Q$2)&gt;0, VLOOKUP($J468,'Gear Values'!$A$2:$E$13, IF(COUNTBLANK('Attributes &amp; Prefixes'!$B$42:$C$42)&gt;0, "2", "3"), 0), COUNTIF($D$42:$E$42, Q$2)&gt;0, VLOOKUP($J468,'Gear Values'!$A$2:$E$13, IF(COUNTBLANK('Attributes &amp; Prefixes'!$B$42:$C$42)&gt;0, "4", "5"), 0)), "")</f>
        <v/>
      </c>
      <c r="R468" s="137" t="str" cm="1">
        <f t="array" ref="R468">IF(COUNTIF($B$42:$E$42, R$2)&gt;0, _xlfn.IFS(COUNTIF($B$42:$C$42, R$2)&gt;0, VLOOKUP($J468,'Gear Values'!$A$2:$E$13, IF(COUNTBLANK('Attributes &amp; Prefixes'!$B$42:$C$42)&gt;0, "2", "3"), 0), COUNTIF($D$42:$E$42, R$2)&gt;0, VLOOKUP($J468,'Gear Values'!$A$2:$E$13, IF(COUNTBLANK('Attributes &amp; Prefixes'!$B$42:$C$42)&gt;0, "4", "5"), 0)), "")</f>
        <v/>
      </c>
      <c r="S468" s="138" cm="1">
        <f t="array" ref="S468">IF(COUNTIF($B$42:$E$42, S$2)&gt;0, _xlfn.IFS(COUNTIF($B$42:$C$42, S$2)&gt;0, VLOOKUP($J468,'Gear Values'!$A$2:$E$13, IF(COUNTBLANK('Attributes &amp; Prefixes'!$B$42:$C$42)&gt;0, "2", "3"), 0), COUNTIF($D$42:$E$42, S$2)&gt;0, VLOOKUP($J468,'Gear Values'!$A$2:$E$13, IF(COUNTBLANK('Attributes &amp; Prefixes'!$B$42:$C$42)&gt;0, "4", "5"), 0)), "")</f>
        <v>64</v>
      </c>
      <c r="V468" s="112"/>
      <c r="W468" s="113"/>
    </row>
    <row r="469" spans="6:23">
      <c r="F469" s="114"/>
      <c r="G469" s="114"/>
      <c r="H469" s="130" t="str">
        <f>_xlfn.CONCAT(I$459,J469)</f>
        <v>ShamanNeck</v>
      </c>
      <c r="I469" s="520"/>
      <c r="J469" s="144" t="s">
        <v>52</v>
      </c>
      <c r="K469" s="136" t="str" cm="1">
        <f t="array" ref="K469">IF(COUNTIF($B$42:$E$42, K$2)&gt;0, _xlfn.IFS(COUNTIF($B$42:$C$42, K$2)&gt;0, VLOOKUP($J469,'Gear Values'!$A$2:$E$13, IF(COUNTBLANK('Attributes &amp; Prefixes'!$B$42:$C$42)&gt;0, "2", "3"), 0), COUNTIF($D$42:$E$42, K$2)&gt;0, VLOOKUP($J469,'Gear Values'!$A$2:$E$13, IF(COUNTBLANK('Attributes &amp; Prefixes'!$B$42:$C$42)&gt;0, "4", "5"), 0)), "")</f>
        <v/>
      </c>
      <c r="L469" s="137" t="str" cm="1">
        <f t="array" ref="L469">IF(COUNTIF($B$42:$E$42, L$2)&gt;0, _xlfn.IFS(COUNTIF($B$42:$C$42, L$2)&gt;0, VLOOKUP($J469,'Gear Values'!$A$2:$E$13, IF(COUNTBLANK('Attributes &amp; Prefixes'!$B$42:$C$42)&gt;0, "2", "3"), 0), COUNTIF($D$42:$E$42, L$2)&gt;0, VLOOKUP($J469,'Gear Values'!$A$2:$E$13, IF(COUNTBLANK('Attributes &amp; Prefixes'!$B$42:$C$42)&gt;0, "4", "5"), 0)), "")</f>
        <v/>
      </c>
      <c r="M469" s="137" t="str" cm="1">
        <f t="array" ref="M469">IF(COUNTIF($B$42:$E$42, M$2)&gt;0, _xlfn.IFS(COUNTIF($B$42:$C$42, M$2)&gt;0, VLOOKUP($J469,'Gear Values'!$A$2:$E$13, IF(COUNTBLANK('Attributes &amp; Prefixes'!$B$42:$C$42)&gt;0, "2", "3"), 0), COUNTIF($D$42:$E$42, M$2)&gt;0, VLOOKUP($J469,'Gear Values'!$A$2:$E$13, IF(COUNTBLANK('Attributes &amp; Prefixes'!$B$42:$C$42)&gt;0, "4", "5"), 0)), "")</f>
        <v/>
      </c>
      <c r="N469" s="137" cm="1">
        <f t="array" ref="N469">IF(COUNTIF($B$42:$E$42, N$2)&gt;0, _xlfn.IFS(COUNTIF($B$42:$C$42, N$2)&gt;0, VLOOKUP($J469,'Gear Values'!$A$2:$E$13, IF(COUNTBLANK('Attributes &amp; Prefixes'!$B$42:$C$42)&gt;0, "2", "3"), 0), COUNTIF($D$42:$E$42, N$2)&gt;0, VLOOKUP($J469,'Gear Values'!$A$2:$E$13, IF(COUNTBLANK('Attributes &amp; Prefixes'!$B$42:$C$42)&gt;0, "4", "5"), 0)), "")</f>
        <v>120</v>
      </c>
      <c r="O469" s="137" t="str" cm="1">
        <f t="array" ref="O469">IF(COUNTIF($B$42:$E$42, O$2)&gt;0, _xlfn.IFS(COUNTIF($B$42:$C$42, O$2)&gt;0, VLOOKUP($J469,'Gear Values'!$A$2:$E$13, IF(COUNTBLANK('Attributes &amp; Prefixes'!$B$42:$C$42)&gt;0, "2", "3"), 0), COUNTIF($D$42:$E$42, O$2)&gt;0, VLOOKUP($J469,'Gear Values'!$A$2:$E$13, IF(COUNTBLANK('Attributes &amp; Prefixes'!$B$42:$C$42)&gt;0, "4", "5"), 0)), "")</f>
        <v/>
      </c>
      <c r="P469" s="137" cm="1">
        <f t="array" ref="P469">IF(COUNTIF($B$42:$E$42, P$2)&gt;0, _xlfn.IFS(COUNTIF($B$42:$C$42, P$2)&gt;0, VLOOKUP($J469,'Gear Values'!$A$2:$E$13, IF(COUNTBLANK('Attributes &amp; Prefixes'!$B$42:$C$42)&gt;0, "2", "3"), 0), COUNTIF($D$42:$E$42, P$2)&gt;0, VLOOKUP($J469,'Gear Values'!$A$2:$E$13, IF(COUNTBLANK('Attributes &amp; Prefixes'!$B$42:$C$42)&gt;0, "4", "5"), 0)), "")</f>
        <v>85</v>
      </c>
      <c r="Q469" s="137" t="str" cm="1">
        <f t="array" ref="Q469">IF(COUNTIF($B$42:$E$42, Q$2)&gt;0, _xlfn.IFS(COUNTIF($B$42:$C$42, Q$2)&gt;0, VLOOKUP($J469,'Gear Values'!$A$2:$E$13, IF(COUNTBLANK('Attributes &amp; Prefixes'!$B$42:$C$42)&gt;0, "2", "3"), 0), COUNTIF($D$42:$E$42, Q$2)&gt;0, VLOOKUP($J469,'Gear Values'!$A$2:$E$13, IF(COUNTBLANK('Attributes &amp; Prefixes'!$B$42:$C$42)&gt;0, "4", "5"), 0)), "")</f>
        <v/>
      </c>
      <c r="R469" s="137" t="str" cm="1">
        <f t="array" ref="R469">IF(COUNTIF($B$42:$E$42, R$2)&gt;0, _xlfn.IFS(COUNTIF($B$42:$C$42, R$2)&gt;0, VLOOKUP($J469,'Gear Values'!$A$2:$E$13, IF(COUNTBLANK('Attributes &amp; Prefixes'!$B$42:$C$42)&gt;0, "2", "3"), 0), COUNTIF($D$42:$E$42, R$2)&gt;0, VLOOKUP($J469,'Gear Values'!$A$2:$E$13, IF(COUNTBLANK('Attributes &amp; Prefixes'!$B$42:$C$42)&gt;0, "4", "5"), 0)), "")</f>
        <v/>
      </c>
      <c r="S469" s="138" cm="1">
        <f t="array" ref="S469">IF(COUNTIF($B$42:$E$42, S$2)&gt;0, _xlfn.IFS(COUNTIF($B$42:$C$42, S$2)&gt;0, VLOOKUP($J469,'Gear Values'!$A$2:$E$13, IF(COUNTBLANK('Attributes &amp; Prefixes'!$B$42:$C$42)&gt;0, "2", "3"), 0), COUNTIF($D$42:$E$42, S$2)&gt;0, VLOOKUP($J469,'Gear Values'!$A$2:$E$13, IF(COUNTBLANK('Attributes &amp; Prefixes'!$B$42:$C$42)&gt;0, "4", "5"), 0)), "")</f>
        <v>85</v>
      </c>
      <c r="V469" s="112"/>
      <c r="W469" s="113"/>
    </row>
    <row r="470" spans="6:23">
      <c r="F470" s="114"/>
      <c r="G470" s="114"/>
      <c r="H470" s="130" t="str">
        <f>_xlfn.CONCAT(I$459,J470)</f>
        <v>ShamanBack</v>
      </c>
      <c r="I470" s="521"/>
      <c r="J470" s="146" t="s">
        <v>53</v>
      </c>
      <c r="K470" s="147" t="str" cm="1">
        <f t="array" ref="K470">IF(COUNTIF($B$42:$E$42, K$2)&gt;0, _xlfn.IFS(COUNTIF($B$42:$C$42, K$2)&gt;0, VLOOKUP($J470,'Gear Values'!$A$2:$E$13, IF(COUNTBLANK('Attributes &amp; Prefixes'!$B$42:$C$42)&gt;0, "2", "3"), 0), COUNTIF($D$42:$E$42, K$2)&gt;0, VLOOKUP($J470,'Gear Values'!$A$2:$E$13, IF(COUNTBLANK('Attributes &amp; Prefixes'!$B$42:$C$42)&gt;0, "4", "5"), 0)), "")</f>
        <v/>
      </c>
      <c r="L470" s="148" t="str" cm="1">
        <f t="array" ref="L470">IF(COUNTIF($B$42:$E$42, L$2)&gt;0, _xlfn.IFS(COUNTIF($B$42:$C$42, L$2)&gt;0, VLOOKUP($J470,'Gear Values'!$A$2:$E$13, IF(COUNTBLANK('Attributes &amp; Prefixes'!$B$42:$C$42)&gt;0, "2", "3"), 0), COUNTIF($D$42:$E$42, L$2)&gt;0, VLOOKUP($J470,'Gear Values'!$A$2:$E$13, IF(COUNTBLANK('Attributes &amp; Prefixes'!$B$42:$C$42)&gt;0, "4", "5"), 0)), "")</f>
        <v/>
      </c>
      <c r="M470" s="148" t="str" cm="1">
        <f t="array" ref="M470">IF(COUNTIF($B$42:$E$42, M$2)&gt;0, _xlfn.IFS(COUNTIF($B$42:$C$42, M$2)&gt;0, VLOOKUP($J470,'Gear Values'!$A$2:$E$13, IF(COUNTBLANK('Attributes &amp; Prefixes'!$B$42:$C$42)&gt;0, "2", "3"), 0), COUNTIF($D$42:$E$42, M$2)&gt;0, VLOOKUP($J470,'Gear Values'!$A$2:$E$13, IF(COUNTBLANK('Attributes &amp; Prefixes'!$B$42:$C$42)&gt;0, "4", "5"), 0)), "")</f>
        <v/>
      </c>
      <c r="N470" s="148" cm="1">
        <f t="array" ref="N470">IF(COUNTIF($B$42:$E$42, N$2)&gt;0, _xlfn.IFS(COUNTIF($B$42:$C$42, N$2)&gt;0, VLOOKUP($J470,'Gear Values'!$A$2:$E$13, IF(COUNTBLANK('Attributes &amp; Prefixes'!$B$42:$C$42)&gt;0, "2", "3"), 0), COUNTIF($D$42:$E$42, N$2)&gt;0, VLOOKUP($J470,'Gear Values'!$A$2:$E$13, IF(COUNTBLANK('Attributes &amp; Prefixes'!$B$42:$C$42)&gt;0, "4", "5"), 0)), "")</f>
        <v>32</v>
      </c>
      <c r="O470" s="148" t="str" cm="1">
        <f t="array" ref="O470">IF(COUNTIF($B$42:$E$42, O$2)&gt;0, _xlfn.IFS(COUNTIF($B$42:$C$42, O$2)&gt;0, VLOOKUP($J470,'Gear Values'!$A$2:$E$13, IF(COUNTBLANK('Attributes &amp; Prefixes'!$B$42:$C$42)&gt;0, "2", "3"), 0), COUNTIF($D$42:$E$42, O$2)&gt;0, VLOOKUP($J470,'Gear Values'!$A$2:$E$13, IF(COUNTBLANK('Attributes &amp; Prefixes'!$B$42:$C$42)&gt;0, "4", "5"), 0)), "")</f>
        <v/>
      </c>
      <c r="P470" s="148" cm="1">
        <f t="array" ref="P470">IF(COUNTIF($B$42:$E$42, P$2)&gt;0, _xlfn.IFS(COUNTIF($B$42:$C$42, P$2)&gt;0, VLOOKUP($J470,'Gear Values'!$A$2:$E$13, IF(COUNTBLANK('Attributes &amp; Prefixes'!$B$42:$C$42)&gt;0, "2", "3"), 0), COUNTIF($D$42:$E$42, P$2)&gt;0, VLOOKUP($J470,'Gear Values'!$A$2:$E$13, IF(COUNTBLANK('Attributes &amp; Prefixes'!$B$42:$C$42)&gt;0, "4", "5"), 0)), "")</f>
        <v>18</v>
      </c>
      <c r="Q470" s="148" t="str" cm="1">
        <f t="array" ref="Q470">IF(COUNTIF($B$42:$E$42, Q$2)&gt;0, _xlfn.IFS(COUNTIF($B$42:$C$42, Q$2)&gt;0, VLOOKUP($J470,'Gear Values'!$A$2:$E$13, IF(COUNTBLANK('Attributes &amp; Prefixes'!$B$42:$C$42)&gt;0, "2", "3"), 0), COUNTIF($D$42:$E$42, Q$2)&gt;0, VLOOKUP($J470,'Gear Values'!$A$2:$E$13, IF(COUNTBLANK('Attributes &amp; Prefixes'!$B$42:$C$42)&gt;0, "4", "5"), 0)), "")</f>
        <v/>
      </c>
      <c r="R470" s="148" t="str" cm="1">
        <f t="array" ref="R470">IF(COUNTIF($B$42:$E$42, R$2)&gt;0, _xlfn.IFS(COUNTIF($B$42:$C$42, R$2)&gt;0, VLOOKUP($J470,'Gear Values'!$A$2:$E$13, IF(COUNTBLANK('Attributes &amp; Prefixes'!$B$42:$C$42)&gt;0, "2", "3"), 0), COUNTIF($D$42:$E$42, R$2)&gt;0, VLOOKUP($J470,'Gear Values'!$A$2:$E$13, IF(COUNTBLANK('Attributes &amp; Prefixes'!$B$42:$C$42)&gt;0, "4", "5"), 0)), "")</f>
        <v/>
      </c>
      <c r="S470" s="150" cm="1">
        <f t="array" ref="S470">IF(COUNTIF($B$42:$E$42, S$2)&gt;0, _xlfn.IFS(COUNTIF($B$42:$C$42, S$2)&gt;0, VLOOKUP($J470,'Gear Values'!$A$2:$E$13, IF(COUNTBLANK('Attributes &amp; Prefixes'!$B$42:$C$42)&gt;0, "2", "3"), 0), COUNTIF($D$42:$E$42, S$2)&gt;0, VLOOKUP($J470,'Gear Values'!$A$2:$E$13, IF(COUNTBLANK('Attributes &amp; Prefixes'!$B$42:$C$42)&gt;0, "4", "5"), 0)), "")</f>
        <v>18</v>
      </c>
      <c r="V470" s="112"/>
      <c r="W470" s="113"/>
    </row>
    <row r="471" spans="6:23">
      <c r="F471" s="114"/>
      <c r="G471" s="114"/>
      <c r="H471" s="130" t="str">
        <f>_xlfn.CONCAT(I$471,J471)</f>
        <v>SinisterWeapon (1H)</v>
      </c>
      <c r="I471" s="519" t="str">
        <f>A43</f>
        <v>Sinister</v>
      </c>
      <c r="J471" s="145" t="s">
        <v>37</v>
      </c>
      <c r="K471" s="133" cm="1">
        <f t="array" ref="K471">IF(COUNTIF($B$43:$E$43, K$2)&gt;0, _xlfn.IFS(COUNTIF($B$43:$C$43, K$2)&gt;0, VLOOKUP($J471,'Gear Values'!$A$2:$E$13, IF(COUNTBLANK('Attributes &amp; Prefixes'!$B$43:$C$43)&gt;0, "2", "3"), 0), COUNTIF($D$43:$E$43, K$2)&gt;0, VLOOKUP($J471,'Gear Values'!$A$2:$E$13, IF(COUNTBLANK('Attributes &amp; Prefixes'!$B$43:$C$43)&gt;0, "4", "5"), 0)), "")</f>
        <v>85</v>
      </c>
      <c r="L471" s="134" cm="1">
        <f t="array" ref="L471">IF(COUNTIF($B$43:$E$43, L$2)&gt;0, _xlfn.IFS(COUNTIF($B$43:$C$43, L$2)&gt;0, VLOOKUP($J471,'Gear Values'!$A$2:$E$13, IF(COUNTBLANK('Attributes &amp; Prefixes'!$B$43:$C$43)&gt;0, "2", "3"), 0), COUNTIF($D$43:$E$43, L$2)&gt;0, VLOOKUP($J471,'Gear Values'!$A$2:$E$13, IF(COUNTBLANK('Attributes &amp; Prefixes'!$B$43:$C$43)&gt;0, "4", "5"), 0)), "")</f>
        <v>85</v>
      </c>
      <c r="M471" s="134" t="str" cm="1">
        <f t="array" ref="M471">IF(COUNTIF($B$43:$E$43, M$2)&gt;0, _xlfn.IFS(COUNTIF($B$43:$C$43, M$2)&gt;0, VLOOKUP($J471,'Gear Values'!$A$2:$E$13, IF(COUNTBLANK('Attributes &amp; Prefixes'!$B$43:$C$43)&gt;0, "2", "3"), 0), COUNTIF($D$43:$E$43, M$2)&gt;0, VLOOKUP($J471,'Gear Values'!$A$2:$E$13, IF(COUNTBLANK('Attributes &amp; Prefixes'!$B$43:$C$43)&gt;0, "4", "5"), 0)), "")</f>
        <v/>
      </c>
      <c r="N471" s="134" t="str" cm="1">
        <f t="array" ref="N471">IF(COUNTIF($B$43:$E$43, N$2)&gt;0, _xlfn.IFS(COUNTIF($B$43:$C$43, N$2)&gt;0, VLOOKUP($J471,'Gear Values'!$A$2:$E$13, IF(COUNTBLANK('Attributes &amp; Prefixes'!$B$43:$C$43)&gt;0, "2", "3"), 0), COUNTIF($D$43:$E$43, N$2)&gt;0, VLOOKUP($J471,'Gear Values'!$A$2:$E$13, IF(COUNTBLANK('Attributes &amp; Prefixes'!$B$43:$C$43)&gt;0, "4", "5"), 0)), "")</f>
        <v/>
      </c>
      <c r="O471" s="134" t="str" cm="1">
        <f t="array" ref="O471">IF(COUNTIF($B$43:$E$43, O$2)&gt;0, _xlfn.IFS(COUNTIF($B$43:$C$43, O$2)&gt;0, VLOOKUP($J471,'Gear Values'!$A$2:$E$13, IF(COUNTBLANK('Attributes &amp; Prefixes'!$B$43:$C$43)&gt;0, "2", "3"), 0), COUNTIF($D$43:$E$43, O$2)&gt;0, VLOOKUP($J471,'Gear Values'!$A$2:$E$13, IF(COUNTBLANK('Attributes &amp; Prefixes'!$B$43:$C$43)&gt;0, "4", "5"), 0)), "")</f>
        <v/>
      </c>
      <c r="P471" s="134" cm="1">
        <f t="array" ref="P471">IF(COUNTIF($B$43:$E$43, P$2)&gt;0, _xlfn.IFS(COUNTIF($B$43:$C$43, P$2)&gt;0, VLOOKUP($J471,'Gear Values'!$A$2:$E$13, IF(COUNTBLANK('Attributes &amp; Prefixes'!$B$43:$C$43)&gt;0, "2", "3"), 0), COUNTIF($D$43:$E$43, P$2)&gt;0, VLOOKUP($J471,'Gear Values'!$A$2:$E$13, IF(COUNTBLANK('Attributes &amp; Prefixes'!$B$43:$C$43)&gt;0, "4", "5"), 0)), "")</f>
        <v>120</v>
      </c>
      <c r="Q471" s="134" t="str" cm="1">
        <f t="array" ref="Q471">IF(COUNTIF($B$43:$E$43, Q$2)&gt;0, _xlfn.IFS(COUNTIF($B$43:$C$43, Q$2)&gt;0, VLOOKUP($J471,'Gear Values'!$A$2:$E$13, IF(COUNTBLANK('Attributes &amp; Prefixes'!$B$43:$C$43)&gt;0, "2", "3"), 0), COUNTIF($D$43:$E$43, Q$2)&gt;0, VLOOKUP($J471,'Gear Values'!$A$2:$E$13, IF(COUNTBLANK('Attributes &amp; Prefixes'!$B$43:$C$43)&gt;0, "4", "5"), 0)), "")</f>
        <v/>
      </c>
      <c r="R471" s="134" t="str" cm="1">
        <f t="array" ref="R471">IF(COUNTIF($B$43:$E$43, R$2)&gt;0, _xlfn.IFS(COUNTIF($B$43:$C$43, R$2)&gt;0, VLOOKUP($J471,'Gear Values'!$A$2:$E$13, IF(COUNTBLANK('Attributes &amp; Prefixes'!$B$43:$C$43)&gt;0, "2", "3"), 0), COUNTIF($D$43:$E$43, R$2)&gt;0, VLOOKUP($J471,'Gear Values'!$A$2:$E$13, IF(COUNTBLANK('Attributes &amp; Prefixes'!$B$43:$C$43)&gt;0, "4", "5"), 0)), "")</f>
        <v/>
      </c>
      <c r="S471" s="135" t="str" cm="1">
        <f t="array" ref="S471">IF(COUNTIF($B$43:$E$43, S$2)&gt;0, _xlfn.IFS(COUNTIF($B$43:$C$43, S$2)&gt;0, VLOOKUP($J471,'Gear Values'!$A$2:$E$13, IF(COUNTBLANK('Attributes &amp; Prefixes'!$B$43:$C$43)&gt;0, "2", "3"), 0), COUNTIF($D$43:$E$43, S$2)&gt;0, VLOOKUP($J471,'Gear Values'!$A$2:$E$13, IF(COUNTBLANK('Attributes &amp; Prefixes'!$B$43:$C$43)&gt;0, "4", "5"), 0)), "")</f>
        <v/>
      </c>
      <c r="V471" s="112"/>
      <c r="W471" s="113"/>
    </row>
    <row r="472" spans="6:23">
      <c r="F472" s="114"/>
      <c r="G472" s="114"/>
      <c r="H472" s="130" t="str">
        <f>_xlfn.CONCAT(I$471,J472)</f>
        <v>SinisterWeapon (2H)</v>
      </c>
      <c r="I472" s="520"/>
      <c r="J472" s="144" t="s">
        <v>39</v>
      </c>
      <c r="K472" s="136" cm="1">
        <f t="array" ref="K472">IF(COUNTIF($B$43:$E$43, K$2)&gt;0, _xlfn.IFS(COUNTIF($B$43:$C$43, K$2)&gt;0, VLOOKUP($J472,'Gear Values'!$A$2:$E$13, IF(COUNTBLANK('Attributes &amp; Prefixes'!$B$43:$C$43)&gt;0, "2", "3"), 0), COUNTIF($D$43:$E$43, K$2)&gt;0, VLOOKUP($J472,'Gear Values'!$A$2:$E$13, IF(COUNTBLANK('Attributes &amp; Prefixes'!$B$43:$C$43)&gt;0, "4", "5"), 0)), "")</f>
        <v>171</v>
      </c>
      <c r="L472" s="137" cm="1">
        <f t="array" ref="L472">IF(COUNTIF($B$43:$E$43, L$2)&gt;0, _xlfn.IFS(COUNTIF($B$43:$C$43, L$2)&gt;0, VLOOKUP($J472,'Gear Values'!$A$2:$E$13, IF(COUNTBLANK('Attributes &amp; Prefixes'!$B$43:$C$43)&gt;0, "2", "3"), 0), COUNTIF($D$43:$E$43, L$2)&gt;0, VLOOKUP($J472,'Gear Values'!$A$2:$E$13, IF(COUNTBLANK('Attributes &amp; Prefixes'!$B$43:$C$43)&gt;0, "4", "5"), 0)), "")</f>
        <v>171</v>
      </c>
      <c r="M472" s="137" t="str" cm="1">
        <f t="array" ref="M472">IF(COUNTIF($B$43:$E$43, M$2)&gt;0, _xlfn.IFS(COUNTIF($B$43:$C$43, M$2)&gt;0, VLOOKUP($J472,'Gear Values'!$A$2:$E$13, IF(COUNTBLANK('Attributes &amp; Prefixes'!$B$43:$C$43)&gt;0, "2", "3"), 0), COUNTIF($D$43:$E$43, M$2)&gt;0, VLOOKUP($J472,'Gear Values'!$A$2:$E$13, IF(COUNTBLANK('Attributes &amp; Prefixes'!$B$43:$C$43)&gt;0, "4", "5"), 0)), "")</f>
        <v/>
      </c>
      <c r="N472" s="137" t="str" cm="1">
        <f t="array" ref="N472">IF(COUNTIF($B$43:$E$43, N$2)&gt;0, _xlfn.IFS(COUNTIF($B$43:$C$43, N$2)&gt;0, VLOOKUP($J472,'Gear Values'!$A$2:$E$13, IF(COUNTBLANK('Attributes &amp; Prefixes'!$B$43:$C$43)&gt;0, "2", "3"), 0), COUNTIF($D$43:$E$43, N$2)&gt;0, VLOOKUP($J472,'Gear Values'!$A$2:$E$13, IF(COUNTBLANK('Attributes &amp; Prefixes'!$B$43:$C$43)&gt;0, "4", "5"), 0)), "")</f>
        <v/>
      </c>
      <c r="O472" s="137" t="str" cm="1">
        <f t="array" ref="O472">IF(COUNTIF($B$43:$E$43, O$2)&gt;0, _xlfn.IFS(COUNTIF($B$43:$C$43, O$2)&gt;0, VLOOKUP($J472,'Gear Values'!$A$2:$E$13, IF(COUNTBLANK('Attributes &amp; Prefixes'!$B$43:$C$43)&gt;0, "2", "3"), 0), COUNTIF($D$43:$E$43, O$2)&gt;0, VLOOKUP($J472,'Gear Values'!$A$2:$E$13, IF(COUNTBLANK('Attributes &amp; Prefixes'!$B$43:$C$43)&gt;0, "4", "5"), 0)), "")</f>
        <v/>
      </c>
      <c r="P472" s="137" cm="1">
        <f t="array" ref="P472">IF(COUNTIF($B$43:$E$43, P$2)&gt;0, _xlfn.IFS(COUNTIF($B$43:$C$43, P$2)&gt;0, VLOOKUP($J472,'Gear Values'!$A$2:$E$13, IF(COUNTBLANK('Attributes &amp; Prefixes'!$B$43:$C$43)&gt;0, "2", "3"), 0), COUNTIF($D$43:$E$43, P$2)&gt;0, VLOOKUP($J472,'Gear Values'!$A$2:$E$13, IF(COUNTBLANK('Attributes &amp; Prefixes'!$B$43:$C$43)&gt;0, "4", "5"), 0)), "")</f>
        <v>239</v>
      </c>
      <c r="Q472" s="137" t="str" cm="1">
        <f t="array" ref="Q472">IF(COUNTIF($B$43:$E$43, Q$2)&gt;0, _xlfn.IFS(COUNTIF($B$43:$C$43, Q$2)&gt;0, VLOOKUP($J472,'Gear Values'!$A$2:$E$13, IF(COUNTBLANK('Attributes &amp; Prefixes'!$B$43:$C$43)&gt;0, "2", "3"), 0), COUNTIF($D$43:$E$43, Q$2)&gt;0, VLOOKUP($J472,'Gear Values'!$A$2:$E$13, IF(COUNTBLANK('Attributes &amp; Prefixes'!$B$43:$C$43)&gt;0, "4", "5"), 0)), "")</f>
        <v/>
      </c>
      <c r="R472" s="137" t="str" cm="1">
        <f t="array" ref="R472">IF(COUNTIF($B$43:$E$43, R$2)&gt;0, _xlfn.IFS(COUNTIF($B$43:$C$43, R$2)&gt;0, VLOOKUP($J472,'Gear Values'!$A$2:$E$13, IF(COUNTBLANK('Attributes &amp; Prefixes'!$B$43:$C$43)&gt;0, "2", "3"), 0), COUNTIF($D$43:$E$43, R$2)&gt;0, VLOOKUP($J472,'Gear Values'!$A$2:$E$13, IF(COUNTBLANK('Attributes &amp; Prefixes'!$B$43:$C$43)&gt;0, "4", "5"), 0)), "")</f>
        <v/>
      </c>
      <c r="S472" s="138" t="str" cm="1">
        <f t="array" ref="S472">IF(COUNTIF($B$43:$E$43, S$2)&gt;0, _xlfn.IFS(COUNTIF($B$43:$C$43, S$2)&gt;0, VLOOKUP($J472,'Gear Values'!$A$2:$E$13, IF(COUNTBLANK('Attributes &amp; Prefixes'!$B$43:$C$43)&gt;0, "2", "3"), 0), COUNTIF($D$43:$E$43, S$2)&gt;0, VLOOKUP($J472,'Gear Values'!$A$2:$E$13, IF(COUNTBLANK('Attributes &amp; Prefixes'!$B$43:$C$43)&gt;0, "4", "5"), 0)), "")</f>
        <v/>
      </c>
      <c r="V472" s="112"/>
      <c r="W472" s="113"/>
    </row>
    <row r="473" spans="6:23">
      <c r="F473" s="114"/>
      <c r="G473" s="114"/>
      <c r="H473" s="130" t="str">
        <f>_xlfn.CONCAT(I$471,J473)</f>
        <v>SinisterHead</v>
      </c>
      <c r="I473" s="520"/>
      <c r="J473" s="144" t="s">
        <v>40</v>
      </c>
      <c r="K473" s="136" cm="1">
        <f t="array" ref="K473">IF(COUNTIF($B$43:$E$43, K$2)&gt;0, _xlfn.IFS(COUNTIF($B$43:$C$43, K$2)&gt;0, VLOOKUP($J473,'Gear Values'!$A$2:$E$13, IF(COUNTBLANK('Attributes &amp; Prefixes'!$B$43:$C$43)&gt;0, "2", "3"), 0), COUNTIF($D$43:$E$43, K$2)&gt;0, VLOOKUP($J473,'Gear Values'!$A$2:$E$13, IF(COUNTBLANK('Attributes &amp; Prefixes'!$B$43:$C$43)&gt;0, "4", "5"), 0)), "")</f>
        <v>43</v>
      </c>
      <c r="L473" s="137" cm="1">
        <f t="array" ref="L473">IF(COUNTIF($B$43:$E$43, L$2)&gt;0, _xlfn.IFS(COUNTIF($B$43:$C$43, L$2)&gt;0, VLOOKUP($J473,'Gear Values'!$A$2:$E$13, IF(COUNTBLANK('Attributes &amp; Prefixes'!$B$43:$C$43)&gt;0, "2", "3"), 0), COUNTIF($D$43:$E$43, L$2)&gt;0, VLOOKUP($J473,'Gear Values'!$A$2:$E$13, IF(COUNTBLANK('Attributes &amp; Prefixes'!$B$43:$C$43)&gt;0, "4", "5"), 0)), "")</f>
        <v>43</v>
      </c>
      <c r="M473" s="137" t="str" cm="1">
        <f t="array" ref="M473">IF(COUNTIF($B$43:$E$43, M$2)&gt;0, _xlfn.IFS(COUNTIF($B$43:$C$43, M$2)&gt;0, VLOOKUP($J473,'Gear Values'!$A$2:$E$13, IF(COUNTBLANK('Attributes &amp; Prefixes'!$B$43:$C$43)&gt;0, "2", "3"), 0), COUNTIF($D$43:$E$43, M$2)&gt;0, VLOOKUP($J473,'Gear Values'!$A$2:$E$13, IF(COUNTBLANK('Attributes &amp; Prefixes'!$B$43:$C$43)&gt;0, "4", "5"), 0)), "")</f>
        <v/>
      </c>
      <c r="N473" s="137" t="str" cm="1">
        <f t="array" ref="N473">IF(COUNTIF($B$43:$E$43, N$2)&gt;0, _xlfn.IFS(COUNTIF($B$43:$C$43, N$2)&gt;0, VLOOKUP($J473,'Gear Values'!$A$2:$E$13, IF(COUNTBLANK('Attributes &amp; Prefixes'!$B$43:$C$43)&gt;0, "2", "3"), 0), COUNTIF($D$43:$E$43, N$2)&gt;0, VLOOKUP($J473,'Gear Values'!$A$2:$E$13, IF(COUNTBLANK('Attributes &amp; Prefixes'!$B$43:$C$43)&gt;0, "4", "5"), 0)), "")</f>
        <v/>
      </c>
      <c r="O473" s="137" t="str" cm="1">
        <f t="array" ref="O473">IF(COUNTIF($B$43:$E$43, O$2)&gt;0, _xlfn.IFS(COUNTIF($B$43:$C$43, O$2)&gt;0, VLOOKUP($J473,'Gear Values'!$A$2:$E$13, IF(COUNTBLANK('Attributes &amp; Prefixes'!$B$43:$C$43)&gt;0, "2", "3"), 0), COUNTIF($D$43:$E$43, O$2)&gt;0, VLOOKUP($J473,'Gear Values'!$A$2:$E$13, IF(COUNTBLANK('Attributes &amp; Prefixes'!$B$43:$C$43)&gt;0, "4", "5"), 0)), "")</f>
        <v/>
      </c>
      <c r="P473" s="137" cm="1">
        <f t="array" ref="P473">IF(COUNTIF($B$43:$E$43, P$2)&gt;0, _xlfn.IFS(COUNTIF($B$43:$C$43, P$2)&gt;0, VLOOKUP($J473,'Gear Values'!$A$2:$E$13, IF(COUNTBLANK('Attributes &amp; Prefixes'!$B$43:$C$43)&gt;0, "2", "3"), 0), COUNTIF($D$43:$E$43, P$2)&gt;0, VLOOKUP($J473,'Gear Values'!$A$2:$E$13, IF(COUNTBLANK('Attributes &amp; Prefixes'!$B$43:$C$43)&gt;0, "4", "5"), 0)), "")</f>
        <v>60</v>
      </c>
      <c r="Q473" s="137" t="str" cm="1">
        <f t="array" ref="Q473">IF(COUNTIF($B$43:$E$43, Q$2)&gt;0, _xlfn.IFS(COUNTIF($B$43:$C$43, Q$2)&gt;0, VLOOKUP($J473,'Gear Values'!$A$2:$E$13, IF(COUNTBLANK('Attributes &amp; Prefixes'!$B$43:$C$43)&gt;0, "2", "3"), 0), COUNTIF($D$43:$E$43, Q$2)&gt;0, VLOOKUP($J473,'Gear Values'!$A$2:$E$13, IF(COUNTBLANK('Attributes &amp; Prefixes'!$B$43:$C$43)&gt;0, "4", "5"), 0)), "")</f>
        <v/>
      </c>
      <c r="R473" s="137" t="str" cm="1">
        <f t="array" ref="R473">IF(COUNTIF($B$43:$E$43, R$2)&gt;0, _xlfn.IFS(COUNTIF($B$43:$C$43, R$2)&gt;0, VLOOKUP($J473,'Gear Values'!$A$2:$E$13, IF(COUNTBLANK('Attributes &amp; Prefixes'!$B$43:$C$43)&gt;0, "2", "3"), 0), COUNTIF($D$43:$E$43, R$2)&gt;0, VLOOKUP($J473,'Gear Values'!$A$2:$E$13, IF(COUNTBLANK('Attributes &amp; Prefixes'!$B$43:$C$43)&gt;0, "4", "5"), 0)), "")</f>
        <v/>
      </c>
      <c r="S473" s="138" t="str" cm="1">
        <f t="array" ref="S473">IF(COUNTIF($B$43:$E$43, S$2)&gt;0, _xlfn.IFS(COUNTIF($B$43:$C$43, S$2)&gt;0, VLOOKUP($J473,'Gear Values'!$A$2:$E$13, IF(COUNTBLANK('Attributes &amp; Prefixes'!$B$43:$C$43)&gt;0, "2", "3"), 0), COUNTIF($D$43:$E$43, S$2)&gt;0, VLOOKUP($J473,'Gear Values'!$A$2:$E$13, IF(COUNTBLANK('Attributes &amp; Prefixes'!$B$43:$C$43)&gt;0, "4", "5"), 0)), "")</f>
        <v/>
      </c>
      <c r="V473" s="112"/>
      <c r="W473" s="112"/>
    </row>
    <row r="474" spans="6:23">
      <c r="F474" s="114"/>
      <c r="G474" s="114"/>
      <c r="H474" s="130" t="str">
        <f>_xlfn.CONCAT(I$471,J474)</f>
        <v>SinisterShoulders</v>
      </c>
      <c r="I474" s="520"/>
      <c r="J474" s="144" t="s">
        <v>42</v>
      </c>
      <c r="K474" s="136" cm="1">
        <f t="array" ref="K474">IF(COUNTIF($B$43:$E$43, K$2)&gt;0, _xlfn.IFS(COUNTIF($B$43:$C$43, K$2)&gt;0, VLOOKUP($J474,'Gear Values'!$A$2:$E$13, IF(COUNTBLANK('Attributes &amp; Prefixes'!$B$43:$C$43)&gt;0, "2", "3"), 0), COUNTIF($D$43:$E$43, K$2)&gt;0, VLOOKUP($J474,'Gear Values'!$A$2:$E$13, IF(COUNTBLANK('Attributes &amp; Prefixes'!$B$43:$C$43)&gt;0, "4", "5"), 0)), "")</f>
        <v>32</v>
      </c>
      <c r="L474" s="137" cm="1">
        <f t="array" ref="L474">IF(COUNTIF($B$43:$E$43, L$2)&gt;0, _xlfn.IFS(COUNTIF($B$43:$C$43, L$2)&gt;0, VLOOKUP($J474,'Gear Values'!$A$2:$E$13, IF(COUNTBLANK('Attributes &amp; Prefixes'!$B$43:$C$43)&gt;0, "2", "3"), 0), COUNTIF($D$43:$E$43, L$2)&gt;0, VLOOKUP($J474,'Gear Values'!$A$2:$E$13, IF(COUNTBLANK('Attributes &amp; Prefixes'!$B$43:$C$43)&gt;0, "4", "5"), 0)), "")</f>
        <v>32</v>
      </c>
      <c r="M474" s="137" t="str" cm="1">
        <f t="array" ref="M474">IF(COUNTIF($B$43:$E$43, M$2)&gt;0, _xlfn.IFS(COUNTIF($B$43:$C$43, M$2)&gt;0, VLOOKUP($J474,'Gear Values'!$A$2:$E$13, IF(COUNTBLANK('Attributes &amp; Prefixes'!$B$43:$C$43)&gt;0, "2", "3"), 0), COUNTIF($D$43:$E$43, M$2)&gt;0, VLOOKUP($J474,'Gear Values'!$A$2:$E$13, IF(COUNTBLANK('Attributes &amp; Prefixes'!$B$43:$C$43)&gt;0, "4", "5"), 0)), "")</f>
        <v/>
      </c>
      <c r="N474" s="137" t="str" cm="1">
        <f t="array" ref="N474">IF(COUNTIF($B$43:$E$43, N$2)&gt;0, _xlfn.IFS(COUNTIF($B$43:$C$43, N$2)&gt;0, VLOOKUP($J474,'Gear Values'!$A$2:$E$13, IF(COUNTBLANK('Attributes &amp; Prefixes'!$B$43:$C$43)&gt;0, "2", "3"), 0), COUNTIF($D$43:$E$43, N$2)&gt;0, VLOOKUP($J474,'Gear Values'!$A$2:$E$13, IF(COUNTBLANK('Attributes &amp; Prefixes'!$B$43:$C$43)&gt;0, "4", "5"), 0)), "")</f>
        <v/>
      </c>
      <c r="O474" s="137" t="str" cm="1">
        <f t="array" ref="O474">IF(COUNTIF($B$43:$E$43, O$2)&gt;0, _xlfn.IFS(COUNTIF($B$43:$C$43, O$2)&gt;0, VLOOKUP($J474,'Gear Values'!$A$2:$E$13, IF(COUNTBLANK('Attributes &amp; Prefixes'!$B$43:$C$43)&gt;0, "2", "3"), 0), COUNTIF($D$43:$E$43, O$2)&gt;0, VLOOKUP($J474,'Gear Values'!$A$2:$E$13, IF(COUNTBLANK('Attributes &amp; Prefixes'!$B$43:$C$43)&gt;0, "4", "5"), 0)), "")</f>
        <v/>
      </c>
      <c r="P474" s="137" cm="1">
        <f t="array" ref="P474">IF(COUNTIF($B$43:$E$43, P$2)&gt;0, _xlfn.IFS(COUNTIF($B$43:$C$43, P$2)&gt;0, VLOOKUP($J474,'Gear Values'!$A$2:$E$13, IF(COUNTBLANK('Attributes &amp; Prefixes'!$B$43:$C$43)&gt;0, "2", "3"), 0), COUNTIF($D$43:$E$43, P$2)&gt;0, VLOOKUP($J474,'Gear Values'!$A$2:$E$13, IF(COUNTBLANK('Attributes &amp; Prefixes'!$B$43:$C$43)&gt;0, "4", "5"), 0)), "")</f>
        <v>45</v>
      </c>
      <c r="Q474" s="137" t="str" cm="1">
        <f t="array" ref="Q474">IF(COUNTIF($B$43:$E$43, Q$2)&gt;0, _xlfn.IFS(COUNTIF($B$43:$C$43, Q$2)&gt;0, VLOOKUP($J474,'Gear Values'!$A$2:$E$13, IF(COUNTBLANK('Attributes &amp; Prefixes'!$B$43:$C$43)&gt;0, "2", "3"), 0), COUNTIF($D$43:$E$43, Q$2)&gt;0, VLOOKUP($J474,'Gear Values'!$A$2:$E$13, IF(COUNTBLANK('Attributes &amp; Prefixes'!$B$43:$C$43)&gt;0, "4", "5"), 0)), "")</f>
        <v/>
      </c>
      <c r="R474" s="137" t="str" cm="1">
        <f t="array" ref="R474">IF(COUNTIF($B$43:$E$43, R$2)&gt;0, _xlfn.IFS(COUNTIF($B$43:$C$43, R$2)&gt;0, VLOOKUP($J474,'Gear Values'!$A$2:$E$13, IF(COUNTBLANK('Attributes &amp; Prefixes'!$B$43:$C$43)&gt;0, "2", "3"), 0), COUNTIF($D$43:$E$43, R$2)&gt;0, VLOOKUP($J474,'Gear Values'!$A$2:$E$13, IF(COUNTBLANK('Attributes &amp; Prefixes'!$B$43:$C$43)&gt;0, "4", "5"), 0)), "")</f>
        <v/>
      </c>
      <c r="S474" s="138" t="str" cm="1">
        <f t="array" ref="S474">IF(COUNTIF($B$43:$E$43, S$2)&gt;0, _xlfn.IFS(COUNTIF($B$43:$C$43, S$2)&gt;0, VLOOKUP($J474,'Gear Values'!$A$2:$E$13, IF(COUNTBLANK('Attributes &amp; Prefixes'!$B$43:$C$43)&gt;0, "2", "3"), 0), COUNTIF($D$43:$E$43, S$2)&gt;0, VLOOKUP($J474,'Gear Values'!$A$2:$E$13, IF(COUNTBLANK('Attributes &amp; Prefixes'!$B$43:$C$43)&gt;0, "4", "5"), 0)), "")</f>
        <v/>
      </c>
      <c r="V474" s="112"/>
      <c r="W474" s="112"/>
    </row>
    <row r="475" spans="6:23">
      <c r="F475" s="114"/>
      <c r="G475" s="114"/>
      <c r="H475" s="130" t="str">
        <f>_xlfn.CONCAT(I$471,J475)</f>
        <v>SinisterChest</v>
      </c>
      <c r="I475" s="520"/>
      <c r="J475" s="144" t="s">
        <v>44</v>
      </c>
      <c r="K475" s="136" cm="1">
        <f t="array" ref="K475">IF(COUNTIF($B$43:$E$43, K$2)&gt;0, _xlfn.IFS(COUNTIF($B$43:$C$43, K$2)&gt;0, VLOOKUP($J475,'Gear Values'!$A$2:$E$13, IF(COUNTBLANK('Attributes &amp; Prefixes'!$B$43:$C$43)&gt;0, "2", "3"), 0), COUNTIF($D$43:$E$43, K$2)&gt;0, VLOOKUP($J475,'Gear Values'!$A$2:$E$13, IF(COUNTBLANK('Attributes &amp; Prefixes'!$B$43:$C$43)&gt;0, "4", "5"), 0)), "")</f>
        <v>96</v>
      </c>
      <c r="L475" s="137" cm="1">
        <f t="array" ref="L475">IF(COUNTIF($B$43:$E$43, L$2)&gt;0, _xlfn.IFS(COUNTIF($B$43:$C$43, L$2)&gt;0, VLOOKUP($J475,'Gear Values'!$A$2:$E$13, IF(COUNTBLANK('Attributes &amp; Prefixes'!$B$43:$C$43)&gt;0, "2", "3"), 0), COUNTIF($D$43:$E$43, L$2)&gt;0, VLOOKUP($J475,'Gear Values'!$A$2:$E$13, IF(COUNTBLANK('Attributes &amp; Prefixes'!$B$43:$C$43)&gt;0, "4", "5"), 0)), "")</f>
        <v>96</v>
      </c>
      <c r="M475" s="137" t="str" cm="1">
        <f t="array" ref="M475">IF(COUNTIF($B$43:$E$43, M$2)&gt;0, _xlfn.IFS(COUNTIF($B$43:$C$43, M$2)&gt;0, VLOOKUP($J475,'Gear Values'!$A$2:$E$13, IF(COUNTBLANK('Attributes &amp; Prefixes'!$B$43:$C$43)&gt;0, "2", "3"), 0), COUNTIF($D$43:$E$43, M$2)&gt;0, VLOOKUP($J475,'Gear Values'!$A$2:$E$13, IF(COUNTBLANK('Attributes &amp; Prefixes'!$B$43:$C$43)&gt;0, "4", "5"), 0)), "")</f>
        <v/>
      </c>
      <c r="N475" s="137" t="str" cm="1">
        <f t="array" ref="N475">IF(COUNTIF($B$43:$E$43, N$2)&gt;0, _xlfn.IFS(COUNTIF($B$43:$C$43, N$2)&gt;0, VLOOKUP($J475,'Gear Values'!$A$2:$E$13, IF(COUNTBLANK('Attributes &amp; Prefixes'!$B$43:$C$43)&gt;0, "2", "3"), 0), COUNTIF($D$43:$E$43, N$2)&gt;0, VLOOKUP($J475,'Gear Values'!$A$2:$E$13, IF(COUNTBLANK('Attributes &amp; Prefixes'!$B$43:$C$43)&gt;0, "4", "5"), 0)), "")</f>
        <v/>
      </c>
      <c r="O475" s="137" t="str" cm="1">
        <f t="array" ref="O475">IF(COUNTIF($B$43:$E$43, O$2)&gt;0, _xlfn.IFS(COUNTIF($B$43:$C$43, O$2)&gt;0, VLOOKUP($J475,'Gear Values'!$A$2:$E$13, IF(COUNTBLANK('Attributes &amp; Prefixes'!$B$43:$C$43)&gt;0, "2", "3"), 0), COUNTIF($D$43:$E$43, O$2)&gt;0, VLOOKUP($J475,'Gear Values'!$A$2:$E$13, IF(COUNTBLANK('Attributes &amp; Prefixes'!$B$43:$C$43)&gt;0, "4", "5"), 0)), "")</f>
        <v/>
      </c>
      <c r="P475" s="137" cm="1">
        <f t="array" ref="P475">IF(COUNTIF($B$43:$E$43, P$2)&gt;0, _xlfn.IFS(COUNTIF($B$43:$C$43, P$2)&gt;0, VLOOKUP($J475,'Gear Values'!$A$2:$E$13, IF(COUNTBLANK('Attributes &amp; Prefixes'!$B$43:$C$43)&gt;0, "2", "3"), 0), COUNTIF($D$43:$E$43, P$2)&gt;0, VLOOKUP($J475,'Gear Values'!$A$2:$E$13, IF(COUNTBLANK('Attributes &amp; Prefixes'!$B$43:$C$43)&gt;0, "4", "5"), 0)), "")</f>
        <v>134</v>
      </c>
      <c r="Q475" s="137" t="str" cm="1">
        <f t="array" ref="Q475">IF(COUNTIF($B$43:$E$43, Q$2)&gt;0, _xlfn.IFS(COUNTIF($B$43:$C$43, Q$2)&gt;0, VLOOKUP($J475,'Gear Values'!$A$2:$E$13, IF(COUNTBLANK('Attributes &amp; Prefixes'!$B$43:$C$43)&gt;0, "2", "3"), 0), COUNTIF($D$43:$E$43, Q$2)&gt;0, VLOOKUP($J475,'Gear Values'!$A$2:$E$13, IF(COUNTBLANK('Attributes &amp; Prefixes'!$B$43:$C$43)&gt;0, "4", "5"), 0)), "")</f>
        <v/>
      </c>
      <c r="R475" s="137" t="str" cm="1">
        <f t="array" ref="R475">IF(COUNTIF($B$43:$E$43, R$2)&gt;0, _xlfn.IFS(COUNTIF($B$43:$C$43, R$2)&gt;0, VLOOKUP($J475,'Gear Values'!$A$2:$E$13, IF(COUNTBLANK('Attributes &amp; Prefixes'!$B$43:$C$43)&gt;0, "2", "3"), 0), COUNTIF($D$43:$E$43, R$2)&gt;0, VLOOKUP($J475,'Gear Values'!$A$2:$E$13, IF(COUNTBLANK('Attributes &amp; Prefixes'!$B$43:$C$43)&gt;0, "4", "5"), 0)), "")</f>
        <v/>
      </c>
      <c r="S475" s="138" t="str" cm="1">
        <f t="array" ref="S475">IF(COUNTIF($B$43:$E$43, S$2)&gt;0, _xlfn.IFS(COUNTIF($B$43:$C$43, S$2)&gt;0, VLOOKUP($J475,'Gear Values'!$A$2:$E$13, IF(COUNTBLANK('Attributes &amp; Prefixes'!$B$43:$C$43)&gt;0, "2", "3"), 0), COUNTIF($D$43:$E$43, S$2)&gt;0, VLOOKUP($J475,'Gear Values'!$A$2:$E$13, IF(COUNTBLANK('Attributes &amp; Prefixes'!$B$43:$C$43)&gt;0, "4", "5"), 0)), "")</f>
        <v/>
      </c>
      <c r="V475" s="112"/>
      <c r="W475" s="112"/>
    </row>
    <row r="476" spans="6:23">
      <c r="F476" s="114"/>
      <c r="G476" s="114"/>
      <c r="H476" s="130" t="str">
        <f>_xlfn.CONCAT(I$471,J476)</f>
        <v>SinisterHands</v>
      </c>
      <c r="I476" s="520"/>
      <c r="J476" s="144" t="s">
        <v>45</v>
      </c>
      <c r="K476" s="136" cm="1">
        <f t="array" ref="K476">IF(COUNTIF($B$43:$E$43, K$2)&gt;0, _xlfn.IFS(COUNTIF($B$43:$C$43, K$2)&gt;0, VLOOKUP($J476,'Gear Values'!$A$2:$E$13, IF(COUNTBLANK('Attributes &amp; Prefixes'!$B$43:$C$43)&gt;0, "2", "3"), 0), COUNTIF($D$43:$E$43, K$2)&gt;0, VLOOKUP($J476,'Gear Values'!$A$2:$E$13, IF(COUNTBLANK('Attributes &amp; Prefixes'!$B$43:$C$43)&gt;0, "4", "5"), 0)), "")</f>
        <v>32</v>
      </c>
      <c r="L476" s="137" cm="1">
        <f t="array" ref="L476">IF(COUNTIF($B$43:$E$43, L$2)&gt;0, _xlfn.IFS(COUNTIF($B$43:$C$43, L$2)&gt;0, VLOOKUP($J476,'Gear Values'!$A$2:$E$13, IF(COUNTBLANK('Attributes &amp; Prefixes'!$B$43:$C$43)&gt;0, "2", "3"), 0), COUNTIF($D$43:$E$43, L$2)&gt;0, VLOOKUP($J476,'Gear Values'!$A$2:$E$13, IF(COUNTBLANK('Attributes &amp; Prefixes'!$B$43:$C$43)&gt;0, "4", "5"), 0)), "")</f>
        <v>32</v>
      </c>
      <c r="M476" s="137" t="str" cm="1">
        <f t="array" ref="M476">IF(COUNTIF($B$43:$E$43, M$2)&gt;0, _xlfn.IFS(COUNTIF($B$43:$C$43, M$2)&gt;0, VLOOKUP($J476,'Gear Values'!$A$2:$E$13, IF(COUNTBLANK('Attributes &amp; Prefixes'!$B$43:$C$43)&gt;0, "2", "3"), 0), COUNTIF($D$43:$E$43, M$2)&gt;0, VLOOKUP($J476,'Gear Values'!$A$2:$E$13, IF(COUNTBLANK('Attributes &amp; Prefixes'!$B$43:$C$43)&gt;0, "4", "5"), 0)), "")</f>
        <v/>
      </c>
      <c r="N476" s="137" t="str" cm="1">
        <f t="array" ref="N476">IF(COUNTIF($B$43:$E$43, N$2)&gt;0, _xlfn.IFS(COUNTIF($B$43:$C$43, N$2)&gt;0, VLOOKUP($J476,'Gear Values'!$A$2:$E$13, IF(COUNTBLANK('Attributes &amp; Prefixes'!$B$43:$C$43)&gt;0, "2", "3"), 0), COUNTIF($D$43:$E$43, N$2)&gt;0, VLOOKUP($J476,'Gear Values'!$A$2:$E$13, IF(COUNTBLANK('Attributes &amp; Prefixes'!$B$43:$C$43)&gt;0, "4", "5"), 0)), "")</f>
        <v/>
      </c>
      <c r="O476" s="137" t="str" cm="1">
        <f t="array" ref="O476">IF(COUNTIF($B$43:$E$43, O$2)&gt;0, _xlfn.IFS(COUNTIF($B$43:$C$43, O$2)&gt;0, VLOOKUP($J476,'Gear Values'!$A$2:$E$13, IF(COUNTBLANK('Attributes &amp; Prefixes'!$B$43:$C$43)&gt;0, "2", "3"), 0), COUNTIF($D$43:$E$43, O$2)&gt;0, VLOOKUP($J476,'Gear Values'!$A$2:$E$13, IF(COUNTBLANK('Attributes &amp; Prefixes'!$B$43:$C$43)&gt;0, "4", "5"), 0)), "")</f>
        <v/>
      </c>
      <c r="P476" s="137" cm="1">
        <f t="array" ref="P476">IF(COUNTIF($B$43:$E$43, P$2)&gt;0, _xlfn.IFS(COUNTIF($B$43:$C$43, P$2)&gt;0, VLOOKUP($J476,'Gear Values'!$A$2:$E$13, IF(COUNTBLANK('Attributes &amp; Prefixes'!$B$43:$C$43)&gt;0, "2", "3"), 0), COUNTIF($D$43:$E$43, P$2)&gt;0, VLOOKUP($J476,'Gear Values'!$A$2:$E$13, IF(COUNTBLANK('Attributes &amp; Prefixes'!$B$43:$C$43)&gt;0, "4", "5"), 0)), "")</f>
        <v>45</v>
      </c>
      <c r="Q476" s="137" t="str" cm="1">
        <f t="array" ref="Q476">IF(COUNTIF($B$43:$E$43, Q$2)&gt;0, _xlfn.IFS(COUNTIF($B$43:$C$43, Q$2)&gt;0, VLOOKUP($J476,'Gear Values'!$A$2:$E$13, IF(COUNTBLANK('Attributes &amp; Prefixes'!$B$43:$C$43)&gt;0, "2", "3"), 0), COUNTIF($D$43:$E$43, Q$2)&gt;0, VLOOKUP($J476,'Gear Values'!$A$2:$E$13, IF(COUNTBLANK('Attributes &amp; Prefixes'!$B$43:$C$43)&gt;0, "4", "5"), 0)), "")</f>
        <v/>
      </c>
      <c r="R476" s="137" t="str" cm="1">
        <f t="array" ref="R476">IF(COUNTIF($B$43:$E$43, R$2)&gt;0, _xlfn.IFS(COUNTIF($B$43:$C$43, R$2)&gt;0, VLOOKUP($J476,'Gear Values'!$A$2:$E$13, IF(COUNTBLANK('Attributes &amp; Prefixes'!$B$43:$C$43)&gt;0, "2", "3"), 0), COUNTIF($D$43:$E$43, R$2)&gt;0, VLOOKUP($J476,'Gear Values'!$A$2:$E$13, IF(COUNTBLANK('Attributes &amp; Prefixes'!$B$43:$C$43)&gt;0, "4", "5"), 0)), "")</f>
        <v/>
      </c>
      <c r="S476" s="138" t="str" cm="1">
        <f t="array" ref="S476">IF(COUNTIF($B$43:$E$43, S$2)&gt;0, _xlfn.IFS(COUNTIF($B$43:$C$43, S$2)&gt;0, VLOOKUP($J476,'Gear Values'!$A$2:$E$13, IF(COUNTBLANK('Attributes &amp; Prefixes'!$B$43:$C$43)&gt;0, "2", "3"), 0), COUNTIF($D$43:$E$43, S$2)&gt;0, VLOOKUP($J476,'Gear Values'!$A$2:$E$13, IF(COUNTBLANK('Attributes &amp; Prefixes'!$B$43:$C$43)&gt;0, "4", "5"), 0)), "")</f>
        <v/>
      </c>
      <c r="V476" s="112"/>
      <c r="W476" s="112"/>
    </row>
    <row r="477" spans="6:23">
      <c r="F477" s="114"/>
      <c r="G477" s="114"/>
      <c r="H477" s="130" t="str">
        <f>_xlfn.CONCAT(I$471,J477)</f>
        <v>SinisterLegs</v>
      </c>
      <c r="I477" s="520"/>
      <c r="J477" s="144" t="s">
        <v>47</v>
      </c>
      <c r="K477" s="136" cm="1">
        <f t="array" ref="K477">IF(COUNTIF($B$43:$E$43, K$2)&gt;0, _xlfn.IFS(COUNTIF($B$43:$C$43, K$2)&gt;0, VLOOKUP($J477,'Gear Values'!$A$2:$E$13, IF(COUNTBLANK('Attributes &amp; Prefixes'!$B$43:$C$43)&gt;0, "2", "3"), 0), COUNTIF($D$43:$E$43, K$2)&gt;0, VLOOKUP($J477,'Gear Values'!$A$2:$E$13, IF(COUNTBLANK('Attributes &amp; Prefixes'!$B$43:$C$43)&gt;0, "4", "5"), 0)), "")</f>
        <v>64</v>
      </c>
      <c r="L477" s="137" cm="1">
        <f t="array" ref="L477">IF(COUNTIF($B$43:$E$43, L$2)&gt;0, _xlfn.IFS(COUNTIF($B$43:$C$43, L$2)&gt;0, VLOOKUP($J477,'Gear Values'!$A$2:$E$13, IF(COUNTBLANK('Attributes &amp; Prefixes'!$B$43:$C$43)&gt;0, "2", "3"), 0), COUNTIF($D$43:$E$43, L$2)&gt;0, VLOOKUP($J477,'Gear Values'!$A$2:$E$13, IF(COUNTBLANK('Attributes &amp; Prefixes'!$B$43:$C$43)&gt;0, "4", "5"), 0)), "")</f>
        <v>64</v>
      </c>
      <c r="M477" s="137" t="str" cm="1">
        <f t="array" ref="M477">IF(COUNTIF($B$43:$E$43, M$2)&gt;0, _xlfn.IFS(COUNTIF($B$43:$C$43, M$2)&gt;0, VLOOKUP($J477,'Gear Values'!$A$2:$E$13, IF(COUNTBLANK('Attributes &amp; Prefixes'!$B$43:$C$43)&gt;0, "2", "3"), 0), COUNTIF($D$43:$E$43, M$2)&gt;0, VLOOKUP($J477,'Gear Values'!$A$2:$E$13, IF(COUNTBLANK('Attributes &amp; Prefixes'!$B$43:$C$43)&gt;0, "4", "5"), 0)), "")</f>
        <v/>
      </c>
      <c r="N477" s="137" t="str" cm="1">
        <f t="array" ref="N477">IF(COUNTIF($B$43:$E$43, N$2)&gt;0, _xlfn.IFS(COUNTIF($B$43:$C$43, N$2)&gt;0, VLOOKUP($J477,'Gear Values'!$A$2:$E$13, IF(COUNTBLANK('Attributes &amp; Prefixes'!$B$43:$C$43)&gt;0, "2", "3"), 0), COUNTIF($D$43:$E$43, N$2)&gt;0, VLOOKUP($J477,'Gear Values'!$A$2:$E$13, IF(COUNTBLANK('Attributes &amp; Prefixes'!$B$43:$C$43)&gt;0, "4", "5"), 0)), "")</f>
        <v/>
      </c>
      <c r="O477" s="137" t="str" cm="1">
        <f t="array" ref="O477">IF(COUNTIF($B$43:$E$43, O$2)&gt;0, _xlfn.IFS(COUNTIF($B$43:$C$43, O$2)&gt;0, VLOOKUP($J477,'Gear Values'!$A$2:$E$13, IF(COUNTBLANK('Attributes &amp; Prefixes'!$B$43:$C$43)&gt;0, "2", "3"), 0), COUNTIF($D$43:$E$43, O$2)&gt;0, VLOOKUP($J477,'Gear Values'!$A$2:$E$13, IF(COUNTBLANK('Attributes &amp; Prefixes'!$B$43:$C$43)&gt;0, "4", "5"), 0)), "")</f>
        <v/>
      </c>
      <c r="P477" s="137" cm="1">
        <f t="array" ref="P477">IF(COUNTIF($B$43:$E$43, P$2)&gt;0, _xlfn.IFS(COUNTIF($B$43:$C$43, P$2)&gt;0, VLOOKUP($J477,'Gear Values'!$A$2:$E$13, IF(COUNTBLANK('Attributes &amp; Prefixes'!$B$43:$C$43)&gt;0, "2", "3"), 0), COUNTIF($D$43:$E$43, P$2)&gt;0, VLOOKUP($J477,'Gear Values'!$A$2:$E$13, IF(COUNTBLANK('Attributes &amp; Prefixes'!$B$43:$C$43)&gt;0, "4", "5"), 0)), "")</f>
        <v>90</v>
      </c>
      <c r="Q477" s="137" t="str" cm="1">
        <f t="array" ref="Q477">IF(COUNTIF($B$43:$E$43, Q$2)&gt;0, _xlfn.IFS(COUNTIF($B$43:$C$43, Q$2)&gt;0, VLOOKUP($J477,'Gear Values'!$A$2:$E$13, IF(COUNTBLANK('Attributes &amp; Prefixes'!$B$43:$C$43)&gt;0, "2", "3"), 0), COUNTIF($D$43:$E$43, Q$2)&gt;0, VLOOKUP($J477,'Gear Values'!$A$2:$E$13, IF(COUNTBLANK('Attributes &amp; Prefixes'!$B$43:$C$43)&gt;0, "4", "5"), 0)), "")</f>
        <v/>
      </c>
      <c r="R477" s="137" t="str" cm="1">
        <f t="array" ref="R477">IF(COUNTIF($B$43:$E$43, R$2)&gt;0, _xlfn.IFS(COUNTIF($B$43:$C$43, R$2)&gt;0, VLOOKUP($J477,'Gear Values'!$A$2:$E$13, IF(COUNTBLANK('Attributes &amp; Prefixes'!$B$43:$C$43)&gt;0, "2", "3"), 0), COUNTIF($D$43:$E$43, R$2)&gt;0, VLOOKUP($J477,'Gear Values'!$A$2:$E$13, IF(COUNTBLANK('Attributes &amp; Prefixes'!$B$43:$C$43)&gt;0, "4", "5"), 0)), "")</f>
        <v/>
      </c>
      <c r="S477" s="138" t="str" cm="1">
        <f t="array" ref="S477">IF(COUNTIF($B$43:$E$43, S$2)&gt;0, _xlfn.IFS(COUNTIF($B$43:$C$43, S$2)&gt;0, VLOOKUP($J477,'Gear Values'!$A$2:$E$13, IF(COUNTBLANK('Attributes &amp; Prefixes'!$B$43:$C$43)&gt;0, "2", "3"), 0), COUNTIF($D$43:$E$43, S$2)&gt;0, VLOOKUP($J477,'Gear Values'!$A$2:$E$13, IF(COUNTBLANK('Attributes &amp; Prefixes'!$B$43:$C$43)&gt;0, "4", "5"), 0)), "")</f>
        <v/>
      </c>
      <c r="V477" s="112"/>
      <c r="W477" s="112"/>
    </row>
    <row r="478" spans="6:23">
      <c r="F478" s="114"/>
      <c r="G478" s="114"/>
      <c r="H478" s="130" t="str">
        <f>_xlfn.CONCAT(I$471,J478)</f>
        <v>SinisterFeet</v>
      </c>
      <c r="I478" s="520"/>
      <c r="J478" s="144" t="s">
        <v>48</v>
      </c>
      <c r="K478" s="136" cm="1">
        <f t="array" ref="K478">IF(COUNTIF($B$43:$E$43, K$2)&gt;0, _xlfn.IFS(COUNTIF($B$43:$C$43, K$2)&gt;0, VLOOKUP($J478,'Gear Values'!$A$2:$E$13, IF(COUNTBLANK('Attributes &amp; Prefixes'!$B$43:$C$43)&gt;0, "2", "3"), 0), COUNTIF($D$43:$E$43, K$2)&gt;0, VLOOKUP($J478,'Gear Values'!$A$2:$E$13, IF(COUNTBLANK('Attributes &amp; Prefixes'!$B$43:$C$43)&gt;0, "4", "5"), 0)), "")</f>
        <v>32</v>
      </c>
      <c r="L478" s="137" cm="1">
        <f t="array" ref="L478">IF(COUNTIF($B$43:$E$43, L$2)&gt;0, _xlfn.IFS(COUNTIF($B$43:$C$43, L$2)&gt;0, VLOOKUP($J478,'Gear Values'!$A$2:$E$13, IF(COUNTBLANK('Attributes &amp; Prefixes'!$B$43:$C$43)&gt;0, "2", "3"), 0), COUNTIF($D$43:$E$43, L$2)&gt;0, VLOOKUP($J478,'Gear Values'!$A$2:$E$13, IF(COUNTBLANK('Attributes &amp; Prefixes'!$B$43:$C$43)&gt;0, "4", "5"), 0)), "")</f>
        <v>32</v>
      </c>
      <c r="M478" s="137" t="str" cm="1">
        <f t="array" ref="M478">IF(COUNTIF($B$43:$E$43, M$2)&gt;0, _xlfn.IFS(COUNTIF($B$43:$C$43, M$2)&gt;0, VLOOKUP($J478,'Gear Values'!$A$2:$E$13, IF(COUNTBLANK('Attributes &amp; Prefixes'!$B$43:$C$43)&gt;0, "2", "3"), 0), COUNTIF($D$43:$E$43, M$2)&gt;0, VLOOKUP($J478,'Gear Values'!$A$2:$E$13, IF(COUNTBLANK('Attributes &amp; Prefixes'!$B$43:$C$43)&gt;0, "4", "5"), 0)), "")</f>
        <v/>
      </c>
      <c r="N478" s="137" t="str" cm="1">
        <f t="array" ref="N478">IF(COUNTIF($B$43:$E$43, N$2)&gt;0, _xlfn.IFS(COUNTIF($B$43:$C$43, N$2)&gt;0, VLOOKUP($J478,'Gear Values'!$A$2:$E$13, IF(COUNTBLANK('Attributes &amp; Prefixes'!$B$43:$C$43)&gt;0, "2", "3"), 0), COUNTIF($D$43:$E$43, N$2)&gt;0, VLOOKUP($J478,'Gear Values'!$A$2:$E$13, IF(COUNTBLANK('Attributes &amp; Prefixes'!$B$43:$C$43)&gt;0, "4", "5"), 0)), "")</f>
        <v/>
      </c>
      <c r="O478" s="137" t="str" cm="1">
        <f t="array" ref="O478">IF(COUNTIF($B$43:$E$43, O$2)&gt;0, _xlfn.IFS(COUNTIF($B$43:$C$43, O$2)&gt;0, VLOOKUP($J478,'Gear Values'!$A$2:$E$13, IF(COUNTBLANK('Attributes &amp; Prefixes'!$B$43:$C$43)&gt;0, "2", "3"), 0), COUNTIF($D$43:$E$43, O$2)&gt;0, VLOOKUP($J478,'Gear Values'!$A$2:$E$13, IF(COUNTBLANK('Attributes &amp; Prefixes'!$B$43:$C$43)&gt;0, "4", "5"), 0)), "")</f>
        <v/>
      </c>
      <c r="P478" s="137" cm="1">
        <f t="array" ref="P478">IF(COUNTIF($B$43:$E$43, P$2)&gt;0, _xlfn.IFS(COUNTIF($B$43:$C$43, P$2)&gt;0, VLOOKUP($J478,'Gear Values'!$A$2:$E$13, IF(COUNTBLANK('Attributes &amp; Prefixes'!$B$43:$C$43)&gt;0, "2", "3"), 0), COUNTIF($D$43:$E$43, P$2)&gt;0, VLOOKUP($J478,'Gear Values'!$A$2:$E$13, IF(COUNTBLANK('Attributes &amp; Prefixes'!$B$43:$C$43)&gt;0, "4", "5"), 0)), "")</f>
        <v>45</v>
      </c>
      <c r="Q478" s="137" t="str" cm="1">
        <f t="array" ref="Q478">IF(COUNTIF($B$43:$E$43, Q$2)&gt;0, _xlfn.IFS(COUNTIF($B$43:$C$43, Q$2)&gt;0, VLOOKUP($J478,'Gear Values'!$A$2:$E$13, IF(COUNTBLANK('Attributes &amp; Prefixes'!$B$43:$C$43)&gt;0, "2", "3"), 0), COUNTIF($D$43:$E$43, Q$2)&gt;0, VLOOKUP($J478,'Gear Values'!$A$2:$E$13, IF(COUNTBLANK('Attributes &amp; Prefixes'!$B$43:$C$43)&gt;0, "4", "5"), 0)), "")</f>
        <v/>
      </c>
      <c r="R478" s="137" t="str" cm="1">
        <f t="array" ref="R478">IF(COUNTIF($B$43:$E$43, R$2)&gt;0, _xlfn.IFS(COUNTIF($B$43:$C$43, R$2)&gt;0, VLOOKUP($J478,'Gear Values'!$A$2:$E$13, IF(COUNTBLANK('Attributes &amp; Prefixes'!$B$43:$C$43)&gt;0, "2", "3"), 0), COUNTIF($D$43:$E$43, R$2)&gt;0, VLOOKUP($J478,'Gear Values'!$A$2:$E$13, IF(COUNTBLANK('Attributes &amp; Prefixes'!$B$43:$C$43)&gt;0, "4", "5"), 0)), "")</f>
        <v/>
      </c>
      <c r="S478" s="138" t="str" cm="1">
        <f t="array" ref="S478">IF(COUNTIF($B$43:$E$43, S$2)&gt;0, _xlfn.IFS(COUNTIF($B$43:$C$43, S$2)&gt;0, VLOOKUP($J478,'Gear Values'!$A$2:$E$13, IF(COUNTBLANK('Attributes &amp; Prefixes'!$B$43:$C$43)&gt;0, "2", "3"), 0), COUNTIF($D$43:$E$43, S$2)&gt;0, VLOOKUP($J478,'Gear Values'!$A$2:$E$13, IF(COUNTBLANK('Attributes &amp; Prefixes'!$B$43:$C$43)&gt;0, "4", "5"), 0)), "")</f>
        <v/>
      </c>
      <c r="V478" s="112"/>
      <c r="W478" s="112"/>
    </row>
    <row r="479" spans="6:23">
      <c r="F479" s="114"/>
      <c r="G479" s="114"/>
      <c r="H479" s="130" t="str">
        <f>_xlfn.CONCAT(A$61,J479)</f>
        <v>Charged AmbriteEar</v>
      </c>
      <c r="I479" s="520"/>
      <c r="J479" s="144" t="s">
        <v>49</v>
      </c>
      <c r="K479" s="136" cm="1">
        <f t="array" ref="K479">IF(COUNTIF($B$43:$E$43, K$2)&gt;0, _xlfn.IFS(COUNTIF($B$43:$C$43, K$2)&gt;0, VLOOKUP($J479,'Gear Values'!$A$2:$E$13, IF(COUNTBLANK('Attributes &amp; Prefixes'!$B$43:$C$43)&gt;0, "2", "3"), 0), COUNTIF($D$43:$E$43, K$2)&gt;0, VLOOKUP($J479,'Gear Values'!$A$2:$E$13, IF(COUNTBLANK('Attributes &amp; Prefixes'!$B$43:$C$43)&gt;0, "4", "5"), 0)), "")</f>
        <v>53</v>
      </c>
      <c r="L479" s="137" cm="1">
        <f t="array" ref="L479">IF(COUNTIF($B$43:$E$43, L$2)&gt;0, _xlfn.IFS(COUNTIF($B$43:$C$43, L$2)&gt;0, VLOOKUP($J479,'Gear Values'!$A$2:$E$13, IF(COUNTBLANK('Attributes &amp; Prefixes'!$B$43:$C$43)&gt;0, "2", "3"), 0), COUNTIF($D$43:$E$43, L$2)&gt;0, VLOOKUP($J479,'Gear Values'!$A$2:$E$13, IF(COUNTBLANK('Attributes &amp; Prefixes'!$B$43:$C$43)&gt;0, "4", "5"), 0)), "")</f>
        <v>53</v>
      </c>
      <c r="M479" s="137" t="str" cm="1">
        <f t="array" ref="M479">IF(COUNTIF($B$43:$E$43, M$2)&gt;0, _xlfn.IFS(COUNTIF($B$43:$C$43, M$2)&gt;0, VLOOKUP($J479,'Gear Values'!$A$2:$E$13, IF(COUNTBLANK('Attributes &amp; Prefixes'!$B$43:$C$43)&gt;0, "2", "3"), 0), COUNTIF($D$43:$E$43, M$2)&gt;0, VLOOKUP($J479,'Gear Values'!$A$2:$E$13, IF(COUNTBLANK('Attributes &amp; Prefixes'!$B$43:$C$43)&gt;0, "4", "5"), 0)), "")</f>
        <v/>
      </c>
      <c r="N479" s="137" t="str" cm="1">
        <f t="array" ref="N479">IF(COUNTIF($B$43:$E$43, N$2)&gt;0, _xlfn.IFS(COUNTIF($B$43:$C$43, N$2)&gt;0, VLOOKUP($J479,'Gear Values'!$A$2:$E$13, IF(COUNTBLANK('Attributes &amp; Prefixes'!$B$43:$C$43)&gt;0, "2", "3"), 0), COUNTIF($D$43:$E$43, N$2)&gt;0, VLOOKUP($J479,'Gear Values'!$A$2:$E$13, IF(COUNTBLANK('Attributes &amp; Prefixes'!$B$43:$C$43)&gt;0, "4", "5"), 0)), "")</f>
        <v/>
      </c>
      <c r="O479" s="137" t="str" cm="1">
        <f t="array" ref="O479">IF(COUNTIF($B$43:$E$43, O$2)&gt;0, _xlfn.IFS(COUNTIF($B$43:$C$43, O$2)&gt;0, VLOOKUP($J479,'Gear Values'!$A$2:$E$13, IF(COUNTBLANK('Attributes &amp; Prefixes'!$B$43:$C$43)&gt;0, "2", "3"), 0), COUNTIF($D$43:$E$43, O$2)&gt;0, VLOOKUP($J479,'Gear Values'!$A$2:$E$13, IF(COUNTBLANK('Attributes &amp; Prefixes'!$B$43:$C$43)&gt;0, "4", "5"), 0)), "")</f>
        <v/>
      </c>
      <c r="P479" s="137" cm="1">
        <f t="array" ref="P479">IF(COUNTIF($B$43:$E$43, P$2)&gt;0, _xlfn.IFS(COUNTIF($B$43:$C$43, P$2)&gt;0, VLOOKUP($J479,'Gear Values'!$A$2:$E$13, IF(COUNTBLANK('Attributes &amp; Prefixes'!$B$43:$C$43)&gt;0, "2", "3"), 0), COUNTIF($D$43:$E$43, P$2)&gt;0, VLOOKUP($J479,'Gear Values'!$A$2:$E$13, IF(COUNTBLANK('Attributes &amp; Prefixes'!$B$43:$C$43)&gt;0, "4", "5"), 0)), "")</f>
        <v>75</v>
      </c>
      <c r="Q479" s="137" t="str" cm="1">
        <f t="array" ref="Q479">IF(COUNTIF($B$43:$E$43, Q$2)&gt;0, _xlfn.IFS(COUNTIF($B$43:$C$43, Q$2)&gt;0, VLOOKUP($J479,'Gear Values'!$A$2:$E$13, IF(COUNTBLANK('Attributes &amp; Prefixes'!$B$43:$C$43)&gt;0, "2", "3"), 0), COUNTIF($D$43:$E$43, Q$2)&gt;0, VLOOKUP($J479,'Gear Values'!$A$2:$E$13, IF(COUNTBLANK('Attributes &amp; Prefixes'!$B$43:$C$43)&gt;0, "4", "5"), 0)), "")</f>
        <v/>
      </c>
      <c r="R479" s="137" t="str" cm="1">
        <f t="array" ref="R479">IF(COUNTIF($B$43:$E$43, R$2)&gt;0, _xlfn.IFS(COUNTIF($B$43:$C$43, R$2)&gt;0, VLOOKUP($J479,'Gear Values'!$A$2:$E$13, IF(COUNTBLANK('Attributes &amp; Prefixes'!$B$43:$C$43)&gt;0, "2", "3"), 0), COUNTIF($D$43:$E$43, R$2)&gt;0, VLOOKUP($J479,'Gear Values'!$A$2:$E$13, IF(COUNTBLANK('Attributes &amp; Prefixes'!$B$43:$C$43)&gt;0, "4", "5"), 0)), "")</f>
        <v/>
      </c>
      <c r="S479" s="138" t="str" cm="1">
        <f t="array" ref="S479">IF(COUNTIF($B$43:$E$43, S$2)&gt;0, _xlfn.IFS(COUNTIF($B$43:$C$43, S$2)&gt;0, VLOOKUP($J479,'Gear Values'!$A$2:$E$13, IF(COUNTBLANK('Attributes &amp; Prefixes'!$B$43:$C$43)&gt;0, "2", "3"), 0), COUNTIF($D$43:$E$43, S$2)&gt;0, VLOOKUP($J479,'Gear Values'!$A$2:$E$13, IF(COUNTBLANK('Attributes &amp; Prefixes'!$B$43:$C$43)&gt;0, "4", "5"), 0)), "")</f>
        <v/>
      </c>
      <c r="V479" s="112"/>
      <c r="W479" s="112"/>
    </row>
    <row r="480" spans="6:23">
      <c r="H480" s="130" t="str">
        <f>_xlfn.CONCAT(A$61,J480)</f>
        <v>Charged AmbriteFinger</v>
      </c>
      <c r="I480" s="520"/>
      <c r="J480" s="144" t="s">
        <v>51</v>
      </c>
      <c r="K480" s="136" cm="1">
        <f t="array" ref="K480">IF(COUNTIF($B$43:$E$43, K$2)&gt;0, _xlfn.IFS(COUNTIF($B$43:$C$43, K$2)&gt;0, VLOOKUP($J480,'Gear Values'!$A$2:$E$13, IF(COUNTBLANK('Attributes &amp; Prefixes'!$B$43:$C$43)&gt;0, "2", "3"), 0), COUNTIF($D$43:$E$43, K$2)&gt;0, VLOOKUP($J480,'Gear Values'!$A$2:$E$13, IF(COUNTBLANK('Attributes &amp; Prefixes'!$B$43:$C$43)&gt;0, "4", "5"), 0)), "")</f>
        <v>64</v>
      </c>
      <c r="L480" s="137" cm="1">
        <f t="array" ref="L480">IF(COUNTIF($B$43:$E$43, L$2)&gt;0, _xlfn.IFS(COUNTIF($B$43:$C$43, L$2)&gt;0, VLOOKUP($J480,'Gear Values'!$A$2:$E$13, IF(COUNTBLANK('Attributes &amp; Prefixes'!$B$43:$C$43)&gt;0, "2", "3"), 0), COUNTIF($D$43:$E$43, L$2)&gt;0, VLOOKUP($J480,'Gear Values'!$A$2:$E$13, IF(COUNTBLANK('Attributes &amp; Prefixes'!$B$43:$C$43)&gt;0, "4", "5"), 0)), "")</f>
        <v>64</v>
      </c>
      <c r="M480" s="137" t="str" cm="1">
        <f t="array" ref="M480">IF(COUNTIF($B$43:$E$43, M$2)&gt;0, _xlfn.IFS(COUNTIF($B$43:$C$43, M$2)&gt;0, VLOOKUP($J480,'Gear Values'!$A$2:$E$13, IF(COUNTBLANK('Attributes &amp; Prefixes'!$B$43:$C$43)&gt;0, "2", "3"), 0), COUNTIF($D$43:$E$43, M$2)&gt;0, VLOOKUP($J480,'Gear Values'!$A$2:$E$13, IF(COUNTBLANK('Attributes &amp; Prefixes'!$B$43:$C$43)&gt;0, "4", "5"), 0)), "")</f>
        <v/>
      </c>
      <c r="N480" s="137" t="str" cm="1">
        <f t="array" ref="N480">IF(COUNTIF($B$43:$E$43, N$2)&gt;0, _xlfn.IFS(COUNTIF($B$43:$C$43, N$2)&gt;0, VLOOKUP($J480,'Gear Values'!$A$2:$E$13, IF(COUNTBLANK('Attributes &amp; Prefixes'!$B$43:$C$43)&gt;0, "2", "3"), 0), COUNTIF($D$43:$E$43, N$2)&gt;0, VLOOKUP($J480,'Gear Values'!$A$2:$E$13, IF(COUNTBLANK('Attributes &amp; Prefixes'!$B$43:$C$43)&gt;0, "4", "5"), 0)), "")</f>
        <v/>
      </c>
      <c r="O480" s="137" t="str" cm="1">
        <f t="array" ref="O480">IF(COUNTIF($B$43:$E$43, O$2)&gt;0, _xlfn.IFS(COUNTIF($B$43:$C$43, O$2)&gt;0, VLOOKUP($J480,'Gear Values'!$A$2:$E$13, IF(COUNTBLANK('Attributes &amp; Prefixes'!$B$43:$C$43)&gt;0, "2", "3"), 0), COUNTIF($D$43:$E$43, O$2)&gt;0, VLOOKUP($J480,'Gear Values'!$A$2:$E$13, IF(COUNTBLANK('Attributes &amp; Prefixes'!$B$43:$C$43)&gt;0, "4", "5"), 0)), "")</f>
        <v/>
      </c>
      <c r="P480" s="137" cm="1">
        <f t="array" ref="P480">IF(COUNTIF($B$43:$E$43, P$2)&gt;0, _xlfn.IFS(COUNTIF($B$43:$C$43, P$2)&gt;0, VLOOKUP($J480,'Gear Values'!$A$2:$E$13, IF(COUNTBLANK('Attributes &amp; Prefixes'!$B$43:$C$43)&gt;0, "2", "3"), 0), COUNTIF($D$43:$E$43, P$2)&gt;0, VLOOKUP($J480,'Gear Values'!$A$2:$E$13, IF(COUNTBLANK('Attributes &amp; Prefixes'!$B$43:$C$43)&gt;0, "4", "5"), 0)), "")</f>
        <v>90</v>
      </c>
      <c r="Q480" s="137" t="str" cm="1">
        <f t="array" ref="Q480">IF(COUNTIF($B$43:$E$43, Q$2)&gt;0, _xlfn.IFS(COUNTIF($B$43:$C$43, Q$2)&gt;0, VLOOKUP($J480,'Gear Values'!$A$2:$E$13, IF(COUNTBLANK('Attributes &amp; Prefixes'!$B$43:$C$43)&gt;0, "2", "3"), 0), COUNTIF($D$43:$E$43, Q$2)&gt;0, VLOOKUP($J480,'Gear Values'!$A$2:$E$13, IF(COUNTBLANK('Attributes &amp; Prefixes'!$B$43:$C$43)&gt;0, "4", "5"), 0)), "")</f>
        <v/>
      </c>
      <c r="R480" s="137" t="str" cm="1">
        <f t="array" ref="R480">IF(COUNTIF($B$43:$E$43, R$2)&gt;0, _xlfn.IFS(COUNTIF($B$43:$C$43, R$2)&gt;0, VLOOKUP($J480,'Gear Values'!$A$2:$E$13, IF(COUNTBLANK('Attributes &amp; Prefixes'!$B$43:$C$43)&gt;0, "2", "3"), 0), COUNTIF($D$43:$E$43, R$2)&gt;0, VLOOKUP($J480,'Gear Values'!$A$2:$E$13, IF(COUNTBLANK('Attributes &amp; Prefixes'!$B$43:$C$43)&gt;0, "4", "5"), 0)), "")</f>
        <v/>
      </c>
      <c r="S480" s="138" t="str" cm="1">
        <f t="array" ref="S480">IF(COUNTIF($B$43:$E$43, S$2)&gt;0, _xlfn.IFS(COUNTIF($B$43:$C$43, S$2)&gt;0, VLOOKUP($J480,'Gear Values'!$A$2:$E$13, IF(COUNTBLANK('Attributes &amp; Prefixes'!$B$43:$C$43)&gt;0, "2", "3"), 0), COUNTIF($D$43:$E$43, S$2)&gt;0, VLOOKUP($J480,'Gear Values'!$A$2:$E$13, IF(COUNTBLANK('Attributes &amp; Prefixes'!$B$43:$C$43)&gt;0, "4", "5"), 0)), "")</f>
        <v/>
      </c>
      <c r="V480" s="112"/>
      <c r="W480" s="112"/>
    </row>
    <row r="481" spans="8:23">
      <c r="H481" s="130" t="str">
        <f>_xlfn.CONCAT(A$61,J481)</f>
        <v>Charged AmbriteNeck</v>
      </c>
      <c r="I481" s="520"/>
      <c r="J481" s="144" t="s">
        <v>52</v>
      </c>
      <c r="K481" s="136" cm="1">
        <f t="array" ref="K481">IF(COUNTIF($B$43:$E$43, K$2)&gt;0, _xlfn.IFS(COUNTIF($B$43:$C$43, K$2)&gt;0, VLOOKUP($J481,'Gear Values'!$A$2:$E$13, IF(COUNTBLANK('Attributes &amp; Prefixes'!$B$43:$C$43)&gt;0, "2", "3"), 0), COUNTIF($D$43:$E$43, K$2)&gt;0, VLOOKUP($J481,'Gear Values'!$A$2:$E$13, IF(COUNTBLANK('Attributes &amp; Prefixes'!$B$43:$C$43)&gt;0, "4", "5"), 0)), "")</f>
        <v>85</v>
      </c>
      <c r="L481" s="137" cm="1">
        <f t="array" ref="L481">IF(COUNTIF($B$43:$E$43, L$2)&gt;0, _xlfn.IFS(COUNTIF($B$43:$C$43, L$2)&gt;0, VLOOKUP($J481,'Gear Values'!$A$2:$E$13, IF(COUNTBLANK('Attributes &amp; Prefixes'!$B$43:$C$43)&gt;0, "2", "3"), 0), COUNTIF($D$43:$E$43, L$2)&gt;0, VLOOKUP($J481,'Gear Values'!$A$2:$E$13, IF(COUNTBLANK('Attributes &amp; Prefixes'!$B$43:$C$43)&gt;0, "4", "5"), 0)), "")</f>
        <v>85</v>
      </c>
      <c r="M481" s="137" t="str" cm="1">
        <f t="array" ref="M481">IF(COUNTIF($B$43:$E$43, M$2)&gt;0, _xlfn.IFS(COUNTIF($B$43:$C$43, M$2)&gt;0, VLOOKUP($J481,'Gear Values'!$A$2:$E$13, IF(COUNTBLANK('Attributes &amp; Prefixes'!$B$43:$C$43)&gt;0, "2", "3"), 0), COUNTIF($D$43:$E$43, M$2)&gt;0, VLOOKUP($J481,'Gear Values'!$A$2:$E$13, IF(COUNTBLANK('Attributes &amp; Prefixes'!$B$43:$C$43)&gt;0, "4", "5"), 0)), "")</f>
        <v/>
      </c>
      <c r="N481" s="137" t="str" cm="1">
        <f t="array" ref="N481">IF(COUNTIF($B$43:$E$43, N$2)&gt;0, _xlfn.IFS(COUNTIF($B$43:$C$43, N$2)&gt;0, VLOOKUP($J481,'Gear Values'!$A$2:$E$13, IF(COUNTBLANK('Attributes &amp; Prefixes'!$B$43:$C$43)&gt;0, "2", "3"), 0), COUNTIF($D$43:$E$43, N$2)&gt;0, VLOOKUP($J481,'Gear Values'!$A$2:$E$13, IF(COUNTBLANK('Attributes &amp; Prefixes'!$B$43:$C$43)&gt;0, "4", "5"), 0)), "")</f>
        <v/>
      </c>
      <c r="O481" s="137" t="str" cm="1">
        <f t="array" ref="O481">IF(COUNTIF($B$43:$E$43, O$2)&gt;0, _xlfn.IFS(COUNTIF($B$43:$C$43, O$2)&gt;0, VLOOKUP($J481,'Gear Values'!$A$2:$E$13, IF(COUNTBLANK('Attributes &amp; Prefixes'!$B$43:$C$43)&gt;0, "2", "3"), 0), COUNTIF($D$43:$E$43, O$2)&gt;0, VLOOKUP($J481,'Gear Values'!$A$2:$E$13, IF(COUNTBLANK('Attributes &amp; Prefixes'!$B$43:$C$43)&gt;0, "4", "5"), 0)), "")</f>
        <v/>
      </c>
      <c r="P481" s="137" cm="1">
        <f t="array" ref="P481">IF(COUNTIF($B$43:$E$43, P$2)&gt;0, _xlfn.IFS(COUNTIF($B$43:$C$43, P$2)&gt;0, VLOOKUP($J481,'Gear Values'!$A$2:$E$13, IF(COUNTBLANK('Attributes &amp; Prefixes'!$B$43:$C$43)&gt;0, "2", "3"), 0), COUNTIF($D$43:$E$43, P$2)&gt;0, VLOOKUP($J481,'Gear Values'!$A$2:$E$13, IF(COUNTBLANK('Attributes &amp; Prefixes'!$B$43:$C$43)&gt;0, "4", "5"), 0)), "")</f>
        <v>120</v>
      </c>
      <c r="Q481" s="137" t="str" cm="1">
        <f t="array" ref="Q481">IF(COUNTIF($B$43:$E$43, Q$2)&gt;0, _xlfn.IFS(COUNTIF($B$43:$C$43, Q$2)&gt;0, VLOOKUP($J481,'Gear Values'!$A$2:$E$13, IF(COUNTBLANK('Attributes &amp; Prefixes'!$B$43:$C$43)&gt;0, "2", "3"), 0), COUNTIF($D$43:$E$43, Q$2)&gt;0, VLOOKUP($J481,'Gear Values'!$A$2:$E$13, IF(COUNTBLANK('Attributes &amp; Prefixes'!$B$43:$C$43)&gt;0, "4", "5"), 0)), "")</f>
        <v/>
      </c>
      <c r="R481" s="137" t="str" cm="1">
        <f t="array" ref="R481">IF(COUNTIF($B$43:$E$43, R$2)&gt;0, _xlfn.IFS(COUNTIF($B$43:$C$43, R$2)&gt;0, VLOOKUP($J481,'Gear Values'!$A$2:$E$13, IF(COUNTBLANK('Attributes &amp; Prefixes'!$B$43:$C$43)&gt;0, "2", "3"), 0), COUNTIF($D$43:$E$43, R$2)&gt;0, VLOOKUP($J481,'Gear Values'!$A$2:$E$13, IF(COUNTBLANK('Attributes &amp; Prefixes'!$B$43:$C$43)&gt;0, "4", "5"), 0)), "")</f>
        <v/>
      </c>
      <c r="S481" s="138" t="str" cm="1">
        <f t="array" ref="S481">IF(COUNTIF($B$43:$E$43, S$2)&gt;0, _xlfn.IFS(COUNTIF($B$43:$C$43, S$2)&gt;0, VLOOKUP($J481,'Gear Values'!$A$2:$E$13, IF(COUNTBLANK('Attributes &amp; Prefixes'!$B$43:$C$43)&gt;0, "2", "3"), 0), COUNTIF($D$43:$E$43, S$2)&gt;0, VLOOKUP($J481,'Gear Values'!$A$2:$E$13, IF(COUNTBLANK('Attributes &amp; Prefixes'!$B$43:$C$43)&gt;0, "4", "5"), 0)), "")</f>
        <v/>
      </c>
      <c r="V481" s="112"/>
      <c r="W481" s="113"/>
    </row>
    <row r="482" spans="8:23">
      <c r="H482" s="130" t="str">
        <f>_xlfn.CONCAT(I$471,J482)</f>
        <v>SinisterBack</v>
      </c>
      <c r="I482" s="521"/>
      <c r="J482" s="146" t="s">
        <v>53</v>
      </c>
      <c r="K482" s="147" cm="1">
        <f t="array" ref="K482">IF(COUNTIF($B$43:$E$43, K$2)&gt;0, _xlfn.IFS(COUNTIF($B$43:$C$43, K$2)&gt;0, VLOOKUP($J482,'Gear Values'!$A$2:$E$13, IF(COUNTBLANK('Attributes &amp; Prefixes'!$B$43:$C$43)&gt;0, "2", "3"), 0), COUNTIF($D$43:$E$43, K$2)&gt;0, VLOOKUP($J482,'Gear Values'!$A$2:$E$13, IF(COUNTBLANK('Attributes &amp; Prefixes'!$B$43:$C$43)&gt;0, "4", "5"), 0)), "")</f>
        <v>18</v>
      </c>
      <c r="L482" s="148" cm="1">
        <f t="array" ref="L482">IF(COUNTIF($B$43:$E$43, L$2)&gt;0, _xlfn.IFS(COUNTIF($B$43:$C$43, L$2)&gt;0, VLOOKUP($J482,'Gear Values'!$A$2:$E$13, IF(COUNTBLANK('Attributes &amp; Prefixes'!$B$43:$C$43)&gt;0, "2", "3"), 0), COUNTIF($D$43:$E$43, L$2)&gt;0, VLOOKUP($J482,'Gear Values'!$A$2:$E$13, IF(COUNTBLANK('Attributes &amp; Prefixes'!$B$43:$C$43)&gt;0, "4", "5"), 0)), "")</f>
        <v>18</v>
      </c>
      <c r="M482" s="148" t="str" cm="1">
        <f t="array" ref="M482">IF(COUNTIF($B$43:$E$43, M$2)&gt;0, _xlfn.IFS(COUNTIF($B$43:$C$43, M$2)&gt;0, VLOOKUP($J482,'Gear Values'!$A$2:$E$13, IF(COUNTBLANK('Attributes &amp; Prefixes'!$B$43:$C$43)&gt;0, "2", "3"), 0), COUNTIF($D$43:$E$43, M$2)&gt;0, VLOOKUP($J482,'Gear Values'!$A$2:$E$13, IF(COUNTBLANK('Attributes &amp; Prefixes'!$B$43:$C$43)&gt;0, "4", "5"), 0)), "")</f>
        <v/>
      </c>
      <c r="N482" s="148" t="str" cm="1">
        <f t="array" ref="N482">IF(COUNTIF($B$43:$E$43, N$2)&gt;0, _xlfn.IFS(COUNTIF($B$43:$C$43, N$2)&gt;0, VLOOKUP($J482,'Gear Values'!$A$2:$E$13, IF(COUNTBLANK('Attributes &amp; Prefixes'!$B$43:$C$43)&gt;0, "2", "3"), 0), COUNTIF($D$43:$E$43, N$2)&gt;0, VLOOKUP($J482,'Gear Values'!$A$2:$E$13, IF(COUNTBLANK('Attributes &amp; Prefixes'!$B$43:$C$43)&gt;0, "4", "5"), 0)), "")</f>
        <v/>
      </c>
      <c r="O482" s="148" t="str" cm="1">
        <f t="array" ref="O482">IF(COUNTIF($B$43:$E$43, O$2)&gt;0, _xlfn.IFS(COUNTIF($B$43:$C$43, O$2)&gt;0, VLOOKUP($J482,'Gear Values'!$A$2:$E$13, IF(COUNTBLANK('Attributes &amp; Prefixes'!$B$43:$C$43)&gt;0, "2", "3"), 0), COUNTIF($D$43:$E$43, O$2)&gt;0, VLOOKUP($J482,'Gear Values'!$A$2:$E$13, IF(COUNTBLANK('Attributes &amp; Prefixes'!$B$43:$C$43)&gt;0, "4", "5"), 0)), "")</f>
        <v/>
      </c>
      <c r="P482" s="148" cm="1">
        <f t="array" ref="P482">IF(COUNTIF($B$43:$E$43, P$2)&gt;0, _xlfn.IFS(COUNTIF($B$43:$C$43, P$2)&gt;0, VLOOKUP($J482,'Gear Values'!$A$2:$E$13, IF(COUNTBLANK('Attributes &amp; Prefixes'!$B$43:$C$43)&gt;0, "2", "3"), 0), COUNTIF($D$43:$E$43, P$2)&gt;0, VLOOKUP($J482,'Gear Values'!$A$2:$E$13, IF(COUNTBLANK('Attributes &amp; Prefixes'!$B$43:$C$43)&gt;0, "4", "5"), 0)), "")</f>
        <v>32</v>
      </c>
      <c r="Q482" s="148" t="str" cm="1">
        <f t="array" ref="Q482">IF(COUNTIF($B$43:$E$43, Q$2)&gt;0, _xlfn.IFS(COUNTIF($B$43:$C$43, Q$2)&gt;0, VLOOKUP($J482,'Gear Values'!$A$2:$E$13, IF(COUNTBLANK('Attributes &amp; Prefixes'!$B$43:$C$43)&gt;0, "2", "3"), 0), COUNTIF($D$43:$E$43, Q$2)&gt;0, VLOOKUP($J482,'Gear Values'!$A$2:$E$13, IF(COUNTBLANK('Attributes &amp; Prefixes'!$B$43:$C$43)&gt;0, "4", "5"), 0)), "")</f>
        <v/>
      </c>
      <c r="R482" s="148" t="str" cm="1">
        <f t="array" ref="R482">IF(COUNTIF($B$43:$E$43, R$2)&gt;0, _xlfn.IFS(COUNTIF($B$43:$C$43, R$2)&gt;0, VLOOKUP($J482,'Gear Values'!$A$2:$E$13, IF(COUNTBLANK('Attributes &amp; Prefixes'!$B$43:$C$43)&gt;0, "2", "3"), 0), COUNTIF($D$43:$E$43, R$2)&gt;0, VLOOKUP($J482,'Gear Values'!$A$2:$E$13, IF(COUNTBLANK('Attributes &amp; Prefixes'!$B$43:$C$43)&gt;0, "4", "5"), 0)), "")</f>
        <v/>
      </c>
      <c r="S482" s="150" t="str" cm="1">
        <f t="array" ref="S482">IF(COUNTIF($B$43:$E$43, S$2)&gt;0, _xlfn.IFS(COUNTIF($B$43:$C$43, S$2)&gt;0, VLOOKUP($J482,'Gear Values'!$A$2:$E$13, IF(COUNTBLANK('Attributes &amp; Prefixes'!$B$43:$C$43)&gt;0, "2", "3"), 0), COUNTIF($D$43:$E$43, S$2)&gt;0, VLOOKUP($J482,'Gear Values'!$A$2:$E$13, IF(COUNTBLANK('Attributes &amp; Prefixes'!$B$43:$C$43)&gt;0, "4", "5"), 0)), "")</f>
        <v/>
      </c>
      <c r="V482" s="112"/>
      <c r="W482" s="113"/>
    </row>
    <row r="483" spans="8:23">
      <c r="H483" s="130" t="str">
        <f>_xlfn.CONCAT(I$483,J483)</f>
        <v>SoldierWeapon (1H)</v>
      </c>
      <c r="I483" s="519" t="str">
        <f>A44</f>
        <v>Soldier</v>
      </c>
      <c r="J483" s="145" t="s">
        <v>37</v>
      </c>
      <c r="K483" s="133" cm="1">
        <f t="array" ref="K483">IF(COUNTIF($B$44:$E$44, K$2)&gt;0, _xlfn.IFS(COUNTIF($B$44:$C$44, K$2)&gt;0, VLOOKUP($J483,'Gear Values'!$A$2:$E$13, IF(COUNTBLANK('Attributes &amp; Prefixes'!$B$44:$C$44)&gt;0, "2", "3"), 0), COUNTIF($D$44:$E$44, K$2)&gt;0, VLOOKUP($J483,'Gear Values'!$A$2:$E$13, IF(COUNTBLANK('Attributes &amp; Prefixes'!$B$44:$C$44)&gt;0, "4", "5"), 0)), "")</f>
        <v>120</v>
      </c>
      <c r="L483" s="134" t="str" cm="1">
        <f t="array" ref="L483">IF(COUNTIF($B$44:$E$44, L$2)&gt;0, _xlfn.IFS(COUNTIF($B$44:$C$44, L$2)&gt;0, VLOOKUP($J483,'Gear Values'!$A$2:$E$13, IF(COUNTBLANK('Attributes &amp; Prefixes'!$B$44:$C$44)&gt;0, "2", "3"), 0), COUNTIF($D$44:$E$44, L$2)&gt;0, VLOOKUP($J483,'Gear Values'!$A$2:$E$13, IF(COUNTBLANK('Attributes &amp; Prefixes'!$B$44:$C$44)&gt;0, "4", "5"), 0)), "")</f>
        <v/>
      </c>
      <c r="M483" s="134" cm="1">
        <f t="array" ref="M483">IF(COUNTIF($B$44:$E$44, M$2)&gt;0, _xlfn.IFS(COUNTIF($B$44:$C$44, M$2)&gt;0, VLOOKUP($J483,'Gear Values'!$A$2:$E$13, IF(COUNTBLANK('Attributes &amp; Prefixes'!$B$44:$C$44)&gt;0, "2", "3"), 0), COUNTIF($D$44:$E$44, M$2)&gt;0, VLOOKUP($J483,'Gear Values'!$A$2:$E$13, IF(COUNTBLANK('Attributes &amp; Prefixes'!$B$44:$C$44)&gt;0, "4", "5"), 0)), "")</f>
        <v>85</v>
      </c>
      <c r="N483" s="134" cm="1">
        <f t="array" ref="N483">IF(COUNTIF($B$44:$E$44, N$2)&gt;0, _xlfn.IFS(COUNTIF($B$44:$C$44, N$2)&gt;0, VLOOKUP($J483,'Gear Values'!$A$2:$E$13, IF(COUNTBLANK('Attributes &amp; Prefixes'!$B$44:$C$44)&gt;0, "2", "3"), 0), COUNTIF($D$44:$E$44, N$2)&gt;0, VLOOKUP($J483,'Gear Values'!$A$2:$E$13, IF(COUNTBLANK('Attributes &amp; Prefixes'!$B$44:$C$44)&gt;0, "4", "5"), 0)), "")</f>
        <v>85</v>
      </c>
      <c r="O483" s="134" t="str" cm="1">
        <f t="array" ref="O483">IF(COUNTIF($B$44:$E$44, O$2)&gt;0, _xlfn.IFS(COUNTIF($B$44:$C$44, O$2)&gt;0, VLOOKUP($J483,'Gear Values'!$A$2:$E$13, IF(COUNTBLANK('Attributes &amp; Prefixes'!$B$44:$C$44)&gt;0, "2", "3"), 0), COUNTIF($D$44:$E$44, O$2)&gt;0, VLOOKUP($J483,'Gear Values'!$A$2:$E$13, IF(COUNTBLANK('Attributes &amp; Prefixes'!$B$44:$C$44)&gt;0, "4", "5"), 0)), "")</f>
        <v/>
      </c>
      <c r="P483" s="134" t="str" cm="1">
        <f t="array" ref="P483">IF(COUNTIF($B$44:$E$44, P$2)&gt;0, _xlfn.IFS(COUNTIF($B$44:$C$44, P$2)&gt;0, VLOOKUP($J483,'Gear Values'!$A$2:$E$13, IF(COUNTBLANK('Attributes &amp; Prefixes'!$B$44:$C$44)&gt;0, "2", "3"), 0), COUNTIF($D$44:$E$44, P$2)&gt;0, VLOOKUP($J483,'Gear Values'!$A$2:$E$13, IF(COUNTBLANK('Attributes &amp; Prefixes'!$B$44:$C$44)&gt;0, "4", "5"), 0)), "")</f>
        <v/>
      </c>
      <c r="Q483" s="134" t="str" cm="1">
        <f t="array" ref="Q483">IF(COUNTIF($B$44:$E$44, Q$2)&gt;0, _xlfn.IFS(COUNTIF($B$44:$C$44, Q$2)&gt;0, VLOOKUP($J483,'Gear Values'!$A$2:$E$13, IF(COUNTBLANK('Attributes &amp; Prefixes'!$B$44:$C$44)&gt;0, "2", "3"), 0), COUNTIF($D$44:$E$44, Q$2)&gt;0, VLOOKUP($J483,'Gear Values'!$A$2:$E$13, IF(COUNTBLANK('Attributes &amp; Prefixes'!$B$44:$C$44)&gt;0, "4", "5"), 0)), "")</f>
        <v/>
      </c>
      <c r="R483" s="134" t="str" cm="1">
        <f t="array" ref="R483">IF(COUNTIF($B$44:$E$44, R$2)&gt;0, _xlfn.IFS(COUNTIF($B$44:$C$44, R$2)&gt;0, VLOOKUP($J483,'Gear Values'!$A$2:$E$13, IF(COUNTBLANK('Attributes &amp; Prefixes'!$B$44:$C$44)&gt;0, "2", "3"), 0), COUNTIF($D$44:$E$44, R$2)&gt;0, VLOOKUP($J483,'Gear Values'!$A$2:$E$13, IF(COUNTBLANK('Attributes &amp; Prefixes'!$B$44:$C$44)&gt;0, "4", "5"), 0)), "")</f>
        <v/>
      </c>
      <c r="S483" s="135" t="str" cm="1">
        <f t="array" ref="S483">IF(COUNTIF($B$44:$E$44, S$2)&gt;0, _xlfn.IFS(COUNTIF($B$44:$C$44, S$2)&gt;0, VLOOKUP($J483,'Gear Values'!$A$2:$E$13, IF(COUNTBLANK('Attributes &amp; Prefixes'!$B$44:$C$44)&gt;0, "2", "3"), 0), COUNTIF($D$44:$E$44, S$2)&gt;0, VLOOKUP($J483,'Gear Values'!$A$2:$E$13, IF(COUNTBLANK('Attributes &amp; Prefixes'!$B$44:$C$44)&gt;0, "4", "5"), 0)), "")</f>
        <v/>
      </c>
      <c r="V483" s="112"/>
      <c r="W483" s="113"/>
    </row>
    <row r="484" spans="8:23">
      <c r="H484" s="130" t="str">
        <f>_xlfn.CONCAT(I$483,J484)</f>
        <v>SoldierWeapon (2H)</v>
      </c>
      <c r="I484" s="520"/>
      <c r="J484" s="144" t="s">
        <v>39</v>
      </c>
      <c r="K484" s="136" cm="1">
        <f t="array" ref="K484">IF(COUNTIF($B$44:$E$44, K$2)&gt;0, _xlfn.IFS(COUNTIF($B$44:$C$44, K$2)&gt;0, VLOOKUP($J484,'Gear Values'!$A$2:$E$13, IF(COUNTBLANK('Attributes &amp; Prefixes'!$B$44:$C$44)&gt;0, "2", "3"), 0), COUNTIF($D$44:$E$44, K$2)&gt;0, VLOOKUP($J484,'Gear Values'!$A$2:$E$13, IF(COUNTBLANK('Attributes &amp; Prefixes'!$B$44:$C$44)&gt;0, "4", "5"), 0)), "")</f>
        <v>239</v>
      </c>
      <c r="L484" s="137" t="str" cm="1">
        <f t="array" ref="L484">IF(COUNTIF($B$44:$E$44, L$2)&gt;0, _xlfn.IFS(COUNTIF($B$44:$C$44, L$2)&gt;0, VLOOKUP($J484,'Gear Values'!$A$2:$E$13, IF(COUNTBLANK('Attributes &amp; Prefixes'!$B$44:$C$44)&gt;0, "2", "3"), 0), COUNTIF($D$44:$E$44, L$2)&gt;0, VLOOKUP($J484,'Gear Values'!$A$2:$E$13, IF(COUNTBLANK('Attributes &amp; Prefixes'!$B$44:$C$44)&gt;0, "4", "5"), 0)), "")</f>
        <v/>
      </c>
      <c r="M484" s="137" cm="1">
        <f t="array" ref="M484">IF(COUNTIF($B$44:$E$44, M$2)&gt;0, _xlfn.IFS(COUNTIF($B$44:$C$44, M$2)&gt;0, VLOOKUP($J484,'Gear Values'!$A$2:$E$13, IF(COUNTBLANK('Attributes &amp; Prefixes'!$B$44:$C$44)&gt;0, "2", "3"), 0), COUNTIF($D$44:$E$44, M$2)&gt;0, VLOOKUP($J484,'Gear Values'!$A$2:$E$13, IF(COUNTBLANK('Attributes &amp; Prefixes'!$B$44:$C$44)&gt;0, "4", "5"), 0)), "")</f>
        <v>171</v>
      </c>
      <c r="N484" s="137" cm="1">
        <f t="array" ref="N484">IF(COUNTIF($B$44:$E$44, N$2)&gt;0, _xlfn.IFS(COUNTIF($B$44:$C$44, N$2)&gt;0, VLOOKUP($J484,'Gear Values'!$A$2:$E$13, IF(COUNTBLANK('Attributes &amp; Prefixes'!$B$44:$C$44)&gt;0, "2", "3"), 0), COUNTIF($D$44:$E$44, N$2)&gt;0, VLOOKUP($J484,'Gear Values'!$A$2:$E$13, IF(COUNTBLANK('Attributes &amp; Prefixes'!$B$44:$C$44)&gt;0, "4", "5"), 0)), "")</f>
        <v>171</v>
      </c>
      <c r="O484" s="137" t="str" cm="1">
        <f t="array" ref="O484">IF(COUNTIF($B$44:$E$44, O$2)&gt;0, _xlfn.IFS(COUNTIF($B$44:$C$44, O$2)&gt;0, VLOOKUP($J484,'Gear Values'!$A$2:$E$13, IF(COUNTBLANK('Attributes &amp; Prefixes'!$B$44:$C$44)&gt;0, "2", "3"), 0), COUNTIF($D$44:$E$44, O$2)&gt;0, VLOOKUP($J484,'Gear Values'!$A$2:$E$13, IF(COUNTBLANK('Attributes &amp; Prefixes'!$B$44:$C$44)&gt;0, "4", "5"), 0)), "")</f>
        <v/>
      </c>
      <c r="P484" s="137" t="str" cm="1">
        <f t="array" ref="P484">IF(COUNTIF($B$44:$E$44, P$2)&gt;0, _xlfn.IFS(COUNTIF($B$44:$C$44, P$2)&gt;0, VLOOKUP($J484,'Gear Values'!$A$2:$E$13, IF(COUNTBLANK('Attributes &amp; Prefixes'!$B$44:$C$44)&gt;0, "2", "3"), 0), COUNTIF($D$44:$E$44, P$2)&gt;0, VLOOKUP($J484,'Gear Values'!$A$2:$E$13, IF(COUNTBLANK('Attributes &amp; Prefixes'!$B$44:$C$44)&gt;0, "4", "5"), 0)), "")</f>
        <v/>
      </c>
      <c r="Q484" s="137" t="str" cm="1">
        <f t="array" ref="Q484">IF(COUNTIF($B$44:$E$44, Q$2)&gt;0, _xlfn.IFS(COUNTIF($B$44:$C$44, Q$2)&gt;0, VLOOKUP($J484,'Gear Values'!$A$2:$E$13, IF(COUNTBLANK('Attributes &amp; Prefixes'!$B$44:$C$44)&gt;0, "2", "3"), 0), COUNTIF($D$44:$E$44, Q$2)&gt;0, VLOOKUP($J484,'Gear Values'!$A$2:$E$13, IF(COUNTBLANK('Attributes &amp; Prefixes'!$B$44:$C$44)&gt;0, "4", "5"), 0)), "")</f>
        <v/>
      </c>
      <c r="R484" s="137" t="str" cm="1">
        <f t="array" ref="R484">IF(COUNTIF($B$44:$E$44, R$2)&gt;0, _xlfn.IFS(COUNTIF($B$44:$C$44, R$2)&gt;0, VLOOKUP($J484,'Gear Values'!$A$2:$E$13, IF(COUNTBLANK('Attributes &amp; Prefixes'!$B$44:$C$44)&gt;0, "2", "3"), 0), COUNTIF($D$44:$E$44, R$2)&gt;0, VLOOKUP($J484,'Gear Values'!$A$2:$E$13, IF(COUNTBLANK('Attributes &amp; Prefixes'!$B$44:$C$44)&gt;0, "4", "5"), 0)), "")</f>
        <v/>
      </c>
      <c r="S484" s="138" t="str" cm="1">
        <f t="array" ref="S484">IF(COUNTIF($B$44:$E$44, S$2)&gt;0, _xlfn.IFS(COUNTIF($B$44:$C$44, S$2)&gt;0, VLOOKUP($J484,'Gear Values'!$A$2:$E$13, IF(COUNTBLANK('Attributes &amp; Prefixes'!$B$44:$C$44)&gt;0, "2", "3"), 0), COUNTIF($D$44:$E$44, S$2)&gt;0, VLOOKUP($J484,'Gear Values'!$A$2:$E$13, IF(COUNTBLANK('Attributes &amp; Prefixes'!$B$44:$C$44)&gt;0, "4", "5"), 0)), "")</f>
        <v/>
      </c>
      <c r="V484" s="112"/>
      <c r="W484" s="113"/>
    </row>
    <row r="485" spans="8:23">
      <c r="H485" s="130" t="str">
        <f>_xlfn.CONCAT(I$483,J485)</f>
        <v>SoldierHead</v>
      </c>
      <c r="I485" s="520"/>
      <c r="J485" s="144" t="s">
        <v>40</v>
      </c>
      <c r="K485" s="136" cm="1">
        <f t="array" ref="K485">IF(COUNTIF($B$44:$E$44, K$2)&gt;0, _xlfn.IFS(COUNTIF($B$44:$C$44, K$2)&gt;0, VLOOKUP($J485,'Gear Values'!$A$2:$E$13, IF(COUNTBLANK('Attributes &amp; Prefixes'!$B$44:$C$44)&gt;0, "2", "3"), 0), COUNTIF($D$44:$E$44, K$2)&gt;0, VLOOKUP($J485,'Gear Values'!$A$2:$E$13, IF(COUNTBLANK('Attributes &amp; Prefixes'!$B$44:$C$44)&gt;0, "4", "5"), 0)), "")</f>
        <v>60</v>
      </c>
      <c r="L485" s="137" t="str" cm="1">
        <f t="array" ref="L485">IF(COUNTIF($B$44:$E$44, L$2)&gt;0, _xlfn.IFS(COUNTIF($B$44:$C$44, L$2)&gt;0, VLOOKUP($J485,'Gear Values'!$A$2:$E$13, IF(COUNTBLANK('Attributes &amp; Prefixes'!$B$44:$C$44)&gt;0, "2", "3"), 0), COUNTIF($D$44:$E$44, L$2)&gt;0, VLOOKUP($J485,'Gear Values'!$A$2:$E$13, IF(COUNTBLANK('Attributes &amp; Prefixes'!$B$44:$C$44)&gt;0, "4", "5"), 0)), "")</f>
        <v/>
      </c>
      <c r="M485" s="137" cm="1">
        <f t="array" ref="M485">IF(COUNTIF($B$44:$E$44, M$2)&gt;0, _xlfn.IFS(COUNTIF($B$44:$C$44, M$2)&gt;0, VLOOKUP($J485,'Gear Values'!$A$2:$E$13, IF(COUNTBLANK('Attributes &amp; Prefixes'!$B$44:$C$44)&gt;0, "2", "3"), 0), COUNTIF($D$44:$E$44, M$2)&gt;0, VLOOKUP($J485,'Gear Values'!$A$2:$E$13, IF(COUNTBLANK('Attributes &amp; Prefixes'!$B$44:$C$44)&gt;0, "4", "5"), 0)), "")</f>
        <v>43</v>
      </c>
      <c r="N485" s="137" cm="1">
        <f t="array" ref="N485">IF(COUNTIF($B$44:$E$44, N$2)&gt;0, _xlfn.IFS(COUNTIF($B$44:$C$44, N$2)&gt;0, VLOOKUP($J485,'Gear Values'!$A$2:$E$13, IF(COUNTBLANK('Attributes &amp; Prefixes'!$B$44:$C$44)&gt;0, "2", "3"), 0), COUNTIF($D$44:$E$44, N$2)&gt;0, VLOOKUP($J485,'Gear Values'!$A$2:$E$13, IF(COUNTBLANK('Attributes &amp; Prefixes'!$B$44:$C$44)&gt;0, "4", "5"), 0)), "")</f>
        <v>43</v>
      </c>
      <c r="O485" s="137" t="str" cm="1">
        <f t="array" ref="O485">IF(COUNTIF($B$44:$E$44, O$2)&gt;0, _xlfn.IFS(COUNTIF($B$44:$C$44, O$2)&gt;0, VLOOKUP($J485,'Gear Values'!$A$2:$E$13, IF(COUNTBLANK('Attributes &amp; Prefixes'!$B$44:$C$44)&gt;0, "2", "3"), 0), COUNTIF($D$44:$E$44, O$2)&gt;0, VLOOKUP($J485,'Gear Values'!$A$2:$E$13, IF(COUNTBLANK('Attributes &amp; Prefixes'!$B$44:$C$44)&gt;0, "4", "5"), 0)), "")</f>
        <v/>
      </c>
      <c r="P485" s="137" t="str" cm="1">
        <f t="array" ref="P485">IF(COUNTIF($B$44:$E$44, P$2)&gt;0, _xlfn.IFS(COUNTIF($B$44:$C$44, P$2)&gt;0, VLOOKUP($J485,'Gear Values'!$A$2:$E$13, IF(COUNTBLANK('Attributes &amp; Prefixes'!$B$44:$C$44)&gt;0, "2", "3"), 0), COUNTIF($D$44:$E$44, P$2)&gt;0, VLOOKUP($J485,'Gear Values'!$A$2:$E$13, IF(COUNTBLANK('Attributes &amp; Prefixes'!$B$44:$C$44)&gt;0, "4", "5"), 0)), "")</f>
        <v/>
      </c>
      <c r="Q485" s="137" t="str" cm="1">
        <f t="array" ref="Q485">IF(COUNTIF($B$44:$E$44, Q$2)&gt;0, _xlfn.IFS(COUNTIF($B$44:$C$44, Q$2)&gt;0, VLOOKUP($J485,'Gear Values'!$A$2:$E$13, IF(COUNTBLANK('Attributes &amp; Prefixes'!$B$44:$C$44)&gt;0, "2", "3"), 0), COUNTIF($D$44:$E$44, Q$2)&gt;0, VLOOKUP($J485,'Gear Values'!$A$2:$E$13, IF(COUNTBLANK('Attributes &amp; Prefixes'!$B$44:$C$44)&gt;0, "4", "5"), 0)), "")</f>
        <v/>
      </c>
      <c r="R485" s="137" t="str" cm="1">
        <f t="array" ref="R485">IF(COUNTIF($B$44:$E$44, R$2)&gt;0, _xlfn.IFS(COUNTIF($B$44:$C$44, R$2)&gt;0, VLOOKUP($J485,'Gear Values'!$A$2:$E$13, IF(COUNTBLANK('Attributes &amp; Prefixes'!$B$44:$C$44)&gt;0, "2", "3"), 0), COUNTIF($D$44:$E$44, R$2)&gt;0, VLOOKUP($J485,'Gear Values'!$A$2:$E$13, IF(COUNTBLANK('Attributes &amp; Prefixes'!$B$44:$C$44)&gt;0, "4", "5"), 0)), "")</f>
        <v/>
      </c>
      <c r="S485" s="138" t="str" cm="1">
        <f t="array" ref="S485">IF(COUNTIF($B$44:$E$44, S$2)&gt;0, _xlfn.IFS(COUNTIF($B$44:$C$44, S$2)&gt;0, VLOOKUP($J485,'Gear Values'!$A$2:$E$13, IF(COUNTBLANK('Attributes &amp; Prefixes'!$B$44:$C$44)&gt;0, "2", "3"), 0), COUNTIF($D$44:$E$44, S$2)&gt;0, VLOOKUP($J485,'Gear Values'!$A$2:$E$13, IF(COUNTBLANK('Attributes &amp; Prefixes'!$B$44:$C$44)&gt;0, "4", "5"), 0)), "")</f>
        <v/>
      </c>
      <c r="V485" s="112"/>
      <c r="W485" s="112"/>
    </row>
    <row r="486" spans="8:23">
      <c r="H486" s="130" t="str">
        <f>_xlfn.CONCAT(I$483,J486)</f>
        <v>SoldierShoulders</v>
      </c>
      <c r="I486" s="520"/>
      <c r="J486" s="144" t="s">
        <v>42</v>
      </c>
      <c r="K486" s="136" cm="1">
        <f t="array" ref="K486">IF(COUNTIF($B$44:$E$44, K$2)&gt;0, _xlfn.IFS(COUNTIF($B$44:$C$44, K$2)&gt;0, VLOOKUP($J486,'Gear Values'!$A$2:$E$13, IF(COUNTBLANK('Attributes &amp; Prefixes'!$B$44:$C$44)&gt;0, "2", "3"), 0), COUNTIF($D$44:$E$44, K$2)&gt;0, VLOOKUP($J486,'Gear Values'!$A$2:$E$13, IF(COUNTBLANK('Attributes &amp; Prefixes'!$B$44:$C$44)&gt;0, "4", "5"), 0)), "")</f>
        <v>45</v>
      </c>
      <c r="L486" s="137" t="str" cm="1">
        <f t="array" ref="L486">IF(COUNTIF($B$44:$E$44, L$2)&gt;0, _xlfn.IFS(COUNTIF($B$44:$C$44, L$2)&gt;0, VLOOKUP($J486,'Gear Values'!$A$2:$E$13, IF(COUNTBLANK('Attributes &amp; Prefixes'!$B$44:$C$44)&gt;0, "2", "3"), 0), COUNTIF($D$44:$E$44, L$2)&gt;0, VLOOKUP($J486,'Gear Values'!$A$2:$E$13, IF(COUNTBLANK('Attributes &amp; Prefixes'!$B$44:$C$44)&gt;0, "4", "5"), 0)), "")</f>
        <v/>
      </c>
      <c r="M486" s="137" cm="1">
        <f t="array" ref="M486">IF(COUNTIF($B$44:$E$44, M$2)&gt;0, _xlfn.IFS(COUNTIF($B$44:$C$44, M$2)&gt;0, VLOOKUP($J486,'Gear Values'!$A$2:$E$13, IF(COUNTBLANK('Attributes &amp; Prefixes'!$B$44:$C$44)&gt;0, "2", "3"), 0), COUNTIF($D$44:$E$44, M$2)&gt;0, VLOOKUP($J486,'Gear Values'!$A$2:$E$13, IF(COUNTBLANK('Attributes &amp; Prefixes'!$B$44:$C$44)&gt;0, "4", "5"), 0)), "")</f>
        <v>32</v>
      </c>
      <c r="N486" s="137" cm="1">
        <f t="array" ref="N486">IF(COUNTIF($B$44:$E$44, N$2)&gt;0, _xlfn.IFS(COUNTIF($B$44:$C$44, N$2)&gt;0, VLOOKUP($J486,'Gear Values'!$A$2:$E$13, IF(COUNTBLANK('Attributes &amp; Prefixes'!$B$44:$C$44)&gt;0, "2", "3"), 0), COUNTIF($D$44:$E$44, N$2)&gt;0, VLOOKUP($J486,'Gear Values'!$A$2:$E$13, IF(COUNTBLANK('Attributes &amp; Prefixes'!$B$44:$C$44)&gt;0, "4", "5"), 0)), "")</f>
        <v>32</v>
      </c>
      <c r="O486" s="137" t="str" cm="1">
        <f t="array" ref="O486">IF(COUNTIF($B$44:$E$44, O$2)&gt;0, _xlfn.IFS(COUNTIF($B$44:$C$44, O$2)&gt;0, VLOOKUP($J486,'Gear Values'!$A$2:$E$13, IF(COUNTBLANK('Attributes &amp; Prefixes'!$B$44:$C$44)&gt;0, "2", "3"), 0), COUNTIF($D$44:$E$44, O$2)&gt;0, VLOOKUP($J486,'Gear Values'!$A$2:$E$13, IF(COUNTBLANK('Attributes &amp; Prefixes'!$B$44:$C$44)&gt;0, "4", "5"), 0)), "")</f>
        <v/>
      </c>
      <c r="P486" s="137" t="str" cm="1">
        <f t="array" ref="P486">IF(COUNTIF($B$44:$E$44, P$2)&gt;0, _xlfn.IFS(COUNTIF($B$44:$C$44, P$2)&gt;0, VLOOKUP($J486,'Gear Values'!$A$2:$E$13, IF(COUNTBLANK('Attributes &amp; Prefixes'!$B$44:$C$44)&gt;0, "2", "3"), 0), COUNTIF($D$44:$E$44, P$2)&gt;0, VLOOKUP($J486,'Gear Values'!$A$2:$E$13, IF(COUNTBLANK('Attributes &amp; Prefixes'!$B$44:$C$44)&gt;0, "4", "5"), 0)), "")</f>
        <v/>
      </c>
      <c r="Q486" s="137" t="str" cm="1">
        <f t="array" ref="Q486">IF(COUNTIF($B$44:$E$44, Q$2)&gt;0, _xlfn.IFS(COUNTIF($B$44:$C$44, Q$2)&gt;0, VLOOKUP($J486,'Gear Values'!$A$2:$E$13, IF(COUNTBLANK('Attributes &amp; Prefixes'!$B$44:$C$44)&gt;0, "2", "3"), 0), COUNTIF($D$44:$E$44, Q$2)&gt;0, VLOOKUP($J486,'Gear Values'!$A$2:$E$13, IF(COUNTBLANK('Attributes &amp; Prefixes'!$B$44:$C$44)&gt;0, "4", "5"), 0)), "")</f>
        <v/>
      </c>
      <c r="R486" s="137" t="str" cm="1">
        <f t="array" ref="R486">IF(COUNTIF($B$44:$E$44, R$2)&gt;0, _xlfn.IFS(COUNTIF($B$44:$C$44, R$2)&gt;0, VLOOKUP($J486,'Gear Values'!$A$2:$E$13, IF(COUNTBLANK('Attributes &amp; Prefixes'!$B$44:$C$44)&gt;0, "2", "3"), 0), COUNTIF($D$44:$E$44, R$2)&gt;0, VLOOKUP($J486,'Gear Values'!$A$2:$E$13, IF(COUNTBLANK('Attributes &amp; Prefixes'!$B$44:$C$44)&gt;0, "4", "5"), 0)), "")</f>
        <v/>
      </c>
      <c r="S486" s="138" t="str" cm="1">
        <f t="array" ref="S486">IF(COUNTIF($B$44:$E$44, S$2)&gt;0, _xlfn.IFS(COUNTIF($B$44:$C$44, S$2)&gt;0, VLOOKUP($J486,'Gear Values'!$A$2:$E$13, IF(COUNTBLANK('Attributes &amp; Prefixes'!$B$44:$C$44)&gt;0, "2", "3"), 0), COUNTIF($D$44:$E$44, S$2)&gt;0, VLOOKUP($J486,'Gear Values'!$A$2:$E$13, IF(COUNTBLANK('Attributes &amp; Prefixes'!$B$44:$C$44)&gt;0, "4", "5"), 0)), "")</f>
        <v/>
      </c>
      <c r="V486" s="112"/>
      <c r="W486" s="112"/>
    </row>
    <row r="487" spans="8:23">
      <c r="H487" s="130" t="str">
        <f>_xlfn.CONCAT(I$483,J487)</f>
        <v>SoldierChest</v>
      </c>
      <c r="I487" s="520"/>
      <c r="J487" s="144" t="s">
        <v>44</v>
      </c>
      <c r="K487" s="136" cm="1">
        <f t="array" ref="K487">IF(COUNTIF($B$44:$E$44, K$2)&gt;0, _xlfn.IFS(COUNTIF($B$44:$C$44, K$2)&gt;0, VLOOKUP($J487,'Gear Values'!$A$2:$E$13, IF(COUNTBLANK('Attributes &amp; Prefixes'!$B$44:$C$44)&gt;0, "2", "3"), 0), COUNTIF($D$44:$E$44, K$2)&gt;0, VLOOKUP($J487,'Gear Values'!$A$2:$E$13, IF(COUNTBLANK('Attributes &amp; Prefixes'!$B$44:$C$44)&gt;0, "4", "5"), 0)), "")</f>
        <v>134</v>
      </c>
      <c r="L487" s="137" t="str" cm="1">
        <f t="array" ref="L487">IF(COUNTIF($B$44:$E$44, L$2)&gt;0, _xlfn.IFS(COUNTIF($B$44:$C$44, L$2)&gt;0, VLOOKUP($J487,'Gear Values'!$A$2:$E$13, IF(COUNTBLANK('Attributes &amp; Prefixes'!$B$44:$C$44)&gt;0, "2", "3"), 0), COUNTIF($D$44:$E$44, L$2)&gt;0, VLOOKUP($J487,'Gear Values'!$A$2:$E$13, IF(COUNTBLANK('Attributes &amp; Prefixes'!$B$44:$C$44)&gt;0, "4", "5"), 0)), "")</f>
        <v/>
      </c>
      <c r="M487" s="137" cm="1">
        <f t="array" ref="M487">IF(COUNTIF($B$44:$E$44, M$2)&gt;0, _xlfn.IFS(COUNTIF($B$44:$C$44, M$2)&gt;0, VLOOKUP($J487,'Gear Values'!$A$2:$E$13, IF(COUNTBLANK('Attributes &amp; Prefixes'!$B$44:$C$44)&gt;0, "2", "3"), 0), COUNTIF($D$44:$E$44, M$2)&gt;0, VLOOKUP($J487,'Gear Values'!$A$2:$E$13, IF(COUNTBLANK('Attributes &amp; Prefixes'!$B$44:$C$44)&gt;0, "4", "5"), 0)), "")</f>
        <v>96</v>
      </c>
      <c r="N487" s="137" cm="1">
        <f t="array" ref="N487">IF(COUNTIF($B$44:$E$44, N$2)&gt;0, _xlfn.IFS(COUNTIF($B$44:$C$44, N$2)&gt;0, VLOOKUP($J487,'Gear Values'!$A$2:$E$13, IF(COUNTBLANK('Attributes &amp; Prefixes'!$B$44:$C$44)&gt;0, "2", "3"), 0), COUNTIF($D$44:$E$44, N$2)&gt;0, VLOOKUP($J487,'Gear Values'!$A$2:$E$13, IF(COUNTBLANK('Attributes &amp; Prefixes'!$B$44:$C$44)&gt;0, "4", "5"), 0)), "")</f>
        <v>96</v>
      </c>
      <c r="O487" s="137" t="str" cm="1">
        <f t="array" ref="O487">IF(COUNTIF($B$44:$E$44, O$2)&gt;0, _xlfn.IFS(COUNTIF($B$44:$C$44, O$2)&gt;0, VLOOKUP($J487,'Gear Values'!$A$2:$E$13, IF(COUNTBLANK('Attributes &amp; Prefixes'!$B$44:$C$44)&gt;0, "2", "3"), 0), COUNTIF($D$44:$E$44, O$2)&gt;0, VLOOKUP($J487,'Gear Values'!$A$2:$E$13, IF(COUNTBLANK('Attributes &amp; Prefixes'!$B$44:$C$44)&gt;0, "4", "5"), 0)), "")</f>
        <v/>
      </c>
      <c r="P487" s="137" t="str" cm="1">
        <f t="array" ref="P487">IF(COUNTIF($B$44:$E$44, P$2)&gt;0, _xlfn.IFS(COUNTIF($B$44:$C$44, P$2)&gt;0, VLOOKUP($J487,'Gear Values'!$A$2:$E$13, IF(COUNTBLANK('Attributes &amp; Prefixes'!$B$44:$C$44)&gt;0, "2", "3"), 0), COUNTIF($D$44:$E$44, P$2)&gt;0, VLOOKUP($J487,'Gear Values'!$A$2:$E$13, IF(COUNTBLANK('Attributes &amp; Prefixes'!$B$44:$C$44)&gt;0, "4", "5"), 0)), "")</f>
        <v/>
      </c>
      <c r="Q487" s="137" t="str" cm="1">
        <f t="array" ref="Q487">IF(COUNTIF($B$44:$E$44, Q$2)&gt;0, _xlfn.IFS(COUNTIF($B$44:$C$44, Q$2)&gt;0, VLOOKUP($J487,'Gear Values'!$A$2:$E$13, IF(COUNTBLANK('Attributes &amp; Prefixes'!$B$44:$C$44)&gt;0, "2", "3"), 0), COUNTIF($D$44:$E$44, Q$2)&gt;0, VLOOKUP($J487,'Gear Values'!$A$2:$E$13, IF(COUNTBLANK('Attributes &amp; Prefixes'!$B$44:$C$44)&gt;0, "4", "5"), 0)), "")</f>
        <v/>
      </c>
      <c r="R487" s="137" t="str" cm="1">
        <f t="array" ref="R487">IF(COUNTIF($B$44:$E$44, R$2)&gt;0, _xlfn.IFS(COUNTIF($B$44:$C$44, R$2)&gt;0, VLOOKUP($J487,'Gear Values'!$A$2:$E$13, IF(COUNTBLANK('Attributes &amp; Prefixes'!$B$44:$C$44)&gt;0, "2", "3"), 0), COUNTIF($D$44:$E$44, R$2)&gt;0, VLOOKUP($J487,'Gear Values'!$A$2:$E$13, IF(COUNTBLANK('Attributes &amp; Prefixes'!$B$44:$C$44)&gt;0, "4", "5"), 0)), "")</f>
        <v/>
      </c>
      <c r="S487" s="138" t="str" cm="1">
        <f t="array" ref="S487">IF(COUNTIF($B$44:$E$44, S$2)&gt;0, _xlfn.IFS(COUNTIF($B$44:$C$44, S$2)&gt;0, VLOOKUP($J487,'Gear Values'!$A$2:$E$13, IF(COUNTBLANK('Attributes &amp; Prefixes'!$B$44:$C$44)&gt;0, "2", "3"), 0), COUNTIF($D$44:$E$44, S$2)&gt;0, VLOOKUP($J487,'Gear Values'!$A$2:$E$13, IF(COUNTBLANK('Attributes &amp; Prefixes'!$B$44:$C$44)&gt;0, "4", "5"), 0)), "")</f>
        <v/>
      </c>
      <c r="V487" s="112"/>
      <c r="W487" s="112"/>
    </row>
    <row r="488" spans="8:23">
      <c r="H488" s="130" t="str">
        <f>_xlfn.CONCAT(I$483,J488)</f>
        <v>SoldierHands</v>
      </c>
      <c r="I488" s="520"/>
      <c r="J488" s="144" t="s">
        <v>45</v>
      </c>
      <c r="K488" s="136" cm="1">
        <f t="array" ref="K488">IF(COUNTIF($B$44:$E$44, K$2)&gt;0, _xlfn.IFS(COUNTIF($B$44:$C$44, K$2)&gt;0, VLOOKUP($J488,'Gear Values'!$A$2:$E$13, IF(COUNTBLANK('Attributes &amp; Prefixes'!$B$44:$C$44)&gt;0, "2", "3"), 0), COUNTIF($D$44:$E$44, K$2)&gt;0, VLOOKUP($J488,'Gear Values'!$A$2:$E$13, IF(COUNTBLANK('Attributes &amp; Prefixes'!$B$44:$C$44)&gt;0, "4", "5"), 0)), "")</f>
        <v>45</v>
      </c>
      <c r="L488" s="137" t="str" cm="1">
        <f t="array" ref="L488">IF(COUNTIF($B$44:$E$44, L$2)&gt;0, _xlfn.IFS(COUNTIF($B$44:$C$44, L$2)&gt;0, VLOOKUP($J488,'Gear Values'!$A$2:$E$13, IF(COUNTBLANK('Attributes &amp; Prefixes'!$B$44:$C$44)&gt;0, "2", "3"), 0), COUNTIF($D$44:$E$44, L$2)&gt;0, VLOOKUP($J488,'Gear Values'!$A$2:$E$13, IF(COUNTBLANK('Attributes &amp; Prefixes'!$B$44:$C$44)&gt;0, "4", "5"), 0)), "")</f>
        <v/>
      </c>
      <c r="M488" s="137" cm="1">
        <f t="array" ref="M488">IF(COUNTIF($B$44:$E$44, M$2)&gt;0, _xlfn.IFS(COUNTIF($B$44:$C$44, M$2)&gt;0, VLOOKUP($J488,'Gear Values'!$A$2:$E$13, IF(COUNTBLANK('Attributes &amp; Prefixes'!$B$44:$C$44)&gt;0, "2", "3"), 0), COUNTIF($D$44:$E$44, M$2)&gt;0, VLOOKUP($J488,'Gear Values'!$A$2:$E$13, IF(COUNTBLANK('Attributes &amp; Prefixes'!$B$44:$C$44)&gt;0, "4", "5"), 0)), "")</f>
        <v>32</v>
      </c>
      <c r="N488" s="137" cm="1">
        <f t="array" ref="N488">IF(COUNTIF($B$44:$E$44, N$2)&gt;0, _xlfn.IFS(COUNTIF($B$44:$C$44, N$2)&gt;0, VLOOKUP($J488,'Gear Values'!$A$2:$E$13, IF(COUNTBLANK('Attributes &amp; Prefixes'!$B$44:$C$44)&gt;0, "2", "3"), 0), COUNTIF($D$44:$E$44, N$2)&gt;0, VLOOKUP($J488,'Gear Values'!$A$2:$E$13, IF(COUNTBLANK('Attributes &amp; Prefixes'!$B$44:$C$44)&gt;0, "4", "5"), 0)), "")</f>
        <v>32</v>
      </c>
      <c r="O488" s="137" t="str" cm="1">
        <f t="array" ref="O488">IF(COUNTIF($B$44:$E$44, O$2)&gt;0, _xlfn.IFS(COUNTIF($B$44:$C$44, O$2)&gt;0, VLOOKUP($J488,'Gear Values'!$A$2:$E$13, IF(COUNTBLANK('Attributes &amp; Prefixes'!$B$44:$C$44)&gt;0, "2", "3"), 0), COUNTIF($D$44:$E$44, O$2)&gt;0, VLOOKUP($J488,'Gear Values'!$A$2:$E$13, IF(COUNTBLANK('Attributes &amp; Prefixes'!$B$44:$C$44)&gt;0, "4", "5"), 0)), "")</f>
        <v/>
      </c>
      <c r="P488" s="137" t="str" cm="1">
        <f t="array" ref="P488">IF(COUNTIF($B$44:$E$44, P$2)&gt;0, _xlfn.IFS(COUNTIF($B$44:$C$44, P$2)&gt;0, VLOOKUP($J488,'Gear Values'!$A$2:$E$13, IF(COUNTBLANK('Attributes &amp; Prefixes'!$B$44:$C$44)&gt;0, "2", "3"), 0), COUNTIF($D$44:$E$44, P$2)&gt;0, VLOOKUP($J488,'Gear Values'!$A$2:$E$13, IF(COUNTBLANK('Attributes &amp; Prefixes'!$B$44:$C$44)&gt;0, "4", "5"), 0)), "")</f>
        <v/>
      </c>
      <c r="Q488" s="137" t="str" cm="1">
        <f t="array" ref="Q488">IF(COUNTIF($B$44:$E$44, Q$2)&gt;0, _xlfn.IFS(COUNTIF($B$44:$C$44, Q$2)&gt;0, VLOOKUP($J488,'Gear Values'!$A$2:$E$13, IF(COUNTBLANK('Attributes &amp; Prefixes'!$B$44:$C$44)&gt;0, "2", "3"), 0), COUNTIF($D$44:$E$44, Q$2)&gt;0, VLOOKUP($J488,'Gear Values'!$A$2:$E$13, IF(COUNTBLANK('Attributes &amp; Prefixes'!$B$44:$C$44)&gt;0, "4", "5"), 0)), "")</f>
        <v/>
      </c>
      <c r="R488" s="137" t="str" cm="1">
        <f t="array" ref="R488">IF(COUNTIF($B$44:$E$44, R$2)&gt;0, _xlfn.IFS(COUNTIF($B$44:$C$44, R$2)&gt;0, VLOOKUP($J488,'Gear Values'!$A$2:$E$13, IF(COUNTBLANK('Attributes &amp; Prefixes'!$B$44:$C$44)&gt;0, "2", "3"), 0), COUNTIF($D$44:$E$44, R$2)&gt;0, VLOOKUP($J488,'Gear Values'!$A$2:$E$13, IF(COUNTBLANK('Attributes &amp; Prefixes'!$B$44:$C$44)&gt;0, "4", "5"), 0)), "")</f>
        <v/>
      </c>
      <c r="S488" s="138" t="str" cm="1">
        <f t="array" ref="S488">IF(COUNTIF($B$44:$E$44, S$2)&gt;0, _xlfn.IFS(COUNTIF($B$44:$C$44, S$2)&gt;0, VLOOKUP($J488,'Gear Values'!$A$2:$E$13, IF(COUNTBLANK('Attributes &amp; Prefixes'!$B$44:$C$44)&gt;0, "2", "3"), 0), COUNTIF($D$44:$E$44, S$2)&gt;0, VLOOKUP($J488,'Gear Values'!$A$2:$E$13, IF(COUNTBLANK('Attributes &amp; Prefixes'!$B$44:$C$44)&gt;0, "4", "5"), 0)), "")</f>
        <v/>
      </c>
      <c r="V488" s="112"/>
      <c r="W488" s="112"/>
    </row>
    <row r="489" spans="8:23">
      <c r="H489" s="130" t="str">
        <f>_xlfn.CONCAT(I$483,J489)</f>
        <v>SoldierLegs</v>
      </c>
      <c r="I489" s="520"/>
      <c r="J489" s="144" t="s">
        <v>47</v>
      </c>
      <c r="K489" s="136" cm="1">
        <f t="array" ref="K489">IF(COUNTIF($B$44:$E$44, K$2)&gt;0, _xlfn.IFS(COUNTIF($B$44:$C$44, K$2)&gt;0, VLOOKUP($J489,'Gear Values'!$A$2:$E$13, IF(COUNTBLANK('Attributes &amp; Prefixes'!$B$44:$C$44)&gt;0, "2", "3"), 0), COUNTIF($D$44:$E$44, K$2)&gt;0, VLOOKUP($J489,'Gear Values'!$A$2:$E$13, IF(COUNTBLANK('Attributes &amp; Prefixes'!$B$44:$C$44)&gt;0, "4", "5"), 0)), "")</f>
        <v>90</v>
      </c>
      <c r="L489" s="137" t="str" cm="1">
        <f t="array" ref="L489">IF(COUNTIF($B$44:$E$44, L$2)&gt;0, _xlfn.IFS(COUNTIF($B$44:$C$44, L$2)&gt;0, VLOOKUP($J489,'Gear Values'!$A$2:$E$13, IF(COUNTBLANK('Attributes &amp; Prefixes'!$B$44:$C$44)&gt;0, "2", "3"), 0), COUNTIF($D$44:$E$44, L$2)&gt;0, VLOOKUP($J489,'Gear Values'!$A$2:$E$13, IF(COUNTBLANK('Attributes &amp; Prefixes'!$B$44:$C$44)&gt;0, "4", "5"), 0)), "")</f>
        <v/>
      </c>
      <c r="M489" s="137" cm="1">
        <f t="array" ref="M489">IF(COUNTIF($B$44:$E$44, M$2)&gt;0, _xlfn.IFS(COUNTIF($B$44:$C$44, M$2)&gt;0, VLOOKUP($J489,'Gear Values'!$A$2:$E$13, IF(COUNTBLANK('Attributes &amp; Prefixes'!$B$44:$C$44)&gt;0, "2", "3"), 0), COUNTIF($D$44:$E$44, M$2)&gt;0, VLOOKUP($J489,'Gear Values'!$A$2:$E$13, IF(COUNTBLANK('Attributes &amp; Prefixes'!$B$44:$C$44)&gt;0, "4", "5"), 0)), "")</f>
        <v>64</v>
      </c>
      <c r="N489" s="137" cm="1">
        <f t="array" ref="N489">IF(COUNTIF($B$44:$E$44, N$2)&gt;0, _xlfn.IFS(COUNTIF($B$44:$C$44, N$2)&gt;0, VLOOKUP($J489,'Gear Values'!$A$2:$E$13, IF(COUNTBLANK('Attributes &amp; Prefixes'!$B$44:$C$44)&gt;0, "2", "3"), 0), COUNTIF($D$44:$E$44, N$2)&gt;0, VLOOKUP($J489,'Gear Values'!$A$2:$E$13, IF(COUNTBLANK('Attributes &amp; Prefixes'!$B$44:$C$44)&gt;0, "4", "5"), 0)), "")</f>
        <v>64</v>
      </c>
      <c r="O489" s="137" t="str" cm="1">
        <f t="array" ref="O489">IF(COUNTIF($B$44:$E$44, O$2)&gt;0, _xlfn.IFS(COUNTIF($B$44:$C$44, O$2)&gt;0, VLOOKUP($J489,'Gear Values'!$A$2:$E$13, IF(COUNTBLANK('Attributes &amp; Prefixes'!$B$44:$C$44)&gt;0, "2", "3"), 0), COUNTIF($D$44:$E$44, O$2)&gt;0, VLOOKUP($J489,'Gear Values'!$A$2:$E$13, IF(COUNTBLANK('Attributes &amp; Prefixes'!$B$44:$C$44)&gt;0, "4", "5"), 0)), "")</f>
        <v/>
      </c>
      <c r="P489" s="137" t="str" cm="1">
        <f t="array" ref="P489">IF(COUNTIF($B$44:$E$44, P$2)&gt;0, _xlfn.IFS(COUNTIF($B$44:$C$44, P$2)&gt;0, VLOOKUP($J489,'Gear Values'!$A$2:$E$13, IF(COUNTBLANK('Attributes &amp; Prefixes'!$B$44:$C$44)&gt;0, "2", "3"), 0), COUNTIF($D$44:$E$44, P$2)&gt;0, VLOOKUP($J489,'Gear Values'!$A$2:$E$13, IF(COUNTBLANK('Attributes &amp; Prefixes'!$B$44:$C$44)&gt;0, "4", "5"), 0)), "")</f>
        <v/>
      </c>
      <c r="Q489" s="137" t="str" cm="1">
        <f t="array" ref="Q489">IF(COUNTIF($B$44:$E$44, Q$2)&gt;0, _xlfn.IFS(COUNTIF($B$44:$C$44, Q$2)&gt;0, VLOOKUP($J489,'Gear Values'!$A$2:$E$13, IF(COUNTBLANK('Attributes &amp; Prefixes'!$B$44:$C$44)&gt;0, "2", "3"), 0), COUNTIF($D$44:$E$44, Q$2)&gt;0, VLOOKUP($J489,'Gear Values'!$A$2:$E$13, IF(COUNTBLANK('Attributes &amp; Prefixes'!$B$44:$C$44)&gt;0, "4", "5"), 0)), "")</f>
        <v/>
      </c>
      <c r="R489" s="137" t="str" cm="1">
        <f t="array" ref="R489">IF(COUNTIF($B$44:$E$44, R$2)&gt;0, _xlfn.IFS(COUNTIF($B$44:$C$44, R$2)&gt;0, VLOOKUP($J489,'Gear Values'!$A$2:$E$13, IF(COUNTBLANK('Attributes &amp; Prefixes'!$B$44:$C$44)&gt;0, "2", "3"), 0), COUNTIF($D$44:$E$44, R$2)&gt;0, VLOOKUP($J489,'Gear Values'!$A$2:$E$13, IF(COUNTBLANK('Attributes &amp; Prefixes'!$B$44:$C$44)&gt;0, "4", "5"), 0)), "")</f>
        <v/>
      </c>
      <c r="S489" s="138" t="str" cm="1">
        <f t="array" ref="S489">IF(COUNTIF($B$44:$E$44, S$2)&gt;0, _xlfn.IFS(COUNTIF($B$44:$C$44, S$2)&gt;0, VLOOKUP($J489,'Gear Values'!$A$2:$E$13, IF(COUNTBLANK('Attributes &amp; Prefixes'!$B$44:$C$44)&gt;0, "2", "3"), 0), COUNTIF($D$44:$E$44, S$2)&gt;0, VLOOKUP($J489,'Gear Values'!$A$2:$E$13, IF(COUNTBLANK('Attributes &amp; Prefixes'!$B$44:$C$44)&gt;0, "4", "5"), 0)), "")</f>
        <v/>
      </c>
      <c r="V489" s="112"/>
      <c r="W489" s="112"/>
    </row>
    <row r="490" spans="8:23">
      <c r="H490" s="130" t="str">
        <f>_xlfn.CONCAT(I$483,J490)</f>
        <v>SoldierFeet</v>
      </c>
      <c r="I490" s="520"/>
      <c r="J490" s="144" t="s">
        <v>48</v>
      </c>
      <c r="K490" s="136" cm="1">
        <f t="array" ref="K490">IF(COUNTIF($B$44:$E$44, K$2)&gt;0, _xlfn.IFS(COUNTIF($B$44:$C$44, K$2)&gt;0, VLOOKUP($J490,'Gear Values'!$A$2:$E$13, IF(COUNTBLANK('Attributes &amp; Prefixes'!$B$44:$C$44)&gt;0, "2", "3"), 0), COUNTIF($D$44:$E$44, K$2)&gt;0, VLOOKUP($J490,'Gear Values'!$A$2:$E$13, IF(COUNTBLANK('Attributes &amp; Prefixes'!$B$44:$C$44)&gt;0, "4", "5"), 0)), "")</f>
        <v>45</v>
      </c>
      <c r="L490" s="137" t="str" cm="1">
        <f t="array" ref="L490">IF(COUNTIF($B$44:$E$44, L$2)&gt;0, _xlfn.IFS(COUNTIF($B$44:$C$44, L$2)&gt;0, VLOOKUP($J490,'Gear Values'!$A$2:$E$13, IF(COUNTBLANK('Attributes &amp; Prefixes'!$B$44:$C$44)&gt;0, "2", "3"), 0), COUNTIF($D$44:$E$44, L$2)&gt;0, VLOOKUP($J490,'Gear Values'!$A$2:$E$13, IF(COUNTBLANK('Attributes &amp; Prefixes'!$B$44:$C$44)&gt;0, "4", "5"), 0)), "")</f>
        <v/>
      </c>
      <c r="M490" s="137" cm="1">
        <f t="array" ref="M490">IF(COUNTIF($B$44:$E$44, M$2)&gt;0, _xlfn.IFS(COUNTIF($B$44:$C$44, M$2)&gt;0, VLOOKUP($J490,'Gear Values'!$A$2:$E$13, IF(COUNTBLANK('Attributes &amp; Prefixes'!$B$44:$C$44)&gt;0, "2", "3"), 0), COUNTIF($D$44:$E$44, M$2)&gt;0, VLOOKUP($J490,'Gear Values'!$A$2:$E$13, IF(COUNTBLANK('Attributes &amp; Prefixes'!$B$44:$C$44)&gt;0, "4", "5"), 0)), "")</f>
        <v>32</v>
      </c>
      <c r="N490" s="137" cm="1">
        <f t="array" ref="N490">IF(COUNTIF($B$44:$E$44, N$2)&gt;0, _xlfn.IFS(COUNTIF($B$44:$C$44, N$2)&gt;0, VLOOKUP($J490,'Gear Values'!$A$2:$E$13, IF(COUNTBLANK('Attributes &amp; Prefixes'!$B$44:$C$44)&gt;0, "2", "3"), 0), COUNTIF($D$44:$E$44, N$2)&gt;0, VLOOKUP($J490,'Gear Values'!$A$2:$E$13, IF(COUNTBLANK('Attributes &amp; Prefixes'!$B$44:$C$44)&gt;0, "4", "5"), 0)), "")</f>
        <v>32</v>
      </c>
      <c r="O490" s="137" t="str" cm="1">
        <f t="array" ref="O490">IF(COUNTIF($B$44:$E$44, O$2)&gt;0, _xlfn.IFS(COUNTIF($B$44:$C$44, O$2)&gt;0, VLOOKUP($J490,'Gear Values'!$A$2:$E$13, IF(COUNTBLANK('Attributes &amp; Prefixes'!$B$44:$C$44)&gt;0, "2", "3"), 0), COUNTIF($D$44:$E$44, O$2)&gt;0, VLOOKUP($J490,'Gear Values'!$A$2:$E$13, IF(COUNTBLANK('Attributes &amp; Prefixes'!$B$44:$C$44)&gt;0, "4", "5"), 0)), "")</f>
        <v/>
      </c>
      <c r="P490" s="137" t="str" cm="1">
        <f t="array" ref="P490">IF(COUNTIF($B$44:$E$44, P$2)&gt;0, _xlfn.IFS(COUNTIF($B$44:$C$44, P$2)&gt;0, VLOOKUP($J490,'Gear Values'!$A$2:$E$13, IF(COUNTBLANK('Attributes &amp; Prefixes'!$B$44:$C$44)&gt;0, "2", "3"), 0), COUNTIF($D$44:$E$44, P$2)&gt;0, VLOOKUP($J490,'Gear Values'!$A$2:$E$13, IF(COUNTBLANK('Attributes &amp; Prefixes'!$B$44:$C$44)&gt;0, "4", "5"), 0)), "")</f>
        <v/>
      </c>
      <c r="Q490" s="137" t="str" cm="1">
        <f t="array" ref="Q490">IF(COUNTIF($B$44:$E$44, Q$2)&gt;0, _xlfn.IFS(COUNTIF($B$44:$C$44, Q$2)&gt;0, VLOOKUP($J490,'Gear Values'!$A$2:$E$13, IF(COUNTBLANK('Attributes &amp; Prefixes'!$B$44:$C$44)&gt;0, "2", "3"), 0), COUNTIF($D$44:$E$44, Q$2)&gt;0, VLOOKUP($J490,'Gear Values'!$A$2:$E$13, IF(COUNTBLANK('Attributes &amp; Prefixes'!$B$44:$C$44)&gt;0, "4", "5"), 0)), "")</f>
        <v/>
      </c>
      <c r="R490" s="137" t="str" cm="1">
        <f t="array" ref="R490">IF(COUNTIF($B$44:$E$44, R$2)&gt;0, _xlfn.IFS(COUNTIF($B$44:$C$44, R$2)&gt;0, VLOOKUP($J490,'Gear Values'!$A$2:$E$13, IF(COUNTBLANK('Attributes &amp; Prefixes'!$B$44:$C$44)&gt;0, "2", "3"), 0), COUNTIF($D$44:$E$44, R$2)&gt;0, VLOOKUP($J490,'Gear Values'!$A$2:$E$13, IF(COUNTBLANK('Attributes &amp; Prefixes'!$B$44:$C$44)&gt;0, "4", "5"), 0)), "")</f>
        <v/>
      </c>
      <c r="S490" s="138" t="str" cm="1">
        <f t="array" ref="S490">IF(COUNTIF($B$44:$E$44, S$2)&gt;0, _xlfn.IFS(COUNTIF($B$44:$C$44, S$2)&gt;0, VLOOKUP($J490,'Gear Values'!$A$2:$E$13, IF(COUNTBLANK('Attributes &amp; Prefixes'!$B$44:$C$44)&gt;0, "2", "3"), 0), COUNTIF($D$44:$E$44, S$2)&gt;0, VLOOKUP($J490,'Gear Values'!$A$2:$E$13, IF(COUNTBLANK('Attributes &amp; Prefixes'!$B$44:$C$44)&gt;0, "4", "5"), 0)), "")</f>
        <v/>
      </c>
      <c r="V490" s="112"/>
      <c r="W490" s="112"/>
    </row>
    <row r="491" spans="8:23">
      <c r="H491" s="130" t="str">
        <f>_xlfn.CONCAT(I$483,J491)</f>
        <v>SoldierEar</v>
      </c>
      <c r="I491" s="520"/>
      <c r="J491" s="144" t="s">
        <v>49</v>
      </c>
      <c r="K491" s="136" cm="1">
        <f t="array" ref="K491">IF(COUNTIF($B$44:$E$44, K$2)&gt;0, _xlfn.IFS(COUNTIF($B$44:$C$44, K$2)&gt;0, VLOOKUP($J491,'Gear Values'!$A$2:$E$13, IF(COUNTBLANK('Attributes &amp; Prefixes'!$B$44:$C$44)&gt;0, "2", "3"), 0), COUNTIF($D$44:$E$44, K$2)&gt;0, VLOOKUP($J491,'Gear Values'!$A$2:$E$13, IF(COUNTBLANK('Attributes &amp; Prefixes'!$B$44:$C$44)&gt;0, "4", "5"), 0)), "")</f>
        <v>75</v>
      </c>
      <c r="L491" s="137" t="str" cm="1">
        <f t="array" ref="L491">IF(COUNTIF($B$44:$E$44, L$2)&gt;0, _xlfn.IFS(COUNTIF($B$44:$C$44, L$2)&gt;0, VLOOKUP($J491,'Gear Values'!$A$2:$E$13, IF(COUNTBLANK('Attributes &amp; Prefixes'!$B$44:$C$44)&gt;0, "2", "3"), 0), COUNTIF($D$44:$E$44, L$2)&gt;0, VLOOKUP($J491,'Gear Values'!$A$2:$E$13, IF(COUNTBLANK('Attributes &amp; Prefixes'!$B$44:$C$44)&gt;0, "4", "5"), 0)), "")</f>
        <v/>
      </c>
      <c r="M491" s="137" cm="1">
        <f t="array" ref="M491">IF(COUNTIF($B$44:$E$44, M$2)&gt;0, _xlfn.IFS(COUNTIF($B$44:$C$44, M$2)&gt;0, VLOOKUP($J491,'Gear Values'!$A$2:$E$13, IF(COUNTBLANK('Attributes &amp; Prefixes'!$B$44:$C$44)&gt;0, "2", "3"), 0), COUNTIF($D$44:$E$44, M$2)&gt;0, VLOOKUP($J491,'Gear Values'!$A$2:$E$13, IF(COUNTBLANK('Attributes &amp; Prefixes'!$B$44:$C$44)&gt;0, "4", "5"), 0)), "")</f>
        <v>53</v>
      </c>
      <c r="N491" s="137" cm="1">
        <f t="array" ref="N491">IF(COUNTIF($B$44:$E$44, N$2)&gt;0, _xlfn.IFS(COUNTIF($B$44:$C$44, N$2)&gt;0, VLOOKUP($J491,'Gear Values'!$A$2:$E$13, IF(COUNTBLANK('Attributes &amp; Prefixes'!$B$44:$C$44)&gt;0, "2", "3"), 0), COUNTIF($D$44:$E$44, N$2)&gt;0, VLOOKUP($J491,'Gear Values'!$A$2:$E$13, IF(COUNTBLANK('Attributes &amp; Prefixes'!$B$44:$C$44)&gt;0, "4", "5"), 0)), "")</f>
        <v>53</v>
      </c>
      <c r="O491" s="137" t="str" cm="1">
        <f t="array" ref="O491">IF(COUNTIF($B$44:$E$44, O$2)&gt;0, _xlfn.IFS(COUNTIF($B$44:$C$44, O$2)&gt;0, VLOOKUP($J491,'Gear Values'!$A$2:$E$13, IF(COUNTBLANK('Attributes &amp; Prefixes'!$B$44:$C$44)&gt;0, "2", "3"), 0), COUNTIF($D$44:$E$44, O$2)&gt;0, VLOOKUP($J491,'Gear Values'!$A$2:$E$13, IF(COUNTBLANK('Attributes &amp; Prefixes'!$B$44:$C$44)&gt;0, "4", "5"), 0)), "")</f>
        <v/>
      </c>
      <c r="P491" s="137" t="str" cm="1">
        <f t="array" ref="P491">IF(COUNTIF($B$44:$E$44, P$2)&gt;0, _xlfn.IFS(COUNTIF($B$44:$C$44, P$2)&gt;0, VLOOKUP($J491,'Gear Values'!$A$2:$E$13, IF(COUNTBLANK('Attributes &amp; Prefixes'!$B$44:$C$44)&gt;0, "2", "3"), 0), COUNTIF($D$44:$E$44, P$2)&gt;0, VLOOKUP($J491,'Gear Values'!$A$2:$E$13, IF(COUNTBLANK('Attributes &amp; Prefixes'!$B$44:$C$44)&gt;0, "4", "5"), 0)), "")</f>
        <v/>
      </c>
      <c r="Q491" s="137" t="str" cm="1">
        <f t="array" ref="Q491">IF(COUNTIF($B$44:$E$44, Q$2)&gt;0, _xlfn.IFS(COUNTIF($B$44:$C$44, Q$2)&gt;0, VLOOKUP($J491,'Gear Values'!$A$2:$E$13, IF(COUNTBLANK('Attributes &amp; Prefixes'!$B$44:$C$44)&gt;0, "2", "3"), 0), COUNTIF($D$44:$E$44, Q$2)&gt;0, VLOOKUP($J491,'Gear Values'!$A$2:$E$13, IF(COUNTBLANK('Attributes &amp; Prefixes'!$B$44:$C$44)&gt;0, "4", "5"), 0)), "")</f>
        <v/>
      </c>
      <c r="R491" s="137" t="str" cm="1">
        <f t="array" ref="R491">IF(COUNTIF($B$44:$E$44, R$2)&gt;0, _xlfn.IFS(COUNTIF($B$44:$C$44, R$2)&gt;0, VLOOKUP($J491,'Gear Values'!$A$2:$E$13, IF(COUNTBLANK('Attributes &amp; Prefixes'!$B$44:$C$44)&gt;0, "2", "3"), 0), COUNTIF($D$44:$E$44, R$2)&gt;0, VLOOKUP($J491,'Gear Values'!$A$2:$E$13, IF(COUNTBLANK('Attributes &amp; Prefixes'!$B$44:$C$44)&gt;0, "4", "5"), 0)), "")</f>
        <v/>
      </c>
      <c r="S491" s="138" t="str" cm="1">
        <f t="array" ref="S491">IF(COUNTIF($B$44:$E$44, S$2)&gt;0, _xlfn.IFS(COUNTIF($B$44:$C$44, S$2)&gt;0, VLOOKUP($J491,'Gear Values'!$A$2:$E$13, IF(COUNTBLANK('Attributes &amp; Prefixes'!$B$44:$C$44)&gt;0, "2", "3"), 0), COUNTIF($D$44:$E$44, S$2)&gt;0, VLOOKUP($J491,'Gear Values'!$A$2:$E$13, IF(COUNTBLANK('Attributes &amp; Prefixes'!$B$44:$C$44)&gt;0, "4", "5"), 0)), "")</f>
        <v/>
      </c>
      <c r="V491" s="112"/>
      <c r="W491" s="112"/>
    </row>
    <row r="492" spans="8:23">
      <c r="H492" s="130" t="str">
        <f>_xlfn.CONCAT(I$483,J492)</f>
        <v>SoldierFinger</v>
      </c>
      <c r="I492" s="520"/>
      <c r="J492" s="144" t="s">
        <v>51</v>
      </c>
      <c r="K492" s="136" cm="1">
        <f t="array" ref="K492">IF(COUNTIF($B$44:$E$44, K$2)&gt;0, _xlfn.IFS(COUNTIF($B$44:$C$44, K$2)&gt;0, VLOOKUP($J492,'Gear Values'!$A$2:$E$13, IF(COUNTBLANK('Attributes &amp; Prefixes'!$B$44:$C$44)&gt;0, "2", "3"), 0), COUNTIF($D$44:$E$44, K$2)&gt;0, VLOOKUP($J492,'Gear Values'!$A$2:$E$13, IF(COUNTBLANK('Attributes &amp; Prefixes'!$B$44:$C$44)&gt;0, "4", "5"), 0)), "")</f>
        <v>90</v>
      </c>
      <c r="L492" s="137" t="str" cm="1">
        <f t="array" ref="L492">IF(COUNTIF($B$44:$E$44, L$2)&gt;0, _xlfn.IFS(COUNTIF($B$44:$C$44, L$2)&gt;0, VLOOKUP($J492,'Gear Values'!$A$2:$E$13, IF(COUNTBLANK('Attributes &amp; Prefixes'!$B$44:$C$44)&gt;0, "2", "3"), 0), COUNTIF($D$44:$E$44, L$2)&gt;0, VLOOKUP($J492,'Gear Values'!$A$2:$E$13, IF(COUNTBLANK('Attributes &amp; Prefixes'!$B$44:$C$44)&gt;0, "4", "5"), 0)), "")</f>
        <v/>
      </c>
      <c r="M492" s="137" cm="1">
        <f t="array" ref="M492">IF(COUNTIF($B$44:$E$44, M$2)&gt;0, _xlfn.IFS(COUNTIF($B$44:$C$44, M$2)&gt;0, VLOOKUP($J492,'Gear Values'!$A$2:$E$13, IF(COUNTBLANK('Attributes &amp; Prefixes'!$B$44:$C$44)&gt;0, "2", "3"), 0), COUNTIF($D$44:$E$44, M$2)&gt;0, VLOOKUP($J492,'Gear Values'!$A$2:$E$13, IF(COUNTBLANK('Attributes &amp; Prefixes'!$B$44:$C$44)&gt;0, "4", "5"), 0)), "")</f>
        <v>64</v>
      </c>
      <c r="N492" s="137" cm="1">
        <f t="array" ref="N492">IF(COUNTIF($B$44:$E$44, N$2)&gt;0, _xlfn.IFS(COUNTIF($B$44:$C$44, N$2)&gt;0, VLOOKUP($J492,'Gear Values'!$A$2:$E$13, IF(COUNTBLANK('Attributes &amp; Prefixes'!$B$44:$C$44)&gt;0, "2", "3"), 0), COUNTIF($D$44:$E$44, N$2)&gt;0, VLOOKUP($J492,'Gear Values'!$A$2:$E$13, IF(COUNTBLANK('Attributes &amp; Prefixes'!$B$44:$C$44)&gt;0, "4", "5"), 0)), "")</f>
        <v>64</v>
      </c>
      <c r="O492" s="137" t="str" cm="1">
        <f t="array" ref="O492">IF(COUNTIF($B$44:$E$44, O$2)&gt;0, _xlfn.IFS(COUNTIF($B$44:$C$44, O$2)&gt;0, VLOOKUP($J492,'Gear Values'!$A$2:$E$13, IF(COUNTBLANK('Attributes &amp; Prefixes'!$B$44:$C$44)&gt;0, "2", "3"), 0), COUNTIF($D$44:$E$44, O$2)&gt;0, VLOOKUP($J492,'Gear Values'!$A$2:$E$13, IF(COUNTBLANK('Attributes &amp; Prefixes'!$B$44:$C$44)&gt;0, "4", "5"), 0)), "")</f>
        <v/>
      </c>
      <c r="P492" s="137" t="str" cm="1">
        <f t="array" ref="P492">IF(COUNTIF($B$44:$E$44, P$2)&gt;0, _xlfn.IFS(COUNTIF($B$44:$C$44, P$2)&gt;0, VLOOKUP($J492,'Gear Values'!$A$2:$E$13, IF(COUNTBLANK('Attributes &amp; Prefixes'!$B$44:$C$44)&gt;0, "2", "3"), 0), COUNTIF($D$44:$E$44, P$2)&gt;0, VLOOKUP($J492,'Gear Values'!$A$2:$E$13, IF(COUNTBLANK('Attributes &amp; Prefixes'!$B$44:$C$44)&gt;0, "4", "5"), 0)), "")</f>
        <v/>
      </c>
      <c r="Q492" s="137" t="str" cm="1">
        <f t="array" ref="Q492">IF(COUNTIF($B$44:$E$44, Q$2)&gt;0, _xlfn.IFS(COUNTIF($B$44:$C$44, Q$2)&gt;0, VLOOKUP($J492,'Gear Values'!$A$2:$E$13, IF(COUNTBLANK('Attributes &amp; Prefixes'!$B$44:$C$44)&gt;0, "2", "3"), 0), COUNTIF($D$44:$E$44, Q$2)&gt;0, VLOOKUP($J492,'Gear Values'!$A$2:$E$13, IF(COUNTBLANK('Attributes &amp; Prefixes'!$B$44:$C$44)&gt;0, "4", "5"), 0)), "")</f>
        <v/>
      </c>
      <c r="R492" s="137" t="str" cm="1">
        <f t="array" ref="R492">IF(COUNTIF($B$44:$E$44, R$2)&gt;0, _xlfn.IFS(COUNTIF($B$44:$C$44, R$2)&gt;0, VLOOKUP($J492,'Gear Values'!$A$2:$E$13, IF(COUNTBLANK('Attributes &amp; Prefixes'!$B$44:$C$44)&gt;0, "2", "3"), 0), COUNTIF($D$44:$E$44, R$2)&gt;0, VLOOKUP($J492,'Gear Values'!$A$2:$E$13, IF(COUNTBLANK('Attributes &amp; Prefixes'!$B$44:$C$44)&gt;0, "4", "5"), 0)), "")</f>
        <v/>
      </c>
      <c r="S492" s="138" t="str" cm="1">
        <f t="array" ref="S492">IF(COUNTIF($B$44:$E$44, S$2)&gt;0, _xlfn.IFS(COUNTIF($B$44:$C$44, S$2)&gt;0, VLOOKUP($J492,'Gear Values'!$A$2:$E$13, IF(COUNTBLANK('Attributes &amp; Prefixes'!$B$44:$C$44)&gt;0, "2", "3"), 0), COUNTIF($D$44:$E$44, S$2)&gt;0, VLOOKUP($J492,'Gear Values'!$A$2:$E$13, IF(COUNTBLANK('Attributes &amp; Prefixes'!$B$44:$C$44)&gt;0, "4", "5"), 0)), "")</f>
        <v/>
      </c>
      <c r="V492" s="112"/>
      <c r="W492" s="112"/>
    </row>
    <row r="493" spans="8:23">
      <c r="H493" s="130" t="str">
        <f>_xlfn.CONCAT(I$483,J493)</f>
        <v>SoldierNeck</v>
      </c>
      <c r="I493" s="520"/>
      <c r="J493" s="144" t="s">
        <v>52</v>
      </c>
      <c r="K493" s="136" cm="1">
        <f t="array" ref="K493">IF(COUNTIF($B$44:$E$44, K$2)&gt;0, _xlfn.IFS(COUNTIF($B$44:$C$44, K$2)&gt;0, VLOOKUP($J493,'Gear Values'!$A$2:$E$13, IF(COUNTBLANK('Attributes &amp; Prefixes'!$B$44:$C$44)&gt;0, "2", "3"), 0), COUNTIF($D$44:$E$44, K$2)&gt;0, VLOOKUP($J493,'Gear Values'!$A$2:$E$13, IF(COUNTBLANK('Attributes &amp; Prefixes'!$B$44:$C$44)&gt;0, "4", "5"), 0)), "")</f>
        <v>120</v>
      </c>
      <c r="L493" s="137" t="str" cm="1">
        <f t="array" ref="L493">IF(COUNTIF($B$44:$E$44, L$2)&gt;0, _xlfn.IFS(COUNTIF($B$44:$C$44, L$2)&gt;0, VLOOKUP($J493,'Gear Values'!$A$2:$E$13, IF(COUNTBLANK('Attributes &amp; Prefixes'!$B$44:$C$44)&gt;0, "2", "3"), 0), COUNTIF($D$44:$E$44, L$2)&gt;0, VLOOKUP($J493,'Gear Values'!$A$2:$E$13, IF(COUNTBLANK('Attributes &amp; Prefixes'!$B$44:$C$44)&gt;0, "4", "5"), 0)), "")</f>
        <v/>
      </c>
      <c r="M493" s="137" cm="1">
        <f t="array" ref="M493">IF(COUNTIF($B$44:$E$44, M$2)&gt;0, _xlfn.IFS(COUNTIF($B$44:$C$44, M$2)&gt;0, VLOOKUP($J493,'Gear Values'!$A$2:$E$13, IF(COUNTBLANK('Attributes &amp; Prefixes'!$B$44:$C$44)&gt;0, "2", "3"), 0), COUNTIF($D$44:$E$44, M$2)&gt;0, VLOOKUP($J493,'Gear Values'!$A$2:$E$13, IF(COUNTBLANK('Attributes &amp; Prefixes'!$B$44:$C$44)&gt;0, "4", "5"), 0)), "")</f>
        <v>85</v>
      </c>
      <c r="N493" s="137" cm="1">
        <f t="array" ref="N493">IF(COUNTIF($B$44:$E$44, N$2)&gt;0, _xlfn.IFS(COUNTIF($B$44:$C$44, N$2)&gt;0, VLOOKUP($J493,'Gear Values'!$A$2:$E$13, IF(COUNTBLANK('Attributes &amp; Prefixes'!$B$44:$C$44)&gt;0, "2", "3"), 0), COUNTIF($D$44:$E$44, N$2)&gt;0, VLOOKUP($J493,'Gear Values'!$A$2:$E$13, IF(COUNTBLANK('Attributes &amp; Prefixes'!$B$44:$C$44)&gt;0, "4", "5"), 0)), "")</f>
        <v>85</v>
      </c>
      <c r="O493" s="137" t="str" cm="1">
        <f t="array" ref="O493">IF(COUNTIF($B$44:$E$44, O$2)&gt;0, _xlfn.IFS(COUNTIF($B$44:$C$44, O$2)&gt;0, VLOOKUP($J493,'Gear Values'!$A$2:$E$13, IF(COUNTBLANK('Attributes &amp; Prefixes'!$B$44:$C$44)&gt;0, "2", "3"), 0), COUNTIF($D$44:$E$44, O$2)&gt;0, VLOOKUP($J493,'Gear Values'!$A$2:$E$13, IF(COUNTBLANK('Attributes &amp; Prefixes'!$B$44:$C$44)&gt;0, "4", "5"), 0)), "")</f>
        <v/>
      </c>
      <c r="P493" s="137" t="str" cm="1">
        <f t="array" ref="P493">IF(COUNTIF($B$44:$E$44, P$2)&gt;0, _xlfn.IFS(COUNTIF($B$44:$C$44, P$2)&gt;0, VLOOKUP($J493,'Gear Values'!$A$2:$E$13, IF(COUNTBLANK('Attributes &amp; Prefixes'!$B$44:$C$44)&gt;0, "2", "3"), 0), COUNTIF($D$44:$E$44, P$2)&gt;0, VLOOKUP($J493,'Gear Values'!$A$2:$E$13, IF(COUNTBLANK('Attributes &amp; Prefixes'!$B$44:$C$44)&gt;0, "4", "5"), 0)), "")</f>
        <v/>
      </c>
      <c r="Q493" s="137" t="str" cm="1">
        <f t="array" ref="Q493">IF(COUNTIF($B$44:$E$44, Q$2)&gt;0, _xlfn.IFS(COUNTIF($B$44:$C$44, Q$2)&gt;0, VLOOKUP($J493,'Gear Values'!$A$2:$E$13, IF(COUNTBLANK('Attributes &amp; Prefixes'!$B$44:$C$44)&gt;0, "2", "3"), 0), COUNTIF($D$44:$E$44, Q$2)&gt;0, VLOOKUP($J493,'Gear Values'!$A$2:$E$13, IF(COUNTBLANK('Attributes &amp; Prefixes'!$B$44:$C$44)&gt;0, "4", "5"), 0)), "")</f>
        <v/>
      </c>
      <c r="R493" s="137" t="str" cm="1">
        <f t="array" ref="R493">IF(COUNTIF($B$44:$E$44, R$2)&gt;0, _xlfn.IFS(COUNTIF($B$44:$C$44, R$2)&gt;0, VLOOKUP($J493,'Gear Values'!$A$2:$E$13, IF(COUNTBLANK('Attributes &amp; Prefixes'!$B$44:$C$44)&gt;0, "2", "3"), 0), COUNTIF($D$44:$E$44, R$2)&gt;0, VLOOKUP($J493,'Gear Values'!$A$2:$E$13, IF(COUNTBLANK('Attributes &amp; Prefixes'!$B$44:$C$44)&gt;0, "4", "5"), 0)), "")</f>
        <v/>
      </c>
      <c r="S493" s="138" t="str" cm="1">
        <f t="array" ref="S493">IF(COUNTIF($B$44:$E$44, S$2)&gt;0, _xlfn.IFS(COUNTIF($B$44:$C$44, S$2)&gt;0, VLOOKUP($J493,'Gear Values'!$A$2:$E$13, IF(COUNTBLANK('Attributes &amp; Prefixes'!$B$44:$C$44)&gt;0, "2", "3"), 0), COUNTIF($D$44:$E$44, S$2)&gt;0, VLOOKUP($J493,'Gear Values'!$A$2:$E$13, IF(COUNTBLANK('Attributes &amp; Prefixes'!$B$44:$C$44)&gt;0, "4", "5"), 0)), "")</f>
        <v/>
      </c>
      <c r="V493" s="112"/>
      <c r="W493" s="112"/>
    </row>
    <row r="494" spans="8:23">
      <c r="H494" s="130" t="str">
        <f>_xlfn.CONCAT(I$483,J494)</f>
        <v>SoldierBack</v>
      </c>
      <c r="I494" s="521"/>
      <c r="J494" s="146" t="s">
        <v>53</v>
      </c>
      <c r="K494" s="147" cm="1">
        <f t="array" ref="K494">IF(COUNTIF($B$44:$E$44, K$2)&gt;0, _xlfn.IFS(COUNTIF($B$44:$C$44, K$2)&gt;0, VLOOKUP($J494,'Gear Values'!$A$2:$E$13, IF(COUNTBLANK('Attributes &amp; Prefixes'!$B$44:$C$44)&gt;0, "2", "3"), 0), COUNTIF($D$44:$E$44, K$2)&gt;0, VLOOKUP($J494,'Gear Values'!$A$2:$E$13, IF(COUNTBLANK('Attributes &amp; Prefixes'!$B$44:$C$44)&gt;0, "4", "5"), 0)), "")</f>
        <v>32</v>
      </c>
      <c r="L494" s="148" t="str" cm="1">
        <f t="array" ref="L494">IF(COUNTIF($B$44:$E$44, L$2)&gt;0, _xlfn.IFS(COUNTIF($B$44:$C$44, L$2)&gt;0, VLOOKUP($J494,'Gear Values'!$A$2:$E$13, IF(COUNTBLANK('Attributes &amp; Prefixes'!$B$44:$C$44)&gt;0, "2", "3"), 0), COUNTIF($D$44:$E$44, L$2)&gt;0, VLOOKUP($J494,'Gear Values'!$A$2:$E$13, IF(COUNTBLANK('Attributes &amp; Prefixes'!$B$44:$C$44)&gt;0, "4", "5"), 0)), "")</f>
        <v/>
      </c>
      <c r="M494" s="148" cm="1">
        <f t="array" ref="M494">IF(COUNTIF($B$44:$E$44, M$2)&gt;0, _xlfn.IFS(COUNTIF($B$44:$C$44, M$2)&gt;0, VLOOKUP($J494,'Gear Values'!$A$2:$E$13, IF(COUNTBLANK('Attributes &amp; Prefixes'!$B$44:$C$44)&gt;0, "2", "3"), 0), COUNTIF($D$44:$E$44, M$2)&gt;0, VLOOKUP($J494,'Gear Values'!$A$2:$E$13, IF(COUNTBLANK('Attributes &amp; Prefixes'!$B$44:$C$44)&gt;0, "4", "5"), 0)), "")</f>
        <v>18</v>
      </c>
      <c r="N494" s="148" cm="1">
        <f t="array" ref="N494">IF(COUNTIF($B$44:$E$44, N$2)&gt;0, _xlfn.IFS(COUNTIF($B$44:$C$44, N$2)&gt;0, VLOOKUP($J494,'Gear Values'!$A$2:$E$13, IF(COUNTBLANK('Attributes &amp; Prefixes'!$B$44:$C$44)&gt;0, "2", "3"), 0), COUNTIF($D$44:$E$44, N$2)&gt;0, VLOOKUP($J494,'Gear Values'!$A$2:$E$13, IF(COUNTBLANK('Attributes &amp; Prefixes'!$B$44:$C$44)&gt;0, "4", "5"), 0)), "")</f>
        <v>18</v>
      </c>
      <c r="O494" s="148" t="str" cm="1">
        <f t="array" ref="O494">IF(COUNTIF($B$44:$E$44, O$2)&gt;0, _xlfn.IFS(COUNTIF($B$44:$C$44, O$2)&gt;0, VLOOKUP($J494,'Gear Values'!$A$2:$E$13, IF(COUNTBLANK('Attributes &amp; Prefixes'!$B$44:$C$44)&gt;0, "2", "3"), 0), COUNTIF($D$44:$E$44, O$2)&gt;0, VLOOKUP($J494,'Gear Values'!$A$2:$E$13, IF(COUNTBLANK('Attributes &amp; Prefixes'!$B$44:$C$44)&gt;0, "4", "5"), 0)), "")</f>
        <v/>
      </c>
      <c r="P494" s="148" t="str" cm="1">
        <f t="array" ref="P494">IF(COUNTIF($B$44:$E$44, P$2)&gt;0, _xlfn.IFS(COUNTIF($B$44:$C$44, P$2)&gt;0, VLOOKUP($J494,'Gear Values'!$A$2:$E$13, IF(COUNTBLANK('Attributes &amp; Prefixes'!$B$44:$C$44)&gt;0, "2", "3"), 0), COUNTIF($D$44:$E$44, P$2)&gt;0, VLOOKUP($J494,'Gear Values'!$A$2:$E$13, IF(COUNTBLANK('Attributes &amp; Prefixes'!$B$44:$C$44)&gt;0, "4", "5"), 0)), "")</f>
        <v/>
      </c>
      <c r="Q494" s="148" t="str" cm="1">
        <f t="array" ref="Q494">IF(COUNTIF($B$44:$E$44, Q$2)&gt;0, _xlfn.IFS(COUNTIF($B$44:$C$44, Q$2)&gt;0, VLOOKUP($J494,'Gear Values'!$A$2:$E$13, IF(COUNTBLANK('Attributes &amp; Prefixes'!$B$44:$C$44)&gt;0, "2", "3"), 0), COUNTIF($D$44:$E$44, Q$2)&gt;0, VLOOKUP($J494,'Gear Values'!$A$2:$E$13, IF(COUNTBLANK('Attributes &amp; Prefixes'!$B$44:$C$44)&gt;0, "4", "5"), 0)), "")</f>
        <v/>
      </c>
      <c r="R494" s="148" t="str" cm="1">
        <f t="array" ref="R494">IF(COUNTIF($B$44:$E$44, R$2)&gt;0, _xlfn.IFS(COUNTIF($B$44:$C$44, R$2)&gt;0, VLOOKUP($J494,'Gear Values'!$A$2:$E$13, IF(COUNTBLANK('Attributes &amp; Prefixes'!$B$44:$C$44)&gt;0, "2", "3"), 0), COUNTIF($D$44:$E$44, R$2)&gt;0, VLOOKUP($J494,'Gear Values'!$A$2:$E$13, IF(COUNTBLANK('Attributes &amp; Prefixes'!$B$44:$C$44)&gt;0, "4", "5"), 0)), "")</f>
        <v/>
      </c>
      <c r="S494" s="150" t="str" cm="1">
        <f t="array" ref="S494">IF(COUNTIF($B$44:$E$44, S$2)&gt;0, _xlfn.IFS(COUNTIF($B$44:$C$44, S$2)&gt;0, VLOOKUP($J494,'Gear Values'!$A$2:$E$13, IF(COUNTBLANK('Attributes &amp; Prefixes'!$B$44:$C$44)&gt;0, "2", "3"), 0), COUNTIF($D$44:$E$44, S$2)&gt;0, VLOOKUP($J494,'Gear Values'!$A$2:$E$13, IF(COUNTBLANK('Attributes &amp; Prefixes'!$B$44:$C$44)&gt;0, "4", "5"), 0)), "")</f>
        <v/>
      </c>
      <c r="V494" s="112"/>
      <c r="W494" s="112"/>
    </row>
    <row r="495" spans="8:23">
      <c r="H495" s="130" t="str">
        <f>_xlfn.CONCAT(I$495,J495)</f>
        <v>SwashbucklerWeapon (1H)</v>
      </c>
      <c r="I495" s="519" t="str">
        <f>A45</f>
        <v>Swashbuckler</v>
      </c>
      <c r="J495" s="145" t="s">
        <v>37</v>
      </c>
      <c r="K495" s="133" cm="1">
        <f t="array" ref="K495">IF(COUNTIF($B$45:$E$45, K$2)&gt;0, _xlfn.IFS(COUNTIF($B$45:$C$45, K$2)&gt;0, VLOOKUP($J495,'Gear Values'!$A$2:$E$13, IF(COUNTBLANK('Attributes &amp; Prefixes'!$B$45:$C$45)&gt;0, "2", "3"), 0), COUNTIF($D$45:$E$45, K$2)&gt;0, VLOOKUP($J495,'Gear Values'!$A$2:$E$13, IF(COUNTBLANK('Attributes &amp; Prefixes'!$B$45:$C$45)&gt;0, "4", "5"), 0)), "")</f>
        <v>102</v>
      </c>
      <c r="L495" s="134" cm="1">
        <f t="array" ref="L495">IF(COUNTIF($B$45:$E$45, L$2)&gt;0, _xlfn.IFS(COUNTIF($B$45:$C$45, L$2)&gt;0, VLOOKUP($J495,'Gear Values'!$A$2:$E$13, IF(COUNTBLANK('Attributes &amp; Prefixes'!$B$45:$C$45)&gt;0, "2", "3"), 0), COUNTIF($D$45:$E$45, L$2)&gt;0, VLOOKUP($J495,'Gear Values'!$A$2:$E$13, IF(COUNTBLANK('Attributes &amp; Prefixes'!$B$45:$C$45)&gt;0, "4", "5"), 0)), "")</f>
        <v>102</v>
      </c>
      <c r="M495" s="134" t="str" cm="1">
        <f t="array" ref="M495">IF(COUNTIF($B$45:$E$45, M$2)&gt;0, _xlfn.IFS(COUNTIF($B$45:$C$45, M$2)&gt;0, VLOOKUP($J495,'Gear Values'!$A$2:$E$13, IF(COUNTBLANK('Attributes &amp; Prefixes'!$B$45:$C$45)&gt;0, "2", "3"), 0), COUNTIF($D$45:$E$45, M$2)&gt;0, VLOOKUP($J495,'Gear Values'!$A$2:$E$13, IF(COUNTBLANK('Attributes &amp; Prefixes'!$B$45:$C$45)&gt;0, "4", "5"), 0)), "")</f>
        <v/>
      </c>
      <c r="N495" s="134" cm="1">
        <f t="array" ref="N495">IF(COUNTIF($B$45:$E$45, N$2)&gt;0, _xlfn.IFS(COUNTIF($B$45:$C$45, N$2)&gt;0, VLOOKUP($J495,'Gear Values'!$A$2:$E$13, IF(COUNTBLANK('Attributes &amp; Prefixes'!$B$45:$C$45)&gt;0, "2", "3"), 0), COUNTIF($D$45:$E$45, N$2)&gt;0, VLOOKUP($J495,'Gear Values'!$A$2:$E$13, IF(COUNTBLANK('Attributes &amp; Prefixes'!$B$45:$C$45)&gt;0, "4", "5"), 0)), "")</f>
        <v>56</v>
      </c>
      <c r="O495" s="134" t="str" cm="1">
        <f t="array" ref="O495">IF(COUNTIF($B$45:$E$45, O$2)&gt;0, _xlfn.IFS(COUNTIF($B$45:$C$45, O$2)&gt;0, VLOOKUP($J495,'Gear Values'!$A$2:$E$13, IF(COUNTBLANK('Attributes &amp; Prefixes'!$B$45:$C$45)&gt;0, "2", "3"), 0), COUNTIF($D$45:$E$45, O$2)&gt;0, VLOOKUP($J495,'Gear Values'!$A$2:$E$13, IF(COUNTBLANK('Attributes &amp; Prefixes'!$B$45:$C$45)&gt;0, "4", "5"), 0)), "")</f>
        <v/>
      </c>
      <c r="P495" s="134" cm="1">
        <f t="array" ref="P495">IF(COUNTIF($B$45:$E$45, P$2)&gt;0, _xlfn.IFS(COUNTIF($B$45:$C$45, P$2)&gt;0, VLOOKUP($J495,'Gear Values'!$A$2:$E$13, IF(COUNTBLANK('Attributes &amp; Prefixes'!$B$45:$C$45)&gt;0, "2", "3"), 0), COUNTIF($D$45:$E$45, P$2)&gt;0, VLOOKUP($J495,'Gear Values'!$A$2:$E$13, IF(COUNTBLANK('Attributes &amp; Prefixes'!$B$45:$C$45)&gt;0, "4", "5"), 0)), "")</f>
        <v>56</v>
      </c>
      <c r="Q495" s="134" t="str" cm="1">
        <f t="array" ref="Q495">IF(COUNTIF($B$45:$E$45, Q$2)&gt;0, _xlfn.IFS(COUNTIF($B$45:$C$45, Q$2)&gt;0, VLOOKUP($J495,'Gear Values'!$A$2:$E$13, IF(COUNTBLANK('Attributes &amp; Prefixes'!$B$45:$C$45)&gt;0, "2", "3"), 0), COUNTIF($D$45:$E$45, Q$2)&gt;0, VLOOKUP($J495,'Gear Values'!$A$2:$E$13, IF(COUNTBLANK('Attributes &amp; Prefixes'!$B$45:$C$45)&gt;0, "4", "5"), 0)), "")</f>
        <v/>
      </c>
      <c r="R495" s="134" t="str" cm="1">
        <f t="array" ref="R495">IF(COUNTIF($B$45:$E$45, R$2)&gt;0, _xlfn.IFS(COUNTIF($B$45:$C$45, R$2)&gt;0, VLOOKUP($J495,'Gear Values'!$A$2:$E$13, IF(COUNTBLANK('Attributes &amp; Prefixes'!$B$45:$C$45)&gt;0, "2", "3"), 0), COUNTIF($D$45:$E$45, R$2)&gt;0, VLOOKUP($J495,'Gear Values'!$A$2:$E$13, IF(COUNTBLANK('Attributes &amp; Prefixes'!$B$45:$C$45)&gt;0, "4", "5"), 0)), "")</f>
        <v/>
      </c>
      <c r="S495" s="135" t="str" cm="1">
        <f t="array" ref="S495">IF(COUNTIF($B$45:$E$45, S$2)&gt;0, _xlfn.IFS(COUNTIF($B$45:$C$45, S$2)&gt;0, VLOOKUP($J495,'Gear Values'!$A$2:$E$13, IF(COUNTBLANK('Attributes &amp; Prefixes'!$B$45:$C$45)&gt;0, "2", "3"), 0), COUNTIF($D$45:$E$45, S$2)&gt;0, VLOOKUP($J495,'Gear Values'!$A$2:$E$13, IF(COUNTBLANK('Attributes &amp; Prefixes'!$B$45:$C$45)&gt;0, "4", "5"), 0)), "")</f>
        <v/>
      </c>
      <c r="V495" s="112"/>
      <c r="W495" s="112"/>
    </row>
    <row r="496" spans="8:23">
      <c r="H496" s="130" t="str">
        <f>_xlfn.CONCAT(I$495,J496)</f>
        <v>SwashbucklerWeapon (2H)</v>
      </c>
      <c r="I496" s="520"/>
      <c r="J496" s="144" t="s">
        <v>39</v>
      </c>
      <c r="K496" s="136" cm="1">
        <f t="array" ref="K496">IF(COUNTIF($B$45:$E$45, K$2)&gt;0, _xlfn.IFS(COUNTIF($B$45:$C$45, K$2)&gt;0, VLOOKUP($J496,'Gear Values'!$A$2:$E$13, IF(COUNTBLANK('Attributes &amp; Prefixes'!$B$45:$C$45)&gt;0, "2", "3"), 0), COUNTIF($D$45:$E$45, K$2)&gt;0, VLOOKUP($J496,'Gear Values'!$A$2:$E$13, IF(COUNTBLANK('Attributes &amp; Prefixes'!$B$45:$C$45)&gt;0, "4", "5"), 0)), "")</f>
        <v>205</v>
      </c>
      <c r="L496" s="137" cm="1">
        <f t="array" ref="L496">IF(COUNTIF($B$45:$E$45, L$2)&gt;0, _xlfn.IFS(COUNTIF($B$45:$C$45, L$2)&gt;0, VLOOKUP($J496,'Gear Values'!$A$2:$E$13, IF(COUNTBLANK('Attributes &amp; Prefixes'!$B$45:$C$45)&gt;0, "2", "3"), 0), COUNTIF($D$45:$E$45, L$2)&gt;0, VLOOKUP($J496,'Gear Values'!$A$2:$E$13, IF(COUNTBLANK('Attributes &amp; Prefixes'!$B$45:$C$45)&gt;0, "4", "5"), 0)), "")</f>
        <v>205</v>
      </c>
      <c r="M496" s="137" t="str" cm="1">
        <f t="array" ref="M496">IF(COUNTIF($B$45:$E$45, M$2)&gt;0, _xlfn.IFS(COUNTIF($B$45:$C$45, M$2)&gt;0, VLOOKUP($J496,'Gear Values'!$A$2:$E$13, IF(COUNTBLANK('Attributes &amp; Prefixes'!$B$45:$C$45)&gt;0, "2", "3"), 0), COUNTIF($D$45:$E$45, M$2)&gt;0, VLOOKUP($J496,'Gear Values'!$A$2:$E$13, IF(COUNTBLANK('Attributes &amp; Prefixes'!$B$45:$C$45)&gt;0, "4", "5"), 0)), "")</f>
        <v/>
      </c>
      <c r="N496" s="137" cm="1">
        <f t="array" ref="N496">IF(COUNTIF($B$45:$E$45, N$2)&gt;0, _xlfn.IFS(COUNTIF($B$45:$C$45, N$2)&gt;0, VLOOKUP($J496,'Gear Values'!$A$2:$E$13, IF(COUNTBLANK('Attributes &amp; Prefixes'!$B$45:$C$45)&gt;0, "2", "3"), 0), COUNTIF($D$45:$E$45, N$2)&gt;0, VLOOKUP($J496,'Gear Values'!$A$2:$E$13, IF(COUNTBLANK('Attributes &amp; Prefixes'!$B$45:$C$45)&gt;0, "4", "5"), 0)), "")</f>
        <v>113</v>
      </c>
      <c r="O496" s="137" t="str" cm="1">
        <f t="array" ref="O496">IF(COUNTIF($B$45:$E$45, O$2)&gt;0, _xlfn.IFS(COUNTIF($B$45:$C$45, O$2)&gt;0, VLOOKUP($J496,'Gear Values'!$A$2:$E$13, IF(COUNTBLANK('Attributes &amp; Prefixes'!$B$45:$C$45)&gt;0, "2", "3"), 0), COUNTIF($D$45:$E$45, O$2)&gt;0, VLOOKUP($J496,'Gear Values'!$A$2:$E$13, IF(COUNTBLANK('Attributes &amp; Prefixes'!$B$45:$C$45)&gt;0, "4", "5"), 0)), "")</f>
        <v/>
      </c>
      <c r="P496" s="137" cm="1">
        <f t="array" ref="P496">IF(COUNTIF($B$45:$E$45, P$2)&gt;0, _xlfn.IFS(COUNTIF($B$45:$C$45, P$2)&gt;0, VLOOKUP($J496,'Gear Values'!$A$2:$E$13, IF(COUNTBLANK('Attributes &amp; Prefixes'!$B$45:$C$45)&gt;0, "2", "3"), 0), COUNTIF($D$45:$E$45, P$2)&gt;0, VLOOKUP($J496,'Gear Values'!$A$2:$E$13, IF(COUNTBLANK('Attributes &amp; Prefixes'!$B$45:$C$45)&gt;0, "4", "5"), 0)), "")</f>
        <v>113</v>
      </c>
      <c r="Q496" s="137" t="str" cm="1">
        <f t="array" ref="Q496">IF(COUNTIF($B$45:$E$45, Q$2)&gt;0, _xlfn.IFS(COUNTIF($B$45:$C$45, Q$2)&gt;0, VLOOKUP($J496,'Gear Values'!$A$2:$E$13, IF(COUNTBLANK('Attributes &amp; Prefixes'!$B$45:$C$45)&gt;0, "2", "3"), 0), COUNTIF($D$45:$E$45, Q$2)&gt;0, VLOOKUP($J496,'Gear Values'!$A$2:$E$13, IF(COUNTBLANK('Attributes &amp; Prefixes'!$B$45:$C$45)&gt;0, "4", "5"), 0)), "")</f>
        <v/>
      </c>
      <c r="R496" s="137" t="str" cm="1">
        <f t="array" ref="R496">IF(COUNTIF($B$45:$E$45, R$2)&gt;0, _xlfn.IFS(COUNTIF($B$45:$C$45, R$2)&gt;0, VLOOKUP($J496,'Gear Values'!$A$2:$E$13, IF(COUNTBLANK('Attributes &amp; Prefixes'!$B$45:$C$45)&gt;0, "2", "3"), 0), COUNTIF($D$45:$E$45, R$2)&gt;0, VLOOKUP($J496,'Gear Values'!$A$2:$E$13, IF(COUNTBLANK('Attributes &amp; Prefixes'!$B$45:$C$45)&gt;0, "4", "5"), 0)), "")</f>
        <v/>
      </c>
      <c r="S496" s="138" t="str" cm="1">
        <f t="array" ref="S496">IF(COUNTIF($B$45:$E$45, S$2)&gt;0, _xlfn.IFS(COUNTIF($B$45:$C$45, S$2)&gt;0, VLOOKUP($J496,'Gear Values'!$A$2:$E$13, IF(COUNTBLANK('Attributes &amp; Prefixes'!$B$45:$C$45)&gt;0, "2", "3"), 0), COUNTIF($D$45:$E$45, S$2)&gt;0, VLOOKUP($J496,'Gear Values'!$A$2:$E$13, IF(COUNTBLANK('Attributes &amp; Prefixes'!$B$45:$C$45)&gt;0, "4", "5"), 0)), "")</f>
        <v/>
      </c>
      <c r="V496" s="112"/>
      <c r="W496" s="112"/>
    </row>
    <row r="497" spans="6:23">
      <c r="H497" s="130" t="str">
        <f>_xlfn.CONCAT(I$495,J497)</f>
        <v>SwashbucklerHead</v>
      </c>
      <c r="I497" s="520"/>
      <c r="J497" s="144" t="s">
        <v>40</v>
      </c>
      <c r="K497" s="136" cm="1">
        <f t="array" ref="K497">IF(COUNTIF($B$45:$E$45, K$2)&gt;0, _xlfn.IFS(COUNTIF($B$45:$C$45, K$2)&gt;0, VLOOKUP($J497,'Gear Values'!$A$2:$E$13, IF(COUNTBLANK('Attributes &amp; Prefixes'!$B$45:$C$45)&gt;0, "2", "3"), 0), COUNTIF($D$45:$E$45, K$2)&gt;0, VLOOKUP($J497,'Gear Values'!$A$2:$E$13, IF(COUNTBLANK('Attributes &amp; Prefixes'!$B$45:$C$45)&gt;0, "4", "5"), 0)), "")</f>
        <v>51</v>
      </c>
      <c r="L497" s="137" cm="1">
        <f t="array" ref="L497">IF(COUNTIF($B$45:$E$45, L$2)&gt;0, _xlfn.IFS(COUNTIF($B$45:$C$45, L$2)&gt;0, VLOOKUP($J497,'Gear Values'!$A$2:$E$13, IF(COUNTBLANK('Attributes &amp; Prefixes'!$B$45:$C$45)&gt;0, "2", "3"), 0), COUNTIF($D$45:$E$45, L$2)&gt;0, VLOOKUP($J497,'Gear Values'!$A$2:$E$13, IF(COUNTBLANK('Attributes &amp; Prefixes'!$B$45:$C$45)&gt;0, "4", "5"), 0)), "")</f>
        <v>51</v>
      </c>
      <c r="M497" s="137" t="str" cm="1">
        <f t="array" ref="M497">IF(COUNTIF($B$45:$E$45, M$2)&gt;0, _xlfn.IFS(COUNTIF($B$45:$C$45, M$2)&gt;0, VLOOKUP($J497,'Gear Values'!$A$2:$E$13, IF(COUNTBLANK('Attributes &amp; Prefixes'!$B$45:$C$45)&gt;0, "2", "3"), 0), COUNTIF($D$45:$E$45, M$2)&gt;0, VLOOKUP($J497,'Gear Values'!$A$2:$E$13, IF(COUNTBLANK('Attributes &amp; Prefixes'!$B$45:$C$45)&gt;0, "4", "5"), 0)), "")</f>
        <v/>
      </c>
      <c r="N497" s="137" cm="1">
        <f t="array" ref="N497">IF(COUNTIF($B$45:$E$45, N$2)&gt;0, _xlfn.IFS(COUNTIF($B$45:$C$45, N$2)&gt;0, VLOOKUP($J497,'Gear Values'!$A$2:$E$13, IF(COUNTBLANK('Attributes &amp; Prefixes'!$B$45:$C$45)&gt;0, "2", "3"), 0), COUNTIF($D$45:$E$45, N$2)&gt;0, VLOOKUP($J497,'Gear Values'!$A$2:$E$13, IF(COUNTBLANK('Attributes &amp; Prefixes'!$B$45:$C$45)&gt;0, "4", "5"), 0)), "")</f>
        <v>28</v>
      </c>
      <c r="O497" s="137" t="str" cm="1">
        <f t="array" ref="O497">IF(COUNTIF($B$45:$E$45, O$2)&gt;0, _xlfn.IFS(COUNTIF($B$45:$C$45, O$2)&gt;0, VLOOKUP($J497,'Gear Values'!$A$2:$E$13, IF(COUNTBLANK('Attributes &amp; Prefixes'!$B$45:$C$45)&gt;0, "2", "3"), 0), COUNTIF($D$45:$E$45, O$2)&gt;0, VLOOKUP($J497,'Gear Values'!$A$2:$E$13, IF(COUNTBLANK('Attributes &amp; Prefixes'!$B$45:$C$45)&gt;0, "4", "5"), 0)), "")</f>
        <v/>
      </c>
      <c r="P497" s="137" cm="1">
        <f t="array" ref="P497">IF(COUNTIF($B$45:$E$45, P$2)&gt;0, _xlfn.IFS(COUNTIF($B$45:$C$45, P$2)&gt;0, VLOOKUP($J497,'Gear Values'!$A$2:$E$13, IF(COUNTBLANK('Attributes &amp; Prefixes'!$B$45:$C$45)&gt;0, "2", "3"), 0), COUNTIF($D$45:$E$45, P$2)&gt;0, VLOOKUP($J497,'Gear Values'!$A$2:$E$13, IF(COUNTBLANK('Attributes &amp; Prefixes'!$B$45:$C$45)&gt;0, "4", "5"), 0)), "")</f>
        <v>28</v>
      </c>
      <c r="Q497" s="137" t="str" cm="1">
        <f t="array" ref="Q497">IF(COUNTIF($B$45:$E$45, Q$2)&gt;0, _xlfn.IFS(COUNTIF($B$45:$C$45, Q$2)&gt;0, VLOOKUP($J497,'Gear Values'!$A$2:$E$13, IF(COUNTBLANK('Attributes &amp; Prefixes'!$B$45:$C$45)&gt;0, "2", "3"), 0), COUNTIF($D$45:$E$45, Q$2)&gt;0, VLOOKUP($J497,'Gear Values'!$A$2:$E$13, IF(COUNTBLANK('Attributes &amp; Prefixes'!$B$45:$C$45)&gt;0, "4", "5"), 0)), "")</f>
        <v/>
      </c>
      <c r="R497" s="137" t="str" cm="1">
        <f t="array" ref="R497">IF(COUNTIF($B$45:$E$45, R$2)&gt;0, _xlfn.IFS(COUNTIF($B$45:$C$45, R$2)&gt;0, VLOOKUP($J497,'Gear Values'!$A$2:$E$13, IF(COUNTBLANK('Attributes &amp; Prefixes'!$B$45:$C$45)&gt;0, "2", "3"), 0), COUNTIF($D$45:$E$45, R$2)&gt;0, VLOOKUP($J497,'Gear Values'!$A$2:$E$13, IF(COUNTBLANK('Attributes &amp; Prefixes'!$B$45:$C$45)&gt;0, "4", "5"), 0)), "")</f>
        <v/>
      </c>
      <c r="S497" s="138" t="str" cm="1">
        <f t="array" ref="S497">IF(COUNTIF($B$45:$E$45, S$2)&gt;0, _xlfn.IFS(COUNTIF($B$45:$C$45, S$2)&gt;0, VLOOKUP($J497,'Gear Values'!$A$2:$E$13, IF(COUNTBLANK('Attributes &amp; Prefixes'!$B$45:$C$45)&gt;0, "2", "3"), 0), COUNTIF($D$45:$E$45, S$2)&gt;0, VLOOKUP($J497,'Gear Values'!$A$2:$E$13, IF(COUNTBLANK('Attributes &amp; Prefixes'!$B$45:$C$45)&gt;0, "4", "5"), 0)), "")</f>
        <v/>
      </c>
      <c r="V497" s="112"/>
      <c r="W497" s="112"/>
    </row>
    <row r="498" spans="6:23">
      <c r="H498" s="130" t="str">
        <f>_xlfn.CONCAT(I$495,J498)</f>
        <v>SwashbucklerShoulders</v>
      </c>
      <c r="I498" s="520"/>
      <c r="J498" s="144" t="s">
        <v>42</v>
      </c>
      <c r="K498" s="136" cm="1">
        <f t="array" ref="K498">IF(COUNTIF($B$45:$E$45, K$2)&gt;0, _xlfn.IFS(COUNTIF($B$45:$C$45, K$2)&gt;0, VLOOKUP($J498,'Gear Values'!$A$2:$E$13, IF(COUNTBLANK('Attributes &amp; Prefixes'!$B$45:$C$45)&gt;0, "2", "3"), 0), COUNTIF($D$45:$E$45, K$2)&gt;0, VLOOKUP($J498,'Gear Values'!$A$2:$E$13, IF(COUNTBLANK('Attributes &amp; Prefixes'!$B$45:$C$45)&gt;0, "4", "5"), 0)), "")</f>
        <v>38</v>
      </c>
      <c r="L498" s="137" cm="1">
        <f t="array" ref="L498">IF(COUNTIF($B$45:$E$45, L$2)&gt;0, _xlfn.IFS(COUNTIF($B$45:$C$45, L$2)&gt;0, VLOOKUP($J498,'Gear Values'!$A$2:$E$13, IF(COUNTBLANK('Attributes &amp; Prefixes'!$B$45:$C$45)&gt;0, "2", "3"), 0), COUNTIF($D$45:$E$45, L$2)&gt;0, VLOOKUP($J498,'Gear Values'!$A$2:$E$13, IF(COUNTBLANK('Attributes &amp; Prefixes'!$B$45:$C$45)&gt;0, "4", "5"), 0)), "")</f>
        <v>38</v>
      </c>
      <c r="M498" s="137" t="str" cm="1">
        <f t="array" ref="M498">IF(COUNTIF($B$45:$E$45, M$2)&gt;0, _xlfn.IFS(COUNTIF($B$45:$C$45, M$2)&gt;0, VLOOKUP($J498,'Gear Values'!$A$2:$E$13, IF(COUNTBLANK('Attributes &amp; Prefixes'!$B$45:$C$45)&gt;0, "2", "3"), 0), COUNTIF($D$45:$E$45, M$2)&gt;0, VLOOKUP($J498,'Gear Values'!$A$2:$E$13, IF(COUNTBLANK('Attributes &amp; Prefixes'!$B$45:$C$45)&gt;0, "4", "5"), 0)), "")</f>
        <v/>
      </c>
      <c r="N498" s="137" cm="1">
        <f t="array" ref="N498">IF(COUNTIF($B$45:$E$45, N$2)&gt;0, _xlfn.IFS(COUNTIF($B$45:$C$45, N$2)&gt;0, VLOOKUP($J498,'Gear Values'!$A$2:$E$13, IF(COUNTBLANK('Attributes &amp; Prefixes'!$B$45:$C$45)&gt;0, "2", "3"), 0), COUNTIF($D$45:$E$45, N$2)&gt;0, VLOOKUP($J498,'Gear Values'!$A$2:$E$13, IF(COUNTBLANK('Attributes &amp; Prefixes'!$B$45:$C$45)&gt;0, "4", "5"), 0)), "")</f>
        <v>21</v>
      </c>
      <c r="O498" s="137" t="str" cm="1">
        <f t="array" ref="O498">IF(COUNTIF($B$45:$E$45, O$2)&gt;0, _xlfn.IFS(COUNTIF($B$45:$C$45, O$2)&gt;0, VLOOKUP($J498,'Gear Values'!$A$2:$E$13, IF(COUNTBLANK('Attributes &amp; Prefixes'!$B$45:$C$45)&gt;0, "2", "3"), 0), COUNTIF($D$45:$E$45, O$2)&gt;0, VLOOKUP($J498,'Gear Values'!$A$2:$E$13, IF(COUNTBLANK('Attributes &amp; Prefixes'!$B$45:$C$45)&gt;0, "4", "5"), 0)), "")</f>
        <v/>
      </c>
      <c r="P498" s="137" cm="1">
        <f t="array" ref="P498">IF(COUNTIF($B$45:$E$45, P$2)&gt;0, _xlfn.IFS(COUNTIF($B$45:$C$45, P$2)&gt;0, VLOOKUP($J498,'Gear Values'!$A$2:$E$13, IF(COUNTBLANK('Attributes &amp; Prefixes'!$B$45:$C$45)&gt;0, "2", "3"), 0), COUNTIF($D$45:$E$45, P$2)&gt;0, VLOOKUP($J498,'Gear Values'!$A$2:$E$13, IF(COUNTBLANK('Attributes &amp; Prefixes'!$B$45:$C$45)&gt;0, "4", "5"), 0)), "")</f>
        <v>21</v>
      </c>
      <c r="Q498" s="137" t="str" cm="1">
        <f t="array" ref="Q498">IF(COUNTIF($B$45:$E$45, Q$2)&gt;0, _xlfn.IFS(COUNTIF($B$45:$C$45, Q$2)&gt;0, VLOOKUP($J498,'Gear Values'!$A$2:$E$13, IF(COUNTBLANK('Attributes &amp; Prefixes'!$B$45:$C$45)&gt;0, "2", "3"), 0), COUNTIF($D$45:$E$45, Q$2)&gt;0, VLOOKUP($J498,'Gear Values'!$A$2:$E$13, IF(COUNTBLANK('Attributes &amp; Prefixes'!$B$45:$C$45)&gt;0, "4", "5"), 0)), "")</f>
        <v/>
      </c>
      <c r="R498" s="137" t="str" cm="1">
        <f t="array" ref="R498">IF(COUNTIF($B$45:$E$45, R$2)&gt;0, _xlfn.IFS(COUNTIF($B$45:$C$45, R$2)&gt;0, VLOOKUP($J498,'Gear Values'!$A$2:$E$13, IF(COUNTBLANK('Attributes &amp; Prefixes'!$B$45:$C$45)&gt;0, "2", "3"), 0), COUNTIF($D$45:$E$45, R$2)&gt;0, VLOOKUP($J498,'Gear Values'!$A$2:$E$13, IF(COUNTBLANK('Attributes &amp; Prefixes'!$B$45:$C$45)&gt;0, "4", "5"), 0)), "")</f>
        <v/>
      </c>
      <c r="S498" s="138" t="str" cm="1">
        <f t="array" ref="S498">IF(COUNTIF($B$45:$E$45, S$2)&gt;0, _xlfn.IFS(COUNTIF($B$45:$C$45, S$2)&gt;0, VLOOKUP($J498,'Gear Values'!$A$2:$E$13, IF(COUNTBLANK('Attributes &amp; Prefixes'!$B$45:$C$45)&gt;0, "2", "3"), 0), COUNTIF($D$45:$E$45, S$2)&gt;0, VLOOKUP($J498,'Gear Values'!$A$2:$E$13, IF(COUNTBLANK('Attributes &amp; Prefixes'!$B$45:$C$45)&gt;0, "4", "5"), 0)), "")</f>
        <v/>
      </c>
      <c r="V498" s="112"/>
      <c r="W498" s="112"/>
    </row>
    <row r="499" spans="6:23">
      <c r="H499" s="130" t="str">
        <f>_xlfn.CONCAT(I$495,J499)</f>
        <v>SwashbucklerChest</v>
      </c>
      <c r="I499" s="520"/>
      <c r="J499" s="144" t="s">
        <v>44</v>
      </c>
      <c r="K499" s="136" cm="1">
        <f t="array" ref="K499">IF(COUNTIF($B$45:$E$45, K$2)&gt;0, _xlfn.IFS(COUNTIF($B$45:$C$45, K$2)&gt;0, VLOOKUP($J499,'Gear Values'!$A$2:$E$13, IF(COUNTBLANK('Attributes &amp; Prefixes'!$B$45:$C$45)&gt;0, "2", "3"), 0), COUNTIF($D$45:$E$45, K$2)&gt;0, VLOOKUP($J499,'Gear Values'!$A$2:$E$13, IF(COUNTBLANK('Attributes &amp; Prefixes'!$B$45:$C$45)&gt;0, "4", "5"), 0)), "")</f>
        <v>115</v>
      </c>
      <c r="L499" s="137" cm="1">
        <f t="array" ref="L499">IF(COUNTIF($B$45:$E$45, L$2)&gt;0, _xlfn.IFS(COUNTIF($B$45:$C$45, L$2)&gt;0, VLOOKUP($J499,'Gear Values'!$A$2:$E$13, IF(COUNTBLANK('Attributes &amp; Prefixes'!$B$45:$C$45)&gt;0, "2", "3"), 0), COUNTIF($D$45:$E$45, L$2)&gt;0, VLOOKUP($J499,'Gear Values'!$A$2:$E$13, IF(COUNTBLANK('Attributes &amp; Prefixes'!$B$45:$C$45)&gt;0, "4", "5"), 0)), "")</f>
        <v>115</v>
      </c>
      <c r="M499" s="137" t="str" cm="1">
        <f t="array" ref="M499">IF(COUNTIF($B$45:$E$45, M$2)&gt;0, _xlfn.IFS(COUNTIF($B$45:$C$45, M$2)&gt;0, VLOOKUP($J499,'Gear Values'!$A$2:$E$13, IF(COUNTBLANK('Attributes &amp; Prefixes'!$B$45:$C$45)&gt;0, "2", "3"), 0), COUNTIF($D$45:$E$45, M$2)&gt;0, VLOOKUP($J499,'Gear Values'!$A$2:$E$13, IF(COUNTBLANK('Attributes &amp; Prefixes'!$B$45:$C$45)&gt;0, "4", "5"), 0)), "")</f>
        <v/>
      </c>
      <c r="N499" s="137" cm="1">
        <f t="array" ref="N499">IF(COUNTIF($B$45:$E$45, N$2)&gt;0, _xlfn.IFS(COUNTIF($B$45:$C$45, N$2)&gt;0, VLOOKUP($J499,'Gear Values'!$A$2:$E$13, IF(COUNTBLANK('Attributes &amp; Prefixes'!$B$45:$C$45)&gt;0, "2", "3"), 0), COUNTIF($D$45:$E$45, N$2)&gt;0, VLOOKUP($J499,'Gear Values'!$A$2:$E$13, IF(COUNTBLANK('Attributes &amp; Prefixes'!$B$45:$C$45)&gt;0, "4", "5"), 0)), "")</f>
        <v>63</v>
      </c>
      <c r="O499" s="137" t="str" cm="1">
        <f t="array" ref="O499">IF(COUNTIF($B$45:$E$45, O$2)&gt;0, _xlfn.IFS(COUNTIF($B$45:$C$45, O$2)&gt;0, VLOOKUP($J499,'Gear Values'!$A$2:$E$13, IF(COUNTBLANK('Attributes &amp; Prefixes'!$B$45:$C$45)&gt;0, "2", "3"), 0), COUNTIF($D$45:$E$45, O$2)&gt;0, VLOOKUP($J499,'Gear Values'!$A$2:$E$13, IF(COUNTBLANK('Attributes &amp; Prefixes'!$B$45:$C$45)&gt;0, "4", "5"), 0)), "")</f>
        <v/>
      </c>
      <c r="P499" s="137" cm="1">
        <f t="array" ref="P499">IF(COUNTIF($B$45:$E$45, P$2)&gt;0, _xlfn.IFS(COUNTIF($B$45:$C$45, P$2)&gt;0, VLOOKUP($J499,'Gear Values'!$A$2:$E$13, IF(COUNTBLANK('Attributes &amp; Prefixes'!$B$45:$C$45)&gt;0, "2", "3"), 0), COUNTIF($D$45:$E$45, P$2)&gt;0, VLOOKUP($J499,'Gear Values'!$A$2:$E$13, IF(COUNTBLANK('Attributes &amp; Prefixes'!$B$45:$C$45)&gt;0, "4", "5"), 0)), "")</f>
        <v>63</v>
      </c>
      <c r="Q499" s="137" t="str" cm="1">
        <f t="array" ref="Q499">IF(COUNTIF($B$45:$E$45, Q$2)&gt;0, _xlfn.IFS(COUNTIF($B$45:$C$45, Q$2)&gt;0, VLOOKUP($J499,'Gear Values'!$A$2:$E$13, IF(COUNTBLANK('Attributes &amp; Prefixes'!$B$45:$C$45)&gt;0, "2", "3"), 0), COUNTIF($D$45:$E$45, Q$2)&gt;0, VLOOKUP($J499,'Gear Values'!$A$2:$E$13, IF(COUNTBLANK('Attributes &amp; Prefixes'!$B$45:$C$45)&gt;0, "4", "5"), 0)), "")</f>
        <v/>
      </c>
      <c r="R499" s="137" t="str" cm="1">
        <f t="array" ref="R499">IF(COUNTIF($B$45:$E$45, R$2)&gt;0, _xlfn.IFS(COUNTIF($B$45:$C$45, R$2)&gt;0, VLOOKUP($J499,'Gear Values'!$A$2:$E$13, IF(COUNTBLANK('Attributes &amp; Prefixes'!$B$45:$C$45)&gt;0, "2", "3"), 0), COUNTIF($D$45:$E$45, R$2)&gt;0, VLOOKUP($J499,'Gear Values'!$A$2:$E$13, IF(COUNTBLANK('Attributes &amp; Prefixes'!$B$45:$C$45)&gt;0, "4", "5"), 0)), "")</f>
        <v/>
      </c>
      <c r="S499" s="138" t="str" cm="1">
        <f t="array" ref="S499">IF(COUNTIF($B$45:$E$45, S$2)&gt;0, _xlfn.IFS(COUNTIF($B$45:$C$45, S$2)&gt;0, VLOOKUP($J499,'Gear Values'!$A$2:$E$13, IF(COUNTBLANK('Attributes &amp; Prefixes'!$B$45:$C$45)&gt;0, "2", "3"), 0), COUNTIF($D$45:$E$45, S$2)&gt;0, VLOOKUP($J499,'Gear Values'!$A$2:$E$13, IF(COUNTBLANK('Attributes &amp; Prefixes'!$B$45:$C$45)&gt;0, "4", "5"), 0)), "")</f>
        <v/>
      </c>
      <c r="V499" s="112"/>
      <c r="W499" s="113"/>
    </row>
    <row r="500" spans="6:23">
      <c r="H500" s="130" t="str">
        <f>_xlfn.CONCAT(I$495,J500)</f>
        <v>SwashbucklerHands</v>
      </c>
      <c r="I500" s="520"/>
      <c r="J500" s="144" t="s">
        <v>45</v>
      </c>
      <c r="K500" s="136" cm="1">
        <f t="array" ref="K500">IF(COUNTIF($B$45:$E$45, K$2)&gt;0, _xlfn.IFS(COUNTIF($B$45:$C$45, K$2)&gt;0, VLOOKUP($J500,'Gear Values'!$A$2:$E$13, IF(COUNTBLANK('Attributes &amp; Prefixes'!$B$45:$C$45)&gt;0, "2", "3"), 0), COUNTIF($D$45:$E$45, K$2)&gt;0, VLOOKUP($J500,'Gear Values'!$A$2:$E$13, IF(COUNTBLANK('Attributes &amp; Prefixes'!$B$45:$C$45)&gt;0, "4", "5"), 0)), "")</f>
        <v>38</v>
      </c>
      <c r="L500" s="137" cm="1">
        <f t="array" ref="L500">IF(COUNTIF($B$45:$E$45, L$2)&gt;0, _xlfn.IFS(COUNTIF($B$45:$C$45, L$2)&gt;0, VLOOKUP($J500,'Gear Values'!$A$2:$E$13, IF(COUNTBLANK('Attributes &amp; Prefixes'!$B$45:$C$45)&gt;0, "2", "3"), 0), COUNTIF($D$45:$E$45, L$2)&gt;0, VLOOKUP($J500,'Gear Values'!$A$2:$E$13, IF(COUNTBLANK('Attributes &amp; Prefixes'!$B$45:$C$45)&gt;0, "4", "5"), 0)), "")</f>
        <v>38</v>
      </c>
      <c r="M500" s="137" t="str" cm="1">
        <f t="array" ref="M500">IF(COUNTIF($B$45:$E$45, M$2)&gt;0, _xlfn.IFS(COUNTIF($B$45:$C$45, M$2)&gt;0, VLOOKUP($J500,'Gear Values'!$A$2:$E$13, IF(COUNTBLANK('Attributes &amp; Prefixes'!$B$45:$C$45)&gt;0, "2", "3"), 0), COUNTIF($D$45:$E$45, M$2)&gt;0, VLOOKUP($J500,'Gear Values'!$A$2:$E$13, IF(COUNTBLANK('Attributes &amp; Prefixes'!$B$45:$C$45)&gt;0, "4", "5"), 0)), "")</f>
        <v/>
      </c>
      <c r="N500" s="137" cm="1">
        <f t="array" ref="N500">IF(COUNTIF($B$45:$E$45, N$2)&gt;0, _xlfn.IFS(COUNTIF($B$45:$C$45, N$2)&gt;0, VLOOKUP($J500,'Gear Values'!$A$2:$E$13, IF(COUNTBLANK('Attributes &amp; Prefixes'!$B$45:$C$45)&gt;0, "2", "3"), 0), COUNTIF($D$45:$E$45, N$2)&gt;0, VLOOKUP($J500,'Gear Values'!$A$2:$E$13, IF(COUNTBLANK('Attributes &amp; Prefixes'!$B$45:$C$45)&gt;0, "4", "5"), 0)), "")</f>
        <v>21</v>
      </c>
      <c r="O500" s="137" t="str" cm="1">
        <f t="array" ref="O500">IF(COUNTIF($B$45:$E$45, O$2)&gt;0, _xlfn.IFS(COUNTIF($B$45:$C$45, O$2)&gt;0, VLOOKUP($J500,'Gear Values'!$A$2:$E$13, IF(COUNTBLANK('Attributes &amp; Prefixes'!$B$45:$C$45)&gt;0, "2", "3"), 0), COUNTIF($D$45:$E$45, O$2)&gt;0, VLOOKUP($J500,'Gear Values'!$A$2:$E$13, IF(COUNTBLANK('Attributes &amp; Prefixes'!$B$45:$C$45)&gt;0, "4", "5"), 0)), "")</f>
        <v/>
      </c>
      <c r="P500" s="137" cm="1">
        <f t="array" ref="P500">IF(COUNTIF($B$45:$E$45, P$2)&gt;0, _xlfn.IFS(COUNTIF($B$45:$C$45, P$2)&gt;0, VLOOKUP($J500,'Gear Values'!$A$2:$E$13, IF(COUNTBLANK('Attributes &amp; Prefixes'!$B$45:$C$45)&gt;0, "2", "3"), 0), COUNTIF($D$45:$E$45, P$2)&gt;0, VLOOKUP($J500,'Gear Values'!$A$2:$E$13, IF(COUNTBLANK('Attributes &amp; Prefixes'!$B$45:$C$45)&gt;0, "4", "5"), 0)), "")</f>
        <v>21</v>
      </c>
      <c r="Q500" s="137" t="str" cm="1">
        <f t="array" ref="Q500">IF(COUNTIF($B$45:$E$45, Q$2)&gt;0, _xlfn.IFS(COUNTIF($B$45:$C$45, Q$2)&gt;0, VLOOKUP($J500,'Gear Values'!$A$2:$E$13, IF(COUNTBLANK('Attributes &amp; Prefixes'!$B$45:$C$45)&gt;0, "2", "3"), 0), COUNTIF($D$45:$E$45, Q$2)&gt;0, VLOOKUP($J500,'Gear Values'!$A$2:$E$13, IF(COUNTBLANK('Attributes &amp; Prefixes'!$B$45:$C$45)&gt;0, "4", "5"), 0)), "")</f>
        <v/>
      </c>
      <c r="R500" s="137" t="str" cm="1">
        <f t="array" ref="R500">IF(COUNTIF($B$45:$E$45, R$2)&gt;0, _xlfn.IFS(COUNTIF($B$45:$C$45, R$2)&gt;0, VLOOKUP($J500,'Gear Values'!$A$2:$E$13, IF(COUNTBLANK('Attributes &amp; Prefixes'!$B$45:$C$45)&gt;0, "2", "3"), 0), COUNTIF($D$45:$E$45, R$2)&gt;0, VLOOKUP($J500,'Gear Values'!$A$2:$E$13, IF(COUNTBLANK('Attributes &amp; Prefixes'!$B$45:$C$45)&gt;0, "4", "5"), 0)), "")</f>
        <v/>
      </c>
      <c r="S500" s="138" t="str" cm="1">
        <f t="array" ref="S500">IF(COUNTIF($B$45:$E$45, S$2)&gt;0, _xlfn.IFS(COUNTIF($B$45:$C$45, S$2)&gt;0, VLOOKUP($J500,'Gear Values'!$A$2:$E$13, IF(COUNTBLANK('Attributes &amp; Prefixes'!$B$45:$C$45)&gt;0, "2", "3"), 0), COUNTIF($D$45:$E$45, S$2)&gt;0, VLOOKUP($J500,'Gear Values'!$A$2:$E$13, IF(COUNTBLANK('Attributes &amp; Prefixes'!$B$45:$C$45)&gt;0, "4", "5"), 0)), "")</f>
        <v/>
      </c>
      <c r="V500" s="112"/>
      <c r="W500" s="113"/>
    </row>
    <row r="501" spans="6:23">
      <c r="H501" s="130" t="str">
        <f>_xlfn.CONCAT(I$495,J501)</f>
        <v>SwashbucklerLegs</v>
      </c>
      <c r="I501" s="520"/>
      <c r="J501" s="144" t="s">
        <v>47</v>
      </c>
      <c r="K501" s="136" cm="1">
        <f t="array" ref="K501">IF(COUNTIF($B$45:$E$45, K$2)&gt;0, _xlfn.IFS(COUNTIF($B$45:$C$45, K$2)&gt;0, VLOOKUP($J501,'Gear Values'!$A$2:$E$13, IF(COUNTBLANK('Attributes &amp; Prefixes'!$B$45:$C$45)&gt;0, "2", "3"), 0), COUNTIF($D$45:$E$45, K$2)&gt;0, VLOOKUP($J501,'Gear Values'!$A$2:$E$13, IF(COUNTBLANK('Attributes &amp; Prefixes'!$B$45:$C$45)&gt;0, "4", "5"), 0)), "")</f>
        <v>77</v>
      </c>
      <c r="L501" s="137" cm="1">
        <f t="array" ref="L501">IF(COUNTIF($B$45:$E$45, L$2)&gt;0, _xlfn.IFS(COUNTIF($B$45:$C$45, L$2)&gt;0, VLOOKUP($J501,'Gear Values'!$A$2:$E$13, IF(COUNTBLANK('Attributes &amp; Prefixes'!$B$45:$C$45)&gt;0, "2", "3"), 0), COUNTIF($D$45:$E$45, L$2)&gt;0, VLOOKUP($J501,'Gear Values'!$A$2:$E$13, IF(COUNTBLANK('Attributes &amp; Prefixes'!$B$45:$C$45)&gt;0, "4", "5"), 0)), "")</f>
        <v>77</v>
      </c>
      <c r="M501" s="137" t="str" cm="1">
        <f t="array" ref="M501">IF(COUNTIF($B$45:$E$45, M$2)&gt;0, _xlfn.IFS(COUNTIF($B$45:$C$45, M$2)&gt;0, VLOOKUP($J501,'Gear Values'!$A$2:$E$13, IF(COUNTBLANK('Attributes &amp; Prefixes'!$B$45:$C$45)&gt;0, "2", "3"), 0), COUNTIF($D$45:$E$45, M$2)&gt;0, VLOOKUP($J501,'Gear Values'!$A$2:$E$13, IF(COUNTBLANK('Attributes &amp; Prefixes'!$B$45:$C$45)&gt;0, "4", "5"), 0)), "")</f>
        <v/>
      </c>
      <c r="N501" s="137" cm="1">
        <f t="array" ref="N501">IF(COUNTIF($B$45:$E$45, N$2)&gt;0, _xlfn.IFS(COUNTIF($B$45:$C$45, N$2)&gt;0, VLOOKUP($J501,'Gear Values'!$A$2:$E$13, IF(COUNTBLANK('Attributes &amp; Prefixes'!$B$45:$C$45)&gt;0, "2", "3"), 0), COUNTIF($D$45:$E$45, N$2)&gt;0, VLOOKUP($J501,'Gear Values'!$A$2:$E$13, IF(COUNTBLANK('Attributes &amp; Prefixes'!$B$45:$C$45)&gt;0, "4", "5"), 0)), "")</f>
        <v>42</v>
      </c>
      <c r="O501" s="137" t="str" cm="1">
        <f t="array" ref="O501">IF(COUNTIF($B$45:$E$45, O$2)&gt;0, _xlfn.IFS(COUNTIF($B$45:$C$45, O$2)&gt;0, VLOOKUP($J501,'Gear Values'!$A$2:$E$13, IF(COUNTBLANK('Attributes &amp; Prefixes'!$B$45:$C$45)&gt;0, "2", "3"), 0), COUNTIF($D$45:$E$45, O$2)&gt;0, VLOOKUP($J501,'Gear Values'!$A$2:$E$13, IF(COUNTBLANK('Attributes &amp; Prefixes'!$B$45:$C$45)&gt;0, "4", "5"), 0)), "")</f>
        <v/>
      </c>
      <c r="P501" s="137" cm="1">
        <f t="array" ref="P501">IF(COUNTIF($B$45:$E$45, P$2)&gt;0, _xlfn.IFS(COUNTIF($B$45:$C$45, P$2)&gt;0, VLOOKUP($J501,'Gear Values'!$A$2:$E$13, IF(COUNTBLANK('Attributes &amp; Prefixes'!$B$45:$C$45)&gt;0, "2", "3"), 0), COUNTIF($D$45:$E$45, P$2)&gt;0, VLOOKUP($J501,'Gear Values'!$A$2:$E$13, IF(COUNTBLANK('Attributes &amp; Prefixes'!$B$45:$C$45)&gt;0, "4", "5"), 0)), "")</f>
        <v>42</v>
      </c>
      <c r="Q501" s="137" t="str" cm="1">
        <f t="array" ref="Q501">IF(COUNTIF($B$45:$E$45, Q$2)&gt;0, _xlfn.IFS(COUNTIF($B$45:$C$45, Q$2)&gt;0, VLOOKUP($J501,'Gear Values'!$A$2:$E$13, IF(COUNTBLANK('Attributes &amp; Prefixes'!$B$45:$C$45)&gt;0, "2", "3"), 0), COUNTIF($D$45:$E$45, Q$2)&gt;0, VLOOKUP($J501,'Gear Values'!$A$2:$E$13, IF(COUNTBLANK('Attributes &amp; Prefixes'!$B$45:$C$45)&gt;0, "4", "5"), 0)), "")</f>
        <v/>
      </c>
      <c r="R501" s="137" t="str" cm="1">
        <f t="array" ref="R501">IF(COUNTIF($B$45:$E$45, R$2)&gt;0, _xlfn.IFS(COUNTIF($B$45:$C$45, R$2)&gt;0, VLOOKUP($J501,'Gear Values'!$A$2:$E$13, IF(COUNTBLANK('Attributes &amp; Prefixes'!$B$45:$C$45)&gt;0, "2", "3"), 0), COUNTIF($D$45:$E$45, R$2)&gt;0, VLOOKUP($J501,'Gear Values'!$A$2:$E$13, IF(COUNTBLANK('Attributes &amp; Prefixes'!$B$45:$C$45)&gt;0, "4", "5"), 0)), "")</f>
        <v/>
      </c>
      <c r="S501" s="138" t="str" cm="1">
        <f t="array" ref="S501">IF(COUNTIF($B$45:$E$45, S$2)&gt;0, _xlfn.IFS(COUNTIF($B$45:$C$45, S$2)&gt;0, VLOOKUP($J501,'Gear Values'!$A$2:$E$13, IF(COUNTBLANK('Attributes &amp; Prefixes'!$B$45:$C$45)&gt;0, "2", "3"), 0), COUNTIF($D$45:$E$45, S$2)&gt;0, VLOOKUP($J501,'Gear Values'!$A$2:$E$13, IF(COUNTBLANK('Attributes &amp; Prefixes'!$B$45:$C$45)&gt;0, "4", "5"), 0)), "")</f>
        <v/>
      </c>
      <c r="V501" s="112"/>
      <c r="W501" s="113"/>
    </row>
    <row r="502" spans="6:23">
      <c r="F502" s="114"/>
      <c r="G502" s="114"/>
      <c r="H502" s="130" t="str">
        <f>_xlfn.CONCAT(I$495,J502)</f>
        <v>SwashbucklerFeet</v>
      </c>
      <c r="I502" s="520"/>
      <c r="J502" s="144" t="s">
        <v>48</v>
      </c>
      <c r="K502" s="136" cm="1">
        <f t="array" ref="K502">IF(COUNTIF($B$45:$E$45, K$2)&gt;0, _xlfn.IFS(COUNTIF($B$45:$C$45, K$2)&gt;0, VLOOKUP($J502,'Gear Values'!$A$2:$E$13, IF(COUNTBLANK('Attributes &amp; Prefixes'!$B$45:$C$45)&gt;0, "2", "3"), 0), COUNTIF($D$45:$E$45, K$2)&gt;0, VLOOKUP($J502,'Gear Values'!$A$2:$E$13, IF(COUNTBLANK('Attributes &amp; Prefixes'!$B$45:$C$45)&gt;0, "4", "5"), 0)), "")</f>
        <v>38</v>
      </c>
      <c r="L502" s="137" cm="1">
        <f t="array" ref="L502">IF(COUNTIF($B$45:$E$45, L$2)&gt;0, _xlfn.IFS(COUNTIF($B$45:$C$45, L$2)&gt;0, VLOOKUP($J502,'Gear Values'!$A$2:$E$13, IF(COUNTBLANK('Attributes &amp; Prefixes'!$B$45:$C$45)&gt;0, "2", "3"), 0), COUNTIF($D$45:$E$45, L$2)&gt;0, VLOOKUP($J502,'Gear Values'!$A$2:$E$13, IF(COUNTBLANK('Attributes &amp; Prefixes'!$B$45:$C$45)&gt;0, "4", "5"), 0)), "")</f>
        <v>38</v>
      </c>
      <c r="M502" s="137" t="str" cm="1">
        <f t="array" ref="M502">IF(COUNTIF($B$45:$E$45, M$2)&gt;0, _xlfn.IFS(COUNTIF($B$45:$C$45, M$2)&gt;0, VLOOKUP($J502,'Gear Values'!$A$2:$E$13, IF(COUNTBLANK('Attributes &amp; Prefixes'!$B$45:$C$45)&gt;0, "2", "3"), 0), COUNTIF($D$45:$E$45, M$2)&gt;0, VLOOKUP($J502,'Gear Values'!$A$2:$E$13, IF(COUNTBLANK('Attributes &amp; Prefixes'!$B$45:$C$45)&gt;0, "4", "5"), 0)), "")</f>
        <v/>
      </c>
      <c r="N502" s="137" cm="1">
        <f t="array" ref="N502">IF(COUNTIF($B$45:$E$45, N$2)&gt;0, _xlfn.IFS(COUNTIF($B$45:$C$45, N$2)&gt;0, VLOOKUP($J502,'Gear Values'!$A$2:$E$13, IF(COUNTBLANK('Attributes &amp; Prefixes'!$B$45:$C$45)&gt;0, "2", "3"), 0), COUNTIF($D$45:$E$45, N$2)&gt;0, VLOOKUP($J502,'Gear Values'!$A$2:$E$13, IF(COUNTBLANK('Attributes &amp; Prefixes'!$B$45:$C$45)&gt;0, "4", "5"), 0)), "")</f>
        <v>21</v>
      </c>
      <c r="O502" s="137" t="str" cm="1">
        <f t="array" ref="O502">IF(COUNTIF($B$45:$E$45, O$2)&gt;0, _xlfn.IFS(COUNTIF($B$45:$C$45, O$2)&gt;0, VLOOKUP($J502,'Gear Values'!$A$2:$E$13, IF(COUNTBLANK('Attributes &amp; Prefixes'!$B$45:$C$45)&gt;0, "2", "3"), 0), COUNTIF($D$45:$E$45, O$2)&gt;0, VLOOKUP($J502,'Gear Values'!$A$2:$E$13, IF(COUNTBLANK('Attributes &amp; Prefixes'!$B$45:$C$45)&gt;0, "4", "5"), 0)), "")</f>
        <v/>
      </c>
      <c r="P502" s="137" cm="1">
        <f t="array" ref="P502">IF(COUNTIF($B$45:$E$45, P$2)&gt;0, _xlfn.IFS(COUNTIF($B$45:$C$45, P$2)&gt;0, VLOOKUP($J502,'Gear Values'!$A$2:$E$13, IF(COUNTBLANK('Attributes &amp; Prefixes'!$B$45:$C$45)&gt;0, "2", "3"), 0), COUNTIF($D$45:$E$45, P$2)&gt;0, VLOOKUP($J502,'Gear Values'!$A$2:$E$13, IF(COUNTBLANK('Attributes &amp; Prefixes'!$B$45:$C$45)&gt;0, "4", "5"), 0)), "")</f>
        <v>21</v>
      </c>
      <c r="Q502" s="137" t="str" cm="1">
        <f t="array" ref="Q502">IF(COUNTIF($B$45:$E$45, Q$2)&gt;0, _xlfn.IFS(COUNTIF($B$45:$C$45, Q$2)&gt;0, VLOOKUP($J502,'Gear Values'!$A$2:$E$13, IF(COUNTBLANK('Attributes &amp; Prefixes'!$B$45:$C$45)&gt;0, "2", "3"), 0), COUNTIF($D$45:$E$45, Q$2)&gt;0, VLOOKUP($J502,'Gear Values'!$A$2:$E$13, IF(COUNTBLANK('Attributes &amp; Prefixes'!$B$45:$C$45)&gt;0, "4", "5"), 0)), "")</f>
        <v/>
      </c>
      <c r="R502" s="137" t="str" cm="1">
        <f t="array" ref="R502">IF(COUNTIF($B$45:$E$45, R$2)&gt;0, _xlfn.IFS(COUNTIF($B$45:$C$45, R$2)&gt;0, VLOOKUP($J502,'Gear Values'!$A$2:$E$13, IF(COUNTBLANK('Attributes &amp; Prefixes'!$B$45:$C$45)&gt;0, "2", "3"), 0), COUNTIF($D$45:$E$45, R$2)&gt;0, VLOOKUP($J502,'Gear Values'!$A$2:$E$13, IF(COUNTBLANK('Attributes &amp; Prefixes'!$B$45:$C$45)&gt;0, "4", "5"), 0)), "")</f>
        <v/>
      </c>
      <c r="S502" s="138" t="str" cm="1">
        <f t="array" ref="S502">IF(COUNTIF($B$45:$E$45, S$2)&gt;0, _xlfn.IFS(COUNTIF($B$45:$C$45, S$2)&gt;0, VLOOKUP($J502,'Gear Values'!$A$2:$E$13, IF(COUNTBLANK('Attributes &amp; Prefixes'!$B$45:$C$45)&gt;0, "2", "3"), 0), COUNTIF($D$45:$E$45, S$2)&gt;0, VLOOKUP($J502,'Gear Values'!$A$2:$E$13, IF(COUNTBLANK('Attributes &amp; Prefixes'!$B$45:$C$45)&gt;0, "4", "5"), 0)), "")</f>
        <v/>
      </c>
      <c r="V502" s="112"/>
      <c r="W502" s="113"/>
    </row>
    <row r="503" spans="6:23">
      <c r="F503" s="114"/>
      <c r="G503" s="114"/>
      <c r="H503" s="130" t="str">
        <f>_xlfn.CONCAT(I$495,J503)</f>
        <v>SwashbucklerEar</v>
      </c>
      <c r="I503" s="520"/>
      <c r="J503" s="144" t="s">
        <v>49</v>
      </c>
      <c r="K503" s="136" cm="1">
        <f t="array" ref="K503">IF(COUNTIF($B$45:$E$45, K$2)&gt;0, _xlfn.IFS(COUNTIF($B$45:$C$45, K$2)&gt;0, VLOOKUP($J503,'Gear Values'!$A$2:$E$13, IF(COUNTBLANK('Attributes &amp; Prefixes'!$B$45:$C$45)&gt;0, "2", "3"), 0), COUNTIF($D$45:$E$45, K$2)&gt;0, VLOOKUP($J503,'Gear Values'!$A$2:$E$13, IF(COUNTBLANK('Attributes &amp; Prefixes'!$B$45:$C$45)&gt;0, "4", "5"), 0)), "")</f>
        <v>64</v>
      </c>
      <c r="L503" s="137" cm="1">
        <f t="array" ref="L503">IF(COUNTIF($B$45:$E$45, L$2)&gt;0, _xlfn.IFS(COUNTIF($B$45:$C$45, L$2)&gt;0, VLOOKUP($J503,'Gear Values'!$A$2:$E$13, IF(COUNTBLANK('Attributes &amp; Prefixes'!$B$45:$C$45)&gt;0, "2", "3"), 0), COUNTIF($D$45:$E$45, L$2)&gt;0, VLOOKUP($J503,'Gear Values'!$A$2:$E$13, IF(COUNTBLANK('Attributes &amp; Prefixes'!$B$45:$C$45)&gt;0, "4", "5"), 0)), "")</f>
        <v>64</v>
      </c>
      <c r="M503" s="137" t="str" cm="1">
        <f t="array" ref="M503">IF(COUNTIF($B$45:$E$45, M$2)&gt;0, _xlfn.IFS(COUNTIF($B$45:$C$45, M$2)&gt;0, VLOOKUP($J503,'Gear Values'!$A$2:$E$13, IF(COUNTBLANK('Attributes &amp; Prefixes'!$B$45:$C$45)&gt;0, "2", "3"), 0), COUNTIF($D$45:$E$45, M$2)&gt;0, VLOOKUP($J503,'Gear Values'!$A$2:$E$13, IF(COUNTBLANK('Attributes &amp; Prefixes'!$B$45:$C$45)&gt;0, "4", "5"), 0)), "")</f>
        <v/>
      </c>
      <c r="N503" s="137" cm="1">
        <f t="array" ref="N503">IF(COUNTIF($B$45:$E$45, N$2)&gt;0, _xlfn.IFS(COUNTIF($B$45:$C$45, N$2)&gt;0, VLOOKUP($J503,'Gear Values'!$A$2:$E$13, IF(COUNTBLANK('Attributes &amp; Prefixes'!$B$45:$C$45)&gt;0, "2", "3"), 0), COUNTIF($D$45:$E$45, N$2)&gt;0, VLOOKUP($J503,'Gear Values'!$A$2:$E$13, IF(COUNTBLANK('Attributes &amp; Prefixes'!$B$45:$C$45)&gt;0, "4", "5"), 0)), "")</f>
        <v>35</v>
      </c>
      <c r="O503" s="137" t="str" cm="1">
        <f t="array" ref="O503">IF(COUNTIF($B$45:$E$45, O$2)&gt;0, _xlfn.IFS(COUNTIF($B$45:$C$45, O$2)&gt;0, VLOOKUP($J503,'Gear Values'!$A$2:$E$13, IF(COUNTBLANK('Attributes &amp; Prefixes'!$B$45:$C$45)&gt;0, "2", "3"), 0), COUNTIF($D$45:$E$45, O$2)&gt;0, VLOOKUP($J503,'Gear Values'!$A$2:$E$13, IF(COUNTBLANK('Attributes &amp; Prefixes'!$B$45:$C$45)&gt;0, "4", "5"), 0)), "")</f>
        <v/>
      </c>
      <c r="P503" s="137" cm="1">
        <f t="array" ref="P503">IF(COUNTIF($B$45:$E$45, P$2)&gt;0, _xlfn.IFS(COUNTIF($B$45:$C$45, P$2)&gt;0, VLOOKUP($J503,'Gear Values'!$A$2:$E$13, IF(COUNTBLANK('Attributes &amp; Prefixes'!$B$45:$C$45)&gt;0, "2", "3"), 0), COUNTIF($D$45:$E$45, P$2)&gt;0, VLOOKUP($J503,'Gear Values'!$A$2:$E$13, IF(COUNTBLANK('Attributes &amp; Prefixes'!$B$45:$C$45)&gt;0, "4", "5"), 0)), "")</f>
        <v>35</v>
      </c>
      <c r="Q503" s="137" t="str" cm="1">
        <f t="array" ref="Q503">IF(COUNTIF($B$45:$E$45, Q$2)&gt;0, _xlfn.IFS(COUNTIF($B$45:$C$45, Q$2)&gt;0, VLOOKUP($J503,'Gear Values'!$A$2:$E$13, IF(COUNTBLANK('Attributes &amp; Prefixes'!$B$45:$C$45)&gt;0, "2", "3"), 0), COUNTIF($D$45:$E$45, Q$2)&gt;0, VLOOKUP($J503,'Gear Values'!$A$2:$E$13, IF(COUNTBLANK('Attributes &amp; Prefixes'!$B$45:$C$45)&gt;0, "4", "5"), 0)), "")</f>
        <v/>
      </c>
      <c r="R503" s="137" t="str" cm="1">
        <f t="array" ref="R503">IF(COUNTIF($B$45:$E$45, R$2)&gt;0, _xlfn.IFS(COUNTIF($B$45:$C$45, R$2)&gt;0, VLOOKUP($J503,'Gear Values'!$A$2:$E$13, IF(COUNTBLANK('Attributes &amp; Prefixes'!$B$45:$C$45)&gt;0, "2", "3"), 0), COUNTIF($D$45:$E$45, R$2)&gt;0, VLOOKUP($J503,'Gear Values'!$A$2:$E$13, IF(COUNTBLANK('Attributes &amp; Prefixes'!$B$45:$C$45)&gt;0, "4", "5"), 0)), "")</f>
        <v/>
      </c>
      <c r="S503" s="138" t="str" cm="1">
        <f t="array" ref="S503">IF(COUNTIF($B$45:$E$45, S$2)&gt;0, _xlfn.IFS(COUNTIF($B$45:$C$45, S$2)&gt;0, VLOOKUP($J503,'Gear Values'!$A$2:$E$13, IF(COUNTBLANK('Attributes &amp; Prefixes'!$B$45:$C$45)&gt;0, "2", "3"), 0), COUNTIF($D$45:$E$45, S$2)&gt;0, VLOOKUP($J503,'Gear Values'!$A$2:$E$13, IF(COUNTBLANK('Attributes &amp; Prefixes'!$B$45:$C$45)&gt;0, "4", "5"), 0)), "")</f>
        <v/>
      </c>
      <c r="V503" s="112"/>
      <c r="W503" s="112"/>
    </row>
    <row r="504" spans="6:23">
      <c r="F504" s="114"/>
      <c r="G504" s="114"/>
      <c r="H504" s="130" t="str">
        <f>_xlfn.CONCAT(I$495,J504)</f>
        <v>SwashbucklerFinger</v>
      </c>
      <c r="I504" s="520"/>
      <c r="J504" s="144" t="s">
        <v>51</v>
      </c>
      <c r="K504" s="136" cm="1">
        <f t="array" ref="K504">IF(COUNTIF($B$45:$E$45, K$2)&gt;0, _xlfn.IFS(COUNTIF($B$45:$C$45, K$2)&gt;0, VLOOKUP($J504,'Gear Values'!$A$2:$E$13, IF(COUNTBLANK('Attributes &amp; Prefixes'!$B$45:$C$45)&gt;0, "2", "3"), 0), COUNTIF($D$45:$E$45, K$2)&gt;0, VLOOKUP($J504,'Gear Values'!$A$2:$E$13, IF(COUNTBLANK('Attributes &amp; Prefixes'!$B$45:$C$45)&gt;0, "4", "5"), 0)), "")</f>
        <v>77</v>
      </c>
      <c r="L504" s="137" cm="1">
        <f t="array" ref="L504">IF(COUNTIF($B$45:$E$45, L$2)&gt;0, _xlfn.IFS(COUNTIF($B$45:$C$45, L$2)&gt;0, VLOOKUP($J504,'Gear Values'!$A$2:$E$13, IF(COUNTBLANK('Attributes &amp; Prefixes'!$B$45:$C$45)&gt;0, "2", "3"), 0), COUNTIF($D$45:$E$45, L$2)&gt;0, VLOOKUP($J504,'Gear Values'!$A$2:$E$13, IF(COUNTBLANK('Attributes &amp; Prefixes'!$B$45:$C$45)&gt;0, "4", "5"), 0)), "")</f>
        <v>77</v>
      </c>
      <c r="M504" s="137" t="str" cm="1">
        <f t="array" ref="M504">IF(COUNTIF($B$45:$E$45, M$2)&gt;0, _xlfn.IFS(COUNTIF($B$45:$C$45, M$2)&gt;0, VLOOKUP($J504,'Gear Values'!$A$2:$E$13, IF(COUNTBLANK('Attributes &amp; Prefixes'!$B$45:$C$45)&gt;0, "2", "3"), 0), COUNTIF($D$45:$E$45, M$2)&gt;0, VLOOKUP($J504,'Gear Values'!$A$2:$E$13, IF(COUNTBLANK('Attributes &amp; Prefixes'!$B$45:$C$45)&gt;0, "4", "5"), 0)), "")</f>
        <v/>
      </c>
      <c r="N504" s="137" cm="1">
        <f t="array" ref="N504">IF(COUNTIF($B$45:$E$45, N$2)&gt;0, _xlfn.IFS(COUNTIF($B$45:$C$45, N$2)&gt;0, VLOOKUP($J504,'Gear Values'!$A$2:$E$13, IF(COUNTBLANK('Attributes &amp; Prefixes'!$B$45:$C$45)&gt;0, "2", "3"), 0), COUNTIF($D$45:$E$45, N$2)&gt;0, VLOOKUP($J504,'Gear Values'!$A$2:$E$13, IF(COUNTBLANK('Attributes &amp; Prefixes'!$B$45:$C$45)&gt;0, "4", "5"), 0)), "")</f>
        <v>42</v>
      </c>
      <c r="O504" s="137" t="str" cm="1">
        <f t="array" ref="O504">IF(COUNTIF($B$45:$E$45, O$2)&gt;0, _xlfn.IFS(COUNTIF($B$45:$C$45, O$2)&gt;0, VLOOKUP($J504,'Gear Values'!$A$2:$E$13, IF(COUNTBLANK('Attributes &amp; Prefixes'!$B$45:$C$45)&gt;0, "2", "3"), 0), COUNTIF($D$45:$E$45, O$2)&gt;0, VLOOKUP($J504,'Gear Values'!$A$2:$E$13, IF(COUNTBLANK('Attributes &amp; Prefixes'!$B$45:$C$45)&gt;0, "4", "5"), 0)), "")</f>
        <v/>
      </c>
      <c r="P504" s="137" cm="1">
        <f t="array" ref="P504">IF(COUNTIF($B$45:$E$45, P$2)&gt;0, _xlfn.IFS(COUNTIF($B$45:$C$45, P$2)&gt;0, VLOOKUP($J504,'Gear Values'!$A$2:$E$13, IF(COUNTBLANK('Attributes &amp; Prefixes'!$B$45:$C$45)&gt;0, "2", "3"), 0), COUNTIF($D$45:$E$45, P$2)&gt;0, VLOOKUP($J504,'Gear Values'!$A$2:$E$13, IF(COUNTBLANK('Attributes &amp; Prefixes'!$B$45:$C$45)&gt;0, "4", "5"), 0)), "")</f>
        <v>42</v>
      </c>
      <c r="Q504" s="137" t="str" cm="1">
        <f t="array" ref="Q504">IF(COUNTIF($B$45:$E$45, Q$2)&gt;0, _xlfn.IFS(COUNTIF($B$45:$C$45, Q$2)&gt;0, VLOOKUP($J504,'Gear Values'!$A$2:$E$13, IF(COUNTBLANK('Attributes &amp; Prefixes'!$B$45:$C$45)&gt;0, "2", "3"), 0), COUNTIF($D$45:$E$45, Q$2)&gt;0, VLOOKUP($J504,'Gear Values'!$A$2:$E$13, IF(COUNTBLANK('Attributes &amp; Prefixes'!$B$45:$C$45)&gt;0, "4", "5"), 0)), "")</f>
        <v/>
      </c>
      <c r="R504" s="137" t="str" cm="1">
        <f t="array" ref="R504">IF(COUNTIF($B$45:$E$45, R$2)&gt;0, _xlfn.IFS(COUNTIF($B$45:$C$45, R$2)&gt;0, VLOOKUP($J504,'Gear Values'!$A$2:$E$13, IF(COUNTBLANK('Attributes &amp; Prefixes'!$B$45:$C$45)&gt;0, "2", "3"), 0), COUNTIF($D$45:$E$45, R$2)&gt;0, VLOOKUP($J504,'Gear Values'!$A$2:$E$13, IF(COUNTBLANK('Attributes &amp; Prefixes'!$B$45:$C$45)&gt;0, "4", "5"), 0)), "")</f>
        <v/>
      </c>
      <c r="S504" s="138" t="str" cm="1">
        <f t="array" ref="S504">IF(COUNTIF($B$45:$E$45, S$2)&gt;0, _xlfn.IFS(COUNTIF($B$45:$C$45, S$2)&gt;0, VLOOKUP($J504,'Gear Values'!$A$2:$E$13, IF(COUNTBLANK('Attributes &amp; Prefixes'!$B$45:$C$45)&gt;0, "2", "3"), 0), COUNTIF($D$45:$E$45, S$2)&gt;0, VLOOKUP($J504,'Gear Values'!$A$2:$E$13, IF(COUNTBLANK('Attributes &amp; Prefixes'!$B$45:$C$45)&gt;0, "4", "5"), 0)), "")</f>
        <v/>
      </c>
      <c r="V504" s="112"/>
      <c r="W504" s="112"/>
    </row>
    <row r="505" spans="6:23">
      <c r="F505" s="114"/>
      <c r="G505" s="114"/>
      <c r="H505" s="130" t="str">
        <f>_xlfn.CONCAT(I$495,J505)</f>
        <v>SwashbucklerNeck</v>
      </c>
      <c r="I505" s="520"/>
      <c r="J505" s="144" t="s">
        <v>52</v>
      </c>
      <c r="K505" s="136" cm="1">
        <f t="array" ref="K505">IF(COUNTIF($B$45:$E$45, K$2)&gt;0, _xlfn.IFS(COUNTIF($B$45:$C$45, K$2)&gt;0, VLOOKUP($J505,'Gear Values'!$A$2:$E$13, IF(COUNTBLANK('Attributes &amp; Prefixes'!$B$45:$C$45)&gt;0, "2", "3"), 0), COUNTIF($D$45:$E$45, K$2)&gt;0, VLOOKUP($J505,'Gear Values'!$A$2:$E$13, IF(COUNTBLANK('Attributes &amp; Prefixes'!$B$45:$C$45)&gt;0, "4", "5"), 0)), "")</f>
        <v>102</v>
      </c>
      <c r="L505" s="137" cm="1">
        <f t="array" ref="L505">IF(COUNTIF($B$45:$E$45, L$2)&gt;0, _xlfn.IFS(COUNTIF($B$45:$C$45, L$2)&gt;0, VLOOKUP($J505,'Gear Values'!$A$2:$E$13, IF(COUNTBLANK('Attributes &amp; Prefixes'!$B$45:$C$45)&gt;0, "2", "3"), 0), COUNTIF($D$45:$E$45, L$2)&gt;0, VLOOKUP($J505,'Gear Values'!$A$2:$E$13, IF(COUNTBLANK('Attributes &amp; Prefixes'!$B$45:$C$45)&gt;0, "4", "5"), 0)), "")</f>
        <v>102</v>
      </c>
      <c r="M505" s="137" t="str" cm="1">
        <f t="array" ref="M505">IF(COUNTIF($B$45:$E$45, M$2)&gt;0, _xlfn.IFS(COUNTIF($B$45:$C$45, M$2)&gt;0, VLOOKUP($J505,'Gear Values'!$A$2:$E$13, IF(COUNTBLANK('Attributes &amp; Prefixes'!$B$45:$C$45)&gt;0, "2", "3"), 0), COUNTIF($D$45:$E$45, M$2)&gt;0, VLOOKUP($J505,'Gear Values'!$A$2:$E$13, IF(COUNTBLANK('Attributes &amp; Prefixes'!$B$45:$C$45)&gt;0, "4", "5"), 0)), "")</f>
        <v/>
      </c>
      <c r="N505" s="137" cm="1">
        <f t="array" ref="N505">IF(COUNTIF($B$45:$E$45, N$2)&gt;0, _xlfn.IFS(COUNTIF($B$45:$C$45, N$2)&gt;0, VLOOKUP($J505,'Gear Values'!$A$2:$E$13, IF(COUNTBLANK('Attributes &amp; Prefixes'!$B$45:$C$45)&gt;0, "2", "3"), 0), COUNTIF($D$45:$E$45, N$2)&gt;0, VLOOKUP($J505,'Gear Values'!$A$2:$E$13, IF(COUNTBLANK('Attributes &amp; Prefixes'!$B$45:$C$45)&gt;0, "4", "5"), 0)), "")</f>
        <v>56</v>
      </c>
      <c r="O505" s="137" t="str" cm="1">
        <f t="array" ref="O505">IF(COUNTIF($B$45:$E$45, O$2)&gt;0, _xlfn.IFS(COUNTIF($B$45:$C$45, O$2)&gt;0, VLOOKUP($J505,'Gear Values'!$A$2:$E$13, IF(COUNTBLANK('Attributes &amp; Prefixes'!$B$45:$C$45)&gt;0, "2", "3"), 0), COUNTIF($D$45:$E$45, O$2)&gt;0, VLOOKUP($J505,'Gear Values'!$A$2:$E$13, IF(COUNTBLANK('Attributes &amp; Prefixes'!$B$45:$C$45)&gt;0, "4", "5"), 0)), "")</f>
        <v/>
      </c>
      <c r="P505" s="137" cm="1">
        <f t="array" ref="P505">IF(COUNTIF($B$45:$E$45, P$2)&gt;0, _xlfn.IFS(COUNTIF($B$45:$C$45, P$2)&gt;0, VLOOKUP($J505,'Gear Values'!$A$2:$E$13, IF(COUNTBLANK('Attributes &amp; Prefixes'!$B$45:$C$45)&gt;0, "2", "3"), 0), COUNTIF($D$45:$E$45, P$2)&gt;0, VLOOKUP($J505,'Gear Values'!$A$2:$E$13, IF(COUNTBLANK('Attributes &amp; Prefixes'!$B$45:$C$45)&gt;0, "4", "5"), 0)), "")</f>
        <v>56</v>
      </c>
      <c r="Q505" s="137" t="str" cm="1">
        <f t="array" ref="Q505">IF(COUNTIF($B$45:$E$45, Q$2)&gt;0, _xlfn.IFS(COUNTIF($B$45:$C$45, Q$2)&gt;0, VLOOKUP($J505,'Gear Values'!$A$2:$E$13, IF(COUNTBLANK('Attributes &amp; Prefixes'!$B$45:$C$45)&gt;0, "2", "3"), 0), COUNTIF($D$45:$E$45, Q$2)&gt;0, VLOOKUP($J505,'Gear Values'!$A$2:$E$13, IF(COUNTBLANK('Attributes &amp; Prefixes'!$B$45:$C$45)&gt;0, "4", "5"), 0)), "")</f>
        <v/>
      </c>
      <c r="R505" s="137" t="str" cm="1">
        <f t="array" ref="R505">IF(COUNTIF($B$45:$E$45, R$2)&gt;0, _xlfn.IFS(COUNTIF($B$45:$C$45, R$2)&gt;0, VLOOKUP($J505,'Gear Values'!$A$2:$E$13, IF(COUNTBLANK('Attributes &amp; Prefixes'!$B$45:$C$45)&gt;0, "2", "3"), 0), COUNTIF($D$45:$E$45, R$2)&gt;0, VLOOKUP($J505,'Gear Values'!$A$2:$E$13, IF(COUNTBLANK('Attributes &amp; Prefixes'!$B$45:$C$45)&gt;0, "4", "5"), 0)), "")</f>
        <v/>
      </c>
      <c r="S505" s="138" t="str" cm="1">
        <f t="array" ref="S505">IF(COUNTIF($B$45:$E$45, S$2)&gt;0, _xlfn.IFS(COUNTIF($B$45:$C$45, S$2)&gt;0, VLOOKUP($J505,'Gear Values'!$A$2:$E$13, IF(COUNTBLANK('Attributes &amp; Prefixes'!$B$45:$C$45)&gt;0, "2", "3"), 0), COUNTIF($D$45:$E$45, S$2)&gt;0, VLOOKUP($J505,'Gear Values'!$A$2:$E$13, IF(COUNTBLANK('Attributes &amp; Prefixes'!$B$45:$C$45)&gt;0, "4", "5"), 0)), "")</f>
        <v/>
      </c>
      <c r="V505" s="112"/>
      <c r="W505" s="112"/>
    </row>
    <row r="506" spans="6:23">
      <c r="F506" s="114"/>
      <c r="G506" s="114"/>
      <c r="H506" s="130" t="str">
        <f>_xlfn.CONCAT(I$495,J506)</f>
        <v>SwashbucklerBack</v>
      </c>
      <c r="I506" s="521"/>
      <c r="J506" s="146" t="s">
        <v>53</v>
      </c>
      <c r="K506" s="147" t="str" cm="1">
        <f t="array" ref="K506">IF(COUNTIF($B$45:$E$45, K$2)&gt;0, _xlfn.IFS(COUNTIF($B$45:$C$45, K$2)&gt;0, VLOOKUP($J506,'Gear Values'!$A$2:$E$13, IF(COUNTBLANK('Attributes &amp; Prefixes'!$B$45:$C$45)&gt;0, "2", "3"), 0), COUNTIF($D$45:$E$45, K$2)&gt;0, VLOOKUP($J506,'Gear Values'!$A$2:$E$13, IF(COUNTBLANK('Attributes &amp; Prefixes'!$B$45:$C$45)&gt;0, "4", "5"), 0)), "")</f>
        <v>N/A</v>
      </c>
      <c r="L506" s="148" t="str" cm="1">
        <f t="array" ref="L506">IF(COUNTIF($B$45:$E$45, L$2)&gt;0, _xlfn.IFS(COUNTIF($B$45:$C$45, L$2)&gt;0, VLOOKUP($J506,'Gear Values'!$A$2:$E$13, IF(COUNTBLANK('Attributes &amp; Prefixes'!$B$45:$C$45)&gt;0, "2", "3"), 0), COUNTIF($D$45:$E$45, L$2)&gt;0, VLOOKUP($J506,'Gear Values'!$A$2:$E$13, IF(COUNTBLANK('Attributes &amp; Prefixes'!$B$45:$C$45)&gt;0, "4", "5"), 0)), "")</f>
        <v>N/A</v>
      </c>
      <c r="M506" s="148" t="str" cm="1">
        <f t="array" ref="M506">IF(COUNTIF($B$45:$E$45, M$2)&gt;0, _xlfn.IFS(COUNTIF($B$45:$C$45, M$2)&gt;0, VLOOKUP($J506,'Gear Values'!$A$2:$E$13, IF(COUNTBLANK('Attributes &amp; Prefixes'!$B$45:$C$45)&gt;0, "2", "3"), 0), COUNTIF($D$45:$E$45, M$2)&gt;0, VLOOKUP($J506,'Gear Values'!$A$2:$E$13, IF(COUNTBLANK('Attributes &amp; Prefixes'!$B$45:$C$45)&gt;0, "4", "5"), 0)), "")</f>
        <v/>
      </c>
      <c r="N506" s="148" t="str" cm="1">
        <f t="array" ref="N506">IF(COUNTIF($B$45:$E$45, N$2)&gt;0, _xlfn.IFS(COUNTIF($B$45:$C$45, N$2)&gt;0, VLOOKUP($J506,'Gear Values'!$A$2:$E$13, IF(COUNTBLANK('Attributes &amp; Prefixes'!$B$45:$C$45)&gt;0, "2", "3"), 0), COUNTIF($D$45:$E$45, N$2)&gt;0, VLOOKUP($J506,'Gear Values'!$A$2:$E$13, IF(COUNTBLANK('Attributes &amp; Prefixes'!$B$45:$C$45)&gt;0, "4", "5"), 0)), "")</f>
        <v>N/A</v>
      </c>
      <c r="O506" s="148" t="str" cm="1">
        <f t="array" ref="O506">IF(COUNTIF($B$45:$E$45, O$2)&gt;0, _xlfn.IFS(COUNTIF($B$45:$C$45, O$2)&gt;0, VLOOKUP($J506,'Gear Values'!$A$2:$E$13, IF(COUNTBLANK('Attributes &amp; Prefixes'!$B$45:$C$45)&gt;0, "2", "3"), 0), COUNTIF($D$45:$E$45, O$2)&gt;0, VLOOKUP($J506,'Gear Values'!$A$2:$E$13, IF(COUNTBLANK('Attributes &amp; Prefixes'!$B$45:$C$45)&gt;0, "4", "5"), 0)), "")</f>
        <v/>
      </c>
      <c r="P506" s="148" t="str" cm="1">
        <f t="array" ref="P506">IF(COUNTIF($B$45:$E$45, P$2)&gt;0, _xlfn.IFS(COUNTIF($B$45:$C$45, P$2)&gt;0, VLOOKUP($J506,'Gear Values'!$A$2:$E$13, IF(COUNTBLANK('Attributes &amp; Prefixes'!$B$45:$C$45)&gt;0, "2", "3"), 0), COUNTIF($D$45:$E$45, P$2)&gt;0, VLOOKUP($J506,'Gear Values'!$A$2:$E$13, IF(COUNTBLANK('Attributes &amp; Prefixes'!$B$45:$C$45)&gt;0, "4", "5"), 0)), "")</f>
        <v>N/A</v>
      </c>
      <c r="Q506" s="148" t="str" cm="1">
        <f t="array" ref="Q506">IF(COUNTIF($B$45:$E$45, Q$2)&gt;0, _xlfn.IFS(COUNTIF($B$45:$C$45, Q$2)&gt;0, VLOOKUP($J506,'Gear Values'!$A$2:$E$13, IF(COUNTBLANK('Attributes &amp; Prefixes'!$B$45:$C$45)&gt;0, "2", "3"), 0), COUNTIF($D$45:$E$45, Q$2)&gt;0, VLOOKUP($J506,'Gear Values'!$A$2:$E$13, IF(COUNTBLANK('Attributes &amp; Prefixes'!$B$45:$C$45)&gt;0, "4", "5"), 0)), "")</f>
        <v/>
      </c>
      <c r="R506" s="148" t="str" cm="1">
        <f t="array" ref="R506">IF(COUNTIF($B$45:$E$45, R$2)&gt;0, _xlfn.IFS(COUNTIF($B$45:$C$45, R$2)&gt;0, VLOOKUP($J506,'Gear Values'!$A$2:$E$13, IF(COUNTBLANK('Attributes &amp; Prefixes'!$B$45:$C$45)&gt;0, "2", "3"), 0), COUNTIF($D$45:$E$45, R$2)&gt;0, VLOOKUP($J506,'Gear Values'!$A$2:$E$13, IF(COUNTBLANK('Attributes &amp; Prefixes'!$B$45:$C$45)&gt;0, "4", "5"), 0)), "")</f>
        <v/>
      </c>
      <c r="S506" s="150" t="str" cm="1">
        <f t="array" ref="S506">IF(COUNTIF($B$45:$E$45, S$2)&gt;0, _xlfn.IFS(COUNTIF($B$45:$C$45, S$2)&gt;0, VLOOKUP($J506,'Gear Values'!$A$2:$E$13, IF(COUNTBLANK('Attributes &amp; Prefixes'!$B$45:$C$45)&gt;0, "2", "3"), 0), COUNTIF($D$45:$E$45, S$2)&gt;0, VLOOKUP($J506,'Gear Values'!$A$2:$E$13, IF(COUNTBLANK('Attributes &amp; Prefixes'!$B$45:$C$45)&gt;0, "4", "5"), 0)), "")</f>
        <v/>
      </c>
      <c r="V506" s="112"/>
      <c r="W506" s="112"/>
    </row>
    <row r="507" spans="6:23">
      <c r="F507" s="114"/>
      <c r="G507" s="114"/>
      <c r="H507" s="130" t="str">
        <f>_xlfn.CONCAT(I$507,J507)</f>
        <v>TrailblazerWeapon (1H)</v>
      </c>
      <c r="I507" s="519" t="str">
        <f>A46</f>
        <v>Trailblazer</v>
      </c>
      <c r="J507" s="145" t="s">
        <v>37</v>
      </c>
      <c r="K507" s="133" t="str" cm="1">
        <f t="array" ref="K507">IF(COUNTIF($B$46:$E$46, K$2)&gt;0, _xlfn.IFS(COUNTIF($B$46:$C$46, K$2)&gt;0, VLOOKUP($J507,'Gear Values'!$A$2:$E$13, IF(COUNTBLANK('Attributes &amp; Prefixes'!$B$46:$C$46)&gt;0, "2", "3"), 0), COUNTIF($D$46:$E$46, K$2)&gt;0, VLOOKUP($J507,'Gear Values'!$A$2:$E$13, IF(COUNTBLANK('Attributes &amp; Prefixes'!$B$46:$C$46)&gt;0, "4", "5"), 0)), "")</f>
        <v/>
      </c>
      <c r="L507" s="134" t="str" cm="1">
        <f t="array" ref="L507">IF(COUNTIF($B$46:$E$46, L$2)&gt;0, _xlfn.IFS(COUNTIF($B$46:$C$46, L$2)&gt;0, VLOOKUP($J507,'Gear Values'!$A$2:$E$13, IF(COUNTBLANK('Attributes &amp; Prefixes'!$B$46:$C$46)&gt;0, "2", "3"), 0), COUNTIF($D$46:$E$46, L$2)&gt;0, VLOOKUP($J507,'Gear Values'!$A$2:$E$13, IF(COUNTBLANK('Attributes &amp; Prefixes'!$B$46:$C$46)&gt;0, "4", "5"), 0)), "")</f>
        <v/>
      </c>
      <c r="M507" s="134" cm="1">
        <f t="array" ref="M507">IF(COUNTIF($B$46:$E$46, M$2)&gt;0, _xlfn.IFS(COUNTIF($B$46:$C$46, M$2)&gt;0, VLOOKUP($J507,'Gear Values'!$A$2:$E$13, IF(COUNTBLANK('Attributes &amp; Prefixes'!$B$46:$C$46)&gt;0, "2", "3"), 0), COUNTIF($D$46:$E$46, M$2)&gt;0, VLOOKUP($J507,'Gear Values'!$A$2:$E$13, IF(COUNTBLANK('Attributes &amp; Prefixes'!$B$46:$C$46)&gt;0, "4", "5"), 0)), "")</f>
        <v>102</v>
      </c>
      <c r="N507" s="134" cm="1">
        <f t="array" ref="N507">IF(COUNTIF($B$46:$E$46, N$2)&gt;0, _xlfn.IFS(COUNTIF($B$46:$C$46, N$2)&gt;0, VLOOKUP($J507,'Gear Values'!$A$2:$E$13, IF(COUNTBLANK('Attributes &amp; Prefixes'!$B$46:$C$46)&gt;0, "2", "3"), 0), COUNTIF($D$46:$E$46, N$2)&gt;0, VLOOKUP($J507,'Gear Values'!$A$2:$E$13, IF(COUNTBLANK('Attributes &amp; Prefixes'!$B$46:$C$46)&gt;0, "4", "5"), 0)), "")</f>
        <v>56</v>
      </c>
      <c r="O507" s="134" t="str" cm="1">
        <f t="array" ref="O507">IF(COUNTIF($B$46:$E$46, O$2)&gt;0, _xlfn.IFS(COUNTIF($B$46:$C$46, O$2)&gt;0, VLOOKUP($J507,'Gear Values'!$A$2:$E$13, IF(COUNTBLANK('Attributes &amp; Prefixes'!$B$46:$C$46)&gt;0, "2", "3"), 0), COUNTIF($D$46:$E$46, O$2)&gt;0, VLOOKUP($J507,'Gear Values'!$A$2:$E$13, IF(COUNTBLANK('Attributes &amp; Prefixes'!$B$46:$C$46)&gt;0, "4", "5"), 0)), "")</f>
        <v/>
      </c>
      <c r="P507" s="134" cm="1">
        <f t="array" ref="P507">IF(COUNTIF($B$46:$E$46, P$2)&gt;0, _xlfn.IFS(COUNTIF($B$46:$C$46, P$2)&gt;0, VLOOKUP($J507,'Gear Values'!$A$2:$E$13, IF(COUNTBLANK('Attributes &amp; Prefixes'!$B$46:$C$46)&gt;0, "2", "3"), 0), COUNTIF($D$46:$E$46, P$2)&gt;0, VLOOKUP($J507,'Gear Values'!$A$2:$E$13, IF(COUNTBLANK('Attributes &amp; Prefixes'!$B$46:$C$46)&gt;0, "4", "5"), 0)), "")</f>
        <v>102</v>
      </c>
      <c r="Q507" s="134" cm="1">
        <f t="array" ref="Q507">IF(COUNTIF($B$46:$E$46, Q$2)&gt;0, _xlfn.IFS(COUNTIF($B$46:$C$46, Q$2)&gt;0, VLOOKUP($J507,'Gear Values'!$A$2:$E$13, IF(COUNTBLANK('Attributes &amp; Prefixes'!$B$46:$C$46)&gt;0, "2", "3"), 0), COUNTIF($D$46:$E$46, Q$2)&gt;0, VLOOKUP($J507,'Gear Values'!$A$2:$E$13, IF(COUNTBLANK('Attributes &amp; Prefixes'!$B$46:$C$46)&gt;0, "4", "5"), 0)), "")</f>
        <v>56</v>
      </c>
      <c r="R507" s="134" t="str" cm="1">
        <f t="array" ref="R507">IF(COUNTIF($B$46:$E$46, R$2)&gt;0, _xlfn.IFS(COUNTIF($B$46:$C$46, R$2)&gt;0, VLOOKUP($J507,'Gear Values'!$A$2:$E$13, IF(COUNTBLANK('Attributes &amp; Prefixes'!$B$46:$C$46)&gt;0, "2", "3"), 0), COUNTIF($D$46:$E$46, R$2)&gt;0, VLOOKUP($J507,'Gear Values'!$A$2:$E$13, IF(COUNTBLANK('Attributes &amp; Prefixes'!$B$46:$C$46)&gt;0, "4", "5"), 0)), "")</f>
        <v/>
      </c>
      <c r="S507" s="135" t="str" cm="1">
        <f t="array" ref="S507">IF(COUNTIF($B$46:$E$46, S$2)&gt;0, _xlfn.IFS(COUNTIF($B$46:$C$46, S$2)&gt;0, VLOOKUP($J507,'Gear Values'!$A$2:$E$13, IF(COUNTBLANK('Attributes &amp; Prefixes'!$B$46:$C$46)&gt;0, "2", "3"), 0), COUNTIF($D$46:$E$46, S$2)&gt;0, VLOOKUP($J507,'Gear Values'!$A$2:$E$13, IF(COUNTBLANK('Attributes &amp; Prefixes'!$B$46:$C$46)&gt;0, "4", "5"), 0)), "")</f>
        <v/>
      </c>
      <c r="V507" s="112"/>
      <c r="W507" s="112"/>
    </row>
    <row r="508" spans="6:23">
      <c r="F508" s="114"/>
      <c r="G508" s="114"/>
      <c r="H508" s="130" t="str">
        <f>_xlfn.CONCAT(I$507,J508)</f>
        <v>TrailblazerWeapon (2H)</v>
      </c>
      <c r="I508" s="520"/>
      <c r="J508" s="144" t="s">
        <v>39</v>
      </c>
      <c r="K508" s="136" t="str" cm="1">
        <f t="array" ref="K508">IF(COUNTIF($B$46:$E$46, K$2)&gt;0, _xlfn.IFS(COUNTIF($B$46:$C$46, K$2)&gt;0, VLOOKUP($J508,'Gear Values'!$A$2:$E$13, IF(COUNTBLANK('Attributes &amp; Prefixes'!$B$46:$C$46)&gt;0, "2", "3"), 0), COUNTIF($D$46:$E$46, K$2)&gt;0, VLOOKUP($J508,'Gear Values'!$A$2:$E$13, IF(COUNTBLANK('Attributes &amp; Prefixes'!$B$46:$C$46)&gt;0, "4", "5"), 0)), "")</f>
        <v/>
      </c>
      <c r="L508" s="137" t="str" cm="1">
        <f t="array" ref="L508">IF(COUNTIF($B$46:$E$46, L$2)&gt;0, _xlfn.IFS(COUNTIF($B$46:$C$46, L$2)&gt;0, VLOOKUP($J508,'Gear Values'!$A$2:$E$13, IF(COUNTBLANK('Attributes &amp; Prefixes'!$B$46:$C$46)&gt;0, "2", "3"), 0), COUNTIF($D$46:$E$46, L$2)&gt;0, VLOOKUP($J508,'Gear Values'!$A$2:$E$13, IF(COUNTBLANK('Attributes &amp; Prefixes'!$B$46:$C$46)&gt;0, "4", "5"), 0)), "")</f>
        <v/>
      </c>
      <c r="M508" s="137" cm="1">
        <f t="array" ref="M508">IF(COUNTIF($B$46:$E$46, M$2)&gt;0, _xlfn.IFS(COUNTIF($B$46:$C$46, M$2)&gt;0, VLOOKUP($J508,'Gear Values'!$A$2:$E$13, IF(COUNTBLANK('Attributes &amp; Prefixes'!$B$46:$C$46)&gt;0, "2", "3"), 0), COUNTIF($D$46:$E$46, M$2)&gt;0, VLOOKUP($J508,'Gear Values'!$A$2:$E$13, IF(COUNTBLANK('Attributes &amp; Prefixes'!$B$46:$C$46)&gt;0, "4", "5"), 0)), "")</f>
        <v>205</v>
      </c>
      <c r="N508" s="137" cm="1">
        <f t="array" ref="N508">IF(COUNTIF($B$46:$E$46, N$2)&gt;0, _xlfn.IFS(COUNTIF($B$46:$C$46, N$2)&gt;0, VLOOKUP($J508,'Gear Values'!$A$2:$E$13, IF(COUNTBLANK('Attributes &amp; Prefixes'!$B$46:$C$46)&gt;0, "2", "3"), 0), COUNTIF($D$46:$E$46, N$2)&gt;0, VLOOKUP($J508,'Gear Values'!$A$2:$E$13, IF(COUNTBLANK('Attributes &amp; Prefixes'!$B$46:$C$46)&gt;0, "4", "5"), 0)), "")</f>
        <v>113</v>
      </c>
      <c r="O508" s="137" t="str" cm="1">
        <f t="array" ref="O508">IF(COUNTIF($B$46:$E$46, O$2)&gt;0, _xlfn.IFS(COUNTIF($B$46:$C$46, O$2)&gt;0, VLOOKUP($J508,'Gear Values'!$A$2:$E$13, IF(COUNTBLANK('Attributes &amp; Prefixes'!$B$46:$C$46)&gt;0, "2", "3"), 0), COUNTIF($D$46:$E$46, O$2)&gt;0, VLOOKUP($J508,'Gear Values'!$A$2:$E$13, IF(COUNTBLANK('Attributes &amp; Prefixes'!$B$46:$C$46)&gt;0, "4", "5"), 0)), "")</f>
        <v/>
      </c>
      <c r="P508" s="137" cm="1">
        <f t="array" ref="P508">IF(COUNTIF($B$46:$E$46, P$2)&gt;0, _xlfn.IFS(COUNTIF($B$46:$C$46, P$2)&gt;0, VLOOKUP($J508,'Gear Values'!$A$2:$E$13, IF(COUNTBLANK('Attributes &amp; Prefixes'!$B$46:$C$46)&gt;0, "2", "3"), 0), COUNTIF($D$46:$E$46, P$2)&gt;0, VLOOKUP($J508,'Gear Values'!$A$2:$E$13, IF(COUNTBLANK('Attributes &amp; Prefixes'!$B$46:$C$46)&gt;0, "4", "5"), 0)), "")</f>
        <v>205</v>
      </c>
      <c r="Q508" s="137" cm="1">
        <f t="array" ref="Q508">IF(COUNTIF($B$46:$E$46, Q$2)&gt;0, _xlfn.IFS(COUNTIF($B$46:$C$46, Q$2)&gt;0, VLOOKUP($J508,'Gear Values'!$A$2:$E$13, IF(COUNTBLANK('Attributes &amp; Prefixes'!$B$46:$C$46)&gt;0, "2", "3"), 0), COUNTIF($D$46:$E$46, Q$2)&gt;0, VLOOKUP($J508,'Gear Values'!$A$2:$E$13, IF(COUNTBLANK('Attributes &amp; Prefixes'!$B$46:$C$46)&gt;0, "4", "5"), 0)), "")</f>
        <v>113</v>
      </c>
      <c r="R508" s="137" t="str" cm="1">
        <f t="array" ref="R508">IF(COUNTIF($B$46:$E$46, R$2)&gt;0, _xlfn.IFS(COUNTIF($B$46:$C$46, R$2)&gt;0, VLOOKUP($J508,'Gear Values'!$A$2:$E$13, IF(COUNTBLANK('Attributes &amp; Prefixes'!$B$46:$C$46)&gt;0, "2", "3"), 0), COUNTIF($D$46:$E$46, R$2)&gt;0, VLOOKUP($J508,'Gear Values'!$A$2:$E$13, IF(COUNTBLANK('Attributes &amp; Prefixes'!$B$46:$C$46)&gt;0, "4", "5"), 0)), "")</f>
        <v/>
      </c>
      <c r="S508" s="138" t="str" cm="1">
        <f t="array" ref="S508">IF(COUNTIF($B$46:$E$46, S$2)&gt;0, _xlfn.IFS(COUNTIF($B$46:$C$46, S$2)&gt;0, VLOOKUP($J508,'Gear Values'!$A$2:$E$13, IF(COUNTBLANK('Attributes &amp; Prefixes'!$B$46:$C$46)&gt;0, "2", "3"), 0), COUNTIF($D$46:$E$46, S$2)&gt;0, VLOOKUP($J508,'Gear Values'!$A$2:$E$13, IF(COUNTBLANK('Attributes &amp; Prefixes'!$B$46:$C$46)&gt;0, "4", "5"), 0)), "")</f>
        <v/>
      </c>
      <c r="V508" s="112"/>
      <c r="W508" s="112"/>
    </row>
    <row r="509" spans="6:23">
      <c r="F509" s="114"/>
      <c r="G509" s="114"/>
      <c r="H509" s="130" t="str">
        <f>_xlfn.CONCAT(I$507,J509)</f>
        <v>TrailblazerHead</v>
      </c>
      <c r="I509" s="520"/>
      <c r="J509" s="144" t="s">
        <v>40</v>
      </c>
      <c r="K509" s="136" t="str" cm="1">
        <f t="array" ref="K509">IF(COUNTIF($B$46:$E$46, K$2)&gt;0, _xlfn.IFS(COUNTIF($B$46:$C$46, K$2)&gt;0, VLOOKUP($J509,'Gear Values'!$A$2:$E$13, IF(COUNTBLANK('Attributes &amp; Prefixes'!$B$46:$C$46)&gt;0, "2", "3"), 0), COUNTIF($D$46:$E$46, K$2)&gt;0, VLOOKUP($J509,'Gear Values'!$A$2:$E$13, IF(COUNTBLANK('Attributes &amp; Prefixes'!$B$46:$C$46)&gt;0, "4", "5"), 0)), "")</f>
        <v/>
      </c>
      <c r="L509" s="137" t="str" cm="1">
        <f t="array" ref="L509">IF(COUNTIF($B$46:$E$46, L$2)&gt;0, _xlfn.IFS(COUNTIF($B$46:$C$46, L$2)&gt;0, VLOOKUP($J509,'Gear Values'!$A$2:$E$13, IF(COUNTBLANK('Attributes &amp; Prefixes'!$B$46:$C$46)&gt;0, "2", "3"), 0), COUNTIF($D$46:$E$46, L$2)&gt;0, VLOOKUP($J509,'Gear Values'!$A$2:$E$13, IF(COUNTBLANK('Attributes &amp; Prefixes'!$B$46:$C$46)&gt;0, "4", "5"), 0)), "")</f>
        <v/>
      </c>
      <c r="M509" s="137" cm="1">
        <f t="array" ref="M509">IF(COUNTIF($B$46:$E$46, M$2)&gt;0, _xlfn.IFS(COUNTIF($B$46:$C$46, M$2)&gt;0, VLOOKUP($J509,'Gear Values'!$A$2:$E$13, IF(COUNTBLANK('Attributes &amp; Prefixes'!$B$46:$C$46)&gt;0, "2", "3"), 0), COUNTIF($D$46:$E$46, M$2)&gt;0, VLOOKUP($J509,'Gear Values'!$A$2:$E$13, IF(COUNTBLANK('Attributes &amp; Prefixes'!$B$46:$C$46)&gt;0, "4", "5"), 0)), "")</f>
        <v>51</v>
      </c>
      <c r="N509" s="137" cm="1">
        <f t="array" ref="N509">IF(COUNTIF($B$46:$E$46, N$2)&gt;0, _xlfn.IFS(COUNTIF($B$46:$C$46, N$2)&gt;0, VLOOKUP($J509,'Gear Values'!$A$2:$E$13, IF(COUNTBLANK('Attributes &amp; Prefixes'!$B$46:$C$46)&gt;0, "2", "3"), 0), COUNTIF($D$46:$E$46, N$2)&gt;0, VLOOKUP($J509,'Gear Values'!$A$2:$E$13, IF(COUNTBLANK('Attributes &amp; Prefixes'!$B$46:$C$46)&gt;0, "4", "5"), 0)), "")</f>
        <v>28</v>
      </c>
      <c r="O509" s="137" t="str" cm="1">
        <f t="array" ref="O509">IF(COUNTIF($B$46:$E$46, O$2)&gt;0, _xlfn.IFS(COUNTIF($B$46:$C$46, O$2)&gt;0, VLOOKUP($J509,'Gear Values'!$A$2:$E$13, IF(COUNTBLANK('Attributes &amp; Prefixes'!$B$46:$C$46)&gt;0, "2", "3"), 0), COUNTIF($D$46:$E$46, O$2)&gt;0, VLOOKUP($J509,'Gear Values'!$A$2:$E$13, IF(COUNTBLANK('Attributes &amp; Prefixes'!$B$46:$C$46)&gt;0, "4", "5"), 0)), "")</f>
        <v/>
      </c>
      <c r="P509" s="137" cm="1">
        <f t="array" ref="P509">IF(COUNTIF($B$46:$E$46, P$2)&gt;0, _xlfn.IFS(COUNTIF($B$46:$C$46, P$2)&gt;0, VLOOKUP($J509,'Gear Values'!$A$2:$E$13, IF(COUNTBLANK('Attributes &amp; Prefixes'!$B$46:$C$46)&gt;0, "2", "3"), 0), COUNTIF($D$46:$E$46, P$2)&gt;0, VLOOKUP($J509,'Gear Values'!$A$2:$E$13, IF(COUNTBLANK('Attributes &amp; Prefixes'!$B$46:$C$46)&gt;0, "4", "5"), 0)), "")</f>
        <v>51</v>
      </c>
      <c r="Q509" s="137" cm="1">
        <f t="array" ref="Q509">IF(COUNTIF($B$46:$E$46, Q$2)&gt;0, _xlfn.IFS(COUNTIF($B$46:$C$46, Q$2)&gt;0, VLOOKUP($J509,'Gear Values'!$A$2:$E$13, IF(COUNTBLANK('Attributes &amp; Prefixes'!$B$46:$C$46)&gt;0, "2", "3"), 0), COUNTIF($D$46:$E$46, Q$2)&gt;0, VLOOKUP($J509,'Gear Values'!$A$2:$E$13, IF(COUNTBLANK('Attributes &amp; Prefixes'!$B$46:$C$46)&gt;0, "4", "5"), 0)), "")</f>
        <v>28</v>
      </c>
      <c r="R509" s="137" t="str" cm="1">
        <f t="array" ref="R509">IF(COUNTIF($B$46:$E$46, R$2)&gt;0, _xlfn.IFS(COUNTIF($B$46:$C$46, R$2)&gt;0, VLOOKUP($J509,'Gear Values'!$A$2:$E$13, IF(COUNTBLANK('Attributes &amp; Prefixes'!$B$46:$C$46)&gt;0, "2", "3"), 0), COUNTIF($D$46:$E$46, R$2)&gt;0, VLOOKUP($J509,'Gear Values'!$A$2:$E$13, IF(COUNTBLANK('Attributes &amp; Prefixes'!$B$46:$C$46)&gt;0, "4", "5"), 0)), "")</f>
        <v/>
      </c>
      <c r="S509" s="138" t="str" cm="1">
        <f t="array" ref="S509">IF(COUNTIF($B$46:$E$46, S$2)&gt;0, _xlfn.IFS(COUNTIF($B$46:$C$46, S$2)&gt;0, VLOOKUP($J509,'Gear Values'!$A$2:$E$13, IF(COUNTBLANK('Attributes &amp; Prefixes'!$B$46:$C$46)&gt;0, "2", "3"), 0), COUNTIF($D$46:$E$46, S$2)&gt;0, VLOOKUP($J509,'Gear Values'!$A$2:$E$13, IF(COUNTBLANK('Attributes &amp; Prefixes'!$B$46:$C$46)&gt;0, "4", "5"), 0)), "")</f>
        <v/>
      </c>
      <c r="V509" s="112"/>
      <c r="W509" s="112"/>
    </row>
    <row r="510" spans="6:23">
      <c r="F510" s="114"/>
      <c r="G510" s="114"/>
      <c r="H510" s="130" t="str">
        <f>_xlfn.CONCAT(I$507,J510)</f>
        <v>TrailblazerShoulders</v>
      </c>
      <c r="I510" s="520"/>
      <c r="J510" s="144" t="s">
        <v>42</v>
      </c>
      <c r="K510" s="136" t="str" cm="1">
        <f t="array" ref="K510">IF(COUNTIF($B$46:$E$46, K$2)&gt;0, _xlfn.IFS(COUNTIF($B$46:$C$46, K$2)&gt;0, VLOOKUP($J510,'Gear Values'!$A$2:$E$13, IF(COUNTBLANK('Attributes &amp; Prefixes'!$B$46:$C$46)&gt;0, "2", "3"), 0), COUNTIF($D$46:$E$46, K$2)&gt;0, VLOOKUP($J510,'Gear Values'!$A$2:$E$13, IF(COUNTBLANK('Attributes &amp; Prefixes'!$B$46:$C$46)&gt;0, "4", "5"), 0)), "")</f>
        <v/>
      </c>
      <c r="L510" s="137" t="str" cm="1">
        <f t="array" ref="L510">IF(COUNTIF($B$46:$E$46, L$2)&gt;0, _xlfn.IFS(COUNTIF($B$46:$C$46, L$2)&gt;0, VLOOKUP($J510,'Gear Values'!$A$2:$E$13, IF(COUNTBLANK('Attributes &amp; Prefixes'!$B$46:$C$46)&gt;0, "2", "3"), 0), COUNTIF($D$46:$E$46, L$2)&gt;0, VLOOKUP($J510,'Gear Values'!$A$2:$E$13, IF(COUNTBLANK('Attributes &amp; Prefixes'!$B$46:$C$46)&gt;0, "4", "5"), 0)), "")</f>
        <v/>
      </c>
      <c r="M510" s="137" cm="1">
        <f t="array" ref="M510">IF(COUNTIF($B$46:$E$46, M$2)&gt;0, _xlfn.IFS(COUNTIF($B$46:$C$46, M$2)&gt;0, VLOOKUP($J510,'Gear Values'!$A$2:$E$13, IF(COUNTBLANK('Attributes &amp; Prefixes'!$B$46:$C$46)&gt;0, "2", "3"), 0), COUNTIF($D$46:$E$46, M$2)&gt;0, VLOOKUP($J510,'Gear Values'!$A$2:$E$13, IF(COUNTBLANK('Attributes &amp; Prefixes'!$B$46:$C$46)&gt;0, "4", "5"), 0)), "")</f>
        <v>38</v>
      </c>
      <c r="N510" s="137" cm="1">
        <f t="array" ref="N510">IF(COUNTIF($B$46:$E$46, N$2)&gt;0, _xlfn.IFS(COUNTIF($B$46:$C$46, N$2)&gt;0, VLOOKUP($J510,'Gear Values'!$A$2:$E$13, IF(COUNTBLANK('Attributes &amp; Prefixes'!$B$46:$C$46)&gt;0, "2", "3"), 0), COUNTIF($D$46:$E$46, N$2)&gt;0, VLOOKUP($J510,'Gear Values'!$A$2:$E$13, IF(COUNTBLANK('Attributes &amp; Prefixes'!$B$46:$C$46)&gt;0, "4", "5"), 0)), "")</f>
        <v>21</v>
      </c>
      <c r="O510" s="137" t="str" cm="1">
        <f t="array" ref="O510">IF(COUNTIF($B$46:$E$46, O$2)&gt;0, _xlfn.IFS(COUNTIF($B$46:$C$46, O$2)&gt;0, VLOOKUP($J510,'Gear Values'!$A$2:$E$13, IF(COUNTBLANK('Attributes &amp; Prefixes'!$B$46:$C$46)&gt;0, "2", "3"), 0), COUNTIF($D$46:$E$46, O$2)&gt;0, VLOOKUP($J510,'Gear Values'!$A$2:$E$13, IF(COUNTBLANK('Attributes &amp; Prefixes'!$B$46:$C$46)&gt;0, "4", "5"), 0)), "")</f>
        <v/>
      </c>
      <c r="P510" s="137" cm="1">
        <f t="array" ref="P510">IF(COUNTIF($B$46:$E$46, P$2)&gt;0, _xlfn.IFS(COUNTIF($B$46:$C$46, P$2)&gt;0, VLOOKUP($J510,'Gear Values'!$A$2:$E$13, IF(COUNTBLANK('Attributes &amp; Prefixes'!$B$46:$C$46)&gt;0, "2", "3"), 0), COUNTIF($D$46:$E$46, P$2)&gt;0, VLOOKUP($J510,'Gear Values'!$A$2:$E$13, IF(COUNTBLANK('Attributes &amp; Prefixes'!$B$46:$C$46)&gt;0, "4", "5"), 0)), "")</f>
        <v>38</v>
      </c>
      <c r="Q510" s="137" cm="1">
        <f t="array" ref="Q510">IF(COUNTIF($B$46:$E$46, Q$2)&gt;0, _xlfn.IFS(COUNTIF($B$46:$C$46, Q$2)&gt;0, VLOOKUP($J510,'Gear Values'!$A$2:$E$13, IF(COUNTBLANK('Attributes &amp; Prefixes'!$B$46:$C$46)&gt;0, "2", "3"), 0), COUNTIF($D$46:$E$46, Q$2)&gt;0, VLOOKUP($J510,'Gear Values'!$A$2:$E$13, IF(COUNTBLANK('Attributes &amp; Prefixes'!$B$46:$C$46)&gt;0, "4", "5"), 0)), "")</f>
        <v>21</v>
      </c>
      <c r="R510" s="137" t="str" cm="1">
        <f t="array" ref="R510">IF(COUNTIF($B$46:$E$46, R$2)&gt;0, _xlfn.IFS(COUNTIF($B$46:$C$46, R$2)&gt;0, VLOOKUP($J510,'Gear Values'!$A$2:$E$13, IF(COUNTBLANK('Attributes &amp; Prefixes'!$B$46:$C$46)&gt;0, "2", "3"), 0), COUNTIF($D$46:$E$46, R$2)&gt;0, VLOOKUP($J510,'Gear Values'!$A$2:$E$13, IF(COUNTBLANK('Attributes &amp; Prefixes'!$B$46:$C$46)&gt;0, "4", "5"), 0)), "")</f>
        <v/>
      </c>
      <c r="S510" s="138" t="str" cm="1">
        <f t="array" ref="S510">IF(COUNTIF($B$46:$E$46, S$2)&gt;0, _xlfn.IFS(COUNTIF($B$46:$C$46, S$2)&gt;0, VLOOKUP($J510,'Gear Values'!$A$2:$E$13, IF(COUNTBLANK('Attributes &amp; Prefixes'!$B$46:$C$46)&gt;0, "2", "3"), 0), COUNTIF($D$46:$E$46, S$2)&gt;0, VLOOKUP($J510,'Gear Values'!$A$2:$E$13, IF(COUNTBLANK('Attributes &amp; Prefixes'!$B$46:$C$46)&gt;0, "4", "5"), 0)), "")</f>
        <v/>
      </c>
      <c r="V510" s="112"/>
      <c r="W510" s="112"/>
    </row>
    <row r="511" spans="6:23">
      <c r="F511" s="114"/>
      <c r="G511" s="114"/>
      <c r="H511" s="130" t="str">
        <f>_xlfn.CONCAT(I$507,J511)</f>
        <v>TrailblazerChest</v>
      </c>
      <c r="I511" s="520"/>
      <c r="J511" s="144" t="s">
        <v>44</v>
      </c>
      <c r="K511" s="136" t="str" cm="1">
        <f t="array" ref="K511">IF(COUNTIF($B$46:$E$46, K$2)&gt;0, _xlfn.IFS(COUNTIF($B$46:$C$46, K$2)&gt;0, VLOOKUP($J511,'Gear Values'!$A$2:$E$13, IF(COUNTBLANK('Attributes &amp; Prefixes'!$B$46:$C$46)&gt;0, "2", "3"), 0), COUNTIF($D$46:$E$46, K$2)&gt;0, VLOOKUP($J511,'Gear Values'!$A$2:$E$13, IF(COUNTBLANK('Attributes &amp; Prefixes'!$B$46:$C$46)&gt;0, "4", "5"), 0)), "")</f>
        <v/>
      </c>
      <c r="L511" s="137" t="str" cm="1">
        <f t="array" ref="L511">IF(COUNTIF($B$46:$E$46, L$2)&gt;0, _xlfn.IFS(COUNTIF($B$46:$C$46, L$2)&gt;0, VLOOKUP($J511,'Gear Values'!$A$2:$E$13, IF(COUNTBLANK('Attributes &amp; Prefixes'!$B$46:$C$46)&gt;0, "2", "3"), 0), COUNTIF($D$46:$E$46, L$2)&gt;0, VLOOKUP($J511,'Gear Values'!$A$2:$E$13, IF(COUNTBLANK('Attributes &amp; Prefixes'!$B$46:$C$46)&gt;0, "4", "5"), 0)), "")</f>
        <v/>
      </c>
      <c r="M511" s="137" cm="1">
        <f t="array" ref="M511">IF(COUNTIF($B$46:$E$46, M$2)&gt;0, _xlfn.IFS(COUNTIF($B$46:$C$46, M$2)&gt;0, VLOOKUP($J511,'Gear Values'!$A$2:$E$13, IF(COUNTBLANK('Attributes &amp; Prefixes'!$B$46:$C$46)&gt;0, "2", "3"), 0), COUNTIF($D$46:$E$46, M$2)&gt;0, VLOOKUP($J511,'Gear Values'!$A$2:$E$13, IF(COUNTBLANK('Attributes &amp; Prefixes'!$B$46:$C$46)&gt;0, "4", "5"), 0)), "")</f>
        <v>115</v>
      </c>
      <c r="N511" s="137" cm="1">
        <f t="array" ref="N511">IF(COUNTIF($B$46:$E$46, N$2)&gt;0, _xlfn.IFS(COUNTIF($B$46:$C$46, N$2)&gt;0, VLOOKUP($J511,'Gear Values'!$A$2:$E$13, IF(COUNTBLANK('Attributes &amp; Prefixes'!$B$46:$C$46)&gt;0, "2", "3"), 0), COUNTIF($D$46:$E$46, N$2)&gt;0, VLOOKUP($J511,'Gear Values'!$A$2:$E$13, IF(COUNTBLANK('Attributes &amp; Prefixes'!$B$46:$C$46)&gt;0, "4", "5"), 0)), "")</f>
        <v>63</v>
      </c>
      <c r="O511" s="137" t="str" cm="1">
        <f t="array" ref="O511">IF(COUNTIF($B$46:$E$46, O$2)&gt;0, _xlfn.IFS(COUNTIF($B$46:$C$46, O$2)&gt;0, VLOOKUP($J511,'Gear Values'!$A$2:$E$13, IF(COUNTBLANK('Attributes &amp; Prefixes'!$B$46:$C$46)&gt;0, "2", "3"), 0), COUNTIF($D$46:$E$46, O$2)&gt;0, VLOOKUP($J511,'Gear Values'!$A$2:$E$13, IF(COUNTBLANK('Attributes &amp; Prefixes'!$B$46:$C$46)&gt;0, "4", "5"), 0)), "")</f>
        <v/>
      </c>
      <c r="P511" s="137" cm="1">
        <f t="array" ref="P511">IF(COUNTIF($B$46:$E$46, P$2)&gt;0, _xlfn.IFS(COUNTIF($B$46:$C$46, P$2)&gt;0, VLOOKUP($J511,'Gear Values'!$A$2:$E$13, IF(COUNTBLANK('Attributes &amp; Prefixes'!$B$46:$C$46)&gt;0, "2", "3"), 0), COUNTIF($D$46:$E$46, P$2)&gt;0, VLOOKUP($J511,'Gear Values'!$A$2:$E$13, IF(COUNTBLANK('Attributes &amp; Prefixes'!$B$46:$C$46)&gt;0, "4", "5"), 0)), "")</f>
        <v>115</v>
      </c>
      <c r="Q511" s="137" cm="1">
        <f t="array" ref="Q511">IF(COUNTIF($B$46:$E$46, Q$2)&gt;0, _xlfn.IFS(COUNTIF($B$46:$C$46, Q$2)&gt;0, VLOOKUP($J511,'Gear Values'!$A$2:$E$13, IF(COUNTBLANK('Attributes &amp; Prefixes'!$B$46:$C$46)&gt;0, "2", "3"), 0), COUNTIF($D$46:$E$46, Q$2)&gt;0, VLOOKUP($J511,'Gear Values'!$A$2:$E$13, IF(COUNTBLANK('Attributes &amp; Prefixes'!$B$46:$C$46)&gt;0, "4", "5"), 0)), "")</f>
        <v>63</v>
      </c>
      <c r="R511" s="137" t="str" cm="1">
        <f t="array" ref="R511">IF(COUNTIF($B$46:$E$46, R$2)&gt;0, _xlfn.IFS(COUNTIF($B$46:$C$46, R$2)&gt;0, VLOOKUP($J511,'Gear Values'!$A$2:$E$13, IF(COUNTBLANK('Attributes &amp; Prefixes'!$B$46:$C$46)&gt;0, "2", "3"), 0), COUNTIF($D$46:$E$46, R$2)&gt;0, VLOOKUP($J511,'Gear Values'!$A$2:$E$13, IF(COUNTBLANK('Attributes &amp; Prefixes'!$B$46:$C$46)&gt;0, "4", "5"), 0)), "")</f>
        <v/>
      </c>
      <c r="S511" s="138" t="str" cm="1">
        <f t="array" ref="S511">IF(COUNTIF($B$46:$E$46, S$2)&gt;0, _xlfn.IFS(COUNTIF($B$46:$C$46, S$2)&gt;0, VLOOKUP($J511,'Gear Values'!$A$2:$E$13, IF(COUNTBLANK('Attributes &amp; Prefixes'!$B$46:$C$46)&gt;0, "2", "3"), 0), COUNTIF($D$46:$E$46, S$2)&gt;0, VLOOKUP($J511,'Gear Values'!$A$2:$E$13, IF(COUNTBLANK('Attributes &amp; Prefixes'!$B$46:$C$46)&gt;0, "4", "5"), 0)), "")</f>
        <v/>
      </c>
      <c r="V511" s="112"/>
      <c r="W511" s="112"/>
    </row>
    <row r="512" spans="6:23">
      <c r="F512" s="114"/>
      <c r="G512" s="114"/>
      <c r="H512" s="130" t="str">
        <f>_xlfn.CONCAT(I$507,J512)</f>
        <v>TrailblazerHands</v>
      </c>
      <c r="I512" s="520"/>
      <c r="J512" s="144" t="s">
        <v>45</v>
      </c>
      <c r="K512" s="136" t="str" cm="1">
        <f t="array" ref="K512">IF(COUNTIF($B$46:$E$46, K$2)&gt;0, _xlfn.IFS(COUNTIF($B$46:$C$46, K$2)&gt;0, VLOOKUP($J512,'Gear Values'!$A$2:$E$13, IF(COUNTBLANK('Attributes &amp; Prefixes'!$B$46:$C$46)&gt;0, "2", "3"), 0), COUNTIF($D$46:$E$46, K$2)&gt;0, VLOOKUP($J512,'Gear Values'!$A$2:$E$13, IF(COUNTBLANK('Attributes &amp; Prefixes'!$B$46:$C$46)&gt;0, "4", "5"), 0)), "")</f>
        <v/>
      </c>
      <c r="L512" s="137" t="str" cm="1">
        <f t="array" ref="L512">IF(COUNTIF($B$46:$E$46, L$2)&gt;0, _xlfn.IFS(COUNTIF($B$46:$C$46, L$2)&gt;0, VLOOKUP($J512,'Gear Values'!$A$2:$E$13, IF(COUNTBLANK('Attributes &amp; Prefixes'!$B$46:$C$46)&gt;0, "2", "3"), 0), COUNTIF($D$46:$E$46, L$2)&gt;0, VLOOKUP($J512,'Gear Values'!$A$2:$E$13, IF(COUNTBLANK('Attributes &amp; Prefixes'!$B$46:$C$46)&gt;0, "4", "5"), 0)), "")</f>
        <v/>
      </c>
      <c r="M512" s="137" cm="1">
        <f t="array" ref="M512">IF(COUNTIF($B$46:$E$46, M$2)&gt;0, _xlfn.IFS(COUNTIF($B$46:$C$46, M$2)&gt;0, VLOOKUP($J512,'Gear Values'!$A$2:$E$13, IF(COUNTBLANK('Attributes &amp; Prefixes'!$B$46:$C$46)&gt;0, "2", "3"), 0), COUNTIF($D$46:$E$46, M$2)&gt;0, VLOOKUP($J512,'Gear Values'!$A$2:$E$13, IF(COUNTBLANK('Attributes &amp; Prefixes'!$B$46:$C$46)&gt;0, "4", "5"), 0)), "")</f>
        <v>38</v>
      </c>
      <c r="N512" s="137" cm="1">
        <f t="array" ref="N512">IF(COUNTIF($B$46:$E$46, N$2)&gt;0, _xlfn.IFS(COUNTIF($B$46:$C$46, N$2)&gt;0, VLOOKUP($J512,'Gear Values'!$A$2:$E$13, IF(COUNTBLANK('Attributes &amp; Prefixes'!$B$46:$C$46)&gt;0, "2", "3"), 0), COUNTIF($D$46:$E$46, N$2)&gt;0, VLOOKUP($J512,'Gear Values'!$A$2:$E$13, IF(COUNTBLANK('Attributes &amp; Prefixes'!$B$46:$C$46)&gt;0, "4", "5"), 0)), "")</f>
        <v>21</v>
      </c>
      <c r="O512" s="137" t="str" cm="1">
        <f t="array" ref="O512">IF(COUNTIF($B$46:$E$46, O$2)&gt;0, _xlfn.IFS(COUNTIF($B$46:$C$46, O$2)&gt;0, VLOOKUP($J512,'Gear Values'!$A$2:$E$13, IF(COUNTBLANK('Attributes &amp; Prefixes'!$B$46:$C$46)&gt;0, "2", "3"), 0), COUNTIF($D$46:$E$46, O$2)&gt;0, VLOOKUP($J512,'Gear Values'!$A$2:$E$13, IF(COUNTBLANK('Attributes &amp; Prefixes'!$B$46:$C$46)&gt;0, "4", "5"), 0)), "")</f>
        <v/>
      </c>
      <c r="P512" s="137" cm="1">
        <f t="array" ref="P512">IF(COUNTIF($B$46:$E$46, P$2)&gt;0, _xlfn.IFS(COUNTIF($B$46:$C$46, P$2)&gt;0, VLOOKUP($J512,'Gear Values'!$A$2:$E$13, IF(COUNTBLANK('Attributes &amp; Prefixes'!$B$46:$C$46)&gt;0, "2", "3"), 0), COUNTIF($D$46:$E$46, P$2)&gt;0, VLOOKUP($J512,'Gear Values'!$A$2:$E$13, IF(COUNTBLANK('Attributes &amp; Prefixes'!$B$46:$C$46)&gt;0, "4", "5"), 0)), "")</f>
        <v>38</v>
      </c>
      <c r="Q512" s="137" cm="1">
        <f t="array" ref="Q512">IF(COUNTIF($B$46:$E$46, Q$2)&gt;0, _xlfn.IFS(COUNTIF($B$46:$C$46, Q$2)&gt;0, VLOOKUP($J512,'Gear Values'!$A$2:$E$13, IF(COUNTBLANK('Attributes &amp; Prefixes'!$B$46:$C$46)&gt;0, "2", "3"), 0), COUNTIF($D$46:$E$46, Q$2)&gt;0, VLOOKUP($J512,'Gear Values'!$A$2:$E$13, IF(COUNTBLANK('Attributes &amp; Prefixes'!$B$46:$C$46)&gt;0, "4", "5"), 0)), "")</f>
        <v>21</v>
      </c>
      <c r="R512" s="137" t="str" cm="1">
        <f t="array" ref="R512">IF(COUNTIF($B$46:$E$46, R$2)&gt;0, _xlfn.IFS(COUNTIF($B$46:$C$46, R$2)&gt;0, VLOOKUP($J512,'Gear Values'!$A$2:$E$13, IF(COUNTBLANK('Attributes &amp; Prefixes'!$B$46:$C$46)&gt;0, "2", "3"), 0), COUNTIF($D$46:$E$46, R$2)&gt;0, VLOOKUP($J512,'Gear Values'!$A$2:$E$13, IF(COUNTBLANK('Attributes &amp; Prefixes'!$B$46:$C$46)&gt;0, "4", "5"), 0)), "")</f>
        <v/>
      </c>
      <c r="S512" s="138" t="str" cm="1">
        <f t="array" ref="S512">IF(COUNTIF($B$46:$E$46, S$2)&gt;0, _xlfn.IFS(COUNTIF($B$46:$C$46, S$2)&gt;0, VLOOKUP($J512,'Gear Values'!$A$2:$E$13, IF(COUNTBLANK('Attributes &amp; Prefixes'!$B$46:$C$46)&gt;0, "2", "3"), 0), COUNTIF($D$46:$E$46, S$2)&gt;0, VLOOKUP($J512,'Gear Values'!$A$2:$E$13, IF(COUNTBLANK('Attributes &amp; Prefixes'!$B$46:$C$46)&gt;0, "4", "5"), 0)), "")</f>
        <v/>
      </c>
      <c r="V512" s="112"/>
      <c r="W512" s="112"/>
    </row>
    <row r="513" spans="6:23">
      <c r="F513" s="114"/>
      <c r="G513" s="114"/>
      <c r="H513" s="130" t="str">
        <f>_xlfn.CONCAT(I$507,J513)</f>
        <v>TrailblazerLegs</v>
      </c>
      <c r="I513" s="520"/>
      <c r="J513" s="144" t="s">
        <v>47</v>
      </c>
      <c r="K513" s="136" t="str" cm="1">
        <f t="array" ref="K513">IF(COUNTIF($B$46:$E$46, K$2)&gt;0, _xlfn.IFS(COUNTIF($B$46:$C$46, K$2)&gt;0, VLOOKUP($J513,'Gear Values'!$A$2:$E$13, IF(COUNTBLANK('Attributes &amp; Prefixes'!$B$46:$C$46)&gt;0, "2", "3"), 0), COUNTIF($D$46:$E$46, K$2)&gt;0, VLOOKUP($J513,'Gear Values'!$A$2:$E$13, IF(COUNTBLANK('Attributes &amp; Prefixes'!$B$46:$C$46)&gt;0, "4", "5"), 0)), "")</f>
        <v/>
      </c>
      <c r="L513" s="137" t="str" cm="1">
        <f t="array" ref="L513">IF(COUNTIF($B$46:$E$46, L$2)&gt;0, _xlfn.IFS(COUNTIF($B$46:$C$46, L$2)&gt;0, VLOOKUP($J513,'Gear Values'!$A$2:$E$13, IF(COUNTBLANK('Attributes &amp; Prefixes'!$B$46:$C$46)&gt;0, "2", "3"), 0), COUNTIF($D$46:$E$46, L$2)&gt;0, VLOOKUP($J513,'Gear Values'!$A$2:$E$13, IF(COUNTBLANK('Attributes &amp; Prefixes'!$B$46:$C$46)&gt;0, "4", "5"), 0)), "")</f>
        <v/>
      </c>
      <c r="M513" s="137" cm="1">
        <f t="array" ref="M513">IF(COUNTIF($B$46:$E$46, M$2)&gt;0, _xlfn.IFS(COUNTIF($B$46:$C$46, M$2)&gt;0, VLOOKUP($J513,'Gear Values'!$A$2:$E$13, IF(COUNTBLANK('Attributes &amp; Prefixes'!$B$46:$C$46)&gt;0, "2", "3"), 0), COUNTIF($D$46:$E$46, M$2)&gt;0, VLOOKUP($J513,'Gear Values'!$A$2:$E$13, IF(COUNTBLANK('Attributes &amp; Prefixes'!$B$46:$C$46)&gt;0, "4", "5"), 0)), "")</f>
        <v>77</v>
      </c>
      <c r="N513" s="137" cm="1">
        <f t="array" ref="N513">IF(COUNTIF($B$46:$E$46, N$2)&gt;0, _xlfn.IFS(COUNTIF($B$46:$C$46, N$2)&gt;0, VLOOKUP($J513,'Gear Values'!$A$2:$E$13, IF(COUNTBLANK('Attributes &amp; Prefixes'!$B$46:$C$46)&gt;0, "2", "3"), 0), COUNTIF($D$46:$E$46, N$2)&gt;0, VLOOKUP($J513,'Gear Values'!$A$2:$E$13, IF(COUNTBLANK('Attributes &amp; Prefixes'!$B$46:$C$46)&gt;0, "4", "5"), 0)), "")</f>
        <v>42</v>
      </c>
      <c r="O513" s="137" t="str" cm="1">
        <f t="array" ref="O513">IF(COUNTIF($B$46:$E$46, O$2)&gt;0, _xlfn.IFS(COUNTIF($B$46:$C$46, O$2)&gt;0, VLOOKUP($J513,'Gear Values'!$A$2:$E$13, IF(COUNTBLANK('Attributes &amp; Prefixes'!$B$46:$C$46)&gt;0, "2", "3"), 0), COUNTIF($D$46:$E$46, O$2)&gt;0, VLOOKUP($J513,'Gear Values'!$A$2:$E$13, IF(COUNTBLANK('Attributes &amp; Prefixes'!$B$46:$C$46)&gt;0, "4", "5"), 0)), "")</f>
        <v/>
      </c>
      <c r="P513" s="137" cm="1">
        <f t="array" ref="P513">IF(COUNTIF($B$46:$E$46, P$2)&gt;0, _xlfn.IFS(COUNTIF($B$46:$C$46, P$2)&gt;0, VLOOKUP($J513,'Gear Values'!$A$2:$E$13, IF(COUNTBLANK('Attributes &amp; Prefixes'!$B$46:$C$46)&gt;0, "2", "3"), 0), COUNTIF($D$46:$E$46, P$2)&gt;0, VLOOKUP($J513,'Gear Values'!$A$2:$E$13, IF(COUNTBLANK('Attributes &amp; Prefixes'!$B$46:$C$46)&gt;0, "4", "5"), 0)), "")</f>
        <v>77</v>
      </c>
      <c r="Q513" s="137" cm="1">
        <f t="array" ref="Q513">IF(COUNTIF($B$46:$E$46, Q$2)&gt;0, _xlfn.IFS(COUNTIF($B$46:$C$46, Q$2)&gt;0, VLOOKUP($J513,'Gear Values'!$A$2:$E$13, IF(COUNTBLANK('Attributes &amp; Prefixes'!$B$46:$C$46)&gt;0, "2", "3"), 0), COUNTIF($D$46:$E$46, Q$2)&gt;0, VLOOKUP($J513,'Gear Values'!$A$2:$E$13, IF(COUNTBLANK('Attributes &amp; Prefixes'!$B$46:$C$46)&gt;0, "4", "5"), 0)), "")</f>
        <v>42</v>
      </c>
      <c r="R513" s="137" t="str" cm="1">
        <f t="array" ref="R513">IF(COUNTIF($B$46:$E$46, R$2)&gt;0, _xlfn.IFS(COUNTIF($B$46:$C$46, R$2)&gt;0, VLOOKUP($J513,'Gear Values'!$A$2:$E$13, IF(COUNTBLANK('Attributes &amp; Prefixes'!$B$46:$C$46)&gt;0, "2", "3"), 0), COUNTIF($D$46:$E$46, R$2)&gt;0, VLOOKUP($J513,'Gear Values'!$A$2:$E$13, IF(COUNTBLANK('Attributes &amp; Prefixes'!$B$46:$C$46)&gt;0, "4", "5"), 0)), "")</f>
        <v/>
      </c>
      <c r="S513" s="138" t="str" cm="1">
        <f t="array" ref="S513">IF(COUNTIF($B$46:$E$46, S$2)&gt;0, _xlfn.IFS(COUNTIF($B$46:$C$46, S$2)&gt;0, VLOOKUP($J513,'Gear Values'!$A$2:$E$13, IF(COUNTBLANK('Attributes &amp; Prefixes'!$B$46:$C$46)&gt;0, "2", "3"), 0), COUNTIF($D$46:$E$46, S$2)&gt;0, VLOOKUP($J513,'Gear Values'!$A$2:$E$13, IF(COUNTBLANK('Attributes &amp; Prefixes'!$B$46:$C$46)&gt;0, "4", "5"), 0)), "")</f>
        <v/>
      </c>
      <c r="V513" s="112"/>
      <c r="W513" s="112"/>
    </row>
    <row r="514" spans="6:23">
      <c r="F514" s="114"/>
      <c r="G514" s="114"/>
      <c r="H514" s="130" t="str">
        <f>_xlfn.CONCAT(I$507,J514)</f>
        <v>TrailblazerFeet</v>
      </c>
      <c r="I514" s="520"/>
      <c r="J514" s="144" t="s">
        <v>48</v>
      </c>
      <c r="K514" s="136" t="str" cm="1">
        <f t="array" ref="K514">IF(COUNTIF($B$46:$E$46, K$2)&gt;0, _xlfn.IFS(COUNTIF($B$46:$C$46, K$2)&gt;0, VLOOKUP($J514,'Gear Values'!$A$2:$E$13, IF(COUNTBLANK('Attributes &amp; Prefixes'!$B$46:$C$46)&gt;0, "2", "3"), 0), COUNTIF($D$46:$E$46, K$2)&gt;0, VLOOKUP($J514,'Gear Values'!$A$2:$E$13, IF(COUNTBLANK('Attributes &amp; Prefixes'!$B$46:$C$46)&gt;0, "4", "5"), 0)), "")</f>
        <v/>
      </c>
      <c r="L514" s="137" t="str" cm="1">
        <f t="array" ref="L514">IF(COUNTIF($B$46:$E$46, L$2)&gt;0, _xlfn.IFS(COUNTIF($B$46:$C$46, L$2)&gt;0, VLOOKUP($J514,'Gear Values'!$A$2:$E$13, IF(COUNTBLANK('Attributes &amp; Prefixes'!$B$46:$C$46)&gt;0, "2", "3"), 0), COUNTIF($D$46:$E$46, L$2)&gt;0, VLOOKUP($J514,'Gear Values'!$A$2:$E$13, IF(COUNTBLANK('Attributes &amp; Prefixes'!$B$46:$C$46)&gt;0, "4", "5"), 0)), "")</f>
        <v/>
      </c>
      <c r="M514" s="137" cm="1">
        <f t="array" ref="M514">IF(COUNTIF($B$46:$E$46, M$2)&gt;0, _xlfn.IFS(COUNTIF($B$46:$C$46, M$2)&gt;0, VLOOKUP($J514,'Gear Values'!$A$2:$E$13, IF(COUNTBLANK('Attributes &amp; Prefixes'!$B$46:$C$46)&gt;0, "2", "3"), 0), COUNTIF($D$46:$E$46, M$2)&gt;0, VLOOKUP($J514,'Gear Values'!$A$2:$E$13, IF(COUNTBLANK('Attributes &amp; Prefixes'!$B$46:$C$46)&gt;0, "4", "5"), 0)), "")</f>
        <v>38</v>
      </c>
      <c r="N514" s="137" cm="1">
        <f t="array" ref="N514">IF(COUNTIF($B$46:$E$46, N$2)&gt;0, _xlfn.IFS(COUNTIF($B$46:$C$46, N$2)&gt;0, VLOOKUP($J514,'Gear Values'!$A$2:$E$13, IF(COUNTBLANK('Attributes &amp; Prefixes'!$B$46:$C$46)&gt;0, "2", "3"), 0), COUNTIF($D$46:$E$46, N$2)&gt;0, VLOOKUP($J514,'Gear Values'!$A$2:$E$13, IF(COUNTBLANK('Attributes &amp; Prefixes'!$B$46:$C$46)&gt;0, "4", "5"), 0)), "")</f>
        <v>21</v>
      </c>
      <c r="O514" s="137" t="str" cm="1">
        <f t="array" ref="O514">IF(COUNTIF($B$46:$E$46, O$2)&gt;0, _xlfn.IFS(COUNTIF($B$46:$C$46, O$2)&gt;0, VLOOKUP($J514,'Gear Values'!$A$2:$E$13, IF(COUNTBLANK('Attributes &amp; Prefixes'!$B$46:$C$46)&gt;0, "2", "3"), 0), COUNTIF($D$46:$E$46, O$2)&gt;0, VLOOKUP($J514,'Gear Values'!$A$2:$E$13, IF(COUNTBLANK('Attributes &amp; Prefixes'!$B$46:$C$46)&gt;0, "4", "5"), 0)), "")</f>
        <v/>
      </c>
      <c r="P514" s="137" cm="1">
        <f t="array" ref="P514">IF(COUNTIF($B$46:$E$46, P$2)&gt;0, _xlfn.IFS(COUNTIF($B$46:$C$46, P$2)&gt;0, VLOOKUP($J514,'Gear Values'!$A$2:$E$13, IF(COUNTBLANK('Attributes &amp; Prefixes'!$B$46:$C$46)&gt;0, "2", "3"), 0), COUNTIF($D$46:$E$46, P$2)&gt;0, VLOOKUP($J514,'Gear Values'!$A$2:$E$13, IF(COUNTBLANK('Attributes &amp; Prefixes'!$B$46:$C$46)&gt;0, "4", "5"), 0)), "")</f>
        <v>38</v>
      </c>
      <c r="Q514" s="137" cm="1">
        <f t="array" ref="Q514">IF(COUNTIF($B$46:$E$46, Q$2)&gt;0, _xlfn.IFS(COUNTIF($B$46:$C$46, Q$2)&gt;0, VLOOKUP($J514,'Gear Values'!$A$2:$E$13, IF(COUNTBLANK('Attributes &amp; Prefixes'!$B$46:$C$46)&gt;0, "2", "3"), 0), COUNTIF($D$46:$E$46, Q$2)&gt;0, VLOOKUP($J514,'Gear Values'!$A$2:$E$13, IF(COUNTBLANK('Attributes &amp; Prefixes'!$B$46:$C$46)&gt;0, "4", "5"), 0)), "")</f>
        <v>21</v>
      </c>
      <c r="R514" s="137" t="str" cm="1">
        <f t="array" ref="R514">IF(COUNTIF($B$46:$E$46, R$2)&gt;0, _xlfn.IFS(COUNTIF($B$46:$C$46, R$2)&gt;0, VLOOKUP($J514,'Gear Values'!$A$2:$E$13, IF(COUNTBLANK('Attributes &amp; Prefixes'!$B$46:$C$46)&gt;0, "2", "3"), 0), COUNTIF($D$46:$E$46, R$2)&gt;0, VLOOKUP($J514,'Gear Values'!$A$2:$E$13, IF(COUNTBLANK('Attributes &amp; Prefixes'!$B$46:$C$46)&gt;0, "4", "5"), 0)), "")</f>
        <v/>
      </c>
      <c r="S514" s="138" t="str" cm="1">
        <f t="array" ref="S514">IF(COUNTIF($B$46:$E$46, S$2)&gt;0, _xlfn.IFS(COUNTIF($B$46:$C$46, S$2)&gt;0, VLOOKUP($J514,'Gear Values'!$A$2:$E$13, IF(COUNTBLANK('Attributes &amp; Prefixes'!$B$46:$C$46)&gt;0, "2", "3"), 0), COUNTIF($D$46:$E$46, S$2)&gt;0, VLOOKUP($J514,'Gear Values'!$A$2:$E$13, IF(COUNTBLANK('Attributes &amp; Prefixes'!$B$46:$C$46)&gt;0, "4", "5"), 0)), "")</f>
        <v/>
      </c>
      <c r="V514" s="112"/>
      <c r="W514" s="112"/>
    </row>
    <row r="515" spans="6:23">
      <c r="F515" s="114"/>
      <c r="G515" s="114"/>
      <c r="H515" s="130" t="str">
        <f>_xlfn.CONCAT(A$70,J515)</f>
        <v>Maguuma LilyEar</v>
      </c>
      <c r="I515" s="520"/>
      <c r="J515" s="144" t="s">
        <v>49</v>
      </c>
      <c r="K515" s="136" t="str" cm="1">
        <f t="array" ref="K515">IF(COUNTIF($B$46:$E$46, K$2)&gt;0, _xlfn.IFS(COUNTIF($B$46:$C$46, K$2)&gt;0, VLOOKUP($J515,'Gear Values'!$A$2:$E$13, IF(COUNTBLANK('Attributes &amp; Prefixes'!$B$46:$C$46)&gt;0, "2", "3"), 0), COUNTIF($D$46:$E$46, K$2)&gt;0, VLOOKUP($J515,'Gear Values'!$A$2:$E$13, IF(COUNTBLANK('Attributes &amp; Prefixes'!$B$46:$C$46)&gt;0, "4", "5"), 0)), "")</f>
        <v/>
      </c>
      <c r="L515" s="137" t="str" cm="1">
        <f t="array" ref="L515">IF(COUNTIF($B$46:$E$46, L$2)&gt;0, _xlfn.IFS(COUNTIF($B$46:$C$46, L$2)&gt;0, VLOOKUP($J515,'Gear Values'!$A$2:$E$13, IF(COUNTBLANK('Attributes &amp; Prefixes'!$B$46:$C$46)&gt;0, "2", "3"), 0), COUNTIF($D$46:$E$46, L$2)&gt;0, VLOOKUP($J515,'Gear Values'!$A$2:$E$13, IF(COUNTBLANK('Attributes &amp; Prefixes'!$B$46:$C$46)&gt;0, "4", "5"), 0)), "")</f>
        <v/>
      </c>
      <c r="M515" s="137" cm="1">
        <f t="array" ref="M515">IF(COUNTIF($B$46:$E$46, M$2)&gt;0, _xlfn.IFS(COUNTIF($B$46:$C$46, M$2)&gt;0, VLOOKUP($J515,'Gear Values'!$A$2:$E$13, IF(COUNTBLANK('Attributes &amp; Prefixes'!$B$46:$C$46)&gt;0, "2", "3"), 0), COUNTIF($D$46:$E$46, M$2)&gt;0, VLOOKUP($J515,'Gear Values'!$A$2:$E$13, IF(COUNTBLANK('Attributes &amp; Prefixes'!$B$46:$C$46)&gt;0, "4", "5"), 0)), "")</f>
        <v>64</v>
      </c>
      <c r="N515" s="137" cm="1">
        <f t="array" ref="N515">IF(COUNTIF($B$46:$E$46, N$2)&gt;0, _xlfn.IFS(COUNTIF($B$46:$C$46, N$2)&gt;0, VLOOKUP($J515,'Gear Values'!$A$2:$E$13, IF(COUNTBLANK('Attributes &amp; Prefixes'!$B$46:$C$46)&gt;0, "2", "3"), 0), COUNTIF($D$46:$E$46, N$2)&gt;0, VLOOKUP($J515,'Gear Values'!$A$2:$E$13, IF(COUNTBLANK('Attributes &amp; Prefixes'!$B$46:$C$46)&gt;0, "4", "5"), 0)), "")</f>
        <v>35</v>
      </c>
      <c r="O515" s="137" t="str" cm="1">
        <f t="array" ref="O515">IF(COUNTIF($B$46:$E$46, O$2)&gt;0, _xlfn.IFS(COUNTIF($B$46:$C$46, O$2)&gt;0, VLOOKUP($J515,'Gear Values'!$A$2:$E$13, IF(COUNTBLANK('Attributes &amp; Prefixes'!$B$46:$C$46)&gt;0, "2", "3"), 0), COUNTIF($D$46:$E$46, O$2)&gt;0, VLOOKUP($J515,'Gear Values'!$A$2:$E$13, IF(COUNTBLANK('Attributes &amp; Prefixes'!$B$46:$C$46)&gt;0, "4", "5"), 0)), "")</f>
        <v/>
      </c>
      <c r="P515" s="137" cm="1">
        <f t="array" ref="P515">IF(COUNTIF($B$46:$E$46, P$2)&gt;0, _xlfn.IFS(COUNTIF($B$46:$C$46, P$2)&gt;0, VLOOKUP($J515,'Gear Values'!$A$2:$E$13, IF(COUNTBLANK('Attributes &amp; Prefixes'!$B$46:$C$46)&gt;0, "2", "3"), 0), COUNTIF($D$46:$E$46, P$2)&gt;0, VLOOKUP($J515,'Gear Values'!$A$2:$E$13, IF(COUNTBLANK('Attributes &amp; Prefixes'!$B$46:$C$46)&gt;0, "4", "5"), 0)), "")</f>
        <v>64</v>
      </c>
      <c r="Q515" s="137" cm="1">
        <f t="array" ref="Q515">IF(COUNTIF($B$46:$E$46, Q$2)&gt;0, _xlfn.IFS(COUNTIF($B$46:$C$46, Q$2)&gt;0, VLOOKUP($J515,'Gear Values'!$A$2:$E$13, IF(COUNTBLANK('Attributes &amp; Prefixes'!$B$46:$C$46)&gt;0, "2", "3"), 0), COUNTIF($D$46:$E$46, Q$2)&gt;0, VLOOKUP($J515,'Gear Values'!$A$2:$E$13, IF(COUNTBLANK('Attributes &amp; Prefixes'!$B$46:$C$46)&gt;0, "4", "5"), 0)), "")</f>
        <v>35</v>
      </c>
      <c r="R515" s="137" t="str" cm="1">
        <f t="array" ref="R515">IF(COUNTIF($B$46:$E$46, R$2)&gt;0, _xlfn.IFS(COUNTIF($B$46:$C$46, R$2)&gt;0, VLOOKUP($J515,'Gear Values'!$A$2:$E$13, IF(COUNTBLANK('Attributes &amp; Prefixes'!$B$46:$C$46)&gt;0, "2", "3"), 0), COUNTIF($D$46:$E$46, R$2)&gt;0, VLOOKUP($J515,'Gear Values'!$A$2:$E$13, IF(COUNTBLANK('Attributes &amp; Prefixes'!$B$46:$C$46)&gt;0, "4", "5"), 0)), "")</f>
        <v/>
      </c>
      <c r="S515" s="138" t="str" cm="1">
        <f t="array" ref="S515">IF(COUNTIF($B$46:$E$46, S$2)&gt;0, _xlfn.IFS(COUNTIF($B$46:$C$46, S$2)&gt;0, VLOOKUP($J515,'Gear Values'!$A$2:$E$13, IF(COUNTBLANK('Attributes &amp; Prefixes'!$B$46:$C$46)&gt;0, "2", "3"), 0), COUNTIF($D$46:$E$46, S$2)&gt;0, VLOOKUP($J515,'Gear Values'!$A$2:$E$13, IF(COUNTBLANK('Attributes &amp; Prefixes'!$B$46:$C$46)&gt;0, "4", "5"), 0)), "")</f>
        <v/>
      </c>
      <c r="V515" s="112"/>
      <c r="W515" s="112"/>
    </row>
    <row r="516" spans="6:23">
      <c r="F516" s="114"/>
      <c r="G516" s="114"/>
      <c r="H516" s="130" t="str">
        <f>_xlfn.CONCAT(A$70,J516)</f>
        <v>Maguuma LilyFinger</v>
      </c>
      <c r="I516" s="520"/>
      <c r="J516" s="144" t="s">
        <v>51</v>
      </c>
      <c r="K516" s="136" t="str" cm="1">
        <f t="array" ref="K516">IF(COUNTIF($B$46:$E$46, K$2)&gt;0, _xlfn.IFS(COUNTIF($B$46:$C$46, K$2)&gt;0, VLOOKUP($J516,'Gear Values'!$A$2:$E$13, IF(COUNTBLANK('Attributes &amp; Prefixes'!$B$46:$C$46)&gt;0, "2", "3"), 0), COUNTIF($D$46:$E$46, K$2)&gt;0, VLOOKUP($J516,'Gear Values'!$A$2:$E$13, IF(COUNTBLANK('Attributes &amp; Prefixes'!$B$46:$C$46)&gt;0, "4", "5"), 0)), "")</f>
        <v/>
      </c>
      <c r="L516" s="137" t="str" cm="1">
        <f t="array" ref="L516">IF(COUNTIF($B$46:$E$46, L$2)&gt;0, _xlfn.IFS(COUNTIF($B$46:$C$46, L$2)&gt;0, VLOOKUP($J516,'Gear Values'!$A$2:$E$13, IF(COUNTBLANK('Attributes &amp; Prefixes'!$B$46:$C$46)&gt;0, "2", "3"), 0), COUNTIF($D$46:$E$46, L$2)&gt;0, VLOOKUP($J516,'Gear Values'!$A$2:$E$13, IF(COUNTBLANK('Attributes &amp; Prefixes'!$B$46:$C$46)&gt;0, "4", "5"), 0)), "")</f>
        <v/>
      </c>
      <c r="M516" s="137" cm="1">
        <f t="array" ref="M516">IF(COUNTIF($B$46:$E$46, M$2)&gt;0, _xlfn.IFS(COUNTIF($B$46:$C$46, M$2)&gt;0, VLOOKUP($J516,'Gear Values'!$A$2:$E$13, IF(COUNTBLANK('Attributes &amp; Prefixes'!$B$46:$C$46)&gt;0, "2", "3"), 0), COUNTIF($D$46:$E$46, M$2)&gt;0, VLOOKUP($J516,'Gear Values'!$A$2:$E$13, IF(COUNTBLANK('Attributes &amp; Prefixes'!$B$46:$C$46)&gt;0, "4", "5"), 0)), "")</f>
        <v>77</v>
      </c>
      <c r="N516" s="137" cm="1">
        <f t="array" ref="N516">IF(COUNTIF($B$46:$E$46, N$2)&gt;0, _xlfn.IFS(COUNTIF($B$46:$C$46, N$2)&gt;0, VLOOKUP($J516,'Gear Values'!$A$2:$E$13, IF(COUNTBLANK('Attributes &amp; Prefixes'!$B$46:$C$46)&gt;0, "2", "3"), 0), COUNTIF($D$46:$E$46, N$2)&gt;0, VLOOKUP($J516,'Gear Values'!$A$2:$E$13, IF(COUNTBLANK('Attributes &amp; Prefixes'!$B$46:$C$46)&gt;0, "4", "5"), 0)), "")</f>
        <v>42</v>
      </c>
      <c r="O516" s="137" t="str" cm="1">
        <f t="array" ref="O516">IF(COUNTIF($B$46:$E$46, O$2)&gt;0, _xlfn.IFS(COUNTIF($B$46:$C$46, O$2)&gt;0, VLOOKUP($J516,'Gear Values'!$A$2:$E$13, IF(COUNTBLANK('Attributes &amp; Prefixes'!$B$46:$C$46)&gt;0, "2", "3"), 0), COUNTIF($D$46:$E$46, O$2)&gt;0, VLOOKUP($J516,'Gear Values'!$A$2:$E$13, IF(COUNTBLANK('Attributes &amp; Prefixes'!$B$46:$C$46)&gt;0, "4", "5"), 0)), "")</f>
        <v/>
      </c>
      <c r="P516" s="137" cm="1">
        <f t="array" ref="P516">IF(COUNTIF($B$46:$E$46, P$2)&gt;0, _xlfn.IFS(COUNTIF($B$46:$C$46, P$2)&gt;0, VLOOKUP($J516,'Gear Values'!$A$2:$E$13, IF(COUNTBLANK('Attributes &amp; Prefixes'!$B$46:$C$46)&gt;0, "2", "3"), 0), COUNTIF($D$46:$E$46, P$2)&gt;0, VLOOKUP($J516,'Gear Values'!$A$2:$E$13, IF(COUNTBLANK('Attributes &amp; Prefixes'!$B$46:$C$46)&gt;0, "4", "5"), 0)), "")</f>
        <v>77</v>
      </c>
      <c r="Q516" s="137" cm="1">
        <f t="array" ref="Q516">IF(COUNTIF($B$46:$E$46, Q$2)&gt;0, _xlfn.IFS(COUNTIF($B$46:$C$46, Q$2)&gt;0, VLOOKUP($J516,'Gear Values'!$A$2:$E$13, IF(COUNTBLANK('Attributes &amp; Prefixes'!$B$46:$C$46)&gt;0, "2", "3"), 0), COUNTIF($D$46:$E$46, Q$2)&gt;0, VLOOKUP($J516,'Gear Values'!$A$2:$E$13, IF(COUNTBLANK('Attributes &amp; Prefixes'!$B$46:$C$46)&gt;0, "4", "5"), 0)), "")</f>
        <v>42</v>
      </c>
      <c r="R516" s="137" t="str" cm="1">
        <f t="array" ref="R516">IF(COUNTIF($B$46:$E$46, R$2)&gt;0, _xlfn.IFS(COUNTIF($B$46:$C$46, R$2)&gt;0, VLOOKUP($J516,'Gear Values'!$A$2:$E$13, IF(COUNTBLANK('Attributes &amp; Prefixes'!$B$46:$C$46)&gt;0, "2", "3"), 0), COUNTIF($D$46:$E$46, R$2)&gt;0, VLOOKUP($J516,'Gear Values'!$A$2:$E$13, IF(COUNTBLANK('Attributes &amp; Prefixes'!$B$46:$C$46)&gt;0, "4", "5"), 0)), "")</f>
        <v/>
      </c>
      <c r="S516" s="138" t="str" cm="1">
        <f t="array" ref="S516">IF(COUNTIF($B$46:$E$46, S$2)&gt;0, _xlfn.IFS(COUNTIF($B$46:$C$46, S$2)&gt;0, VLOOKUP($J516,'Gear Values'!$A$2:$E$13, IF(COUNTBLANK('Attributes &amp; Prefixes'!$B$46:$C$46)&gt;0, "2", "3"), 0), COUNTIF($D$46:$E$46, S$2)&gt;0, VLOOKUP($J516,'Gear Values'!$A$2:$E$13, IF(COUNTBLANK('Attributes &amp; Prefixes'!$B$46:$C$46)&gt;0, "4", "5"), 0)), "")</f>
        <v/>
      </c>
      <c r="V516" s="112"/>
      <c r="W516" s="112"/>
    </row>
    <row r="517" spans="6:23">
      <c r="F517" s="114"/>
      <c r="G517" s="114"/>
      <c r="H517" s="130" t="str">
        <f>_xlfn.CONCAT(A$70,J517)</f>
        <v>Maguuma LilyNeck</v>
      </c>
      <c r="I517" s="520"/>
      <c r="J517" s="144" t="s">
        <v>52</v>
      </c>
      <c r="K517" s="136" t="str" cm="1">
        <f t="array" ref="K517">IF(COUNTIF($B$46:$E$46, K$2)&gt;0, _xlfn.IFS(COUNTIF($B$46:$C$46, K$2)&gt;0, VLOOKUP($J517,'Gear Values'!$A$2:$E$13, IF(COUNTBLANK('Attributes &amp; Prefixes'!$B$46:$C$46)&gt;0, "2", "3"), 0), COUNTIF($D$46:$E$46, K$2)&gt;0, VLOOKUP($J517,'Gear Values'!$A$2:$E$13, IF(COUNTBLANK('Attributes &amp; Prefixes'!$B$46:$C$46)&gt;0, "4", "5"), 0)), "")</f>
        <v/>
      </c>
      <c r="L517" s="137" t="str" cm="1">
        <f t="array" ref="L517">IF(COUNTIF($B$46:$E$46, L$2)&gt;0, _xlfn.IFS(COUNTIF($B$46:$C$46, L$2)&gt;0, VLOOKUP($J517,'Gear Values'!$A$2:$E$13, IF(COUNTBLANK('Attributes &amp; Prefixes'!$B$46:$C$46)&gt;0, "2", "3"), 0), COUNTIF($D$46:$E$46, L$2)&gt;0, VLOOKUP($J517,'Gear Values'!$A$2:$E$13, IF(COUNTBLANK('Attributes &amp; Prefixes'!$B$46:$C$46)&gt;0, "4", "5"), 0)), "")</f>
        <v/>
      </c>
      <c r="M517" s="137" cm="1">
        <f t="array" ref="M517">IF(COUNTIF($B$46:$E$46, M$2)&gt;0, _xlfn.IFS(COUNTIF($B$46:$C$46, M$2)&gt;0, VLOOKUP($J517,'Gear Values'!$A$2:$E$13, IF(COUNTBLANK('Attributes &amp; Prefixes'!$B$46:$C$46)&gt;0, "2", "3"), 0), COUNTIF($D$46:$E$46, M$2)&gt;0, VLOOKUP($J517,'Gear Values'!$A$2:$E$13, IF(COUNTBLANK('Attributes &amp; Prefixes'!$B$46:$C$46)&gt;0, "4", "5"), 0)), "")</f>
        <v>102</v>
      </c>
      <c r="N517" s="137" cm="1">
        <f t="array" ref="N517">IF(COUNTIF($B$46:$E$46, N$2)&gt;0, _xlfn.IFS(COUNTIF($B$46:$C$46, N$2)&gt;0, VLOOKUP($J517,'Gear Values'!$A$2:$E$13, IF(COUNTBLANK('Attributes &amp; Prefixes'!$B$46:$C$46)&gt;0, "2", "3"), 0), COUNTIF($D$46:$E$46, N$2)&gt;0, VLOOKUP($J517,'Gear Values'!$A$2:$E$13, IF(COUNTBLANK('Attributes &amp; Prefixes'!$B$46:$C$46)&gt;0, "4", "5"), 0)), "")</f>
        <v>56</v>
      </c>
      <c r="O517" s="137" t="str" cm="1">
        <f t="array" ref="O517">IF(COUNTIF($B$46:$E$46, O$2)&gt;0, _xlfn.IFS(COUNTIF($B$46:$C$46, O$2)&gt;0, VLOOKUP($J517,'Gear Values'!$A$2:$E$13, IF(COUNTBLANK('Attributes &amp; Prefixes'!$B$46:$C$46)&gt;0, "2", "3"), 0), COUNTIF($D$46:$E$46, O$2)&gt;0, VLOOKUP($J517,'Gear Values'!$A$2:$E$13, IF(COUNTBLANK('Attributes &amp; Prefixes'!$B$46:$C$46)&gt;0, "4", "5"), 0)), "")</f>
        <v/>
      </c>
      <c r="P517" s="137" cm="1">
        <f t="array" ref="P517">IF(COUNTIF($B$46:$E$46, P$2)&gt;0, _xlfn.IFS(COUNTIF($B$46:$C$46, P$2)&gt;0, VLOOKUP($J517,'Gear Values'!$A$2:$E$13, IF(COUNTBLANK('Attributes &amp; Prefixes'!$B$46:$C$46)&gt;0, "2", "3"), 0), COUNTIF($D$46:$E$46, P$2)&gt;0, VLOOKUP($J517,'Gear Values'!$A$2:$E$13, IF(COUNTBLANK('Attributes &amp; Prefixes'!$B$46:$C$46)&gt;0, "4", "5"), 0)), "")</f>
        <v>102</v>
      </c>
      <c r="Q517" s="137" cm="1">
        <f t="array" ref="Q517">IF(COUNTIF($B$46:$E$46, Q$2)&gt;0, _xlfn.IFS(COUNTIF($B$46:$C$46, Q$2)&gt;0, VLOOKUP($J517,'Gear Values'!$A$2:$E$13, IF(COUNTBLANK('Attributes &amp; Prefixes'!$B$46:$C$46)&gt;0, "2", "3"), 0), COUNTIF($D$46:$E$46, Q$2)&gt;0, VLOOKUP($J517,'Gear Values'!$A$2:$E$13, IF(COUNTBLANK('Attributes &amp; Prefixes'!$B$46:$C$46)&gt;0, "4", "5"), 0)), "")</f>
        <v>56</v>
      </c>
      <c r="R517" s="137" t="str" cm="1">
        <f t="array" ref="R517">IF(COUNTIF($B$46:$E$46, R$2)&gt;0, _xlfn.IFS(COUNTIF($B$46:$C$46, R$2)&gt;0, VLOOKUP($J517,'Gear Values'!$A$2:$E$13, IF(COUNTBLANK('Attributes &amp; Prefixes'!$B$46:$C$46)&gt;0, "2", "3"), 0), COUNTIF($D$46:$E$46, R$2)&gt;0, VLOOKUP($J517,'Gear Values'!$A$2:$E$13, IF(COUNTBLANK('Attributes &amp; Prefixes'!$B$46:$C$46)&gt;0, "4", "5"), 0)), "")</f>
        <v/>
      </c>
      <c r="S517" s="138" t="str" cm="1">
        <f t="array" ref="S517">IF(COUNTIF($B$46:$E$46, S$2)&gt;0, _xlfn.IFS(COUNTIF($B$46:$C$46, S$2)&gt;0, VLOOKUP($J517,'Gear Values'!$A$2:$E$13, IF(COUNTBLANK('Attributes &amp; Prefixes'!$B$46:$C$46)&gt;0, "2", "3"), 0), COUNTIF($D$46:$E$46, S$2)&gt;0, VLOOKUP($J517,'Gear Values'!$A$2:$E$13, IF(COUNTBLANK('Attributes &amp; Prefixes'!$B$46:$C$46)&gt;0, "4", "5"), 0)), "")</f>
        <v/>
      </c>
      <c r="V517" s="112"/>
      <c r="W517" s="112"/>
    </row>
    <row r="518" spans="6:23">
      <c r="F518" s="114"/>
      <c r="G518" s="114"/>
      <c r="H518" s="130" t="str">
        <f>_xlfn.CONCAT(I$507,J518)</f>
        <v>TrailblazerBack</v>
      </c>
      <c r="I518" s="521"/>
      <c r="J518" s="146" t="s">
        <v>53</v>
      </c>
      <c r="K518" s="147" t="str" cm="1">
        <f t="array" ref="K518">IF(COUNTIF($B$46:$E$46, K$2)&gt;0, _xlfn.IFS(COUNTIF($B$46:$C$46, K$2)&gt;0, VLOOKUP($J518,'Gear Values'!$A$2:$E$13, IF(COUNTBLANK('Attributes &amp; Prefixes'!$B$46:$C$46)&gt;0, "2", "3"), 0), COUNTIF($D$46:$E$46, K$2)&gt;0, VLOOKUP($J518,'Gear Values'!$A$2:$E$13, IF(COUNTBLANK('Attributes &amp; Prefixes'!$B$46:$C$46)&gt;0, "4", "5"), 0)), "")</f>
        <v/>
      </c>
      <c r="L518" s="148" t="str" cm="1">
        <f t="array" ref="L518">IF(COUNTIF($B$46:$E$46, L$2)&gt;0, _xlfn.IFS(COUNTIF($B$46:$C$46, L$2)&gt;0, VLOOKUP($J518,'Gear Values'!$A$2:$E$13, IF(COUNTBLANK('Attributes &amp; Prefixes'!$B$46:$C$46)&gt;0, "2", "3"), 0), COUNTIF($D$46:$E$46, L$2)&gt;0, VLOOKUP($J518,'Gear Values'!$A$2:$E$13, IF(COUNTBLANK('Attributes &amp; Prefixes'!$B$46:$C$46)&gt;0, "4", "5"), 0)), "")</f>
        <v/>
      </c>
      <c r="M518" s="148" t="str" cm="1">
        <f t="array" ref="M518">IF(COUNTIF($B$46:$E$46, M$2)&gt;0, _xlfn.IFS(COUNTIF($B$46:$C$46, M$2)&gt;0, VLOOKUP($J518,'Gear Values'!$A$2:$E$13, IF(COUNTBLANK('Attributes &amp; Prefixes'!$B$46:$C$46)&gt;0, "2", "3"), 0), COUNTIF($D$46:$E$46, M$2)&gt;0, VLOOKUP($J518,'Gear Values'!$A$2:$E$13, IF(COUNTBLANK('Attributes &amp; Prefixes'!$B$46:$C$46)&gt;0, "4", "5"), 0)), "")</f>
        <v>N/A</v>
      </c>
      <c r="N518" s="148" t="str" cm="1">
        <f t="array" ref="N518">IF(COUNTIF($B$46:$E$46, N$2)&gt;0, _xlfn.IFS(COUNTIF($B$46:$C$46, N$2)&gt;0, VLOOKUP($J518,'Gear Values'!$A$2:$E$13, IF(COUNTBLANK('Attributes &amp; Prefixes'!$B$46:$C$46)&gt;0, "2", "3"), 0), COUNTIF($D$46:$E$46, N$2)&gt;0, VLOOKUP($J518,'Gear Values'!$A$2:$E$13, IF(COUNTBLANK('Attributes &amp; Prefixes'!$B$46:$C$46)&gt;0, "4", "5"), 0)), "")</f>
        <v>N/A</v>
      </c>
      <c r="O518" s="148" t="str" cm="1">
        <f t="array" ref="O518">IF(COUNTIF($B$46:$E$46, O$2)&gt;0, _xlfn.IFS(COUNTIF($B$46:$C$46, O$2)&gt;0, VLOOKUP($J518,'Gear Values'!$A$2:$E$13, IF(COUNTBLANK('Attributes &amp; Prefixes'!$B$46:$C$46)&gt;0, "2", "3"), 0), COUNTIF($D$46:$E$46, O$2)&gt;0, VLOOKUP($J518,'Gear Values'!$A$2:$E$13, IF(COUNTBLANK('Attributes &amp; Prefixes'!$B$46:$C$46)&gt;0, "4", "5"), 0)), "")</f>
        <v/>
      </c>
      <c r="P518" s="148" t="str" cm="1">
        <f t="array" ref="P518">IF(COUNTIF($B$46:$E$46, P$2)&gt;0, _xlfn.IFS(COUNTIF($B$46:$C$46, P$2)&gt;0, VLOOKUP($J518,'Gear Values'!$A$2:$E$13, IF(COUNTBLANK('Attributes &amp; Prefixes'!$B$46:$C$46)&gt;0, "2", "3"), 0), COUNTIF($D$46:$E$46, P$2)&gt;0, VLOOKUP($J518,'Gear Values'!$A$2:$E$13, IF(COUNTBLANK('Attributes &amp; Prefixes'!$B$46:$C$46)&gt;0, "4", "5"), 0)), "")</f>
        <v>N/A</v>
      </c>
      <c r="Q518" s="148" t="str" cm="1">
        <f t="array" ref="Q518">IF(COUNTIF($B$46:$E$46, Q$2)&gt;0, _xlfn.IFS(COUNTIF($B$46:$C$46, Q$2)&gt;0, VLOOKUP($J518,'Gear Values'!$A$2:$E$13, IF(COUNTBLANK('Attributes &amp; Prefixes'!$B$46:$C$46)&gt;0, "2", "3"), 0), COUNTIF($D$46:$E$46, Q$2)&gt;0, VLOOKUP($J518,'Gear Values'!$A$2:$E$13, IF(COUNTBLANK('Attributes &amp; Prefixes'!$B$46:$C$46)&gt;0, "4", "5"), 0)), "")</f>
        <v>N/A</v>
      </c>
      <c r="R518" s="148" t="str" cm="1">
        <f t="array" ref="R518">IF(COUNTIF($B$46:$E$46, R$2)&gt;0, _xlfn.IFS(COUNTIF($B$46:$C$46, R$2)&gt;0, VLOOKUP($J518,'Gear Values'!$A$2:$E$13, IF(COUNTBLANK('Attributes &amp; Prefixes'!$B$46:$C$46)&gt;0, "2", "3"), 0), COUNTIF($D$46:$E$46, R$2)&gt;0, VLOOKUP($J518,'Gear Values'!$A$2:$E$13, IF(COUNTBLANK('Attributes &amp; Prefixes'!$B$46:$C$46)&gt;0, "4", "5"), 0)), "")</f>
        <v/>
      </c>
      <c r="S518" s="150" t="str" cm="1">
        <f t="array" ref="S518">IF(COUNTIF($B$46:$E$46, S$2)&gt;0, _xlfn.IFS(COUNTIF($B$46:$C$46, S$2)&gt;0, VLOOKUP($J518,'Gear Values'!$A$2:$E$13, IF(COUNTBLANK('Attributes &amp; Prefixes'!$B$46:$C$46)&gt;0, "2", "3"), 0), COUNTIF($D$46:$E$46, S$2)&gt;0, VLOOKUP($J518,'Gear Values'!$A$2:$E$13, IF(COUNTBLANK('Attributes &amp; Prefixes'!$B$46:$C$46)&gt;0, "4", "5"), 0)), "")</f>
        <v/>
      </c>
      <c r="V518" s="112"/>
      <c r="W518" s="112"/>
    </row>
    <row r="519" spans="6:23">
      <c r="F519" s="114"/>
      <c r="G519" s="114"/>
      <c r="H519" s="130" t="str">
        <f>_xlfn.CONCAT(I$519,J519)</f>
        <v>TyrantWeapon (1H)</v>
      </c>
      <c r="I519" s="519" t="str">
        <f>A47</f>
        <v>Tyrant</v>
      </c>
      <c r="J519" s="145" t="s">
        <v>37</v>
      </c>
      <c r="K519" s="133" cm="1">
        <f t="array" ref="K519">IF(COUNTIF($B$47:$E$47, K$2)&gt;0, _xlfn.IFS(COUNTIF($B$47:$C$47, K$2)&gt;0, VLOOKUP($J519,'Gear Values'!$A$2:$E$13, IF(COUNTBLANK('Attributes &amp; Prefixes'!$B$47:$C$47)&gt;0, "2", "3"), 0), COUNTIF($D$47:$E$47, K$2)&gt;0, VLOOKUP($J519,'Gear Values'!$A$2:$E$13, IF(COUNTBLANK('Attributes &amp; Prefixes'!$B$47:$C$47)&gt;0, "4", "5"), 0)), "")</f>
        <v>102</v>
      </c>
      <c r="L519" s="134" cm="1">
        <f t="array" ref="L519">IF(COUNTIF($B$47:$E$47, L$2)&gt;0, _xlfn.IFS(COUNTIF($B$47:$C$47, L$2)&gt;0, VLOOKUP($J519,'Gear Values'!$A$2:$E$13, IF(COUNTBLANK('Attributes &amp; Prefixes'!$B$47:$C$47)&gt;0, "2", "3"), 0), COUNTIF($D$47:$E$47, L$2)&gt;0, VLOOKUP($J519,'Gear Values'!$A$2:$E$13, IF(COUNTBLANK('Attributes &amp; Prefixes'!$B$47:$C$47)&gt;0, "4", "5"), 0)), "")</f>
        <v>56</v>
      </c>
      <c r="M519" s="134" cm="1">
        <f t="array" ref="M519">IF(COUNTIF($B$47:$E$47, M$2)&gt;0, _xlfn.IFS(COUNTIF($B$47:$C$47, M$2)&gt;0, VLOOKUP($J519,'Gear Values'!$A$2:$E$13, IF(COUNTBLANK('Attributes &amp; Prefixes'!$B$47:$C$47)&gt;0, "2", "3"), 0), COUNTIF($D$47:$E$47, M$2)&gt;0, VLOOKUP($J519,'Gear Values'!$A$2:$E$13, IF(COUNTBLANK('Attributes &amp; Prefixes'!$B$47:$C$47)&gt;0, "4", "5"), 0)), "")</f>
        <v>56</v>
      </c>
      <c r="N519" s="134" t="str" cm="1">
        <f t="array" ref="N519">IF(COUNTIF($B$47:$E$47, N$2)&gt;0, _xlfn.IFS(COUNTIF($B$47:$C$47, N$2)&gt;0, VLOOKUP($J519,'Gear Values'!$A$2:$E$13, IF(COUNTBLANK('Attributes &amp; Prefixes'!$B$47:$C$47)&gt;0, "2", "3"), 0), COUNTIF($D$47:$E$47, N$2)&gt;0, VLOOKUP($J519,'Gear Values'!$A$2:$E$13, IF(COUNTBLANK('Attributes &amp; Prefixes'!$B$47:$C$47)&gt;0, "4", "5"), 0)), "")</f>
        <v/>
      </c>
      <c r="O519" s="134" t="str" cm="1">
        <f t="array" ref="O519">IF(COUNTIF($B$47:$E$47, O$2)&gt;0, _xlfn.IFS(COUNTIF($B$47:$C$47, O$2)&gt;0, VLOOKUP($J519,'Gear Values'!$A$2:$E$13, IF(COUNTBLANK('Attributes &amp; Prefixes'!$B$47:$C$47)&gt;0, "2", "3"), 0), COUNTIF($D$47:$E$47, O$2)&gt;0, VLOOKUP($J519,'Gear Values'!$A$2:$E$13, IF(COUNTBLANK('Attributes &amp; Prefixes'!$B$47:$C$47)&gt;0, "4", "5"), 0)), "")</f>
        <v/>
      </c>
      <c r="P519" s="134" cm="1">
        <f t="array" ref="P519">IF(COUNTIF($B$47:$E$47, P$2)&gt;0, _xlfn.IFS(COUNTIF($B$47:$C$47, P$2)&gt;0, VLOOKUP($J519,'Gear Values'!$A$2:$E$13, IF(COUNTBLANK('Attributes &amp; Prefixes'!$B$47:$C$47)&gt;0, "2", "3"), 0), COUNTIF($D$47:$E$47, P$2)&gt;0, VLOOKUP($J519,'Gear Values'!$A$2:$E$13, IF(COUNTBLANK('Attributes &amp; Prefixes'!$B$47:$C$47)&gt;0, "4", "5"), 0)), "")</f>
        <v>102</v>
      </c>
      <c r="Q519" s="134" t="str" cm="1">
        <f t="array" ref="Q519">IF(COUNTIF($B$47:$E$47, Q$2)&gt;0, _xlfn.IFS(COUNTIF($B$47:$C$47, Q$2)&gt;0, VLOOKUP($J519,'Gear Values'!$A$2:$E$13, IF(COUNTBLANK('Attributes &amp; Prefixes'!$B$47:$C$47)&gt;0, "2", "3"), 0), COUNTIF($D$47:$E$47, Q$2)&gt;0, VLOOKUP($J519,'Gear Values'!$A$2:$E$13, IF(COUNTBLANK('Attributes &amp; Prefixes'!$B$47:$C$47)&gt;0, "4", "5"), 0)), "")</f>
        <v/>
      </c>
      <c r="R519" s="134" t="str" cm="1">
        <f t="array" ref="R519">IF(COUNTIF($B$47:$E$47, R$2)&gt;0, _xlfn.IFS(COUNTIF($B$47:$C$47, R$2)&gt;0, VLOOKUP($J519,'Gear Values'!$A$2:$E$13, IF(COUNTBLANK('Attributes &amp; Prefixes'!$B$47:$C$47)&gt;0, "2", "3"), 0), COUNTIF($D$47:$E$47, R$2)&gt;0, VLOOKUP($J519,'Gear Values'!$A$2:$E$13, IF(COUNTBLANK('Attributes &amp; Prefixes'!$B$47:$C$47)&gt;0, "4", "5"), 0)), "")</f>
        <v/>
      </c>
      <c r="S519" s="135" t="str" cm="1">
        <f t="array" ref="S519">IF(COUNTIF($B$47:$E$47, S$2)&gt;0, _xlfn.IFS(COUNTIF($B$47:$C$47, S$2)&gt;0, VLOOKUP($J519,'Gear Values'!$A$2:$E$13, IF(COUNTBLANK('Attributes &amp; Prefixes'!$B$47:$C$47)&gt;0, "2", "3"), 0), COUNTIF($D$47:$E$47, S$2)&gt;0, VLOOKUP($J519,'Gear Values'!$A$2:$E$13, IF(COUNTBLANK('Attributes &amp; Prefixes'!$B$47:$C$47)&gt;0, "4", "5"), 0)), "")</f>
        <v/>
      </c>
      <c r="V519" s="112"/>
      <c r="W519" s="112"/>
    </row>
    <row r="520" spans="6:23">
      <c r="F520" s="114"/>
      <c r="G520" s="114"/>
      <c r="H520" s="130" t="str">
        <f>_xlfn.CONCAT(I$519,J520)</f>
        <v>TyrantWeapon (2H)</v>
      </c>
      <c r="I520" s="520"/>
      <c r="J520" s="144" t="s">
        <v>39</v>
      </c>
      <c r="K520" s="136" cm="1">
        <f t="array" ref="K520">IF(COUNTIF($B$47:$E$47, K$2)&gt;0, _xlfn.IFS(COUNTIF($B$47:$C$47, K$2)&gt;0, VLOOKUP($J520,'Gear Values'!$A$2:$E$13, IF(COUNTBLANK('Attributes &amp; Prefixes'!$B$47:$C$47)&gt;0, "2", "3"), 0), COUNTIF($D$47:$E$47, K$2)&gt;0, VLOOKUP($J520,'Gear Values'!$A$2:$E$13, IF(COUNTBLANK('Attributes &amp; Prefixes'!$B$47:$C$47)&gt;0, "4", "5"), 0)), "")</f>
        <v>205</v>
      </c>
      <c r="L520" s="137" cm="1">
        <f t="array" ref="L520">IF(COUNTIF($B$47:$E$47, L$2)&gt;0, _xlfn.IFS(COUNTIF($B$47:$C$47, L$2)&gt;0, VLOOKUP($J520,'Gear Values'!$A$2:$E$13, IF(COUNTBLANK('Attributes &amp; Prefixes'!$B$47:$C$47)&gt;0, "2", "3"), 0), COUNTIF($D$47:$E$47, L$2)&gt;0, VLOOKUP($J520,'Gear Values'!$A$2:$E$13, IF(COUNTBLANK('Attributes &amp; Prefixes'!$B$47:$C$47)&gt;0, "4", "5"), 0)), "")</f>
        <v>113</v>
      </c>
      <c r="M520" s="137" cm="1">
        <f t="array" ref="M520">IF(COUNTIF($B$47:$E$47, M$2)&gt;0, _xlfn.IFS(COUNTIF($B$47:$C$47, M$2)&gt;0, VLOOKUP($J520,'Gear Values'!$A$2:$E$13, IF(COUNTBLANK('Attributes &amp; Prefixes'!$B$47:$C$47)&gt;0, "2", "3"), 0), COUNTIF($D$47:$E$47, M$2)&gt;0, VLOOKUP($J520,'Gear Values'!$A$2:$E$13, IF(COUNTBLANK('Attributes &amp; Prefixes'!$B$47:$C$47)&gt;0, "4", "5"), 0)), "")</f>
        <v>113</v>
      </c>
      <c r="N520" s="137" t="str" cm="1">
        <f t="array" ref="N520">IF(COUNTIF($B$47:$E$47, N$2)&gt;0, _xlfn.IFS(COUNTIF($B$47:$C$47, N$2)&gt;0, VLOOKUP($J520,'Gear Values'!$A$2:$E$13, IF(COUNTBLANK('Attributes &amp; Prefixes'!$B$47:$C$47)&gt;0, "2", "3"), 0), COUNTIF($D$47:$E$47, N$2)&gt;0, VLOOKUP($J520,'Gear Values'!$A$2:$E$13, IF(COUNTBLANK('Attributes &amp; Prefixes'!$B$47:$C$47)&gt;0, "4", "5"), 0)), "")</f>
        <v/>
      </c>
      <c r="O520" s="137" t="str" cm="1">
        <f t="array" ref="O520">IF(COUNTIF($B$47:$E$47, O$2)&gt;0, _xlfn.IFS(COUNTIF($B$47:$C$47, O$2)&gt;0, VLOOKUP($J520,'Gear Values'!$A$2:$E$13, IF(COUNTBLANK('Attributes &amp; Prefixes'!$B$47:$C$47)&gt;0, "2", "3"), 0), COUNTIF($D$47:$E$47, O$2)&gt;0, VLOOKUP($J520,'Gear Values'!$A$2:$E$13, IF(COUNTBLANK('Attributes &amp; Prefixes'!$B$47:$C$47)&gt;0, "4", "5"), 0)), "")</f>
        <v/>
      </c>
      <c r="P520" s="137" cm="1">
        <f t="array" ref="P520">IF(COUNTIF($B$47:$E$47, P$2)&gt;0, _xlfn.IFS(COUNTIF($B$47:$C$47, P$2)&gt;0, VLOOKUP($J520,'Gear Values'!$A$2:$E$13, IF(COUNTBLANK('Attributes &amp; Prefixes'!$B$47:$C$47)&gt;0, "2", "3"), 0), COUNTIF($D$47:$E$47, P$2)&gt;0, VLOOKUP($J520,'Gear Values'!$A$2:$E$13, IF(COUNTBLANK('Attributes &amp; Prefixes'!$B$47:$C$47)&gt;0, "4", "5"), 0)), "")</f>
        <v>205</v>
      </c>
      <c r="Q520" s="137" t="str" cm="1">
        <f t="array" ref="Q520">IF(COUNTIF($B$47:$E$47, Q$2)&gt;0, _xlfn.IFS(COUNTIF($B$47:$C$47, Q$2)&gt;0, VLOOKUP($J520,'Gear Values'!$A$2:$E$13, IF(COUNTBLANK('Attributes &amp; Prefixes'!$B$47:$C$47)&gt;0, "2", "3"), 0), COUNTIF($D$47:$E$47, Q$2)&gt;0, VLOOKUP($J520,'Gear Values'!$A$2:$E$13, IF(COUNTBLANK('Attributes &amp; Prefixes'!$B$47:$C$47)&gt;0, "4", "5"), 0)), "")</f>
        <v/>
      </c>
      <c r="R520" s="137" t="str" cm="1">
        <f t="array" ref="R520">IF(COUNTIF($B$47:$E$47, R$2)&gt;0, _xlfn.IFS(COUNTIF($B$47:$C$47, R$2)&gt;0, VLOOKUP($J520,'Gear Values'!$A$2:$E$13, IF(COUNTBLANK('Attributes &amp; Prefixes'!$B$47:$C$47)&gt;0, "2", "3"), 0), COUNTIF($D$47:$E$47, R$2)&gt;0, VLOOKUP($J520,'Gear Values'!$A$2:$E$13, IF(COUNTBLANK('Attributes &amp; Prefixes'!$B$47:$C$47)&gt;0, "4", "5"), 0)), "")</f>
        <v/>
      </c>
      <c r="S520" s="138" t="str" cm="1">
        <f t="array" ref="S520">IF(COUNTIF($B$47:$E$47, S$2)&gt;0, _xlfn.IFS(COUNTIF($B$47:$C$47, S$2)&gt;0, VLOOKUP($J520,'Gear Values'!$A$2:$E$13, IF(COUNTBLANK('Attributes &amp; Prefixes'!$B$47:$C$47)&gt;0, "2", "3"), 0), COUNTIF($D$47:$E$47, S$2)&gt;0, VLOOKUP($J520,'Gear Values'!$A$2:$E$13, IF(COUNTBLANK('Attributes &amp; Prefixes'!$B$47:$C$47)&gt;0, "4", "5"), 0)), "")</f>
        <v/>
      </c>
      <c r="V520" s="112"/>
      <c r="W520" s="112"/>
    </row>
    <row r="521" spans="6:23">
      <c r="F521" s="114"/>
      <c r="G521" s="114"/>
      <c r="H521" s="130" t="str">
        <f>_xlfn.CONCAT(I$519,J521)</f>
        <v>TyrantHead</v>
      </c>
      <c r="I521" s="520"/>
      <c r="J521" s="144" t="s">
        <v>40</v>
      </c>
      <c r="K521" s="136" cm="1">
        <f t="array" ref="K521">IF(COUNTIF($B$47:$E$47, K$2)&gt;0, _xlfn.IFS(COUNTIF($B$47:$C$47, K$2)&gt;0, VLOOKUP($J521,'Gear Values'!$A$2:$E$13, IF(COUNTBLANK('Attributes &amp; Prefixes'!$B$47:$C$47)&gt;0, "2", "3"), 0), COUNTIF($D$47:$E$47, K$2)&gt;0, VLOOKUP($J521,'Gear Values'!$A$2:$E$13, IF(COUNTBLANK('Attributes &amp; Prefixes'!$B$47:$C$47)&gt;0, "4", "5"), 0)), "")</f>
        <v>51</v>
      </c>
      <c r="L521" s="137" cm="1">
        <f t="array" ref="L521">IF(COUNTIF($B$47:$E$47, L$2)&gt;0, _xlfn.IFS(COUNTIF($B$47:$C$47, L$2)&gt;0, VLOOKUP($J521,'Gear Values'!$A$2:$E$13, IF(COUNTBLANK('Attributes &amp; Prefixes'!$B$47:$C$47)&gt;0, "2", "3"), 0), COUNTIF($D$47:$E$47, L$2)&gt;0, VLOOKUP($J521,'Gear Values'!$A$2:$E$13, IF(COUNTBLANK('Attributes &amp; Prefixes'!$B$47:$C$47)&gt;0, "4", "5"), 0)), "")</f>
        <v>28</v>
      </c>
      <c r="M521" s="137" cm="1">
        <f t="array" ref="M521">IF(COUNTIF($B$47:$E$47, M$2)&gt;0, _xlfn.IFS(COUNTIF($B$47:$C$47, M$2)&gt;0, VLOOKUP($J521,'Gear Values'!$A$2:$E$13, IF(COUNTBLANK('Attributes &amp; Prefixes'!$B$47:$C$47)&gt;0, "2", "3"), 0), COUNTIF($D$47:$E$47, M$2)&gt;0, VLOOKUP($J521,'Gear Values'!$A$2:$E$13, IF(COUNTBLANK('Attributes &amp; Prefixes'!$B$47:$C$47)&gt;0, "4", "5"), 0)), "")</f>
        <v>28</v>
      </c>
      <c r="N521" s="137" t="str" cm="1">
        <f t="array" ref="N521">IF(COUNTIF($B$47:$E$47, N$2)&gt;0, _xlfn.IFS(COUNTIF($B$47:$C$47, N$2)&gt;0, VLOOKUP($J521,'Gear Values'!$A$2:$E$13, IF(COUNTBLANK('Attributes &amp; Prefixes'!$B$47:$C$47)&gt;0, "2", "3"), 0), COUNTIF($D$47:$E$47, N$2)&gt;0, VLOOKUP($J521,'Gear Values'!$A$2:$E$13, IF(COUNTBLANK('Attributes &amp; Prefixes'!$B$47:$C$47)&gt;0, "4", "5"), 0)), "")</f>
        <v/>
      </c>
      <c r="O521" s="137" t="str" cm="1">
        <f t="array" ref="O521">IF(COUNTIF($B$47:$E$47, O$2)&gt;0, _xlfn.IFS(COUNTIF($B$47:$C$47, O$2)&gt;0, VLOOKUP($J521,'Gear Values'!$A$2:$E$13, IF(COUNTBLANK('Attributes &amp; Prefixes'!$B$47:$C$47)&gt;0, "2", "3"), 0), COUNTIF($D$47:$E$47, O$2)&gt;0, VLOOKUP($J521,'Gear Values'!$A$2:$E$13, IF(COUNTBLANK('Attributes &amp; Prefixes'!$B$47:$C$47)&gt;0, "4", "5"), 0)), "")</f>
        <v/>
      </c>
      <c r="P521" s="137" cm="1">
        <f t="array" ref="P521">IF(COUNTIF($B$47:$E$47, P$2)&gt;0, _xlfn.IFS(COUNTIF($B$47:$C$47, P$2)&gt;0, VLOOKUP($J521,'Gear Values'!$A$2:$E$13, IF(COUNTBLANK('Attributes &amp; Prefixes'!$B$47:$C$47)&gt;0, "2", "3"), 0), COUNTIF($D$47:$E$47, P$2)&gt;0, VLOOKUP($J521,'Gear Values'!$A$2:$E$13, IF(COUNTBLANK('Attributes &amp; Prefixes'!$B$47:$C$47)&gt;0, "4", "5"), 0)), "")</f>
        <v>51</v>
      </c>
      <c r="Q521" s="137" t="str" cm="1">
        <f t="array" ref="Q521">IF(COUNTIF($B$47:$E$47, Q$2)&gt;0, _xlfn.IFS(COUNTIF($B$47:$C$47, Q$2)&gt;0, VLOOKUP($J521,'Gear Values'!$A$2:$E$13, IF(COUNTBLANK('Attributes &amp; Prefixes'!$B$47:$C$47)&gt;0, "2", "3"), 0), COUNTIF($D$47:$E$47, Q$2)&gt;0, VLOOKUP($J521,'Gear Values'!$A$2:$E$13, IF(COUNTBLANK('Attributes &amp; Prefixes'!$B$47:$C$47)&gt;0, "4", "5"), 0)), "")</f>
        <v/>
      </c>
      <c r="R521" s="137" t="str" cm="1">
        <f t="array" ref="R521">IF(COUNTIF($B$47:$E$47, R$2)&gt;0, _xlfn.IFS(COUNTIF($B$47:$C$47, R$2)&gt;0, VLOOKUP($J521,'Gear Values'!$A$2:$E$13, IF(COUNTBLANK('Attributes &amp; Prefixes'!$B$47:$C$47)&gt;0, "2", "3"), 0), COUNTIF($D$47:$E$47, R$2)&gt;0, VLOOKUP($J521,'Gear Values'!$A$2:$E$13, IF(COUNTBLANK('Attributes &amp; Prefixes'!$B$47:$C$47)&gt;0, "4", "5"), 0)), "")</f>
        <v/>
      </c>
      <c r="S521" s="138" t="str" cm="1">
        <f t="array" ref="S521">IF(COUNTIF($B$47:$E$47, S$2)&gt;0, _xlfn.IFS(COUNTIF($B$47:$C$47, S$2)&gt;0, VLOOKUP($J521,'Gear Values'!$A$2:$E$13, IF(COUNTBLANK('Attributes &amp; Prefixes'!$B$47:$C$47)&gt;0, "2", "3"), 0), COUNTIF($D$47:$E$47, S$2)&gt;0, VLOOKUP($J521,'Gear Values'!$A$2:$E$13, IF(COUNTBLANK('Attributes &amp; Prefixes'!$B$47:$C$47)&gt;0, "4", "5"), 0)), "")</f>
        <v/>
      </c>
      <c r="V521" s="112"/>
      <c r="W521" s="112"/>
    </row>
    <row r="522" spans="6:23">
      <c r="F522" s="114"/>
      <c r="G522" s="114"/>
      <c r="H522" s="130" t="str">
        <f>_xlfn.CONCAT(I$519,J522)</f>
        <v>TyrantShoulders</v>
      </c>
      <c r="I522" s="520"/>
      <c r="J522" s="144" t="s">
        <v>42</v>
      </c>
      <c r="K522" s="136" cm="1">
        <f t="array" ref="K522">IF(COUNTIF($B$47:$E$47, K$2)&gt;0, _xlfn.IFS(COUNTIF($B$47:$C$47, K$2)&gt;0, VLOOKUP($J522,'Gear Values'!$A$2:$E$13, IF(COUNTBLANK('Attributes &amp; Prefixes'!$B$47:$C$47)&gt;0, "2", "3"), 0), COUNTIF($D$47:$E$47, K$2)&gt;0, VLOOKUP($J522,'Gear Values'!$A$2:$E$13, IF(COUNTBLANK('Attributes &amp; Prefixes'!$B$47:$C$47)&gt;0, "4", "5"), 0)), "")</f>
        <v>38</v>
      </c>
      <c r="L522" s="137" cm="1">
        <f t="array" ref="L522">IF(COUNTIF($B$47:$E$47, L$2)&gt;0, _xlfn.IFS(COUNTIF($B$47:$C$47, L$2)&gt;0, VLOOKUP($J522,'Gear Values'!$A$2:$E$13, IF(COUNTBLANK('Attributes &amp; Prefixes'!$B$47:$C$47)&gt;0, "2", "3"), 0), COUNTIF($D$47:$E$47, L$2)&gt;0, VLOOKUP($J522,'Gear Values'!$A$2:$E$13, IF(COUNTBLANK('Attributes &amp; Prefixes'!$B$47:$C$47)&gt;0, "4", "5"), 0)), "")</f>
        <v>21</v>
      </c>
      <c r="M522" s="137" cm="1">
        <f t="array" ref="M522">IF(COUNTIF($B$47:$E$47, M$2)&gt;0, _xlfn.IFS(COUNTIF($B$47:$C$47, M$2)&gt;0, VLOOKUP($J522,'Gear Values'!$A$2:$E$13, IF(COUNTBLANK('Attributes &amp; Prefixes'!$B$47:$C$47)&gt;0, "2", "3"), 0), COUNTIF($D$47:$E$47, M$2)&gt;0, VLOOKUP($J522,'Gear Values'!$A$2:$E$13, IF(COUNTBLANK('Attributes &amp; Prefixes'!$B$47:$C$47)&gt;0, "4", "5"), 0)), "")</f>
        <v>21</v>
      </c>
      <c r="N522" s="137" t="str" cm="1">
        <f t="array" ref="N522">IF(COUNTIF($B$47:$E$47, N$2)&gt;0, _xlfn.IFS(COUNTIF($B$47:$C$47, N$2)&gt;0, VLOOKUP($J522,'Gear Values'!$A$2:$E$13, IF(COUNTBLANK('Attributes &amp; Prefixes'!$B$47:$C$47)&gt;0, "2", "3"), 0), COUNTIF($D$47:$E$47, N$2)&gt;0, VLOOKUP($J522,'Gear Values'!$A$2:$E$13, IF(COUNTBLANK('Attributes &amp; Prefixes'!$B$47:$C$47)&gt;0, "4", "5"), 0)), "")</f>
        <v/>
      </c>
      <c r="O522" s="137" t="str" cm="1">
        <f t="array" ref="O522">IF(COUNTIF($B$47:$E$47, O$2)&gt;0, _xlfn.IFS(COUNTIF($B$47:$C$47, O$2)&gt;0, VLOOKUP($J522,'Gear Values'!$A$2:$E$13, IF(COUNTBLANK('Attributes &amp; Prefixes'!$B$47:$C$47)&gt;0, "2", "3"), 0), COUNTIF($D$47:$E$47, O$2)&gt;0, VLOOKUP($J522,'Gear Values'!$A$2:$E$13, IF(COUNTBLANK('Attributes &amp; Prefixes'!$B$47:$C$47)&gt;0, "4", "5"), 0)), "")</f>
        <v/>
      </c>
      <c r="P522" s="137" cm="1">
        <f t="array" ref="P522">IF(COUNTIF($B$47:$E$47, P$2)&gt;0, _xlfn.IFS(COUNTIF($B$47:$C$47, P$2)&gt;0, VLOOKUP($J522,'Gear Values'!$A$2:$E$13, IF(COUNTBLANK('Attributes &amp; Prefixes'!$B$47:$C$47)&gt;0, "2", "3"), 0), COUNTIF($D$47:$E$47, P$2)&gt;0, VLOOKUP($J522,'Gear Values'!$A$2:$E$13, IF(COUNTBLANK('Attributes &amp; Prefixes'!$B$47:$C$47)&gt;0, "4", "5"), 0)), "")</f>
        <v>38</v>
      </c>
      <c r="Q522" s="137" t="str" cm="1">
        <f t="array" ref="Q522">IF(COUNTIF($B$47:$E$47, Q$2)&gt;0, _xlfn.IFS(COUNTIF($B$47:$C$47, Q$2)&gt;0, VLOOKUP($J522,'Gear Values'!$A$2:$E$13, IF(COUNTBLANK('Attributes &amp; Prefixes'!$B$47:$C$47)&gt;0, "2", "3"), 0), COUNTIF($D$47:$E$47, Q$2)&gt;0, VLOOKUP($J522,'Gear Values'!$A$2:$E$13, IF(COUNTBLANK('Attributes &amp; Prefixes'!$B$47:$C$47)&gt;0, "4", "5"), 0)), "")</f>
        <v/>
      </c>
      <c r="R522" s="137" t="str" cm="1">
        <f t="array" ref="R522">IF(COUNTIF($B$47:$E$47, R$2)&gt;0, _xlfn.IFS(COUNTIF($B$47:$C$47, R$2)&gt;0, VLOOKUP($J522,'Gear Values'!$A$2:$E$13, IF(COUNTBLANK('Attributes &amp; Prefixes'!$B$47:$C$47)&gt;0, "2", "3"), 0), COUNTIF($D$47:$E$47, R$2)&gt;0, VLOOKUP($J522,'Gear Values'!$A$2:$E$13, IF(COUNTBLANK('Attributes &amp; Prefixes'!$B$47:$C$47)&gt;0, "4", "5"), 0)), "")</f>
        <v/>
      </c>
      <c r="S522" s="138" t="str" cm="1">
        <f t="array" ref="S522">IF(COUNTIF($B$47:$E$47, S$2)&gt;0, _xlfn.IFS(COUNTIF($B$47:$C$47, S$2)&gt;0, VLOOKUP($J522,'Gear Values'!$A$2:$E$13, IF(COUNTBLANK('Attributes &amp; Prefixes'!$B$47:$C$47)&gt;0, "2", "3"), 0), COUNTIF($D$47:$E$47, S$2)&gt;0, VLOOKUP($J522,'Gear Values'!$A$2:$E$13, IF(COUNTBLANK('Attributes &amp; Prefixes'!$B$47:$C$47)&gt;0, "4", "5"), 0)), "")</f>
        <v/>
      </c>
      <c r="V522" s="112"/>
      <c r="W522" s="112"/>
    </row>
    <row r="523" spans="6:23">
      <c r="F523" s="114"/>
      <c r="G523" s="114"/>
      <c r="H523" s="130" t="str">
        <f>_xlfn.CONCAT(I$519,J523)</f>
        <v>TyrantChest</v>
      </c>
      <c r="I523" s="520"/>
      <c r="J523" s="144" t="s">
        <v>44</v>
      </c>
      <c r="K523" s="136" cm="1">
        <f t="array" ref="K523">IF(COUNTIF($B$47:$E$47, K$2)&gt;0, _xlfn.IFS(COUNTIF($B$47:$C$47, K$2)&gt;0, VLOOKUP($J523,'Gear Values'!$A$2:$E$13, IF(COUNTBLANK('Attributes &amp; Prefixes'!$B$47:$C$47)&gt;0, "2", "3"), 0), COUNTIF($D$47:$E$47, K$2)&gt;0, VLOOKUP($J523,'Gear Values'!$A$2:$E$13, IF(COUNTBLANK('Attributes &amp; Prefixes'!$B$47:$C$47)&gt;0, "4", "5"), 0)), "")</f>
        <v>115</v>
      </c>
      <c r="L523" s="137" cm="1">
        <f t="array" ref="L523">IF(COUNTIF($B$47:$E$47, L$2)&gt;0, _xlfn.IFS(COUNTIF($B$47:$C$47, L$2)&gt;0, VLOOKUP($J523,'Gear Values'!$A$2:$E$13, IF(COUNTBLANK('Attributes &amp; Prefixes'!$B$47:$C$47)&gt;0, "2", "3"), 0), COUNTIF($D$47:$E$47, L$2)&gt;0, VLOOKUP($J523,'Gear Values'!$A$2:$E$13, IF(COUNTBLANK('Attributes &amp; Prefixes'!$B$47:$C$47)&gt;0, "4", "5"), 0)), "")</f>
        <v>63</v>
      </c>
      <c r="M523" s="137" cm="1">
        <f t="array" ref="M523">IF(COUNTIF($B$47:$E$47, M$2)&gt;0, _xlfn.IFS(COUNTIF($B$47:$C$47, M$2)&gt;0, VLOOKUP($J523,'Gear Values'!$A$2:$E$13, IF(COUNTBLANK('Attributes &amp; Prefixes'!$B$47:$C$47)&gt;0, "2", "3"), 0), COUNTIF($D$47:$E$47, M$2)&gt;0, VLOOKUP($J523,'Gear Values'!$A$2:$E$13, IF(COUNTBLANK('Attributes &amp; Prefixes'!$B$47:$C$47)&gt;0, "4", "5"), 0)), "")</f>
        <v>63</v>
      </c>
      <c r="N523" s="137" t="str" cm="1">
        <f t="array" ref="N523">IF(COUNTIF($B$47:$E$47, N$2)&gt;0, _xlfn.IFS(COUNTIF($B$47:$C$47, N$2)&gt;0, VLOOKUP($J523,'Gear Values'!$A$2:$E$13, IF(COUNTBLANK('Attributes &amp; Prefixes'!$B$47:$C$47)&gt;0, "2", "3"), 0), COUNTIF($D$47:$E$47, N$2)&gt;0, VLOOKUP($J523,'Gear Values'!$A$2:$E$13, IF(COUNTBLANK('Attributes &amp; Prefixes'!$B$47:$C$47)&gt;0, "4", "5"), 0)), "")</f>
        <v/>
      </c>
      <c r="O523" s="137" t="str" cm="1">
        <f t="array" ref="O523">IF(COUNTIF($B$47:$E$47, O$2)&gt;0, _xlfn.IFS(COUNTIF($B$47:$C$47, O$2)&gt;0, VLOOKUP($J523,'Gear Values'!$A$2:$E$13, IF(COUNTBLANK('Attributes &amp; Prefixes'!$B$47:$C$47)&gt;0, "2", "3"), 0), COUNTIF($D$47:$E$47, O$2)&gt;0, VLOOKUP($J523,'Gear Values'!$A$2:$E$13, IF(COUNTBLANK('Attributes &amp; Prefixes'!$B$47:$C$47)&gt;0, "4", "5"), 0)), "")</f>
        <v/>
      </c>
      <c r="P523" s="137" cm="1">
        <f t="array" ref="P523">IF(COUNTIF($B$47:$E$47, P$2)&gt;0, _xlfn.IFS(COUNTIF($B$47:$C$47, P$2)&gt;0, VLOOKUP($J523,'Gear Values'!$A$2:$E$13, IF(COUNTBLANK('Attributes &amp; Prefixes'!$B$47:$C$47)&gt;0, "2", "3"), 0), COUNTIF($D$47:$E$47, P$2)&gt;0, VLOOKUP($J523,'Gear Values'!$A$2:$E$13, IF(COUNTBLANK('Attributes &amp; Prefixes'!$B$47:$C$47)&gt;0, "4", "5"), 0)), "")</f>
        <v>115</v>
      </c>
      <c r="Q523" s="137" t="str" cm="1">
        <f t="array" ref="Q523">IF(COUNTIF($B$47:$E$47, Q$2)&gt;0, _xlfn.IFS(COUNTIF($B$47:$C$47, Q$2)&gt;0, VLOOKUP($J523,'Gear Values'!$A$2:$E$13, IF(COUNTBLANK('Attributes &amp; Prefixes'!$B$47:$C$47)&gt;0, "2", "3"), 0), COUNTIF($D$47:$E$47, Q$2)&gt;0, VLOOKUP($J523,'Gear Values'!$A$2:$E$13, IF(COUNTBLANK('Attributes &amp; Prefixes'!$B$47:$C$47)&gt;0, "4", "5"), 0)), "")</f>
        <v/>
      </c>
      <c r="R523" s="137" t="str" cm="1">
        <f t="array" ref="R523">IF(COUNTIF($B$47:$E$47, R$2)&gt;0, _xlfn.IFS(COUNTIF($B$47:$C$47, R$2)&gt;0, VLOOKUP($J523,'Gear Values'!$A$2:$E$13, IF(COUNTBLANK('Attributes &amp; Prefixes'!$B$47:$C$47)&gt;0, "2", "3"), 0), COUNTIF($D$47:$E$47, R$2)&gt;0, VLOOKUP($J523,'Gear Values'!$A$2:$E$13, IF(COUNTBLANK('Attributes &amp; Prefixes'!$B$47:$C$47)&gt;0, "4", "5"), 0)), "")</f>
        <v/>
      </c>
      <c r="S523" s="138" t="str" cm="1">
        <f t="array" ref="S523">IF(COUNTIF($B$47:$E$47, S$2)&gt;0, _xlfn.IFS(COUNTIF($B$47:$C$47, S$2)&gt;0, VLOOKUP($J523,'Gear Values'!$A$2:$E$13, IF(COUNTBLANK('Attributes &amp; Prefixes'!$B$47:$C$47)&gt;0, "2", "3"), 0), COUNTIF($D$47:$E$47, S$2)&gt;0, VLOOKUP($J523,'Gear Values'!$A$2:$E$13, IF(COUNTBLANK('Attributes &amp; Prefixes'!$B$47:$C$47)&gt;0, "4", "5"), 0)), "")</f>
        <v/>
      </c>
      <c r="V523" s="112"/>
      <c r="W523" s="112"/>
    </row>
    <row r="524" spans="6:23">
      <c r="F524" s="114"/>
      <c r="G524" s="114"/>
      <c r="H524" s="130" t="str">
        <f>_xlfn.CONCAT(I$519,J524)</f>
        <v>TyrantHands</v>
      </c>
      <c r="I524" s="520"/>
      <c r="J524" s="144" t="s">
        <v>45</v>
      </c>
      <c r="K524" s="136" cm="1">
        <f t="array" ref="K524">IF(COUNTIF($B$47:$E$47, K$2)&gt;0, _xlfn.IFS(COUNTIF($B$47:$C$47, K$2)&gt;0, VLOOKUP($J524,'Gear Values'!$A$2:$E$13, IF(COUNTBLANK('Attributes &amp; Prefixes'!$B$47:$C$47)&gt;0, "2", "3"), 0), COUNTIF($D$47:$E$47, K$2)&gt;0, VLOOKUP($J524,'Gear Values'!$A$2:$E$13, IF(COUNTBLANK('Attributes &amp; Prefixes'!$B$47:$C$47)&gt;0, "4", "5"), 0)), "")</f>
        <v>38</v>
      </c>
      <c r="L524" s="137" cm="1">
        <f t="array" ref="L524">IF(COUNTIF($B$47:$E$47, L$2)&gt;0, _xlfn.IFS(COUNTIF($B$47:$C$47, L$2)&gt;0, VLOOKUP($J524,'Gear Values'!$A$2:$E$13, IF(COUNTBLANK('Attributes &amp; Prefixes'!$B$47:$C$47)&gt;0, "2", "3"), 0), COUNTIF($D$47:$E$47, L$2)&gt;0, VLOOKUP($J524,'Gear Values'!$A$2:$E$13, IF(COUNTBLANK('Attributes &amp; Prefixes'!$B$47:$C$47)&gt;0, "4", "5"), 0)), "")</f>
        <v>21</v>
      </c>
      <c r="M524" s="137" cm="1">
        <f t="array" ref="M524">IF(COUNTIF($B$47:$E$47, M$2)&gt;0, _xlfn.IFS(COUNTIF($B$47:$C$47, M$2)&gt;0, VLOOKUP($J524,'Gear Values'!$A$2:$E$13, IF(COUNTBLANK('Attributes &amp; Prefixes'!$B$47:$C$47)&gt;0, "2", "3"), 0), COUNTIF($D$47:$E$47, M$2)&gt;0, VLOOKUP($J524,'Gear Values'!$A$2:$E$13, IF(COUNTBLANK('Attributes &amp; Prefixes'!$B$47:$C$47)&gt;0, "4", "5"), 0)), "")</f>
        <v>21</v>
      </c>
      <c r="N524" s="137" t="str" cm="1">
        <f t="array" ref="N524">IF(COUNTIF($B$47:$E$47, N$2)&gt;0, _xlfn.IFS(COUNTIF($B$47:$C$47, N$2)&gt;0, VLOOKUP($J524,'Gear Values'!$A$2:$E$13, IF(COUNTBLANK('Attributes &amp; Prefixes'!$B$47:$C$47)&gt;0, "2", "3"), 0), COUNTIF($D$47:$E$47, N$2)&gt;0, VLOOKUP($J524,'Gear Values'!$A$2:$E$13, IF(COUNTBLANK('Attributes &amp; Prefixes'!$B$47:$C$47)&gt;0, "4", "5"), 0)), "")</f>
        <v/>
      </c>
      <c r="O524" s="137" t="str" cm="1">
        <f t="array" ref="O524">IF(COUNTIF($B$47:$E$47, O$2)&gt;0, _xlfn.IFS(COUNTIF($B$47:$C$47, O$2)&gt;0, VLOOKUP($J524,'Gear Values'!$A$2:$E$13, IF(COUNTBLANK('Attributes &amp; Prefixes'!$B$47:$C$47)&gt;0, "2", "3"), 0), COUNTIF($D$47:$E$47, O$2)&gt;0, VLOOKUP($J524,'Gear Values'!$A$2:$E$13, IF(COUNTBLANK('Attributes &amp; Prefixes'!$B$47:$C$47)&gt;0, "4", "5"), 0)), "")</f>
        <v/>
      </c>
      <c r="P524" s="137" cm="1">
        <f t="array" ref="P524">IF(COUNTIF($B$47:$E$47, P$2)&gt;0, _xlfn.IFS(COUNTIF($B$47:$C$47, P$2)&gt;0, VLOOKUP($J524,'Gear Values'!$A$2:$E$13, IF(COUNTBLANK('Attributes &amp; Prefixes'!$B$47:$C$47)&gt;0, "2", "3"), 0), COUNTIF($D$47:$E$47, P$2)&gt;0, VLOOKUP($J524,'Gear Values'!$A$2:$E$13, IF(COUNTBLANK('Attributes &amp; Prefixes'!$B$47:$C$47)&gt;0, "4", "5"), 0)), "")</f>
        <v>38</v>
      </c>
      <c r="Q524" s="137" t="str" cm="1">
        <f t="array" ref="Q524">IF(COUNTIF($B$47:$E$47, Q$2)&gt;0, _xlfn.IFS(COUNTIF($B$47:$C$47, Q$2)&gt;0, VLOOKUP($J524,'Gear Values'!$A$2:$E$13, IF(COUNTBLANK('Attributes &amp; Prefixes'!$B$47:$C$47)&gt;0, "2", "3"), 0), COUNTIF($D$47:$E$47, Q$2)&gt;0, VLOOKUP($J524,'Gear Values'!$A$2:$E$13, IF(COUNTBLANK('Attributes &amp; Prefixes'!$B$47:$C$47)&gt;0, "4", "5"), 0)), "")</f>
        <v/>
      </c>
      <c r="R524" s="137" t="str" cm="1">
        <f t="array" ref="R524">IF(COUNTIF($B$47:$E$47, R$2)&gt;0, _xlfn.IFS(COUNTIF($B$47:$C$47, R$2)&gt;0, VLOOKUP($J524,'Gear Values'!$A$2:$E$13, IF(COUNTBLANK('Attributes &amp; Prefixes'!$B$47:$C$47)&gt;0, "2", "3"), 0), COUNTIF($D$47:$E$47, R$2)&gt;0, VLOOKUP($J524,'Gear Values'!$A$2:$E$13, IF(COUNTBLANK('Attributes &amp; Prefixes'!$B$47:$C$47)&gt;0, "4", "5"), 0)), "")</f>
        <v/>
      </c>
      <c r="S524" s="138" t="str" cm="1">
        <f t="array" ref="S524">IF(COUNTIF($B$47:$E$47, S$2)&gt;0, _xlfn.IFS(COUNTIF($B$47:$C$47, S$2)&gt;0, VLOOKUP($J524,'Gear Values'!$A$2:$E$13, IF(COUNTBLANK('Attributes &amp; Prefixes'!$B$47:$C$47)&gt;0, "2", "3"), 0), COUNTIF($D$47:$E$47, S$2)&gt;0, VLOOKUP($J524,'Gear Values'!$A$2:$E$13, IF(COUNTBLANK('Attributes &amp; Prefixes'!$B$47:$C$47)&gt;0, "4", "5"), 0)), "")</f>
        <v/>
      </c>
      <c r="V524" s="112"/>
      <c r="W524" s="112"/>
    </row>
    <row r="525" spans="6:23">
      <c r="F525" s="114"/>
      <c r="G525" s="114"/>
      <c r="H525" s="130" t="str">
        <f>_xlfn.CONCAT(I$519,J525)</f>
        <v>TyrantLegs</v>
      </c>
      <c r="I525" s="520"/>
      <c r="J525" s="144" t="s">
        <v>47</v>
      </c>
      <c r="K525" s="136" cm="1">
        <f t="array" ref="K525">IF(COUNTIF($B$47:$E$47, K$2)&gt;0, _xlfn.IFS(COUNTIF($B$47:$C$47, K$2)&gt;0, VLOOKUP($J525,'Gear Values'!$A$2:$E$13, IF(COUNTBLANK('Attributes &amp; Prefixes'!$B$47:$C$47)&gt;0, "2", "3"), 0), COUNTIF($D$47:$E$47, K$2)&gt;0, VLOOKUP($J525,'Gear Values'!$A$2:$E$13, IF(COUNTBLANK('Attributes &amp; Prefixes'!$B$47:$C$47)&gt;0, "4", "5"), 0)), "")</f>
        <v>77</v>
      </c>
      <c r="L525" s="137" cm="1">
        <f t="array" ref="L525">IF(COUNTIF($B$47:$E$47, L$2)&gt;0, _xlfn.IFS(COUNTIF($B$47:$C$47, L$2)&gt;0, VLOOKUP($J525,'Gear Values'!$A$2:$E$13, IF(COUNTBLANK('Attributes &amp; Prefixes'!$B$47:$C$47)&gt;0, "2", "3"), 0), COUNTIF($D$47:$E$47, L$2)&gt;0, VLOOKUP($J525,'Gear Values'!$A$2:$E$13, IF(COUNTBLANK('Attributes &amp; Prefixes'!$B$47:$C$47)&gt;0, "4", "5"), 0)), "")</f>
        <v>42</v>
      </c>
      <c r="M525" s="137" cm="1">
        <f t="array" ref="M525">IF(COUNTIF($B$47:$E$47, M$2)&gt;0, _xlfn.IFS(COUNTIF($B$47:$C$47, M$2)&gt;0, VLOOKUP($J525,'Gear Values'!$A$2:$E$13, IF(COUNTBLANK('Attributes &amp; Prefixes'!$B$47:$C$47)&gt;0, "2", "3"), 0), COUNTIF($D$47:$E$47, M$2)&gt;0, VLOOKUP($J525,'Gear Values'!$A$2:$E$13, IF(COUNTBLANK('Attributes &amp; Prefixes'!$B$47:$C$47)&gt;0, "4", "5"), 0)), "")</f>
        <v>42</v>
      </c>
      <c r="N525" s="137" t="str" cm="1">
        <f t="array" ref="N525">IF(COUNTIF($B$47:$E$47, N$2)&gt;0, _xlfn.IFS(COUNTIF($B$47:$C$47, N$2)&gt;0, VLOOKUP($J525,'Gear Values'!$A$2:$E$13, IF(COUNTBLANK('Attributes &amp; Prefixes'!$B$47:$C$47)&gt;0, "2", "3"), 0), COUNTIF($D$47:$E$47, N$2)&gt;0, VLOOKUP($J525,'Gear Values'!$A$2:$E$13, IF(COUNTBLANK('Attributes &amp; Prefixes'!$B$47:$C$47)&gt;0, "4", "5"), 0)), "")</f>
        <v/>
      </c>
      <c r="O525" s="137" t="str" cm="1">
        <f t="array" ref="O525">IF(COUNTIF($B$47:$E$47, O$2)&gt;0, _xlfn.IFS(COUNTIF($B$47:$C$47, O$2)&gt;0, VLOOKUP($J525,'Gear Values'!$A$2:$E$13, IF(COUNTBLANK('Attributes &amp; Prefixes'!$B$47:$C$47)&gt;0, "2", "3"), 0), COUNTIF($D$47:$E$47, O$2)&gt;0, VLOOKUP($J525,'Gear Values'!$A$2:$E$13, IF(COUNTBLANK('Attributes &amp; Prefixes'!$B$47:$C$47)&gt;0, "4", "5"), 0)), "")</f>
        <v/>
      </c>
      <c r="P525" s="137" cm="1">
        <f t="array" ref="P525">IF(COUNTIF($B$47:$E$47, P$2)&gt;0, _xlfn.IFS(COUNTIF($B$47:$C$47, P$2)&gt;0, VLOOKUP($J525,'Gear Values'!$A$2:$E$13, IF(COUNTBLANK('Attributes &amp; Prefixes'!$B$47:$C$47)&gt;0, "2", "3"), 0), COUNTIF($D$47:$E$47, P$2)&gt;0, VLOOKUP($J525,'Gear Values'!$A$2:$E$13, IF(COUNTBLANK('Attributes &amp; Prefixes'!$B$47:$C$47)&gt;0, "4", "5"), 0)), "")</f>
        <v>77</v>
      </c>
      <c r="Q525" s="137" t="str" cm="1">
        <f t="array" ref="Q525">IF(COUNTIF($B$47:$E$47, Q$2)&gt;0, _xlfn.IFS(COUNTIF($B$47:$C$47, Q$2)&gt;0, VLOOKUP($J525,'Gear Values'!$A$2:$E$13, IF(COUNTBLANK('Attributes &amp; Prefixes'!$B$47:$C$47)&gt;0, "2", "3"), 0), COUNTIF($D$47:$E$47, Q$2)&gt;0, VLOOKUP($J525,'Gear Values'!$A$2:$E$13, IF(COUNTBLANK('Attributes &amp; Prefixes'!$B$47:$C$47)&gt;0, "4", "5"), 0)), "")</f>
        <v/>
      </c>
      <c r="R525" s="137" t="str" cm="1">
        <f t="array" ref="R525">IF(COUNTIF($B$47:$E$47, R$2)&gt;0, _xlfn.IFS(COUNTIF($B$47:$C$47, R$2)&gt;0, VLOOKUP($J525,'Gear Values'!$A$2:$E$13, IF(COUNTBLANK('Attributes &amp; Prefixes'!$B$47:$C$47)&gt;0, "2", "3"), 0), COUNTIF($D$47:$E$47, R$2)&gt;0, VLOOKUP($J525,'Gear Values'!$A$2:$E$13, IF(COUNTBLANK('Attributes &amp; Prefixes'!$B$47:$C$47)&gt;0, "4", "5"), 0)), "")</f>
        <v/>
      </c>
      <c r="S525" s="138" t="str" cm="1">
        <f t="array" ref="S525">IF(COUNTIF($B$47:$E$47, S$2)&gt;0, _xlfn.IFS(COUNTIF($B$47:$C$47, S$2)&gt;0, VLOOKUP($J525,'Gear Values'!$A$2:$E$13, IF(COUNTBLANK('Attributes &amp; Prefixes'!$B$47:$C$47)&gt;0, "2", "3"), 0), COUNTIF($D$47:$E$47, S$2)&gt;0, VLOOKUP($J525,'Gear Values'!$A$2:$E$13, IF(COUNTBLANK('Attributes &amp; Prefixes'!$B$47:$C$47)&gt;0, "4", "5"), 0)), "")</f>
        <v/>
      </c>
      <c r="V525" s="112"/>
      <c r="W525" s="112"/>
    </row>
    <row r="526" spans="6:23">
      <c r="F526" s="114"/>
      <c r="G526" s="114"/>
      <c r="H526" s="130" t="str">
        <f>_xlfn.CONCAT(I$519,J526)</f>
        <v>TyrantFeet</v>
      </c>
      <c r="I526" s="520"/>
      <c r="J526" s="144" t="s">
        <v>48</v>
      </c>
      <c r="K526" s="136" cm="1">
        <f t="array" ref="K526">IF(COUNTIF($B$47:$E$47, K$2)&gt;0, _xlfn.IFS(COUNTIF($B$47:$C$47, K$2)&gt;0, VLOOKUP($J526,'Gear Values'!$A$2:$E$13, IF(COUNTBLANK('Attributes &amp; Prefixes'!$B$47:$C$47)&gt;0, "2", "3"), 0), COUNTIF($D$47:$E$47, K$2)&gt;0, VLOOKUP($J526,'Gear Values'!$A$2:$E$13, IF(COUNTBLANK('Attributes &amp; Prefixes'!$B$47:$C$47)&gt;0, "4", "5"), 0)), "")</f>
        <v>38</v>
      </c>
      <c r="L526" s="137" cm="1">
        <f t="array" ref="L526">IF(COUNTIF($B$47:$E$47, L$2)&gt;0, _xlfn.IFS(COUNTIF($B$47:$C$47, L$2)&gt;0, VLOOKUP($J526,'Gear Values'!$A$2:$E$13, IF(COUNTBLANK('Attributes &amp; Prefixes'!$B$47:$C$47)&gt;0, "2", "3"), 0), COUNTIF($D$47:$E$47, L$2)&gt;0, VLOOKUP($J526,'Gear Values'!$A$2:$E$13, IF(COUNTBLANK('Attributes &amp; Prefixes'!$B$47:$C$47)&gt;0, "4", "5"), 0)), "")</f>
        <v>21</v>
      </c>
      <c r="M526" s="137" cm="1">
        <f t="array" ref="M526">IF(COUNTIF($B$47:$E$47, M$2)&gt;0, _xlfn.IFS(COUNTIF($B$47:$C$47, M$2)&gt;0, VLOOKUP($J526,'Gear Values'!$A$2:$E$13, IF(COUNTBLANK('Attributes &amp; Prefixes'!$B$47:$C$47)&gt;0, "2", "3"), 0), COUNTIF($D$47:$E$47, M$2)&gt;0, VLOOKUP($J526,'Gear Values'!$A$2:$E$13, IF(COUNTBLANK('Attributes &amp; Prefixes'!$B$47:$C$47)&gt;0, "4", "5"), 0)), "")</f>
        <v>21</v>
      </c>
      <c r="N526" s="137" t="str" cm="1">
        <f t="array" ref="N526">IF(COUNTIF($B$47:$E$47, N$2)&gt;0, _xlfn.IFS(COUNTIF($B$47:$C$47, N$2)&gt;0, VLOOKUP($J526,'Gear Values'!$A$2:$E$13, IF(COUNTBLANK('Attributes &amp; Prefixes'!$B$47:$C$47)&gt;0, "2", "3"), 0), COUNTIF($D$47:$E$47, N$2)&gt;0, VLOOKUP($J526,'Gear Values'!$A$2:$E$13, IF(COUNTBLANK('Attributes &amp; Prefixes'!$B$47:$C$47)&gt;0, "4", "5"), 0)), "")</f>
        <v/>
      </c>
      <c r="O526" s="137" t="str" cm="1">
        <f t="array" ref="O526">IF(COUNTIF($B$47:$E$47, O$2)&gt;0, _xlfn.IFS(COUNTIF($B$47:$C$47, O$2)&gt;0, VLOOKUP($J526,'Gear Values'!$A$2:$E$13, IF(COUNTBLANK('Attributes &amp; Prefixes'!$B$47:$C$47)&gt;0, "2", "3"), 0), COUNTIF($D$47:$E$47, O$2)&gt;0, VLOOKUP($J526,'Gear Values'!$A$2:$E$13, IF(COUNTBLANK('Attributes &amp; Prefixes'!$B$47:$C$47)&gt;0, "4", "5"), 0)), "")</f>
        <v/>
      </c>
      <c r="P526" s="137" cm="1">
        <f t="array" ref="P526">IF(COUNTIF($B$47:$E$47, P$2)&gt;0, _xlfn.IFS(COUNTIF($B$47:$C$47, P$2)&gt;0, VLOOKUP($J526,'Gear Values'!$A$2:$E$13, IF(COUNTBLANK('Attributes &amp; Prefixes'!$B$47:$C$47)&gt;0, "2", "3"), 0), COUNTIF($D$47:$E$47, P$2)&gt;0, VLOOKUP($J526,'Gear Values'!$A$2:$E$13, IF(COUNTBLANK('Attributes &amp; Prefixes'!$B$47:$C$47)&gt;0, "4", "5"), 0)), "")</f>
        <v>38</v>
      </c>
      <c r="Q526" s="137" t="str" cm="1">
        <f t="array" ref="Q526">IF(COUNTIF($B$47:$E$47, Q$2)&gt;0, _xlfn.IFS(COUNTIF($B$47:$C$47, Q$2)&gt;0, VLOOKUP($J526,'Gear Values'!$A$2:$E$13, IF(COUNTBLANK('Attributes &amp; Prefixes'!$B$47:$C$47)&gt;0, "2", "3"), 0), COUNTIF($D$47:$E$47, Q$2)&gt;0, VLOOKUP($J526,'Gear Values'!$A$2:$E$13, IF(COUNTBLANK('Attributes &amp; Prefixes'!$B$47:$C$47)&gt;0, "4", "5"), 0)), "")</f>
        <v/>
      </c>
      <c r="R526" s="137" t="str" cm="1">
        <f t="array" ref="R526">IF(COUNTIF($B$47:$E$47, R$2)&gt;0, _xlfn.IFS(COUNTIF($B$47:$C$47, R$2)&gt;0, VLOOKUP($J526,'Gear Values'!$A$2:$E$13, IF(COUNTBLANK('Attributes &amp; Prefixes'!$B$47:$C$47)&gt;0, "2", "3"), 0), COUNTIF($D$47:$E$47, R$2)&gt;0, VLOOKUP($J526,'Gear Values'!$A$2:$E$13, IF(COUNTBLANK('Attributes &amp; Prefixes'!$B$47:$C$47)&gt;0, "4", "5"), 0)), "")</f>
        <v/>
      </c>
      <c r="S526" s="138" t="str" cm="1">
        <f t="array" ref="S526">IF(COUNTIF($B$47:$E$47, S$2)&gt;0, _xlfn.IFS(COUNTIF($B$47:$C$47, S$2)&gt;0, VLOOKUP($J526,'Gear Values'!$A$2:$E$13, IF(COUNTBLANK('Attributes &amp; Prefixes'!$B$47:$C$47)&gt;0, "2", "3"), 0), COUNTIF($D$47:$E$47, S$2)&gt;0, VLOOKUP($J526,'Gear Values'!$A$2:$E$13, IF(COUNTBLANK('Attributes &amp; Prefixes'!$B$47:$C$47)&gt;0, "4", "5"), 0)), "")</f>
        <v/>
      </c>
      <c r="V526" s="112"/>
      <c r="W526" s="112"/>
    </row>
    <row r="527" spans="6:23">
      <c r="F527" s="114"/>
      <c r="G527" s="114"/>
      <c r="H527" s="130" t="str">
        <f>_xlfn.CONCAT(I$519,J527)</f>
        <v>TyrantEar</v>
      </c>
      <c r="I527" s="520"/>
      <c r="J527" s="144" t="s">
        <v>49</v>
      </c>
      <c r="K527" s="136" cm="1">
        <f t="array" ref="K527">IF(COUNTIF($B$47:$E$47, K$2)&gt;0, _xlfn.IFS(COUNTIF($B$47:$C$47, K$2)&gt;0, VLOOKUP($J527,'Gear Values'!$A$2:$E$13, IF(COUNTBLANK('Attributes &amp; Prefixes'!$B$47:$C$47)&gt;0, "2", "3"), 0), COUNTIF($D$47:$E$47, K$2)&gt;0, VLOOKUP($J527,'Gear Values'!$A$2:$E$13, IF(COUNTBLANK('Attributes &amp; Prefixes'!$B$47:$C$47)&gt;0, "4", "5"), 0)), "")</f>
        <v>64</v>
      </c>
      <c r="L527" s="137" cm="1">
        <f t="array" ref="L527">IF(COUNTIF($B$47:$E$47, L$2)&gt;0, _xlfn.IFS(COUNTIF($B$47:$C$47, L$2)&gt;0, VLOOKUP($J527,'Gear Values'!$A$2:$E$13, IF(COUNTBLANK('Attributes &amp; Prefixes'!$B$47:$C$47)&gt;0, "2", "3"), 0), COUNTIF($D$47:$E$47, L$2)&gt;0, VLOOKUP($J527,'Gear Values'!$A$2:$E$13, IF(COUNTBLANK('Attributes &amp; Prefixes'!$B$47:$C$47)&gt;0, "4", "5"), 0)), "")</f>
        <v>35</v>
      </c>
      <c r="M527" s="137" cm="1">
        <f t="array" ref="M527">IF(COUNTIF($B$47:$E$47, M$2)&gt;0, _xlfn.IFS(COUNTIF($B$47:$C$47, M$2)&gt;0, VLOOKUP($J527,'Gear Values'!$A$2:$E$13, IF(COUNTBLANK('Attributes &amp; Prefixes'!$B$47:$C$47)&gt;0, "2", "3"), 0), COUNTIF($D$47:$E$47, M$2)&gt;0, VLOOKUP($J527,'Gear Values'!$A$2:$E$13, IF(COUNTBLANK('Attributes &amp; Prefixes'!$B$47:$C$47)&gt;0, "4", "5"), 0)), "")</f>
        <v>35</v>
      </c>
      <c r="N527" s="137" t="str" cm="1">
        <f t="array" ref="N527">IF(COUNTIF($B$47:$E$47, N$2)&gt;0, _xlfn.IFS(COUNTIF($B$47:$C$47, N$2)&gt;0, VLOOKUP($J527,'Gear Values'!$A$2:$E$13, IF(COUNTBLANK('Attributes &amp; Prefixes'!$B$47:$C$47)&gt;0, "2", "3"), 0), COUNTIF($D$47:$E$47, N$2)&gt;0, VLOOKUP($J527,'Gear Values'!$A$2:$E$13, IF(COUNTBLANK('Attributes &amp; Prefixes'!$B$47:$C$47)&gt;0, "4", "5"), 0)), "")</f>
        <v/>
      </c>
      <c r="O527" s="137" t="str" cm="1">
        <f t="array" ref="O527">IF(COUNTIF($B$47:$E$47, O$2)&gt;0, _xlfn.IFS(COUNTIF($B$47:$C$47, O$2)&gt;0, VLOOKUP($J527,'Gear Values'!$A$2:$E$13, IF(COUNTBLANK('Attributes &amp; Prefixes'!$B$47:$C$47)&gt;0, "2", "3"), 0), COUNTIF($D$47:$E$47, O$2)&gt;0, VLOOKUP($J527,'Gear Values'!$A$2:$E$13, IF(COUNTBLANK('Attributes &amp; Prefixes'!$B$47:$C$47)&gt;0, "4", "5"), 0)), "")</f>
        <v/>
      </c>
      <c r="P527" s="137" cm="1">
        <f t="array" ref="P527">IF(COUNTIF($B$47:$E$47, P$2)&gt;0, _xlfn.IFS(COUNTIF($B$47:$C$47, P$2)&gt;0, VLOOKUP($J527,'Gear Values'!$A$2:$E$13, IF(COUNTBLANK('Attributes &amp; Prefixes'!$B$47:$C$47)&gt;0, "2", "3"), 0), COUNTIF($D$47:$E$47, P$2)&gt;0, VLOOKUP($J527,'Gear Values'!$A$2:$E$13, IF(COUNTBLANK('Attributes &amp; Prefixes'!$B$47:$C$47)&gt;0, "4", "5"), 0)), "")</f>
        <v>64</v>
      </c>
      <c r="Q527" s="137" t="str" cm="1">
        <f t="array" ref="Q527">IF(COUNTIF($B$47:$E$47, Q$2)&gt;0, _xlfn.IFS(COUNTIF($B$47:$C$47, Q$2)&gt;0, VLOOKUP($J527,'Gear Values'!$A$2:$E$13, IF(COUNTBLANK('Attributes &amp; Prefixes'!$B$47:$C$47)&gt;0, "2", "3"), 0), COUNTIF($D$47:$E$47, Q$2)&gt;0, VLOOKUP($J527,'Gear Values'!$A$2:$E$13, IF(COUNTBLANK('Attributes &amp; Prefixes'!$B$47:$C$47)&gt;0, "4", "5"), 0)), "")</f>
        <v/>
      </c>
      <c r="R527" s="137" t="str" cm="1">
        <f t="array" ref="R527">IF(COUNTIF($B$47:$E$47, R$2)&gt;0, _xlfn.IFS(COUNTIF($B$47:$C$47, R$2)&gt;0, VLOOKUP($J527,'Gear Values'!$A$2:$E$13, IF(COUNTBLANK('Attributes &amp; Prefixes'!$B$47:$C$47)&gt;0, "2", "3"), 0), COUNTIF($D$47:$E$47, R$2)&gt;0, VLOOKUP($J527,'Gear Values'!$A$2:$E$13, IF(COUNTBLANK('Attributes &amp; Prefixes'!$B$47:$C$47)&gt;0, "4", "5"), 0)), "")</f>
        <v/>
      </c>
      <c r="S527" s="138" t="str" cm="1">
        <f t="array" ref="S527">IF(COUNTIF($B$47:$E$47, S$2)&gt;0, _xlfn.IFS(COUNTIF($B$47:$C$47, S$2)&gt;0, VLOOKUP($J527,'Gear Values'!$A$2:$E$13, IF(COUNTBLANK('Attributes &amp; Prefixes'!$B$47:$C$47)&gt;0, "2", "3"), 0), COUNTIF($D$47:$E$47, S$2)&gt;0, VLOOKUP($J527,'Gear Values'!$A$2:$E$13, IF(COUNTBLANK('Attributes &amp; Prefixes'!$B$47:$C$47)&gt;0, "4", "5"), 0)), "")</f>
        <v/>
      </c>
      <c r="V527" s="112"/>
      <c r="W527" s="112"/>
    </row>
    <row r="528" spans="6:23">
      <c r="F528" s="114"/>
      <c r="G528" s="114"/>
      <c r="H528" s="130" t="str">
        <f>_xlfn.CONCAT(I$519,J528)</f>
        <v>TyrantFinger</v>
      </c>
      <c r="I528" s="520"/>
      <c r="J528" s="144" t="s">
        <v>51</v>
      </c>
      <c r="K528" s="136" cm="1">
        <f t="array" ref="K528">IF(COUNTIF($B$47:$E$47, K$2)&gt;0, _xlfn.IFS(COUNTIF($B$47:$C$47, K$2)&gt;0, VLOOKUP($J528,'Gear Values'!$A$2:$E$13, IF(COUNTBLANK('Attributes &amp; Prefixes'!$B$47:$C$47)&gt;0, "2", "3"), 0), COUNTIF($D$47:$E$47, K$2)&gt;0, VLOOKUP($J528,'Gear Values'!$A$2:$E$13, IF(COUNTBLANK('Attributes &amp; Prefixes'!$B$47:$C$47)&gt;0, "4", "5"), 0)), "")</f>
        <v>77</v>
      </c>
      <c r="L528" s="137" cm="1">
        <f t="array" ref="L528">IF(COUNTIF($B$47:$E$47, L$2)&gt;0, _xlfn.IFS(COUNTIF($B$47:$C$47, L$2)&gt;0, VLOOKUP($J528,'Gear Values'!$A$2:$E$13, IF(COUNTBLANK('Attributes &amp; Prefixes'!$B$47:$C$47)&gt;0, "2", "3"), 0), COUNTIF($D$47:$E$47, L$2)&gt;0, VLOOKUP($J528,'Gear Values'!$A$2:$E$13, IF(COUNTBLANK('Attributes &amp; Prefixes'!$B$47:$C$47)&gt;0, "4", "5"), 0)), "")</f>
        <v>42</v>
      </c>
      <c r="M528" s="137" cm="1">
        <f t="array" ref="M528">IF(COUNTIF($B$47:$E$47, M$2)&gt;0, _xlfn.IFS(COUNTIF($B$47:$C$47, M$2)&gt;0, VLOOKUP($J528,'Gear Values'!$A$2:$E$13, IF(COUNTBLANK('Attributes &amp; Prefixes'!$B$47:$C$47)&gt;0, "2", "3"), 0), COUNTIF($D$47:$E$47, M$2)&gt;0, VLOOKUP($J528,'Gear Values'!$A$2:$E$13, IF(COUNTBLANK('Attributes &amp; Prefixes'!$B$47:$C$47)&gt;0, "4", "5"), 0)), "")</f>
        <v>42</v>
      </c>
      <c r="N528" s="137" t="str" cm="1">
        <f t="array" ref="N528">IF(COUNTIF($B$47:$E$47, N$2)&gt;0, _xlfn.IFS(COUNTIF($B$47:$C$47, N$2)&gt;0, VLOOKUP($J528,'Gear Values'!$A$2:$E$13, IF(COUNTBLANK('Attributes &amp; Prefixes'!$B$47:$C$47)&gt;0, "2", "3"), 0), COUNTIF($D$47:$E$47, N$2)&gt;0, VLOOKUP($J528,'Gear Values'!$A$2:$E$13, IF(COUNTBLANK('Attributes &amp; Prefixes'!$B$47:$C$47)&gt;0, "4", "5"), 0)), "")</f>
        <v/>
      </c>
      <c r="O528" s="137" t="str" cm="1">
        <f t="array" ref="O528">IF(COUNTIF($B$47:$E$47, O$2)&gt;0, _xlfn.IFS(COUNTIF($B$47:$C$47, O$2)&gt;0, VLOOKUP($J528,'Gear Values'!$A$2:$E$13, IF(COUNTBLANK('Attributes &amp; Prefixes'!$B$47:$C$47)&gt;0, "2", "3"), 0), COUNTIF($D$47:$E$47, O$2)&gt;0, VLOOKUP($J528,'Gear Values'!$A$2:$E$13, IF(COUNTBLANK('Attributes &amp; Prefixes'!$B$47:$C$47)&gt;0, "4", "5"), 0)), "")</f>
        <v/>
      </c>
      <c r="P528" s="137" cm="1">
        <f t="array" ref="P528">IF(COUNTIF($B$47:$E$47, P$2)&gt;0, _xlfn.IFS(COUNTIF($B$47:$C$47, P$2)&gt;0, VLOOKUP($J528,'Gear Values'!$A$2:$E$13, IF(COUNTBLANK('Attributes &amp; Prefixes'!$B$47:$C$47)&gt;0, "2", "3"), 0), COUNTIF($D$47:$E$47, P$2)&gt;0, VLOOKUP($J528,'Gear Values'!$A$2:$E$13, IF(COUNTBLANK('Attributes &amp; Prefixes'!$B$47:$C$47)&gt;0, "4", "5"), 0)), "")</f>
        <v>77</v>
      </c>
      <c r="Q528" s="137" t="str" cm="1">
        <f t="array" ref="Q528">IF(COUNTIF($B$47:$E$47, Q$2)&gt;0, _xlfn.IFS(COUNTIF($B$47:$C$47, Q$2)&gt;0, VLOOKUP($J528,'Gear Values'!$A$2:$E$13, IF(COUNTBLANK('Attributes &amp; Prefixes'!$B$47:$C$47)&gt;0, "2", "3"), 0), COUNTIF($D$47:$E$47, Q$2)&gt;0, VLOOKUP($J528,'Gear Values'!$A$2:$E$13, IF(COUNTBLANK('Attributes &amp; Prefixes'!$B$47:$C$47)&gt;0, "4", "5"), 0)), "")</f>
        <v/>
      </c>
      <c r="R528" s="137" t="str" cm="1">
        <f t="array" ref="R528">IF(COUNTIF($B$47:$E$47, R$2)&gt;0, _xlfn.IFS(COUNTIF($B$47:$C$47, R$2)&gt;0, VLOOKUP($J528,'Gear Values'!$A$2:$E$13, IF(COUNTBLANK('Attributes &amp; Prefixes'!$B$47:$C$47)&gt;0, "2", "3"), 0), COUNTIF($D$47:$E$47, R$2)&gt;0, VLOOKUP($J528,'Gear Values'!$A$2:$E$13, IF(COUNTBLANK('Attributes &amp; Prefixes'!$B$47:$C$47)&gt;0, "4", "5"), 0)), "")</f>
        <v/>
      </c>
      <c r="S528" s="138" t="str" cm="1">
        <f t="array" ref="S528">IF(COUNTIF($B$47:$E$47, S$2)&gt;0, _xlfn.IFS(COUNTIF($B$47:$C$47, S$2)&gt;0, VLOOKUP($J528,'Gear Values'!$A$2:$E$13, IF(COUNTBLANK('Attributes &amp; Prefixes'!$B$47:$C$47)&gt;0, "2", "3"), 0), COUNTIF($D$47:$E$47, S$2)&gt;0, VLOOKUP($J528,'Gear Values'!$A$2:$E$13, IF(COUNTBLANK('Attributes &amp; Prefixes'!$B$47:$C$47)&gt;0, "4", "5"), 0)), "")</f>
        <v/>
      </c>
      <c r="V528" s="112"/>
      <c r="W528" s="112"/>
    </row>
    <row r="529" spans="6:23">
      <c r="F529" s="114"/>
      <c r="G529" s="114"/>
      <c r="H529" s="130" t="str">
        <f>_xlfn.CONCAT(I$519,J529)</f>
        <v>TyrantNeck</v>
      </c>
      <c r="I529" s="520"/>
      <c r="J529" s="144" t="s">
        <v>52</v>
      </c>
      <c r="K529" s="136" cm="1">
        <f t="array" ref="K529">IF(COUNTIF($B$47:$E$47, K$2)&gt;0, _xlfn.IFS(COUNTIF($B$47:$C$47, K$2)&gt;0, VLOOKUP($J529,'Gear Values'!$A$2:$E$13, IF(COUNTBLANK('Attributes &amp; Prefixes'!$B$47:$C$47)&gt;0, "2", "3"), 0), COUNTIF($D$47:$E$47, K$2)&gt;0, VLOOKUP($J529,'Gear Values'!$A$2:$E$13, IF(COUNTBLANK('Attributes &amp; Prefixes'!$B$47:$C$47)&gt;0, "4", "5"), 0)), "")</f>
        <v>102</v>
      </c>
      <c r="L529" s="137" cm="1">
        <f t="array" ref="L529">IF(COUNTIF($B$47:$E$47, L$2)&gt;0, _xlfn.IFS(COUNTIF($B$47:$C$47, L$2)&gt;0, VLOOKUP($J529,'Gear Values'!$A$2:$E$13, IF(COUNTBLANK('Attributes &amp; Prefixes'!$B$47:$C$47)&gt;0, "2", "3"), 0), COUNTIF($D$47:$E$47, L$2)&gt;0, VLOOKUP($J529,'Gear Values'!$A$2:$E$13, IF(COUNTBLANK('Attributes &amp; Prefixes'!$B$47:$C$47)&gt;0, "4", "5"), 0)), "")</f>
        <v>56</v>
      </c>
      <c r="M529" s="137" cm="1">
        <f t="array" ref="M529">IF(COUNTIF($B$47:$E$47, M$2)&gt;0, _xlfn.IFS(COUNTIF($B$47:$C$47, M$2)&gt;0, VLOOKUP($J529,'Gear Values'!$A$2:$E$13, IF(COUNTBLANK('Attributes &amp; Prefixes'!$B$47:$C$47)&gt;0, "2", "3"), 0), COUNTIF($D$47:$E$47, M$2)&gt;0, VLOOKUP($J529,'Gear Values'!$A$2:$E$13, IF(COUNTBLANK('Attributes &amp; Prefixes'!$B$47:$C$47)&gt;0, "4", "5"), 0)), "")</f>
        <v>56</v>
      </c>
      <c r="N529" s="137" t="str" cm="1">
        <f t="array" ref="N529">IF(COUNTIF($B$47:$E$47, N$2)&gt;0, _xlfn.IFS(COUNTIF($B$47:$C$47, N$2)&gt;0, VLOOKUP($J529,'Gear Values'!$A$2:$E$13, IF(COUNTBLANK('Attributes &amp; Prefixes'!$B$47:$C$47)&gt;0, "2", "3"), 0), COUNTIF($D$47:$E$47, N$2)&gt;0, VLOOKUP($J529,'Gear Values'!$A$2:$E$13, IF(COUNTBLANK('Attributes &amp; Prefixes'!$B$47:$C$47)&gt;0, "4", "5"), 0)), "")</f>
        <v/>
      </c>
      <c r="O529" s="137" t="str" cm="1">
        <f t="array" ref="O529">IF(COUNTIF($B$47:$E$47, O$2)&gt;0, _xlfn.IFS(COUNTIF($B$47:$C$47, O$2)&gt;0, VLOOKUP($J529,'Gear Values'!$A$2:$E$13, IF(COUNTBLANK('Attributes &amp; Prefixes'!$B$47:$C$47)&gt;0, "2", "3"), 0), COUNTIF($D$47:$E$47, O$2)&gt;0, VLOOKUP($J529,'Gear Values'!$A$2:$E$13, IF(COUNTBLANK('Attributes &amp; Prefixes'!$B$47:$C$47)&gt;0, "4", "5"), 0)), "")</f>
        <v/>
      </c>
      <c r="P529" s="137" cm="1">
        <f t="array" ref="P529">IF(COUNTIF($B$47:$E$47, P$2)&gt;0, _xlfn.IFS(COUNTIF($B$47:$C$47, P$2)&gt;0, VLOOKUP($J529,'Gear Values'!$A$2:$E$13, IF(COUNTBLANK('Attributes &amp; Prefixes'!$B$47:$C$47)&gt;0, "2", "3"), 0), COUNTIF($D$47:$E$47, P$2)&gt;0, VLOOKUP($J529,'Gear Values'!$A$2:$E$13, IF(COUNTBLANK('Attributes &amp; Prefixes'!$B$47:$C$47)&gt;0, "4", "5"), 0)), "")</f>
        <v>102</v>
      </c>
      <c r="Q529" s="137" t="str" cm="1">
        <f t="array" ref="Q529">IF(COUNTIF($B$47:$E$47, Q$2)&gt;0, _xlfn.IFS(COUNTIF($B$47:$C$47, Q$2)&gt;0, VLOOKUP($J529,'Gear Values'!$A$2:$E$13, IF(COUNTBLANK('Attributes &amp; Prefixes'!$B$47:$C$47)&gt;0, "2", "3"), 0), COUNTIF($D$47:$E$47, Q$2)&gt;0, VLOOKUP($J529,'Gear Values'!$A$2:$E$13, IF(COUNTBLANK('Attributes &amp; Prefixes'!$B$47:$C$47)&gt;0, "4", "5"), 0)), "")</f>
        <v/>
      </c>
      <c r="R529" s="137" t="str" cm="1">
        <f t="array" ref="R529">IF(COUNTIF($B$47:$E$47, R$2)&gt;0, _xlfn.IFS(COUNTIF($B$47:$C$47, R$2)&gt;0, VLOOKUP($J529,'Gear Values'!$A$2:$E$13, IF(COUNTBLANK('Attributes &amp; Prefixes'!$B$47:$C$47)&gt;0, "2", "3"), 0), COUNTIF($D$47:$E$47, R$2)&gt;0, VLOOKUP($J529,'Gear Values'!$A$2:$E$13, IF(COUNTBLANK('Attributes &amp; Prefixes'!$B$47:$C$47)&gt;0, "4", "5"), 0)), "")</f>
        <v/>
      </c>
      <c r="S529" s="138" t="str" cm="1">
        <f t="array" ref="S529">IF(COUNTIF($B$47:$E$47, S$2)&gt;0, _xlfn.IFS(COUNTIF($B$47:$C$47, S$2)&gt;0, VLOOKUP($J529,'Gear Values'!$A$2:$E$13, IF(COUNTBLANK('Attributes &amp; Prefixes'!$B$47:$C$47)&gt;0, "2", "3"), 0), COUNTIF($D$47:$E$47, S$2)&gt;0, VLOOKUP($J529,'Gear Values'!$A$2:$E$13, IF(COUNTBLANK('Attributes &amp; Prefixes'!$B$47:$C$47)&gt;0, "4", "5"), 0)), "")</f>
        <v/>
      </c>
      <c r="V529" s="112"/>
      <c r="W529" s="112"/>
    </row>
    <row r="530" spans="6:23">
      <c r="H530" s="130" t="str">
        <f>_xlfn.CONCAT(I$519,J530)</f>
        <v>TyrantBack</v>
      </c>
      <c r="I530" s="521"/>
      <c r="J530" s="146" t="s">
        <v>53</v>
      </c>
      <c r="K530" s="147" t="str" cm="1">
        <f t="array" ref="K530">IF(COUNTIF($B$47:$E$47, K$2)&gt;0, _xlfn.IFS(COUNTIF($B$47:$C$47, K$2)&gt;0, VLOOKUP($J530,'Gear Values'!$A$2:$E$13, IF(COUNTBLANK('Attributes &amp; Prefixes'!$B$47:$C$47)&gt;0, "2", "3"), 0), COUNTIF($D$47:$E$47, K$2)&gt;0, VLOOKUP($J530,'Gear Values'!$A$2:$E$13, IF(COUNTBLANK('Attributes &amp; Prefixes'!$B$47:$C$47)&gt;0, "4", "5"), 0)), "")</f>
        <v>N/A</v>
      </c>
      <c r="L530" s="148" t="str" cm="1">
        <f t="array" ref="L530">IF(COUNTIF($B$47:$E$47, L$2)&gt;0, _xlfn.IFS(COUNTIF($B$47:$C$47, L$2)&gt;0, VLOOKUP($J530,'Gear Values'!$A$2:$E$13, IF(COUNTBLANK('Attributes &amp; Prefixes'!$B$47:$C$47)&gt;0, "2", "3"), 0), COUNTIF($D$47:$E$47, L$2)&gt;0, VLOOKUP($J530,'Gear Values'!$A$2:$E$13, IF(COUNTBLANK('Attributes &amp; Prefixes'!$B$47:$C$47)&gt;0, "4", "5"), 0)), "")</f>
        <v>N/A</v>
      </c>
      <c r="M530" s="148" t="str" cm="1">
        <f t="array" ref="M530">IF(COUNTIF($B$47:$E$47, M$2)&gt;0, _xlfn.IFS(COUNTIF($B$47:$C$47, M$2)&gt;0, VLOOKUP($J530,'Gear Values'!$A$2:$E$13, IF(COUNTBLANK('Attributes &amp; Prefixes'!$B$47:$C$47)&gt;0, "2", "3"), 0), COUNTIF($D$47:$E$47, M$2)&gt;0, VLOOKUP($J530,'Gear Values'!$A$2:$E$13, IF(COUNTBLANK('Attributes &amp; Prefixes'!$B$47:$C$47)&gt;0, "4", "5"), 0)), "")</f>
        <v>N/A</v>
      </c>
      <c r="N530" s="148" t="str" cm="1">
        <f t="array" ref="N530">IF(COUNTIF($B$47:$E$47, N$2)&gt;0, _xlfn.IFS(COUNTIF($B$47:$C$47, N$2)&gt;0, VLOOKUP($J530,'Gear Values'!$A$2:$E$13, IF(COUNTBLANK('Attributes &amp; Prefixes'!$B$47:$C$47)&gt;0, "2", "3"), 0), COUNTIF($D$47:$E$47, N$2)&gt;0, VLOOKUP($J530,'Gear Values'!$A$2:$E$13, IF(COUNTBLANK('Attributes &amp; Prefixes'!$B$47:$C$47)&gt;0, "4", "5"), 0)), "")</f>
        <v/>
      </c>
      <c r="O530" s="148" t="str" cm="1">
        <f t="array" ref="O530">IF(COUNTIF($B$47:$E$47, O$2)&gt;0, _xlfn.IFS(COUNTIF($B$47:$C$47, O$2)&gt;0, VLOOKUP($J530,'Gear Values'!$A$2:$E$13, IF(COUNTBLANK('Attributes &amp; Prefixes'!$B$47:$C$47)&gt;0, "2", "3"), 0), COUNTIF($D$47:$E$47, O$2)&gt;0, VLOOKUP($J530,'Gear Values'!$A$2:$E$13, IF(COUNTBLANK('Attributes &amp; Prefixes'!$B$47:$C$47)&gt;0, "4", "5"), 0)), "")</f>
        <v/>
      </c>
      <c r="P530" s="148" t="str" cm="1">
        <f t="array" ref="P530">IF(COUNTIF($B$47:$E$47, P$2)&gt;0, _xlfn.IFS(COUNTIF($B$47:$C$47, P$2)&gt;0, VLOOKUP($J530,'Gear Values'!$A$2:$E$13, IF(COUNTBLANK('Attributes &amp; Prefixes'!$B$47:$C$47)&gt;0, "2", "3"), 0), COUNTIF($D$47:$E$47, P$2)&gt;0, VLOOKUP($J530,'Gear Values'!$A$2:$E$13, IF(COUNTBLANK('Attributes &amp; Prefixes'!$B$47:$C$47)&gt;0, "4", "5"), 0)), "")</f>
        <v>N/A</v>
      </c>
      <c r="Q530" s="148" t="str" cm="1">
        <f t="array" ref="Q530">IF(COUNTIF($B$47:$E$47, Q$2)&gt;0, _xlfn.IFS(COUNTIF($B$47:$C$47, Q$2)&gt;0, VLOOKUP($J530,'Gear Values'!$A$2:$E$13, IF(COUNTBLANK('Attributes &amp; Prefixes'!$B$47:$C$47)&gt;0, "2", "3"), 0), COUNTIF($D$47:$E$47, Q$2)&gt;0, VLOOKUP($J530,'Gear Values'!$A$2:$E$13, IF(COUNTBLANK('Attributes &amp; Prefixes'!$B$47:$C$47)&gt;0, "4", "5"), 0)), "")</f>
        <v/>
      </c>
      <c r="R530" s="148" t="str" cm="1">
        <f t="array" ref="R530">IF(COUNTIF($B$47:$E$47, R$2)&gt;0, _xlfn.IFS(COUNTIF($B$47:$C$47, R$2)&gt;0, VLOOKUP($J530,'Gear Values'!$A$2:$E$13, IF(COUNTBLANK('Attributes &amp; Prefixes'!$B$47:$C$47)&gt;0, "2", "3"), 0), COUNTIF($D$47:$E$47, R$2)&gt;0, VLOOKUP($J530,'Gear Values'!$A$2:$E$13, IF(COUNTBLANK('Attributes &amp; Prefixes'!$B$47:$C$47)&gt;0, "4", "5"), 0)), "")</f>
        <v/>
      </c>
      <c r="S530" s="150" t="str" cm="1">
        <f t="array" ref="S530">IF(COUNTIF($B$47:$E$47, S$2)&gt;0, _xlfn.IFS(COUNTIF($B$47:$C$47, S$2)&gt;0, VLOOKUP($J530,'Gear Values'!$A$2:$E$13, IF(COUNTBLANK('Attributes &amp; Prefixes'!$B$47:$C$47)&gt;0, "2", "3"), 0), COUNTIF($D$47:$E$47, S$2)&gt;0, VLOOKUP($J530,'Gear Values'!$A$2:$E$13, IF(COUNTBLANK('Attributes &amp; Prefixes'!$B$47:$C$47)&gt;0, "4", "5"), 0)), "")</f>
        <v/>
      </c>
      <c r="V530" s="112"/>
      <c r="W530" s="112"/>
    </row>
    <row r="531" spans="6:23">
      <c r="H531" s="130" t="str">
        <f>_xlfn.CONCAT(I$531,J531)</f>
        <v>ValkyrieWeapon (1H)</v>
      </c>
      <c r="I531" s="519" t="str">
        <f>A48</f>
        <v>Valkyrie</v>
      </c>
      <c r="J531" s="145" t="s">
        <v>37</v>
      </c>
      <c r="K531" s="133" cm="1">
        <f t="array" ref="K531">IF(COUNTIF($B$48:$E$48, K$2)&gt;0, _xlfn.IFS(COUNTIF($B$48:$C$48, K$2)&gt;0, VLOOKUP($J531,'Gear Values'!$A$2:$E$13, IF(COUNTBLANK('Attributes &amp; Prefixes'!$B$48:$C$48)&gt;0, "2", "3"), 0), COUNTIF($D$48:$E$48, K$2)&gt;0, VLOOKUP($J531,'Gear Values'!$A$2:$E$13, IF(COUNTBLANK('Attributes &amp; Prefixes'!$B$48:$C$48)&gt;0, "4", "5"), 0)), "")</f>
        <v>120</v>
      </c>
      <c r="L531" s="134" t="str" cm="1">
        <f t="array" ref="L531">IF(COUNTIF($B$48:$E$48, L$2)&gt;0, _xlfn.IFS(COUNTIF($B$48:$C$48, L$2)&gt;0, VLOOKUP($J531,'Gear Values'!$A$2:$E$13, IF(COUNTBLANK('Attributes &amp; Prefixes'!$B$48:$C$48)&gt;0, "2", "3"), 0), COUNTIF($D$48:$E$48, L$2)&gt;0, VLOOKUP($J531,'Gear Values'!$A$2:$E$13, IF(COUNTBLANK('Attributes &amp; Prefixes'!$B$48:$C$48)&gt;0, "4", "5"), 0)), "")</f>
        <v/>
      </c>
      <c r="M531" s="134" t="str" cm="1">
        <f t="array" ref="M531">IF(COUNTIF($B$48:$E$48, M$2)&gt;0, _xlfn.IFS(COUNTIF($B$48:$C$48, M$2)&gt;0, VLOOKUP($J531,'Gear Values'!$A$2:$E$13, IF(COUNTBLANK('Attributes &amp; Prefixes'!$B$48:$C$48)&gt;0, "2", "3"), 0), COUNTIF($D$48:$E$48, M$2)&gt;0, VLOOKUP($J531,'Gear Values'!$A$2:$E$13, IF(COUNTBLANK('Attributes &amp; Prefixes'!$B$48:$C$48)&gt;0, "4", "5"), 0)), "")</f>
        <v/>
      </c>
      <c r="N531" s="134" cm="1">
        <f t="array" ref="N531">IF(COUNTIF($B$48:$E$48, N$2)&gt;0, _xlfn.IFS(COUNTIF($B$48:$C$48, N$2)&gt;0, VLOOKUP($J531,'Gear Values'!$A$2:$E$13, IF(COUNTBLANK('Attributes &amp; Prefixes'!$B$48:$C$48)&gt;0, "2", "3"), 0), COUNTIF($D$48:$E$48, N$2)&gt;0, VLOOKUP($J531,'Gear Values'!$A$2:$E$13, IF(COUNTBLANK('Attributes &amp; Prefixes'!$B$48:$C$48)&gt;0, "4", "5"), 0)), "")</f>
        <v>85</v>
      </c>
      <c r="O531" s="134" t="str" cm="1">
        <f t="array" ref="O531">IF(COUNTIF($B$48:$E$48, O$2)&gt;0, _xlfn.IFS(COUNTIF($B$48:$C$48, O$2)&gt;0, VLOOKUP($J531,'Gear Values'!$A$2:$E$13, IF(COUNTBLANK('Attributes &amp; Prefixes'!$B$48:$C$48)&gt;0, "2", "3"), 0), COUNTIF($D$48:$E$48, O$2)&gt;0, VLOOKUP($J531,'Gear Values'!$A$2:$E$13, IF(COUNTBLANK('Attributes &amp; Prefixes'!$B$48:$C$48)&gt;0, "4", "5"), 0)), "")</f>
        <v/>
      </c>
      <c r="P531" s="134" t="str" cm="1">
        <f t="array" ref="P531">IF(COUNTIF($B$48:$E$48, P$2)&gt;0, _xlfn.IFS(COUNTIF($B$48:$C$48, P$2)&gt;0, VLOOKUP($J531,'Gear Values'!$A$2:$E$13, IF(COUNTBLANK('Attributes &amp; Prefixes'!$B$48:$C$48)&gt;0, "2", "3"), 0), COUNTIF($D$48:$E$48, P$2)&gt;0, VLOOKUP($J531,'Gear Values'!$A$2:$E$13, IF(COUNTBLANK('Attributes &amp; Prefixes'!$B$48:$C$48)&gt;0, "4", "5"), 0)), "")</f>
        <v/>
      </c>
      <c r="Q531" s="134" t="str" cm="1">
        <f t="array" ref="Q531">IF(COUNTIF($B$48:$E$48, Q$2)&gt;0, _xlfn.IFS(COUNTIF($B$48:$C$48, Q$2)&gt;0, VLOOKUP($J531,'Gear Values'!$A$2:$E$13, IF(COUNTBLANK('Attributes &amp; Prefixes'!$B$48:$C$48)&gt;0, "2", "3"), 0), COUNTIF($D$48:$E$48, Q$2)&gt;0, VLOOKUP($J531,'Gear Values'!$A$2:$E$13, IF(COUNTBLANK('Attributes &amp; Prefixes'!$B$48:$C$48)&gt;0, "4", "5"), 0)), "")</f>
        <v/>
      </c>
      <c r="R531" s="134" cm="1">
        <f t="array" ref="R531">IF(COUNTIF($B$48:$E$48, R$2)&gt;0, _xlfn.IFS(COUNTIF($B$48:$C$48, R$2)&gt;0, VLOOKUP($J531,'Gear Values'!$A$2:$E$13, IF(COUNTBLANK('Attributes &amp; Prefixes'!$B$48:$C$48)&gt;0, "2", "3"), 0), COUNTIF($D$48:$E$48, R$2)&gt;0, VLOOKUP($J531,'Gear Values'!$A$2:$E$13, IF(COUNTBLANK('Attributes &amp; Prefixes'!$B$48:$C$48)&gt;0, "4", "5"), 0)), "")</f>
        <v>85</v>
      </c>
      <c r="S531" s="135" t="str" cm="1">
        <f t="array" ref="S531">IF(COUNTIF($B$48:$E$48, S$2)&gt;0, _xlfn.IFS(COUNTIF($B$48:$C$48, S$2)&gt;0, VLOOKUP($J531,'Gear Values'!$A$2:$E$13, IF(COUNTBLANK('Attributes &amp; Prefixes'!$B$48:$C$48)&gt;0, "2", "3"), 0), COUNTIF($D$48:$E$48, S$2)&gt;0, VLOOKUP($J531,'Gear Values'!$A$2:$E$13, IF(COUNTBLANK('Attributes &amp; Prefixes'!$B$48:$C$48)&gt;0, "4", "5"), 0)), "")</f>
        <v/>
      </c>
      <c r="V531" s="112"/>
      <c r="W531" s="112"/>
    </row>
    <row r="532" spans="6:23">
      <c r="H532" s="130" t="str">
        <f>_xlfn.CONCAT(I$531,J532)</f>
        <v>ValkyrieWeapon (2H)</v>
      </c>
      <c r="I532" s="520"/>
      <c r="J532" s="144" t="s">
        <v>39</v>
      </c>
      <c r="K532" s="136" cm="1">
        <f t="array" ref="K532">IF(COUNTIF($B$48:$E$48, K$2)&gt;0, _xlfn.IFS(COUNTIF($B$48:$C$48, K$2)&gt;0, VLOOKUP($J532,'Gear Values'!$A$2:$E$13, IF(COUNTBLANK('Attributes &amp; Prefixes'!$B$48:$C$48)&gt;0, "2", "3"), 0), COUNTIF($D$48:$E$48, K$2)&gt;0, VLOOKUP($J532,'Gear Values'!$A$2:$E$13, IF(COUNTBLANK('Attributes &amp; Prefixes'!$B$48:$C$48)&gt;0, "4", "5"), 0)), "")</f>
        <v>239</v>
      </c>
      <c r="L532" s="137" t="str" cm="1">
        <f t="array" ref="L532">IF(COUNTIF($B$48:$E$48, L$2)&gt;0, _xlfn.IFS(COUNTIF($B$48:$C$48, L$2)&gt;0, VLOOKUP($J532,'Gear Values'!$A$2:$E$13, IF(COUNTBLANK('Attributes &amp; Prefixes'!$B$48:$C$48)&gt;0, "2", "3"), 0), COUNTIF($D$48:$E$48, L$2)&gt;0, VLOOKUP($J532,'Gear Values'!$A$2:$E$13, IF(COUNTBLANK('Attributes &amp; Prefixes'!$B$48:$C$48)&gt;0, "4", "5"), 0)), "")</f>
        <v/>
      </c>
      <c r="M532" s="137" t="str" cm="1">
        <f t="array" ref="M532">IF(COUNTIF($B$48:$E$48, M$2)&gt;0, _xlfn.IFS(COUNTIF($B$48:$C$48, M$2)&gt;0, VLOOKUP($J532,'Gear Values'!$A$2:$E$13, IF(COUNTBLANK('Attributes &amp; Prefixes'!$B$48:$C$48)&gt;0, "2", "3"), 0), COUNTIF($D$48:$E$48, M$2)&gt;0, VLOOKUP($J532,'Gear Values'!$A$2:$E$13, IF(COUNTBLANK('Attributes &amp; Prefixes'!$B$48:$C$48)&gt;0, "4", "5"), 0)), "")</f>
        <v/>
      </c>
      <c r="N532" s="137" cm="1">
        <f t="array" ref="N532">IF(COUNTIF($B$48:$E$48, N$2)&gt;0, _xlfn.IFS(COUNTIF($B$48:$C$48, N$2)&gt;0, VLOOKUP($J532,'Gear Values'!$A$2:$E$13, IF(COUNTBLANK('Attributes &amp; Prefixes'!$B$48:$C$48)&gt;0, "2", "3"), 0), COUNTIF($D$48:$E$48, N$2)&gt;0, VLOOKUP($J532,'Gear Values'!$A$2:$E$13, IF(COUNTBLANK('Attributes &amp; Prefixes'!$B$48:$C$48)&gt;0, "4", "5"), 0)), "")</f>
        <v>171</v>
      </c>
      <c r="O532" s="137" t="str" cm="1">
        <f t="array" ref="O532">IF(COUNTIF($B$48:$E$48, O$2)&gt;0, _xlfn.IFS(COUNTIF($B$48:$C$48, O$2)&gt;0, VLOOKUP($J532,'Gear Values'!$A$2:$E$13, IF(COUNTBLANK('Attributes &amp; Prefixes'!$B$48:$C$48)&gt;0, "2", "3"), 0), COUNTIF($D$48:$E$48, O$2)&gt;0, VLOOKUP($J532,'Gear Values'!$A$2:$E$13, IF(COUNTBLANK('Attributes &amp; Prefixes'!$B$48:$C$48)&gt;0, "4", "5"), 0)), "")</f>
        <v/>
      </c>
      <c r="P532" s="137" t="str" cm="1">
        <f t="array" ref="P532">IF(COUNTIF($B$48:$E$48, P$2)&gt;0, _xlfn.IFS(COUNTIF($B$48:$C$48, P$2)&gt;0, VLOOKUP($J532,'Gear Values'!$A$2:$E$13, IF(COUNTBLANK('Attributes &amp; Prefixes'!$B$48:$C$48)&gt;0, "2", "3"), 0), COUNTIF($D$48:$E$48, P$2)&gt;0, VLOOKUP($J532,'Gear Values'!$A$2:$E$13, IF(COUNTBLANK('Attributes &amp; Prefixes'!$B$48:$C$48)&gt;0, "4", "5"), 0)), "")</f>
        <v/>
      </c>
      <c r="Q532" s="137" t="str" cm="1">
        <f t="array" ref="Q532">IF(COUNTIF($B$48:$E$48, Q$2)&gt;0, _xlfn.IFS(COUNTIF($B$48:$C$48, Q$2)&gt;0, VLOOKUP($J532,'Gear Values'!$A$2:$E$13, IF(COUNTBLANK('Attributes &amp; Prefixes'!$B$48:$C$48)&gt;0, "2", "3"), 0), COUNTIF($D$48:$E$48, Q$2)&gt;0, VLOOKUP($J532,'Gear Values'!$A$2:$E$13, IF(COUNTBLANK('Attributes &amp; Prefixes'!$B$48:$C$48)&gt;0, "4", "5"), 0)), "")</f>
        <v/>
      </c>
      <c r="R532" s="137" cm="1">
        <f t="array" ref="R532">IF(COUNTIF($B$48:$E$48, R$2)&gt;0, _xlfn.IFS(COUNTIF($B$48:$C$48, R$2)&gt;0, VLOOKUP($J532,'Gear Values'!$A$2:$E$13, IF(COUNTBLANK('Attributes &amp; Prefixes'!$B$48:$C$48)&gt;0, "2", "3"), 0), COUNTIF($D$48:$E$48, R$2)&gt;0, VLOOKUP($J532,'Gear Values'!$A$2:$E$13, IF(COUNTBLANK('Attributes &amp; Prefixes'!$B$48:$C$48)&gt;0, "4", "5"), 0)), "")</f>
        <v>171</v>
      </c>
      <c r="S532" s="138" t="str" cm="1">
        <f t="array" ref="S532">IF(COUNTIF($B$48:$E$48, S$2)&gt;0, _xlfn.IFS(COUNTIF($B$48:$C$48, S$2)&gt;0, VLOOKUP($J532,'Gear Values'!$A$2:$E$13, IF(COUNTBLANK('Attributes &amp; Prefixes'!$B$48:$C$48)&gt;0, "2", "3"), 0), COUNTIF($D$48:$E$48, S$2)&gt;0, VLOOKUP($J532,'Gear Values'!$A$2:$E$13, IF(COUNTBLANK('Attributes &amp; Prefixes'!$B$48:$C$48)&gt;0, "4", "5"), 0)), "")</f>
        <v/>
      </c>
      <c r="V532" s="112"/>
      <c r="W532" s="112"/>
    </row>
    <row r="533" spans="6:23">
      <c r="H533" s="130" t="str">
        <f>_xlfn.CONCAT(I$531,J533)</f>
        <v>ValkyrieHead</v>
      </c>
      <c r="I533" s="520"/>
      <c r="J533" s="144" t="s">
        <v>40</v>
      </c>
      <c r="K533" s="136" cm="1">
        <f t="array" ref="K533">IF(COUNTIF($B$48:$E$48, K$2)&gt;0, _xlfn.IFS(COUNTIF($B$48:$C$48, K$2)&gt;0, VLOOKUP($J533,'Gear Values'!$A$2:$E$13, IF(COUNTBLANK('Attributes &amp; Prefixes'!$B$48:$C$48)&gt;0, "2", "3"), 0), COUNTIF($D$48:$E$48, K$2)&gt;0, VLOOKUP($J533,'Gear Values'!$A$2:$E$13, IF(COUNTBLANK('Attributes &amp; Prefixes'!$B$48:$C$48)&gt;0, "4", "5"), 0)), "")</f>
        <v>60</v>
      </c>
      <c r="L533" s="137" t="str" cm="1">
        <f t="array" ref="L533">IF(COUNTIF($B$48:$E$48, L$2)&gt;0, _xlfn.IFS(COUNTIF($B$48:$C$48, L$2)&gt;0, VLOOKUP($J533,'Gear Values'!$A$2:$E$13, IF(COUNTBLANK('Attributes &amp; Prefixes'!$B$48:$C$48)&gt;0, "2", "3"), 0), COUNTIF($D$48:$E$48, L$2)&gt;0, VLOOKUP($J533,'Gear Values'!$A$2:$E$13, IF(COUNTBLANK('Attributes &amp; Prefixes'!$B$48:$C$48)&gt;0, "4", "5"), 0)), "")</f>
        <v/>
      </c>
      <c r="M533" s="137" t="str" cm="1">
        <f t="array" ref="M533">IF(COUNTIF($B$48:$E$48, M$2)&gt;0, _xlfn.IFS(COUNTIF($B$48:$C$48, M$2)&gt;0, VLOOKUP($J533,'Gear Values'!$A$2:$E$13, IF(COUNTBLANK('Attributes &amp; Prefixes'!$B$48:$C$48)&gt;0, "2", "3"), 0), COUNTIF($D$48:$E$48, M$2)&gt;0, VLOOKUP($J533,'Gear Values'!$A$2:$E$13, IF(COUNTBLANK('Attributes &amp; Prefixes'!$B$48:$C$48)&gt;0, "4", "5"), 0)), "")</f>
        <v/>
      </c>
      <c r="N533" s="137" cm="1">
        <f t="array" ref="N533">IF(COUNTIF($B$48:$E$48, N$2)&gt;0, _xlfn.IFS(COUNTIF($B$48:$C$48, N$2)&gt;0, VLOOKUP($J533,'Gear Values'!$A$2:$E$13, IF(COUNTBLANK('Attributes &amp; Prefixes'!$B$48:$C$48)&gt;0, "2", "3"), 0), COUNTIF($D$48:$E$48, N$2)&gt;0, VLOOKUP($J533,'Gear Values'!$A$2:$E$13, IF(COUNTBLANK('Attributes &amp; Prefixes'!$B$48:$C$48)&gt;0, "4", "5"), 0)), "")</f>
        <v>43</v>
      </c>
      <c r="O533" s="137" t="str" cm="1">
        <f t="array" ref="O533">IF(COUNTIF($B$48:$E$48, O$2)&gt;0, _xlfn.IFS(COUNTIF($B$48:$C$48, O$2)&gt;0, VLOOKUP($J533,'Gear Values'!$A$2:$E$13, IF(COUNTBLANK('Attributes &amp; Prefixes'!$B$48:$C$48)&gt;0, "2", "3"), 0), COUNTIF($D$48:$E$48, O$2)&gt;0, VLOOKUP($J533,'Gear Values'!$A$2:$E$13, IF(COUNTBLANK('Attributes &amp; Prefixes'!$B$48:$C$48)&gt;0, "4", "5"), 0)), "")</f>
        <v/>
      </c>
      <c r="P533" s="137" t="str" cm="1">
        <f t="array" ref="P533">IF(COUNTIF($B$48:$E$48, P$2)&gt;0, _xlfn.IFS(COUNTIF($B$48:$C$48, P$2)&gt;0, VLOOKUP($J533,'Gear Values'!$A$2:$E$13, IF(COUNTBLANK('Attributes &amp; Prefixes'!$B$48:$C$48)&gt;0, "2", "3"), 0), COUNTIF($D$48:$E$48, P$2)&gt;0, VLOOKUP($J533,'Gear Values'!$A$2:$E$13, IF(COUNTBLANK('Attributes &amp; Prefixes'!$B$48:$C$48)&gt;0, "4", "5"), 0)), "")</f>
        <v/>
      </c>
      <c r="Q533" s="137" t="str" cm="1">
        <f t="array" ref="Q533">IF(COUNTIF($B$48:$E$48, Q$2)&gt;0, _xlfn.IFS(COUNTIF($B$48:$C$48, Q$2)&gt;0, VLOOKUP($J533,'Gear Values'!$A$2:$E$13, IF(COUNTBLANK('Attributes &amp; Prefixes'!$B$48:$C$48)&gt;0, "2", "3"), 0), COUNTIF($D$48:$E$48, Q$2)&gt;0, VLOOKUP($J533,'Gear Values'!$A$2:$E$13, IF(COUNTBLANK('Attributes &amp; Prefixes'!$B$48:$C$48)&gt;0, "4", "5"), 0)), "")</f>
        <v/>
      </c>
      <c r="R533" s="137" cm="1">
        <f t="array" ref="R533">IF(COUNTIF($B$48:$E$48, R$2)&gt;0, _xlfn.IFS(COUNTIF($B$48:$C$48, R$2)&gt;0, VLOOKUP($J533,'Gear Values'!$A$2:$E$13, IF(COUNTBLANK('Attributes &amp; Prefixes'!$B$48:$C$48)&gt;0, "2", "3"), 0), COUNTIF($D$48:$E$48, R$2)&gt;0, VLOOKUP($J533,'Gear Values'!$A$2:$E$13, IF(COUNTBLANK('Attributes &amp; Prefixes'!$B$48:$C$48)&gt;0, "4", "5"), 0)), "")</f>
        <v>43</v>
      </c>
      <c r="S533" s="138" t="str" cm="1">
        <f t="array" ref="S533">IF(COUNTIF($B$48:$E$48, S$2)&gt;0, _xlfn.IFS(COUNTIF($B$48:$C$48, S$2)&gt;0, VLOOKUP($J533,'Gear Values'!$A$2:$E$13, IF(COUNTBLANK('Attributes &amp; Prefixes'!$B$48:$C$48)&gt;0, "2", "3"), 0), COUNTIF($D$48:$E$48, S$2)&gt;0, VLOOKUP($J533,'Gear Values'!$A$2:$E$13, IF(COUNTBLANK('Attributes &amp; Prefixes'!$B$48:$C$48)&gt;0, "4", "5"), 0)), "")</f>
        <v/>
      </c>
      <c r="V533" s="112"/>
      <c r="W533" s="112"/>
    </row>
    <row r="534" spans="6:23">
      <c r="H534" s="130" t="str">
        <f>_xlfn.CONCAT(I$531,J534)</f>
        <v>ValkyrieShoulders</v>
      </c>
      <c r="I534" s="520"/>
      <c r="J534" s="144" t="s">
        <v>42</v>
      </c>
      <c r="K534" s="136" cm="1">
        <f t="array" ref="K534">IF(COUNTIF($B$48:$E$48, K$2)&gt;0, _xlfn.IFS(COUNTIF($B$48:$C$48, K$2)&gt;0, VLOOKUP($J534,'Gear Values'!$A$2:$E$13, IF(COUNTBLANK('Attributes &amp; Prefixes'!$B$48:$C$48)&gt;0, "2", "3"), 0), COUNTIF($D$48:$E$48, K$2)&gt;0, VLOOKUP($J534,'Gear Values'!$A$2:$E$13, IF(COUNTBLANK('Attributes &amp; Prefixes'!$B$48:$C$48)&gt;0, "4", "5"), 0)), "")</f>
        <v>45</v>
      </c>
      <c r="L534" s="137" t="str" cm="1">
        <f t="array" ref="L534">IF(COUNTIF($B$48:$E$48, L$2)&gt;0, _xlfn.IFS(COUNTIF($B$48:$C$48, L$2)&gt;0, VLOOKUP($J534,'Gear Values'!$A$2:$E$13, IF(COUNTBLANK('Attributes &amp; Prefixes'!$B$48:$C$48)&gt;0, "2", "3"), 0), COUNTIF($D$48:$E$48, L$2)&gt;0, VLOOKUP($J534,'Gear Values'!$A$2:$E$13, IF(COUNTBLANK('Attributes &amp; Prefixes'!$B$48:$C$48)&gt;0, "4", "5"), 0)), "")</f>
        <v/>
      </c>
      <c r="M534" s="137" t="str" cm="1">
        <f t="array" ref="M534">IF(COUNTIF($B$48:$E$48, M$2)&gt;0, _xlfn.IFS(COUNTIF($B$48:$C$48, M$2)&gt;0, VLOOKUP($J534,'Gear Values'!$A$2:$E$13, IF(COUNTBLANK('Attributes &amp; Prefixes'!$B$48:$C$48)&gt;0, "2", "3"), 0), COUNTIF($D$48:$E$48, M$2)&gt;0, VLOOKUP($J534,'Gear Values'!$A$2:$E$13, IF(COUNTBLANK('Attributes &amp; Prefixes'!$B$48:$C$48)&gt;0, "4", "5"), 0)), "")</f>
        <v/>
      </c>
      <c r="N534" s="137" cm="1">
        <f t="array" ref="N534">IF(COUNTIF($B$48:$E$48, N$2)&gt;0, _xlfn.IFS(COUNTIF($B$48:$C$48, N$2)&gt;0, VLOOKUP($J534,'Gear Values'!$A$2:$E$13, IF(COUNTBLANK('Attributes &amp; Prefixes'!$B$48:$C$48)&gt;0, "2", "3"), 0), COUNTIF($D$48:$E$48, N$2)&gt;0, VLOOKUP($J534,'Gear Values'!$A$2:$E$13, IF(COUNTBLANK('Attributes &amp; Prefixes'!$B$48:$C$48)&gt;0, "4", "5"), 0)), "")</f>
        <v>32</v>
      </c>
      <c r="O534" s="137" t="str" cm="1">
        <f t="array" ref="O534">IF(COUNTIF($B$48:$E$48, O$2)&gt;0, _xlfn.IFS(COUNTIF($B$48:$C$48, O$2)&gt;0, VLOOKUP($J534,'Gear Values'!$A$2:$E$13, IF(COUNTBLANK('Attributes &amp; Prefixes'!$B$48:$C$48)&gt;0, "2", "3"), 0), COUNTIF($D$48:$E$48, O$2)&gt;0, VLOOKUP($J534,'Gear Values'!$A$2:$E$13, IF(COUNTBLANK('Attributes &amp; Prefixes'!$B$48:$C$48)&gt;0, "4", "5"), 0)), "")</f>
        <v/>
      </c>
      <c r="P534" s="137" t="str" cm="1">
        <f t="array" ref="P534">IF(COUNTIF($B$48:$E$48, P$2)&gt;0, _xlfn.IFS(COUNTIF($B$48:$C$48, P$2)&gt;0, VLOOKUP($J534,'Gear Values'!$A$2:$E$13, IF(COUNTBLANK('Attributes &amp; Prefixes'!$B$48:$C$48)&gt;0, "2", "3"), 0), COUNTIF($D$48:$E$48, P$2)&gt;0, VLOOKUP($J534,'Gear Values'!$A$2:$E$13, IF(COUNTBLANK('Attributes &amp; Prefixes'!$B$48:$C$48)&gt;0, "4", "5"), 0)), "")</f>
        <v/>
      </c>
      <c r="Q534" s="137" t="str" cm="1">
        <f t="array" ref="Q534">IF(COUNTIF($B$48:$E$48, Q$2)&gt;0, _xlfn.IFS(COUNTIF($B$48:$C$48, Q$2)&gt;0, VLOOKUP($J534,'Gear Values'!$A$2:$E$13, IF(COUNTBLANK('Attributes &amp; Prefixes'!$B$48:$C$48)&gt;0, "2", "3"), 0), COUNTIF($D$48:$E$48, Q$2)&gt;0, VLOOKUP($J534,'Gear Values'!$A$2:$E$13, IF(COUNTBLANK('Attributes &amp; Prefixes'!$B$48:$C$48)&gt;0, "4", "5"), 0)), "")</f>
        <v/>
      </c>
      <c r="R534" s="137" cm="1">
        <f t="array" ref="R534">IF(COUNTIF($B$48:$E$48, R$2)&gt;0, _xlfn.IFS(COUNTIF($B$48:$C$48, R$2)&gt;0, VLOOKUP($J534,'Gear Values'!$A$2:$E$13, IF(COUNTBLANK('Attributes &amp; Prefixes'!$B$48:$C$48)&gt;0, "2", "3"), 0), COUNTIF($D$48:$E$48, R$2)&gt;0, VLOOKUP($J534,'Gear Values'!$A$2:$E$13, IF(COUNTBLANK('Attributes &amp; Prefixes'!$B$48:$C$48)&gt;0, "4", "5"), 0)), "")</f>
        <v>32</v>
      </c>
      <c r="S534" s="138" t="str" cm="1">
        <f t="array" ref="S534">IF(COUNTIF($B$48:$E$48, S$2)&gt;0, _xlfn.IFS(COUNTIF($B$48:$C$48, S$2)&gt;0, VLOOKUP($J534,'Gear Values'!$A$2:$E$13, IF(COUNTBLANK('Attributes &amp; Prefixes'!$B$48:$C$48)&gt;0, "2", "3"), 0), COUNTIF($D$48:$E$48, S$2)&gt;0, VLOOKUP($J534,'Gear Values'!$A$2:$E$13, IF(COUNTBLANK('Attributes &amp; Prefixes'!$B$48:$C$48)&gt;0, "4", "5"), 0)), "")</f>
        <v/>
      </c>
      <c r="V534" s="112"/>
      <c r="W534" s="112"/>
    </row>
    <row r="535" spans="6:23">
      <c r="H535" s="130" t="str">
        <f>_xlfn.CONCAT(I$531,J535)</f>
        <v>ValkyrieChest</v>
      </c>
      <c r="I535" s="520"/>
      <c r="J535" s="144" t="s">
        <v>44</v>
      </c>
      <c r="K535" s="136" cm="1">
        <f t="array" ref="K535">IF(COUNTIF($B$48:$E$48, K$2)&gt;0, _xlfn.IFS(COUNTIF($B$48:$C$48, K$2)&gt;0, VLOOKUP($J535,'Gear Values'!$A$2:$E$13, IF(COUNTBLANK('Attributes &amp; Prefixes'!$B$48:$C$48)&gt;0, "2", "3"), 0), COUNTIF($D$48:$E$48, K$2)&gt;0, VLOOKUP($J535,'Gear Values'!$A$2:$E$13, IF(COUNTBLANK('Attributes &amp; Prefixes'!$B$48:$C$48)&gt;0, "4", "5"), 0)), "")</f>
        <v>134</v>
      </c>
      <c r="L535" s="137" t="str" cm="1">
        <f t="array" ref="L535">IF(COUNTIF($B$48:$E$48, L$2)&gt;0, _xlfn.IFS(COUNTIF($B$48:$C$48, L$2)&gt;0, VLOOKUP($J535,'Gear Values'!$A$2:$E$13, IF(COUNTBLANK('Attributes &amp; Prefixes'!$B$48:$C$48)&gt;0, "2", "3"), 0), COUNTIF($D$48:$E$48, L$2)&gt;0, VLOOKUP($J535,'Gear Values'!$A$2:$E$13, IF(COUNTBLANK('Attributes &amp; Prefixes'!$B$48:$C$48)&gt;0, "4", "5"), 0)), "")</f>
        <v/>
      </c>
      <c r="M535" s="137" t="str" cm="1">
        <f t="array" ref="M535">IF(COUNTIF($B$48:$E$48, M$2)&gt;0, _xlfn.IFS(COUNTIF($B$48:$C$48, M$2)&gt;0, VLOOKUP($J535,'Gear Values'!$A$2:$E$13, IF(COUNTBLANK('Attributes &amp; Prefixes'!$B$48:$C$48)&gt;0, "2", "3"), 0), COUNTIF($D$48:$E$48, M$2)&gt;0, VLOOKUP($J535,'Gear Values'!$A$2:$E$13, IF(COUNTBLANK('Attributes &amp; Prefixes'!$B$48:$C$48)&gt;0, "4", "5"), 0)), "")</f>
        <v/>
      </c>
      <c r="N535" s="137" cm="1">
        <f t="array" ref="N535">IF(COUNTIF($B$48:$E$48, N$2)&gt;0, _xlfn.IFS(COUNTIF($B$48:$C$48, N$2)&gt;0, VLOOKUP($J535,'Gear Values'!$A$2:$E$13, IF(COUNTBLANK('Attributes &amp; Prefixes'!$B$48:$C$48)&gt;0, "2", "3"), 0), COUNTIF($D$48:$E$48, N$2)&gt;0, VLOOKUP($J535,'Gear Values'!$A$2:$E$13, IF(COUNTBLANK('Attributes &amp; Prefixes'!$B$48:$C$48)&gt;0, "4", "5"), 0)), "")</f>
        <v>96</v>
      </c>
      <c r="O535" s="137" t="str" cm="1">
        <f t="array" ref="O535">IF(COUNTIF($B$48:$E$48, O$2)&gt;0, _xlfn.IFS(COUNTIF($B$48:$C$48, O$2)&gt;0, VLOOKUP($J535,'Gear Values'!$A$2:$E$13, IF(COUNTBLANK('Attributes &amp; Prefixes'!$B$48:$C$48)&gt;0, "2", "3"), 0), COUNTIF($D$48:$E$48, O$2)&gt;0, VLOOKUP($J535,'Gear Values'!$A$2:$E$13, IF(COUNTBLANK('Attributes &amp; Prefixes'!$B$48:$C$48)&gt;0, "4", "5"), 0)), "")</f>
        <v/>
      </c>
      <c r="P535" s="137" t="str" cm="1">
        <f t="array" ref="P535">IF(COUNTIF($B$48:$E$48, P$2)&gt;0, _xlfn.IFS(COUNTIF($B$48:$C$48, P$2)&gt;0, VLOOKUP($J535,'Gear Values'!$A$2:$E$13, IF(COUNTBLANK('Attributes &amp; Prefixes'!$B$48:$C$48)&gt;0, "2", "3"), 0), COUNTIF($D$48:$E$48, P$2)&gt;0, VLOOKUP($J535,'Gear Values'!$A$2:$E$13, IF(COUNTBLANK('Attributes &amp; Prefixes'!$B$48:$C$48)&gt;0, "4", "5"), 0)), "")</f>
        <v/>
      </c>
      <c r="Q535" s="137" t="str" cm="1">
        <f t="array" ref="Q535">IF(COUNTIF($B$48:$E$48, Q$2)&gt;0, _xlfn.IFS(COUNTIF($B$48:$C$48, Q$2)&gt;0, VLOOKUP($J535,'Gear Values'!$A$2:$E$13, IF(COUNTBLANK('Attributes &amp; Prefixes'!$B$48:$C$48)&gt;0, "2", "3"), 0), COUNTIF($D$48:$E$48, Q$2)&gt;0, VLOOKUP($J535,'Gear Values'!$A$2:$E$13, IF(COUNTBLANK('Attributes &amp; Prefixes'!$B$48:$C$48)&gt;0, "4", "5"), 0)), "")</f>
        <v/>
      </c>
      <c r="R535" s="137" cm="1">
        <f t="array" ref="R535">IF(COUNTIF($B$48:$E$48, R$2)&gt;0, _xlfn.IFS(COUNTIF($B$48:$C$48, R$2)&gt;0, VLOOKUP($J535,'Gear Values'!$A$2:$E$13, IF(COUNTBLANK('Attributes &amp; Prefixes'!$B$48:$C$48)&gt;0, "2", "3"), 0), COUNTIF($D$48:$E$48, R$2)&gt;0, VLOOKUP($J535,'Gear Values'!$A$2:$E$13, IF(COUNTBLANK('Attributes &amp; Prefixes'!$B$48:$C$48)&gt;0, "4", "5"), 0)), "")</f>
        <v>96</v>
      </c>
      <c r="S535" s="138" t="str" cm="1">
        <f t="array" ref="S535">IF(COUNTIF($B$48:$E$48, S$2)&gt;0, _xlfn.IFS(COUNTIF($B$48:$C$48, S$2)&gt;0, VLOOKUP($J535,'Gear Values'!$A$2:$E$13, IF(COUNTBLANK('Attributes &amp; Prefixes'!$B$48:$C$48)&gt;0, "2", "3"), 0), COUNTIF($D$48:$E$48, S$2)&gt;0, VLOOKUP($J535,'Gear Values'!$A$2:$E$13, IF(COUNTBLANK('Attributes &amp; Prefixes'!$B$48:$C$48)&gt;0, "4", "5"), 0)), "")</f>
        <v/>
      </c>
      <c r="V535" s="112"/>
      <c r="W535" s="112"/>
    </row>
    <row r="536" spans="6:23">
      <c r="H536" s="130" t="str">
        <f>_xlfn.CONCAT(I$531,J536)</f>
        <v>ValkyrieHands</v>
      </c>
      <c r="I536" s="520"/>
      <c r="J536" s="144" t="s">
        <v>45</v>
      </c>
      <c r="K536" s="136" cm="1">
        <f t="array" ref="K536">IF(COUNTIF($B$48:$E$48, K$2)&gt;0, _xlfn.IFS(COUNTIF($B$48:$C$48, K$2)&gt;0, VLOOKUP($J536,'Gear Values'!$A$2:$E$13, IF(COUNTBLANK('Attributes &amp; Prefixes'!$B$48:$C$48)&gt;0, "2", "3"), 0), COUNTIF($D$48:$E$48, K$2)&gt;0, VLOOKUP($J536,'Gear Values'!$A$2:$E$13, IF(COUNTBLANK('Attributes &amp; Prefixes'!$B$48:$C$48)&gt;0, "4", "5"), 0)), "")</f>
        <v>45</v>
      </c>
      <c r="L536" s="137" t="str" cm="1">
        <f t="array" ref="L536">IF(COUNTIF($B$48:$E$48, L$2)&gt;0, _xlfn.IFS(COUNTIF($B$48:$C$48, L$2)&gt;0, VLOOKUP($J536,'Gear Values'!$A$2:$E$13, IF(COUNTBLANK('Attributes &amp; Prefixes'!$B$48:$C$48)&gt;0, "2", "3"), 0), COUNTIF($D$48:$E$48, L$2)&gt;0, VLOOKUP($J536,'Gear Values'!$A$2:$E$13, IF(COUNTBLANK('Attributes &amp; Prefixes'!$B$48:$C$48)&gt;0, "4", "5"), 0)), "")</f>
        <v/>
      </c>
      <c r="M536" s="137" t="str" cm="1">
        <f t="array" ref="M536">IF(COUNTIF($B$48:$E$48, M$2)&gt;0, _xlfn.IFS(COUNTIF($B$48:$C$48, M$2)&gt;0, VLOOKUP($J536,'Gear Values'!$A$2:$E$13, IF(COUNTBLANK('Attributes &amp; Prefixes'!$B$48:$C$48)&gt;0, "2", "3"), 0), COUNTIF($D$48:$E$48, M$2)&gt;0, VLOOKUP($J536,'Gear Values'!$A$2:$E$13, IF(COUNTBLANK('Attributes &amp; Prefixes'!$B$48:$C$48)&gt;0, "4", "5"), 0)), "")</f>
        <v/>
      </c>
      <c r="N536" s="137" cm="1">
        <f t="array" ref="N536">IF(COUNTIF($B$48:$E$48, N$2)&gt;0, _xlfn.IFS(COUNTIF($B$48:$C$48, N$2)&gt;0, VLOOKUP($J536,'Gear Values'!$A$2:$E$13, IF(COUNTBLANK('Attributes &amp; Prefixes'!$B$48:$C$48)&gt;0, "2", "3"), 0), COUNTIF($D$48:$E$48, N$2)&gt;0, VLOOKUP($J536,'Gear Values'!$A$2:$E$13, IF(COUNTBLANK('Attributes &amp; Prefixes'!$B$48:$C$48)&gt;0, "4", "5"), 0)), "")</f>
        <v>32</v>
      </c>
      <c r="O536" s="137" t="str" cm="1">
        <f t="array" ref="O536">IF(COUNTIF($B$48:$E$48, O$2)&gt;0, _xlfn.IFS(COUNTIF($B$48:$C$48, O$2)&gt;0, VLOOKUP($J536,'Gear Values'!$A$2:$E$13, IF(COUNTBLANK('Attributes &amp; Prefixes'!$B$48:$C$48)&gt;0, "2", "3"), 0), COUNTIF($D$48:$E$48, O$2)&gt;0, VLOOKUP($J536,'Gear Values'!$A$2:$E$13, IF(COUNTBLANK('Attributes &amp; Prefixes'!$B$48:$C$48)&gt;0, "4", "5"), 0)), "")</f>
        <v/>
      </c>
      <c r="P536" s="137" t="str" cm="1">
        <f t="array" ref="P536">IF(COUNTIF($B$48:$E$48, P$2)&gt;0, _xlfn.IFS(COUNTIF($B$48:$C$48, P$2)&gt;0, VLOOKUP($J536,'Gear Values'!$A$2:$E$13, IF(COUNTBLANK('Attributes &amp; Prefixes'!$B$48:$C$48)&gt;0, "2", "3"), 0), COUNTIF($D$48:$E$48, P$2)&gt;0, VLOOKUP($J536,'Gear Values'!$A$2:$E$13, IF(COUNTBLANK('Attributes &amp; Prefixes'!$B$48:$C$48)&gt;0, "4", "5"), 0)), "")</f>
        <v/>
      </c>
      <c r="Q536" s="137" t="str" cm="1">
        <f t="array" ref="Q536">IF(COUNTIF($B$48:$E$48, Q$2)&gt;0, _xlfn.IFS(COUNTIF($B$48:$C$48, Q$2)&gt;0, VLOOKUP($J536,'Gear Values'!$A$2:$E$13, IF(COUNTBLANK('Attributes &amp; Prefixes'!$B$48:$C$48)&gt;0, "2", "3"), 0), COUNTIF($D$48:$E$48, Q$2)&gt;0, VLOOKUP($J536,'Gear Values'!$A$2:$E$13, IF(COUNTBLANK('Attributes &amp; Prefixes'!$B$48:$C$48)&gt;0, "4", "5"), 0)), "")</f>
        <v/>
      </c>
      <c r="R536" s="137" cm="1">
        <f t="array" ref="R536">IF(COUNTIF($B$48:$E$48, R$2)&gt;0, _xlfn.IFS(COUNTIF($B$48:$C$48, R$2)&gt;0, VLOOKUP($J536,'Gear Values'!$A$2:$E$13, IF(COUNTBLANK('Attributes &amp; Prefixes'!$B$48:$C$48)&gt;0, "2", "3"), 0), COUNTIF($D$48:$E$48, R$2)&gt;0, VLOOKUP($J536,'Gear Values'!$A$2:$E$13, IF(COUNTBLANK('Attributes &amp; Prefixes'!$B$48:$C$48)&gt;0, "4", "5"), 0)), "")</f>
        <v>32</v>
      </c>
      <c r="S536" s="138" t="str" cm="1">
        <f t="array" ref="S536">IF(COUNTIF($B$48:$E$48, S$2)&gt;0, _xlfn.IFS(COUNTIF($B$48:$C$48, S$2)&gt;0, VLOOKUP($J536,'Gear Values'!$A$2:$E$13, IF(COUNTBLANK('Attributes &amp; Prefixes'!$B$48:$C$48)&gt;0, "2", "3"), 0), COUNTIF($D$48:$E$48, S$2)&gt;0, VLOOKUP($J536,'Gear Values'!$A$2:$E$13, IF(COUNTBLANK('Attributes &amp; Prefixes'!$B$48:$C$48)&gt;0, "4", "5"), 0)), "")</f>
        <v/>
      </c>
      <c r="V536" s="112"/>
      <c r="W536" s="112"/>
    </row>
    <row r="537" spans="6:23">
      <c r="H537" s="130" t="str">
        <f>_xlfn.CONCAT(I$531,J537)</f>
        <v>ValkyrieLegs</v>
      </c>
      <c r="I537" s="520"/>
      <c r="J537" s="144" t="s">
        <v>47</v>
      </c>
      <c r="K537" s="136" cm="1">
        <f t="array" ref="K537">IF(COUNTIF($B$48:$E$48, K$2)&gt;0, _xlfn.IFS(COUNTIF($B$48:$C$48, K$2)&gt;0, VLOOKUP($J537,'Gear Values'!$A$2:$E$13, IF(COUNTBLANK('Attributes &amp; Prefixes'!$B$48:$C$48)&gt;0, "2", "3"), 0), COUNTIF($D$48:$E$48, K$2)&gt;0, VLOOKUP($J537,'Gear Values'!$A$2:$E$13, IF(COUNTBLANK('Attributes &amp; Prefixes'!$B$48:$C$48)&gt;0, "4", "5"), 0)), "")</f>
        <v>90</v>
      </c>
      <c r="L537" s="137" t="str" cm="1">
        <f t="array" ref="L537">IF(COUNTIF($B$48:$E$48, L$2)&gt;0, _xlfn.IFS(COUNTIF($B$48:$C$48, L$2)&gt;0, VLOOKUP($J537,'Gear Values'!$A$2:$E$13, IF(COUNTBLANK('Attributes &amp; Prefixes'!$B$48:$C$48)&gt;0, "2", "3"), 0), COUNTIF($D$48:$E$48, L$2)&gt;0, VLOOKUP($J537,'Gear Values'!$A$2:$E$13, IF(COUNTBLANK('Attributes &amp; Prefixes'!$B$48:$C$48)&gt;0, "4", "5"), 0)), "")</f>
        <v/>
      </c>
      <c r="M537" s="137" t="str" cm="1">
        <f t="array" ref="M537">IF(COUNTIF($B$48:$E$48, M$2)&gt;0, _xlfn.IFS(COUNTIF($B$48:$C$48, M$2)&gt;0, VLOOKUP($J537,'Gear Values'!$A$2:$E$13, IF(COUNTBLANK('Attributes &amp; Prefixes'!$B$48:$C$48)&gt;0, "2", "3"), 0), COUNTIF($D$48:$E$48, M$2)&gt;0, VLOOKUP($J537,'Gear Values'!$A$2:$E$13, IF(COUNTBLANK('Attributes &amp; Prefixes'!$B$48:$C$48)&gt;0, "4", "5"), 0)), "")</f>
        <v/>
      </c>
      <c r="N537" s="137" cm="1">
        <f t="array" ref="N537">IF(COUNTIF($B$48:$E$48, N$2)&gt;0, _xlfn.IFS(COUNTIF($B$48:$C$48, N$2)&gt;0, VLOOKUP($J537,'Gear Values'!$A$2:$E$13, IF(COUNTBLANK('Attributes &amp; Prefixes'!$B$48:$C$48)&gt;0, "2", "3"), 0), COUNTIF($D$48:$E$48, N$2)&gt;0, VLOOKUP($J537,'Gear Values'!$A$2:$E$13, IF(COUNTBLANK('Attributes &amp; Prefixes'!$B$48:$C$48)&gt;0, "4", "5"), 0)), "")</f>
        <v>64</v>
      </c>
      <c r="O537" s="137" t="str" cm="1">
        <f t="array" ref="O537">IF(COUNTIF($B$48:$E$48, O$2)&gt;0, _xlfn.IFS(COUNTIF($B$48:$C$48, O$2)&gt;0, VLOOKUP($J537,'Gear Values'!$A$2:$E$13, IF(COUNTBLANK('Attributes &amp; Prefixes'!$B$48:$C$48)&gt;0, "2", "3"), 0), COUNTIF($D$48:$E$48, O$2)&gt;0, VLOOKUP($J537,'Gear Values'!$A$2:$E$13, IF(COUNTBLANK('Attributes &amp; Prefixes'!$B$48:$C$48)&gt;0, "4", "5"), 0)), "")</f>
        <v/>
      </c>
      <c r="P537" s="137" t="str" cm="1">
        <f t="array" ref="P537">IF(COUNTIF($B$48:$E$48, P$2)&gt;0, _xlfn.IFS(COUNTIF($B$48:$C$48, P$2)&gt;0, VLOOKUP($J537,'Gear Values'!$A$2:$E$13, IF(COUNTBLANK('Attributes &amp; Prefixes'!$B$48:$C$48)&gt;0, "2", "3"), 0), COUNTIF($D$48:$E$48, P$2)&gt;0, VLOOKUP($J537,'Gear Values'!$A$2:$E$13, IF(COUNTBLANK('Attributes &amp; Prefixes'!$B$48:$C$48)&gt;0, "4", "5"), 0)), "")</f>
        <v/>
      </c>
      <c r="Q537" s="137" t="str" cm="1">
        <f t="array" ref="Q537">IF(COUNTIF($B$48:$E$48, Q$2)&gt;0, _xlfn.IFS(COUNTIF($B$48:$C$48, Q$2)&gt;0, VLOOKUP($J537,'Gear Values'!$A$2:$E$13, IF(COUNTBLANK('Attributes &amp; Prefixes'!$B$48:$C$48)&gt;0, "2", "3"), 0), COUNTIF($D$48:$E$48, Q$2)&gt;0, VLOOKUP($J537,'Gear Values'!$A$2:$E$13, IF(COUNTBLANK('Attributes &amp; Prefixes'!$B$48:$C$48)&gt;0, "4", "5"), 0)), "")</f>
        <v/>
      </c>
      <c r="R537" s="137" cm="1">
        <f t="array" ref="R537">IF(COUNTIF($B$48:$E$48, R$2)&gt;0, _xlfn.IFS(COUNTIF($B$48:$C$48, R$2)&gt;0, VLOOKUP($J537,'Gear Values'!$A$2:$E$13, IF(COUNTBLANK('Attributes &amp; Prefixes'!$B$48:$C$48)&gt;0, "2", "3"), 0), COUNTIF($D$48:$E$48, R$2)&gt;0, VLOOKUP($J537,'Gear Values'!$A$2:$E$13, IF(COUNTBLANK('Attributes &amp; Prefixes'!$B$48:$C$48)&gt;0, "4", "5"), 0)), "")</f>
        <v>64</v>
      </c>
      <c r="S537" s="138" t="str" cm="1">
        <f t="array" ref="S537">IF(COUNTIF($B$48:$E$48, S$2)&gt;0, _xlfn.IFS(COUNTIF($B$48:$C$48, S$2)&gt;0, VLOOKUP($J537,'Gear Values'!$A$2:$E$13, IF(COUNTBLANK('Attributes &amp; Prefixes'!$B$48:$C$48)&gt;0, "2", "3"), 0), COUNTIF($D$48:$E$48, S$2)&gt;0, VLOOKUP($J537,'Gear Values'!$A$2:$E$13, IF(COUNTBLANK('Attributes &amp; Prefixes'!$B$48:$C$48)&gt;0, "4", "5"), 0)), "")</f>
        <v/>
      </c>
      <c r="V537" s="112"/>
      <c r="W537" s="112"/>
    </row>
    <row r="538" spans="6:23">
      <c r="H538" s="130" t="str">
        <f>_xlfn.CONCAT(I$531,J538)</f>
        <v>ValkyrieFeet</v>
      </c>
      <c r="I538" s="520"/>
      <c r="J538" s="144" t="s">
        <v>48</v>
      </c>
      <c r="K538" s="136" cm="1">
        <f t="array" ref="K538">IF(COUNTIF($B$48:$E$48, K$2)&gt;0, _xlfn.IFS(COUNTIF($B$48:$C$48, K$2)&gt;0, VLOOKUP($J538,'Gear Values'!$A$2:$E$13, IF(COUNTBLANK('Attributes &amp; Prefixes'!$B$48:$C$48)&gt;0, "2", "3"), 0), COUNTIF($D$48:$E$48, K$2)&gt;0, VLOOKUP($J538,'Gear Values'!$A$2:$E$13, IF(COUNTBLANK('Attributes &amp; Prefixes'!$B$48:$C$48)&gt;0, "4", "5"), 0)), "")</f>
        <v>45</v>
      </c>
      <c r="L538" s="137" t="str" cm="1">
        <f t="array" ref="L538">IF(COUNTIF($B$48:$E$48, L$2)&gt;0, _xlfn.IFS(COUNTIF($B$48:$C$48, L$2)&gt;0, VLOOKUP($J538,'Gear Values'!$A$2:$E$13, IF(COUNTBLANK('Attributes &amp; Prefixes'!$B$48:$C$48)&gt;0, "2", "3"), 0), COUNTIF($D$48:$E$48, L$2)&gt;0, VLOOKUP($J538,'Gear Values'!$A$2:$E$13, IF(COUNTBLANK('Attributes &amp; Prefixes'!$B$48:$C$48)&gt;0, "4", "5"), 0)), "")</f>
        <v/>
      </c>
      <c r="M538" s="137" t="str" cm="1">
        <f t="array" ref="M538">IF(COUNTIF($B$48:$E$48, M$2)&gt;0, _xlfn.IFS(COUNTIF($B$48:$C$48, M$2)&gt;0, VLOOKUP($J538,'Gear Values'!$A$2:$E$13, IF(COUNTBLANK('Attributes &amp; Prefixes'!$B$48:$C$48)&gt;0, "2", "3"), 0), COUNTIF($D$48:$E$48, M$2)&gt;0, VLOOKUP($J538,'Gear Values'!$A$2:$E$13, IF(COUNTBLANK('Attributes &amp; Prefixes'!$B$48:$C$48)&gt;0, "4", "5"), 0)), "")</f>
        <v/>
      </c>
      <c r="N538" s="137" cm="1">
        <f t="array" ref="N538">IF(COUNTIF($B$48:$E$48, N$2)&gt;0, _xlfn.IFS(COUNTIF($B$48:$C$48, N$2)&gt;0, VLOOKUP($J538,'Gear Values'!$A$2:$E$13, IF(COUNTBLANK('Attributes &amp; Prefixes'!$B$48:$C$48)&gt;0, "2", "3"), 0), COUNTIF($D$48:$E$48, N$2)&gt;0, VLOOKUP($J538,'Gear Values'!$A$2:$E$13, IF(COUNTBLANK('Attributes &amp; Prefixes'!$B$48:$C$48)&gt;0, "4", "5"), 0)), "")</f>
        <v>32</v>
      </c>
      <c r="O538" s="137" t="str" cm="1">
        <f t="array" ref="O538">IF(COUNTIF($B$48:$E$48, O$2)&gt;0, _xlfn.IFS(COUNTIF($B$48:$C$48, O$2)&gt;0, VLOOKUP($J538,'Gear Values'!$A$2:$E$13, IF(COUNTBLANK('Attributes &amp; Prefixes'!$B$48:$C$48)&gt;0, "2", "3"), 0), COUNTIF($D$48:$E$48, O$2)&gt;0, VLOOKUP($J538,'Gear Values'!$A$2:$E$13, IF(COUNTBLANK('Attributes &amp; Prefixes'!$B$48:$C$48)&gt;0, "4", "5"), 0)), "")</f>
        <v/>
      </c>
      <c r="P538" s="137" t="str" cm="1">
        <f t="array" ref="P538">IF(COUNTIF($B$48:$E$48, P$2)&gt;0, _xlfn.IFS(COUNTIF($B$48:$C$48, P$2)&gt;0, VLOOKUP($J538,'Gear Values'!$A$2:$E$13, IF(COUNTBLANK('Attributes &amp; Prefixes'!$B$48:$C$48)&gt;0, "2", "3"), 0), COUNTIF($D$48:$E$48, P$2)&gt;0, VLOOKUP($J538,'Gear Values'!$A$2:$E$13, IF(COUNTBLANK('Attributes &amp; Prefixes'!$B$48:$C$48)&gt;0, "4", "5"), 0)), "")</f>
        <v/>
      </c>
      <c r="Q538" s="137" t="str" cm="1">
        <f t="array" ref="Q538">IF(COUNTIF($B$48:$E$48, Q$2)&gt;0, _xlfn.IFS(COUNTIF($B$48:$C$48, Q$2)&gt;0, VLOOKUP($J538,'Gear Values'!$A$2:$E$13, IF(COUNTBLANK('Attributes &amp; Prefixes'!$B$48:$C$48)&gt;0, "2", "3"), 0), COUNTIF($D$48:$E$48, Q$2)&gt;0, VLOOKUP($J538,'Gear Values'!$A$2:$E$13, IF(COUNTBLANK('Attributes &amp; Prefixes'!$B$48:$C$48)&gt;0, "4", "5"), 0)), "")</f>
        <v/>
      </c>
      <c r="R538" s="137" cm="1">
        <f t="array" ref="R538">IF(COUNTIF($B$48:$E$48, R$2)&gt;0, _xlfn.IFS(COUNTIF($B$48:$C$48, R$2)&gt;0, VLOOKUP($J538,'Gear Values'!$A$2:$E$13, IF(COUNTBLANK('Attributes &amp; Prefixes'!$B$48:$C$48)&gt;0, "2", "3"), 0), COUNTIF($D$48:$E$48, R$2)&gt;0, VLOOKUP($J538,'Gear Values'!$A$2:$E$13, IF(COUNTBLANK('Attributes &amp; Prefixes'!$B$48:$C$48)&gt;0, "4", "5"), 0)), "")</f>
        <v>32</v>
      </c>
      <c r="S538" s="138" t="str" cm="1">
        <f t="array" ref="S538">IF(COUNTIF($B$48:$E$48, S$2)&gt;0, _xlfn.IFS(COUNTIF($B$48:$C$48, S$2)&gt;0, VLOOKUP($J538,'Gear Values'!$A$2:$E$13, IF(COUNTBLANK('Attributes &amp; Prefixes'!$B$48:$C$48)&gt;0, "2", "3"), 0), COUNTIF($D$48:$E$48, S$2)&gt;0, VLOOKUP($J538,'Gear Values'!$A$2:$E$13, IF(COUNTBLANK('Attributes &amp; Prefixes'!$B$48:$C$48)&gt;0, "4", "5"), 0)), "")</f>
        <v/>
      </c>
      <c r="V538" s="112"/>
      <c r="W538" s="112"/>
    </row>
    <row r="539" spans="6:23">
      <c r="H539" s="130" t="str">
        <f>_xlfn.CONCAT(A$58,J539)</f>
        <v>BerylEar</v>
      </c>
      <c r="I539" s="520"/>
      <c r="J539" s="144" t="s">
        <v>49</v>
      </c>
      <c r="K539" s="136" cm="1">
        <f t="array" ref="K539">IF(COUNTIF($B$48:$E$48, K$2)&gt;0, _xlfn.IFS(COUNTIF($B$48:$C$48, K$2)&gt;0, VLOOKUP($J539,'Gear Values'!$A$2:$E$13, IF(COUNTBLANK('Attributes &amp; Prefixes'!$B$48:$C$48)&gt;0, "2", "3"), 0), COUNTIF($D$48:$E$48, K$2)&gt;0, VLOOKUP($J539,'Gear Values'!$A$2:$E$13, IF(COUNTBLANK('Attributes &amp; Prefixes'!$B$48:$C$48)&gt;0, "4", "5"), 0)), "")</f>
        <v>75</v>
      </c>
      <c r="L539" s="137" t="str" cm="1">
        <f t="array" ref="L539">IF(COUNTIF($B$48:$E$48, L$2)&gt;0, _xlfn.IFS(COUNTIF($B$48:$C$48, L$2)&gt;0, VLOOKUP($J539,'Gear Values'!$A$2:$E$13, IF(COUNTBLANK('Attributes &amp; Prefixes'!$B$48:$C$48)&gt;0, "2", "3"), 0), COUNTIF($D$48:$E$48, L$2)&gt;0, VLOOKUP($J539,'Gear Values'!$A$2:$E$13, IF(COUNTBLANK('Attributes &amp; Prefixes'!$B$48:$C$48)&gt;0, "4", "5"), 0)), "")</f>
        <v/>
      </c>
      <c r="M539" s="137" t="str" cm="1">
        <f t="array" ref="M539">IF(COUNTIF($B$48:$E$48, M$2)&gt;0, _xlfn.IFS(COUNTIF($B$48:$C$48, M$2)&gt;0, VLOOKUP($J539,'Gear Values'!$A$2:$E$13, IF(COUNTBLANK('Attributes &amp; Prefixes'!$B$48:$C$48)&gt;0, "2", "3"), 0), COUNTIF($D$48:$E$48, M$2)&gt;0, VLOOKUP($J539,'Gear Values'!$A$2:$E$13, IF(COUNTBLANK('Attributes &amp; Prefixes'!$B$48:$C$48)&gt;0, "4", "5"), 0)), "")</f>
        <v/>
      </c>
      <c r="N539" s="137" cm="1">
        <f t="array" ref="N539">IF(COUNTIF($B$48:$E$48, N$2)&gt;0, _xlfn.IFS(COUNTIF($B$48:$C$48, N$2)&gt;0, VLOOKUP($J539,'Gear Values'!$A$2:$E$13, IF(COUNTBLANK('Attributes &amp; Prefixes'!$B$48:$C$48)&gt;0, "2", "3"), 0), COUNTIF($D$48:$E$48, N$2)&gt;0, VLOOKUP($J539,'Gear Values'!$A$2:$E$13, IF(COUNTBLANK('Attributes &amp; Prefixes'!$B$48:$C$48)&gt;0, "4", "5"), 0)), "")</f>
        <v>53</v>
      </c>
      <c r="O539" s="137" t="str" cm="1">
        <f t="array" ref="O539">IF(COUNTIF($B$48:$E$48, O$2)&gt;0, _xlfn.IFS(COUNTIF($B$48:$C$48, O$2)&gt;0, VLOOKUP($J539,'Gear Values'!$A$2:$E$13, IF(COUNTBLANK('Attributes &amp; Prefixes'!$B$48:$C$48)&gt;0, "2", "3"), 0), COUNTIF($D$48:$E$48, O$2)&gt;0, VLOOKUP($J539,'Gear Values'!$A$2:$E$13, IF(COUNTBLANK('Attributes &amp; Prefixes'!$B$48:$C$48)&gt;0, "4", "5"), 0)), "")</f>
        <v/>
      </c>
      <c r="P539" s="137" t="str" cm="1">
        <f t="array" ref="P539">IF(COUNTIF($B$48:$E$48, P$2)&gt;0, _xlfn.IFS(COUNTIF($B$48:$C$48, P$2)&gt;0, VLOOKUP($J539,'Gear Values'!$A$2:$E$13, IF(COUNTBLANK('Attributes &amp; Prefixes'!$B$48:$C$48)&gt;0, "2", "3"), 0), COUNTIF($D$48:$E$48, P$2)&gt;0, VLOOKUP($J539,'Gear Values'!$A$2:$E$13, IF(COUNTBLANK('Attributes &amp; Prefixes'!$B$48:$C$48)&gt;0, "4", "5"), 0)), "")</f>
        <v/>
      </c>
      <c r="Q539" s="137" t="str" cm="1">
        <f t="array" ref="Q539">IF(COUNTIF($B$48:$E$48, Q$2)&gt;0, _xlfn.IFS(COUNTIF($B$48:$C$48, Q$2)&gt;0, VLOOKUP($J539,'Gear Values'!$A$2:$E$13, IF(COUNTBLANK('Attributes &amp; Prefixes'!$B$48:$C$48)&gt;0, "2", "3"), 0), COUNTIF($D$48:$E$48, Q$2)&gt;0, VLOOKUP($J539,'Gear Values'!$A$2:$E$13, IF(COUNTBLANK('Attributes &amp; Prefixes'!$B$48:$C$48)&gt;0, "4", "5"), 0)), "")</f>
        <v/>
      </c>
      <c r="R539" s="137" cm="1">
        <f t="array" ref="R539">IF(COUNTIF($B$48:$E$48, R$2)&gt;0, _xlfn.IFS(COUNTIF($B$48:$C$48, R$2)&gt;0, VLOOKUP($J539,'Gear Values'!$A$2:$E$13, IF(COUNTBLANK('Attributes &amp; Prefixes'!$B$48:$C$48)&gt;0, "2", "3"), 0), COUNTIF($D$48:$E$48, R$2)&gt;0, VLOOKUP($J539,'Gear Values'!$A$2:$E$13, IF(COUNTBLANK('Attributes &amp; Prefixes'!$B$48:$C$48)&gt;0, "4", "5"), 0)), "")</f>
        <v>53</v>
      </c>
      <c r="S539" s="138" t="str" cm="1">
        <f t="array" ref="S539">IF(COUNTIF($B$48:$E$48, S$2)&gt;0, _xlfn.IFS(COUNTIF($B$48:$C$48, S$2)&gt;0, VLOOKUP($J539,'Gear Values'!$A$2:$E$13, IF(COUNTBLANK('Attributes &amp; Prefixes'!$B$48:$C$48)&gt;0, "2", "3"), 0), COUNTIF($D$48:$E$48, S$2)&gt;0, VLOOKUP($J539,'Gear Values'!$A$2:$E$13, IF(COUNTBLANK('Attributes &amp; Prefixes'!$B$48:$C$48)&gt;0, "4", "5"), 0)), "")</f>
        <v/>
      </c>
      <c r="V539" s="112"/>
      <c r="W539" s="112"/>
    </row>
    <row r="540" spans="6:23">
      <c r="H540" s="130" t="str">
        <f>_xlfn.CONCAT(A$58,J540)</f>
        <v>BerylFinger</v>
      </c>
      <c r="I540" s="520"/>
      <c r="J540" s="144" t="s">
        <v>51</v>
      </c>
      <c r="K540" s="136" cm="1">
        <f t="array" ref="K540">IF(COUNTIF($B$48:$E$48, K$2)&gt;0, _xlfn.IFS(COUNTIF($B$48:$C$48, K$2)&gt;0, VLOOKUP($J540,'Gear Values'!$A$2:$E$13, IF(COUNTBLANK('Attributes &amp; Prefixes'!$B$48:$C$48)&gt;0, "2", "3"), 0), COUNTIF($D$48:$E$48, K$2)&gt;0, VLOOKUP($J540,'Gear Values'!$A$2:$E$13, IF(COUNTBLANK('Attributes &amp; Prefixes'!$B$48:$C$48)&gt;0, "4", "5"), 0)), "")</f>
        <v>90</v>
      </c>
      <c r="L540" s="137" t="str" cm="1">
        <f t="array" ref="L540">IF(COUNTIF($B$48:$E$48, L$2)&gt;0, _xlfn.IFS(COUNTIF($B$48:$C$48, L$2)&gt;0, VLOOKUP($J540,'Gear Values'!$A$2:$E$13, IF(COUNTBLANK('Attributes &amp; Prefixes'!$B$48:$C$48)&gt;0, "2", "3"), 0), COUNTIF($D$48:$E$48, L$2)&gt;0, VLOOKUP($J540,'Gear Values'!$A$2:$E$13, IF(COUNTBLANK('Attributes &amp; Prefixes'!$B$48:$C$48)&gt;0, "4", "5"), 0)), "")</f>
        <v/>
      </c>
      <c r="M540" s="137" t="str" cm="1">
        <f t="array" ref="M540">IF(COUNTIF($B$48:$E$48, M$2)&gt;0, _xlfn.IFS(COUNTIF($B$48:$C$48, M$2)&gt;0, VLOOKUP($J540,'Gear Values'!$A$2:$E$13, IF(COUNTBLANK('Attributes &amp; Prefixes'!$B$48:$C$48)&gt;0, "2", "3"), 0), COUNTIF($D$48:$E$48, M$2)&gt;0, VLOOKUP($J540,'Gear Values'!$A$2:$E$13, IF(COUNTBLANK('Attributes &amp; Prefixes'!$B$48:$C$48)&gt;0, "4", "5"), 0)), "")</f>
        <v/>
      </c>
      <c r="N540" s="137" cm="1">
        <f t="array" ref="N540">IF(COUNTIF($B$48:$E$48, N$2)&gt;0, _xlfn.IFS(COUNTIF($B$48:$C$48, N$2)&gt;0, VLOOKUP($J540,'Gear Values'!$A$2:$E$13, IF(COUNTBLANK('Attributes &amp; Prefixes'!$B$48:$C$48)&gt;0, "2", "3"), 0), COUNTIF($D$48:$E$48, N$2)&gt;0, VLOOKUP($J540,'Gear Values'!$A$2:$E$13, IF(COUNTBLANK('Attributes &amp; Prefixes'!$B$48:$C$48)&gt;0, "4", "5"), 0)), "")</f>
        <v>64</v>
      </c>
      <c r="O540" s="137" t="str" cm="1">
        <f t="array" ref="O540">IF(COUNTIF($B$48:$E$48, O$2)&gt;0, _xlfn.IFS(COUNTIF($B$48:$C$48, O$2)&gt;0, VLOOKUP($J540,'Gear Values'!$A$2:$E$13, IF(COUNTBLANK('Attributes &amp; Prefixes'!$B$48:$C$48)&gt;0, "2", "3"), 0), COUNTIF($D$48:$E$48, O$2)&gt;0, VLOOKUP($J540,'Gear Values'!$A$2:$E$13, IF(COUNTBLANK('Attributes &amp; Prefixes'!$B$48:$C$48)&gt;0, "4", "5"), 0)), "")</f>
        <v/>
      </c>
      <c r="P540" s="137" t="str" cm="1">
        <f t="array" ref="P540">IF(COUNTIF($B$48:$E$48, P$2)&gt;0, _xlfn.IFS(COUNTIF($B$48:$C$48, P$2)&gt;0, VLOOKUP($J540,'Gear Values'!$A$2:$E$13, IF(COUNTBLANK('Attributes &amp; Prefixes'!$B$48:$C$48)&gt;0, "2", "3"), 0), COUNTIF($D$48:$E$48, P$2)&gt;0, VLOOKUP($J540,'Gear Values'!$A$2:$E$13, IF(COUNTBLANK('Attributes &amp; Prefixes'!$B$48:$C$48)&gt;0, "4", "5"), 0)), "")</f>
        <v/>
      </c>
      <c r="Q540" s="137" t="str" cm="1">
        <f t="array" ref="Q540">IF(COUNTIF($B$48:$E$48, Q$2)&gt;0, _xlfn.IFS(COUNTIF($B$48:$C$48, Q$2)&gt;0, VLOOKUP($J540,'Gear Values'!$A$2:$E$13, IF(COUNTBLANK('Attributes &amp; Prefixes'!$B$48:$C$48)&gt;0, "2", "3"), 0), COUNTIF($D$48:$E$48, Q$2)&gt;0, VLOOKUP($J540,'Gear Values'!$A$2:$E$13, IF(COUNTBLANK('Attributes &amp; Prefixes'!$B$48:$C$48)&gt;0, "4", "5"), 0)), "")</f>
        <v/>
      </c>
      <c r="R540" s="137" cm="1">
        <f t="array" ref="R540">IF(COUNTIF($B$48:$E$48, R$2)&gt;0, _xlfn.IFS(COUNTIF($B$48:$C$48, R$2)&gt;0, VLOOKUP($J540,'Gear Values'!$A$2:$E$13, IF(COUNTBLANK('Attributes &amp; Prefixes'!$B$48:$C$48)&gt;0, "2", "3"), 0), COUNTIF($D$48:$E$48, R$2)&gt;0, VLOOKUP($J540,'Gear Values'!$A$2:$E$13, IF(COUNTBLANK('Attributes &amp; Prefixes'!$B$48:$C$48)&gt;0, "4", "5"), 0)), "")</f>
        <v>64</v>
      </c>
      <c r="S540" s="138" t="str" cm="1">
        <f t="array" ref="S540">IF(COUNTIF($B$48:$E$48, S$2)&gt;0, _xlfn.IFS(COUNTIF($B$48:$C$48, S$2)&gt;0, VLOOKUP($J540,'Gear Values'!$A$2:$E$13, IF(COUNTBLANK('Attributes &amp; Prefixes'!$B$48:$C$48)&gt;0, "2", "3"), 0), COUNTIF($D$48:$E$48, S$2)&gt;0, VLOOKUP($J540,'Gear Values'!$A$2:$E$13, IF(COUNTBLANK('Attributes &amp; Prefixes'!$B$48:$C$48)&gt;0, "4", "5"), 0)), "")</f>
        <v/>
      </c>
      <c r="V540" s="112"/>
      <c r="W540" s="112"/>
    </row>
    <row r="541" spans="6:23">
      <c r="H541" s="130" t="str">
        <f>_xlfn.CONCAT(A$58,J541)</f>
        <v>BerylNeck</v>
      </c>
      <c r="I541" s="520"/>
      <c r="J541" s="144" t="s">
        <v>52</v>
      </c>
      <c r="K541" s="136" cm="1">
        <f t="array" ref="K541">IF(COUNTIF($B$48:$E$48, K$2)&gt;0, _xlfn.IFS(COUNTIF($B$48:$C$48, K$2)&gt;0, VLOOKUP($J541,'Gear Values'!$A$2:$E$13, IF(COUNTBLANK('Attributes &amp; Prefixes'!$B$48:$C$48)&gt;0, "2", "3"), 0), COUNTIF($D$48:$E$48, K$2)&gt;0, VLOOKUP($J541,'Gear Values'!$A$2:$E$13, IF(COUNTBLANK('Attributes &amp; Prefixes'!$B$48:$C$48)&gt;0, "4", "5"), 0)), "")</f>
        <v>120</v>
      </c>
      <c r="L541" s="137" t="str" cm="1">
        <f t="array" ref="L541">IF(COUNTIF($B$48:$E$48, L$2)&gt;0, _xlfn.IFS(COUNTIF($B$48:$C$48, L$2)&gt;0, VLOOKUP($J541,'Gear Values'!$A$2:$E$13, IF(COUNTBLANK('Attributes &amp; Prefixes'!$B$48:$C$48)&gt;0, "2", "3"), 0), COUNTIF($D$48:$E$48, L$2)&gt;0, VLOOKUP($J541,'Gear Values'!$A$2:$E$13, IF(COUNTBLANK('Attributes &amp; Prefixes'!$B$48:$C$48)&gt;0, "4", "5"), 0)), "")</f>
        <v/>
      </c>
      <c r="M541" s="137" t="str" cm="1">
        <f t="array" ref="M541">IF(COUNTIF($B$48:$E$48, M$2)&gt;0, _xlfn.IFS(COUNTIF($B$48:$C$48, M$2)&gt;0, VLOOKUP($J541,'Gear Values'!$A$2:$E$13, IF(COUNTBLANK('Attributes &amp; Prefixes'!$B$48:$C$48)&gt;0, "2", "3"), 0), COUNTIF($D$48:$E$48, M$2)&gt;0, VLOOKUP($J541,'Gear Values'!$A$2:$E$13, IF(COUNTBLANK('Attributes &amp; Prefixes'!$B$48:$C$48)&gt;0, "4", "5"), 0)), "")</f>
        <v/>
      </c>
      <c r="N541" s="137" cm="1">
        <f t="array" ref="N541">IF(COUNTIF($B$48:$E$48, N$2)&gt;0, _xlfn.IFS(COUNTIF($B$48:$C$48, N$2)&gt;0, VLOOKUP($J541,'Gear Values'!$A$2:$E$13, IF(COUNTBLANK('Attributes &amp; Prefixes'!$B$48:$C$48)&gt;0, "2", "3"), 0), COUNTIF($D$48:$E$48, N$2)&gt;0, VLOOKUP($J541,'Gear Values'!$A$2:$E$13, IF(COUNTBLANK('Attributes &amp; Prefixes'!$B$48:$C$48)&gt;0, "4", "5"), 0)), "")</f>
        <v>85</v>
      </c>
      <c r="O541" s="137" t="str" cm="1">
        <f t="array" ref="O541">IF(COUNTIF($B$48:$E$48, O$2)&gt;0, _xlfn.IFS(COUNTIF($B$48:$C$48, O$2)&gt;0, VLOOKUP($J541,'Gear Values'!$A$2:$E$13, IF(COUNTBLANK('Attributes &amp; Prefixes'!$B$48:$C$48)&gt;0, "2", "3"), 0), COUNTIF($D$48:$E$48, O$2)&gt;0, VLOOKUP($J541,'Gear Values'!$A$2:$E$13, IF(COUNTBLANK('Attributes &amp; Prefixes'!$B$48:$C$48)&gt;0, "4", "5"), 0)), "")</f>
        <v/>
      </c>
      <c r="P541" s="137" t="str" cm="1">
        <f t="array" ref="P541">IF(COUNTIF($B$48:$E$48, P$2)&gt;0, _xlfn.IFS(COUNTIF($B$48:$C$48, P$2)&gt;0, VLOOKUP($J541,'Gear Values'!$A$2:$E$13, IF(COUNTBLANK('Attributes &amp; Prefixes'!$B$48:$C$48)&gt;0, "2", "3"), 0), COUNTIF($D$48:$E$48, P$2)&gt;0, VLOOKUP($J541,'Gear Values'!$A$2:$E$13, IF(COUNTBLANK('Attributes &amp; Prefixes'!$B$48:$C$48)&gt;0, "4", "5"), 0)), "")</f>
        <v/>
      </c>
      <c r="Q541" s="137" t="str" cm="1">
        <f t="array" ref="Q541">IF(COUNTIF($B$48:$E$48, Q$2)&gt;0, _xlfn.IFS(COUNTIF($B$48:$C$48, Q$2)&gt;0, VLOOKUP($J541,'Gear Values'!$A$2:$E$13, IF(COUNTBLANK('Attributes &amp; Prefixes'!$B$48:$C$48)&gt;0, "2", "3"), 0), COUNTIF($D$48:$E$48, Q$2)&gt;0, VLOOKUP($J541,'Gear Values'!$A$2:$E$13, IF(COUNTBLANK('Attributes &amp; Prefixes'!$B$48:$C$48)&gt;0, "4", "5"), 0)), "")</f>
        <v/>
      </c>
      <c r="R541" s="137" cm="1">
        <f t="array" ref="R541">IF(COUNTIF($B$48:$E$48, R$2)&gt;0, _xlfn.IFS(COUNTIF($B$48:$C$48, R$2)&gt;0, VLOOKUP($J541,'Gear Values'!$A$2:$E$13, IF(COUNTBLANK('Attributes &amp; Prefixes'!$B$48:$C$48)&gt;0, "2", "3"), 0), COUNTIF($D$48:$E$48, R$2)&gt;0, VLOOKUP($J541,'Gear Values'!$A$2:$E$13, IF(COUNTBLANK('Attributes &amp; Prefixes'!$B$48:$C$48)&gt;0, "4", "5"), 0)), "")</f>
        <v>85</v>
      </c>
      <c r="S541" s="138" t="str" cm="1">
        <f t="array" ref="S541">IF(COUNTIF($B$48:$E$48, S$2)&gt;0, _xlfn.IFS(COUNTIF($B$48:$C$48, S$2)&gt;0, VLOOKUP($J541,'Gear Values'!$A$2:$E$13, IF(COUNTBLANK('Attributes &amp; Prefixes'!$B$48:$C$48)&gt;0, "2", "3"), 0), COUNTIF($D$48:$E$48, S$2)&gt;0, VLOOKUP($J541,'Gear Values'!$A$2:$E$13, IF(COUNTBLANK('Attributes &amp; Prefixes'!$B$48:$C$48)&gt;0, "4", "5"), 0)), "")</f>
        <v/>
      </c>
      <c r="V541" s="112"/>
      <c r="W541" s="112"/>
    </row>
    <row r="542" spans="6:23">
      <c r="H542" s="130" t="str">
        <f>_xlfn.CONCAT(I$531,J542)</f>
        <v>ValkyrieBack</v>
      </c>
      <c r="I542" s="521"/>
      <c r="J542" s="146" t="s">
        <v>53</v>
      </c>
      <c r="K542" s="147" cm="1">
        <f t="array" ref="K542">IF(COUNTIF($B$48:$E$48, K$2)&gt;0, _xlfn.IFS(COUNTIF($B$48:$C$48, K$2)&gt;0, VLOOKUP($J542,'Gear Values'!$A$2:$E$13, IF(COUNTBLANK('Attributes &amp; Prefixes'!$B$48:$C$48)&gt;0, "2", "3"), 0), COUNTIF($D$48:$E$48, K$2)&gt;0, VLOOKUP($J542,'Gear Values'!$A$2:$E$13, IF(COUNTBLANK('Attributes &amp; Prefixes'!$B$48:$C$48)&gt;0, "4", "5"), 0)), "")</f>
        <v>32</v>
      </c>
      <c r="L542" s="148" t="str" cm="1">
        <f t="array" ref="L542">IF(COUNTIF($B$48:$E$48, L$2)&gt;0, _xlfn.IFS(COUNTIF($B$48:$C$48, L$2)&gt;0, VLOOKUP($J542,'Gear Values'!$A$2:$E$13, IF(COUNTBLANK('Attributes &amp; Prefixes'!$B$48:$C$48)&gt;0, "2", "3"), 0), COUNTIF($D$48:$E$48, L$2)&gt;0, VLOOKUP($J542,'Gear Values'!$A$2:$E$13, IF(COUNTBLANK('Attributes &amp; Prefixes'!$B$48:$C$48)&gt;0, "4", "5"), 0)), "")</f>
        <v/>
      </c>
      <c r="M542" s="148" t="str" cm="1">
        <f t="array" ref="M542">IF(COUNTIF($B$48:$E$48, M$2)&gt;0, _xlfn.IFS(COUNTIF($B$48:$C$48, M$2)&gt;0, VLOOKUP($J542,'Gear Values'!$A$2:$E$13, IF(COUNTBLANK('Attributes &amp; Prefixes'!$B$48:$C$48)&gt;0, "2", "3"), 0), COUNTIF($D$48:$E$48, M$2)&gt;0, VLOOKUP($J542,'Gear Values'!$A$2:$E$13, IF(COUNTBLANK('Attributes &amp; Prefixes'!$B$48:$C$48)&gt;0, "4", "5"), 0)), "")</f>
        <v/>
      </c>
      <c r="N542" s="148" cm="1">
        <f t="array" ref="N542">IF(COUNTIF($B$48:$E$48, N$2)&gt;0, _xlfn.IFS(COUNTIF($B$48:$C$48, N$2)&gt;0, VLOOKUP($J542,'Gear Values'!$A$2:$E$13, IF(COUNTBLANK('Attributes &amp; Prefixes'!$B$48:$C$48)&gt;0, "2", "3"), 0), COUNTIF($D$48:$E$48, N$2)&gt;0, VLOOKUP($J542,'Gear Values'!$A$2:$E$13, IF(COUNTBLANK('Attributes &amp; Prefixes'!$B$48:$C$48)&gt;0, "4", "5"), 0)), "")</f>
        <v>18</v>
      </c>
      <c r="O542" s="148" t="str" cm="1">
        <f t="array" ref="O542">IF(COUNTIF($B$48:$E$48, O$2)&gt;0, _xlfn.IFS(COUNTIF($B$48:$C$48, O$2)&gt;0, VLOOKUP($J542,'Gear Values'!$A$2:$E$13, IF(COUNTBLANK('Attributes &amp; Prefixes'!$B$48:$C$48)&gt;0, "2", "3"), 0), COUNTIF($D$48:$E$48, O$2)&gt;0, VLOOKUP($J542,'Gear Values'!$A$2:$E$13, IF(COUNTBLANK('Attributes &amp; Prefixes'!$B$48:$C$48)&gt;0, "4", "5"), 0)), "")</f>
        <v/>
      </c>
      <c r="P542" s="148" t="str" cm="1">
        <f t="array" ref="P542">IF(COUNTIF($B$48:$E$48, P$2)&gt;0, _xlfn.IFS(COUNTIF($B$48:$C$48, P$2)&gt;0, VLOOKUP($J542,'Gear Values'!$A$2:$E$13, IF(COUNTBLANK('Attributes &amp; Prefixes'!$B$48:$C$48)&gt;0, "2", "3"), 0), COUNTIF($D$48:$E$48, P$2)&gt;0, VLOOKUP($J542,'Gear Values'!$A$2:$E$13, IF(COUNTBLANK('Attributes &amp; Prefixes'!$B$48:$C$48)&gt;0, "4", "5"), 0)), "")</f>
        <v/>
      </c>
      <c r="Q542" s="148" t="str" cm="1">
        <f t="array" ref="Q542">IF(COUNTIF($B$48:$E$48, Q$2)&gt;0, _xlfn.IFS(COUNTIF($B$48:$C$48, Q$2)&gt;0, VLOOKUP($J542,'Gear Values'!$A$2:$E$13, IF(COUNTBLANK('Attributes &amp; Prefixes'!$B$48:$C$48)&gt;0, "2", "3"), 0), COUNTIF($D$48:$E$48, Q$2)&gt;0, VLOOKUP($J542,'Gear Values'!$A$2:$E$13, IF(COUNTBLANK('Attributes &amp; Prefixes'!$B$48:$C$48)&gt;0, "4", "5"), 0)), "")</f>
        <v/>
      </c>
      <c r="R542" s="148" cm="1">
        <f t="array" ref="R542">IF(COUNTIF($B$48:$E$48, R$2)&gt;0, _xlfn.IFS(COUNTIF($B$48:$C$48, R$2)&gt;0, VLOOKUP($J542,'Gear Values'!$A$2:$E$13, IF(COUNTBLANK('Attributes &amp; Prefixes'!$B$48:$C$48)&gt;0, "2", "3"), 0), COUNTIF($D$48:$E$48, R$2)&gt;0, VLOOKUP($J542,'Gear Values'!$A$2:$E$13, IF(COUNTBLANK('Attributes &amp; Prefixes'!$B$48:$C$48)&gt;0, "4", "5"), 0)), "")</f>
        <v>18</v>
      </c>
      <c r="S542" s="150" t="str" cm="1">
        <f t="array" ref="S542">IF(COUNTIF($B$48:$E$48, S$2)&gt;0, _xlfn.IFS(COUNTIF($B$48:$C$48, S$2)&gt;0, VLOOKUP($J542,'Gear Values'!$A$2:$E$13, IF(COUNTBLANK('Attributes &amp; Prefixes'!$B$48:$C$48)&gt;0, "2", "3"), 0), COUNTIF($D$48:$E$48, S$2)&gt;0, VLOOKUP($J542,'Gear Values'!$A$2:$E$13, IF(COUNTBLANK('Attributes &amp; Prefixes'!$B$48:$C$48)&gt;0, "4", "5"), 0)), "")</f>
        <v/>
      </c>
      <c r="V542" s="112"/>
      <c r="W542" s="113"/>
    </row>
    <row r="543" spans="6:23">
      <c r="H543" s="130" t="str">
        <f>_xlfn.CONCAT(I$543,J543)</f>
        <v>VigilantWeapon (1H)</v>
      </c>
      <c r="I543" s="519" t="str">
        <f>A49</f>
        <v>Vigilant</v>
      </c>
      <c r="J543" s="145" t="s">
        <v>37</v>
      </c>
      <c r="K543" s="133" cm="1">
        <f t="array" ref="K543">IF(COUNTIF($B$49:$E$49, K$2)&gt;0, _xlfn.IFS(COUNTIF($B$49:$C$49, K$2)&gt;0, VLOOKUP($J543,'Gear Values'!$A$2:$E$13, IF(COUNTBLANK('Attributes &amp; Prefixes'!$B$49:$C$49)&gt;0, "2", "3"), 0), COUNTIF($D$49:$E$49, K$2)&gt;0, VLOOKUP($J543,'Gear Values'!$A$2:$E$13, IF(COUNTBLANK('Attributes &amp; Prefixes'!$B$49:$C$49)&gt;0, "4", "5"), 0)), "")</f>
        <v>102</v>
      </c>
      <c r="L543" s="134" t="str" cm="1">
        <f t="array" ref="L543">IF(COUNTIF($B$49:$E$49, L$2)&gt;0, _xlfn.IFS(COUNTIF($B$49:$C$49, L$2)&gt;0, VLOOKUP($J543,'Gear Values'!$A$2:$E$13, IF(COUNTBLANK('Attributes &amp; Prefixes'!$B$49:$C$49)&gt;0, "2", "3"), 0), COUNTIF($D$49:$E$49, L$2)&gt;0, VLOOKUP($J543,'Gear Values'!$A$2:$E$13, IF(COUNTBLANK('Attributes &amp; Prefixes'!$B$49:$C$49)&gt;0, "4", "5"), 0)), "")</f>
        <v/>
      </c>
      <c r="M543" s="134" cm="1">
        <f t="array" ref="M543">IF(COUNTIF($B$49:$E$49, M$2)&gt;0, _xlfn.IFS(COUNTIF($B$49:$C$49, M$2)&gt;0, VLOOKUP($J543,'Gear Values'!$A$2:$E$13, IF(COUNTBLANK('Attributes &amp; Prefixes'!$B$49:$C$49)&gt;0, "2", "3"), 0), COUNTIF($D$49:$E$49, M$2)&gt;0, VLOOKUP($J543,'Gear Values'!$A$2:$E$13, IF(COUNTBLANK('Attributes &amp; Prefixes'!$B$49:$C$49)&gt;0, "4", "5"), 0)), "")</f>
        <v>102</v>
      </c>
      <c r="N543" s="134" t="str" cm="1">
        <f t="array" ref="N543">IF(COUNTIF($B$49:$E$49, N$2)&gt;0, _xlfn.IFS(COUNTIF($B$49:$C$49, N$2)&gt;0, VLOOKUP($J543,'Gear Values'!$A$2:$E$13, IF(COUNTBLANK('Attributes &amp; Prefixes'!$B$49:$C$49)&gt;0, "2", "3"), 0), COUNTIF($D$49:$E$49, N$2)&gt;0, VLOOKUP($J543,'Gear Values'!$A$2:$E$13, IF(COUNTBLANK('Attributes &amp; Prefixes'!$B$49:$C$49)&gt;0, "4", "5"), 0)), "")</f>
        <v/>
      </c>
      <c r="O543" s="134" cm="1">
        <f t="array" ref="O543">IF(COUNTIF($B$49:$E$49, O$2)&gt;0, _xlfn.IFS(COUNTIF($B$49:$C$49, O$2)&gt;0, VLOOKUP($J543,'Gear Values'!$A$2:$E$13, IF(COUNTBLANK('Attributes &amp; Prefixes'!$B$49:$C$49)&gt;0, "2", "3"), 0), COUNTIF($D$49:$E$49, O$2)&gt;0, VLOOKUP($J543,'Gear Values'!$A$2:$E$13, IF(COUNTBLANK('Attributes &amp; Prefixes'!$B$49:$C$49)&gt;0, "4", "5"), 0)), "")</f>
        <v>56</v>
      </c>
      <c r="P543" s="134" t="str" cm="1">
        <f t="array" ref="P543">IF(COUNTIF($B$49:$E$49, P$2)&gt;0, _xlfn.IFS(COUNTIF($B$49:$C$49, P$2)&gt;0, VLOOKUP($J543,'Gear Values'!$A$2:$E$13, IF(COUNTBLANK('Attributes &amp; Prefixes'!$B$49:$C$49)&gt;0, "2", "3"), 0), COUNTIF($D$49:$E$49, P$2)&gt;0, VLOOKUP($J543,'Gear Values'!$A$2:$E$13, IF(COUNTBLANK('Attributes &amp; Prefixes'!$B$49:$C$49)&gt;0, "4", "5"), 0)), "")</f>
        <v/>
      </c>
      <c r="Q543" s="134" cm="1">
        <f t="array" ref="Q543">IF(COUNTIF($B$49:$E$49, Q$2)&gt;0, _xlfn.IFS(COUNTIF($B$49:$C$49, Q$2)&gt;0, VLOOKUP($J543,'Gear Values'!$A$2:$E$13, IF(COUNTBLANK('Attributes &amp; Prefixes'!$B$49:$C$49)&gt;0, "2", "3"), 0), COUNTIF($D$49:$E$49, Q$2)&gt;0, VLOOKUP($J543,'Gear Values'!$A$2:$E$13, IF(COUNTBLANK('Attributes &amp; Prefixes'!$B$49:$C$49)&gt;0, "4", "5"), 0)), "")</f>
        <v>56</v>
      </c>
      <c r="R543" s="134" t="str" cm="1">
        <f t="array" ref="R543">IF(COUNTIF($B$49:$E$49, R$2)&gt;0, _xlfn.IFS(COUNTIF($B$49:$C$49, R$2)&gt;0, VLOOKUP($J543,'Gear Values'!$A$2:$E$13, IF(COUNTBLANK('Attributes &amp; Prefixes'!$B$49:$C$49)&gt;0, "2", "3"), 0), COUNTIF($D$49:$E$49, R$2)&gt;0, VLOOKUP($J543,'Gear Values'!$A$2:$E$13, IF(COUNTBLANK('Attributes &amp; Prefixes'!$B$49:$C$49)&gt;0, "4", "5"), 0)), "")</f>
        <v/>
      </c>
      <c r="S543" s="135" t="str" cm="1">
        <f t="array" ref="S543">IF(COUNTIF($B$49:$E$49, S$2)&gt;0, _xlfn.IFS(COUNTIF($B$49:$C$49, S$2)&gt;0, VLOOKUP($J543,'Gear Values'!$A$2:$E$13, IF(COUNTBLANK('Attributes &amp; Prefixes'!$B$49:$C$49)&gt;0, "2", "3"), 0), COUNTIF($D$49:$E$49, S$2)&gt;0, VLOOKUP($J543,'Gear Values'!$A$2:$E$13, IF(COUNTBLANK('Attributes &amp; Prefixes'!$B$49:$C$49)&gt;0, "4", "5"), 0)), "")</f>
        <v/>
      </c>
      <c r="V543" s="112"/>
      <c r="W543" s="113"/>
    </row>
    <row r="544" spans="6:23">
      <c r="H544" s="130" t="str">
        <f>_xlfn.CONCAT(I$543,J544)</f>
        <v>VigilantWeapon (2H)</v>
      </c>
      <c r="I544" s="520"/>
      <c r="J544" s="144" t="s">
        <v>39</v>
      </c>
      <c r="K544" s="136" cm="1">
        <f t="array" ref="K544">IF(COUNTIF($B$49:$E$49, K$2)&gt;0, _xlfn.IFS(COUNTIF($B$49:$C$49, K$2)&gt;0, VLOOKUP($J544,'Gear Values'!$A$2:$E$13, IF(COUNTBLANK('Attributes &amp; Prefixes'!$B$49:$C$49)&gt;0, "2", "3"), 0), COUNTIF($D$49:$E$49, K$2)&gt;0, VLOOKUP($J544,'Gear Values'!$A$2:$E$13, IF(COUNTBLANK('Attributes &amp; Prefixes'!$B$49:$C$49)&gt;0, "4", "5"), 0)), "")</f>
        <v>205</v>
      </c>
      <c r="L544" s="137" t="str" cm="1">
        <f t="array" ref="L544">IF(COUNTIF($B$49:$E$49, L$2)&gt;0, _xlfn.IFS(COUNTIF($B$49:$C$49, L$2)&gt;0, VLOOKUP($J544,'Gear Values'!$A$2:$E$13, IF(COUNTBLANK('Attributes &amp; Prefixes'!$B$49:$C$49)&gt;0, "2", "3"), 0), COUNTIF($D$49:$E$49, L$2)&gt;0, VLOOKUP($J544,'Gear Values'!$A$2:$E$13, IF(COUNTBLANK('Attributes &amp; Prefixes'!$B$49:$C$49)&gt;0, "4", "5"), 0)), "")</f>
        <v/>
      </c>
      <c r="M544" s="137" cm="1">
        <f t="array" ref="M544">IF(COUNTIF($B$49:$E$49, M$2)&gt;0, _xlfn.IFS(COUNTIF($B$49:$C$49, M$2)&gt;0, VLOOKUP($J544,'Gear Values'!$A$2:$E$13, IF(COUNTBLANK('Attributes &amp; Prefixes'!$B$49:$C$49)&gt;0, "2", "3"), 0), COUNTIF($D$49:$E$49, M$2)&gt;0, VLOOKUP($J544,'Gear Values'!$A$2:$E$13, IF(COUNTBLANK('Attributes &amp; Prefixes'!$B$49:$C$49)&gt;0, "4", "5"), 0)), "")</f>
        <v>205</v>
      </c>
      <c r="N544" s="137" t="str" cm="1">
        <f t="array" ref="N544">IF(COUNTIF($B$49:$E$49, N$2)&gt;0, _xlfn.IFS(COUNTIF($B$49:$C$49, N$2)&gt;0, VLOOKUP($J544,'Gear Values'!$A$2:$E$13, IF(COUNTBLANK('Attributes &amp; Prefixes'!$B$49:$C$49)&gt;0, "2", "3"), 0), COUNTIF($D$49:$E$49, N$2)&gt;0, VLOOKUP($J544,'Gear Values'!$A$2:$E$13, IF(COUNTBLANK('Attributes &amp; Prefixes'!$B$49:$C$49)&gt;0, "4", "5"), 0)), "")</f>
        <v/>
      </c>
      <c r="O544" s="137" cm="1">
        <f t="array" ref="O544">IF(COUNTIF($B$49:$E$49, O$2)&gt;0, _xlfn.IFS(COUNTIF($B$49:$C$49, O$2)&gt;0, VLOOKUP($J544,'Gear Values'!$A$2:$E$13, IF(COUNTBLANK('Attributes &amp; Prefixes'!$B$49:$C$49)&gt;0, "2", "3"), 0), COUNTIF($D$49:$E$49, O$2)&gt;0, VLOOKUP($J544,'Gear Values'!$A$2:$E$13, IF(COUNTBLANK('Attributes &amp; Prefixes'!$B$49:$C$49)&gt;0, "4", "5"), 0)), "")</f>
        <v>113</v>
      </c>
      <c r="P544" s="137" t="str" cm="1">
        <f t="array" ref="P544">IF(COUNTIF($B$49:$E$49, P$2)&gt;0, _xlfn.IFS(COUNTIF($B$49:$C$49, P$2)&gt;0, VLOOKUP($J544,'Gear Values'!$A$2:$E$13, IF(COUNTBLANK('Attributes &amp; Prefixes'!$B$49:$C$49)&gt;0, "2", "3"), 0), COUNTIF($D$49:$E$49, P$2)&gt;0, VLOOKUP($J544,'Gear Values'!$A$2:$E$13, IF(COUNTBLANK('Attributes &amp; Prefixes'!$B$49:$C$49)&gt;0, "4", "5"), 0)), "")</f>
        <v/>
      </c>
      <c r="Q544" s="137" cm="1">
        <f t="array" ref="Q544">IF(COUNTIF($B$49:$E$49, Q$2)&gt;0, _xlfn.IFS(COUNTIF($B$49:$C$49, Q$2)&gt;0, VLOOKUP($J544,'Gear Values'!$A$2:$E$13, IF(COUNTBLANK('Attributes &amp; Prefixes'!$B$49:$C$49)&gt;0, "2", "3"), 0), COUNTIF($D$49:$E$49, Q$2)&gt;0, VLOOKUP($J544,'Gear Values'!$A$2:$E$13, IF(COUNTBLANK('Attributes &amp; Prefixes'!$B$49:$C$49)&gt;0, "4", "5"), 0)), "")</f>
        <v>113</v>
      </c>
      <c r="R544" s="137" t="str" cm="1">
        <f t="array" ref="R544">IF(COUNTIF($B$49:$E$49, R$2)&gt;0, _xlfn.IFS(COUNTIF($B$49:$C$49, R$2)&gt;0, VLOOKUP($J544,'Gear Values'!$A$2:$E$13, IF(COUNTBLANK('Attributes &amp; Prefixes'!$B$49:$C$49)&gt;0, "2", "3"), 0), COUNTIF($D$49:$E$49, R$2)&gt;0, VLOOKUP($J544,'Gear Values'!$A$2:$E$13, IF(COUNTBLANK('Attributes &amp; Prefixes'!$B$49:$C$49)&gt;0, "4", "5"), 0)), "")</f>
        <v/>
      </c>
      <c r="S544" s="138" t="str" cm="1">
        <f t="array" ref="S544">IF(COUNTIF($B$49:$E$49, S$2)&gt;0, _xlfn.IFS(COUNTIF($B$49:$C$49, S$2)&gt;0, VLOOKUP($J544,'Gear Values'!$A$2:$E$13, IF(COUNTBLANK('Attributes &amp; Prefixes'!$B$49:$C$49)&gt;0, "2", "3"), 0), COUNTIF($D$49:$E$49, S$2)&gt;0, VLOOKUP($J544,'Gear Values'!$A$2:$E$13, IF(COUNTBLANK('Attributes &amp; Prefixes'!$B$49:$C$49)&gt;0, "4", "5"), 0)), "")</f>
        <v/>
      </c>
      <c r="V544" s="112"/>
      <c r="W544" s="113"/>
    </row>
    <row r="545" spans="6:23">
      <c r="H545" s="130" t="str">
        <f>_xlfn.CONCAT(I$543,J545)</f>
        <v>VigilantHead</v>
      </c>
      <c r="I545" s="520"/>
      <c r="J545" s="144" t="s">
        <v>40</v>
      </c>
      <c r="K545" s="136" cm="1">
        <f t="array" ref="K545">IF(COUNTIF($B$49:$E$49, K$2)&gt;0, _xlfn.IFS(COUNTIF($B$49:$C$49, K$2)&gt;0, VLOOKUP($J545,'Gear Values'!$A$2:$E$13, IF(COUNTBLANK('Attributes &amp; Prefixes'!$B$49:$C$49)&gt;0, "2", "3"), 0), COUNTIF($D$49:$E$49, K$2)&gt;0, VLOOKUP($J545,'Gear Values'!$A$2:$E$13, IF(COUNTBLANK('Attributes &amp; Prefixes'!$B$49:$C$49)&gt;0, "4", "5"), 0)), "")</f>
        <v>51</v>
      </c>
      <c r="L545" s="137" t="str" cm="1">
        <f t="array" ref="L545">IF(COUNTIF($B$49:$E$49, L$2)&gt;0, _xlfn.IFS(COUNTIF($B$49:$C$49, L$2)&gt;0, VLOOKUP($J545,'Gear Values'!$A$2:$E$13, IF(COUNTBLANK('Attributes &amp; Prefixes'!$B$49:$C$49)&gt;0, "2", "3"), 0), COUNTIF($D$49:$E$49, L$2)&gt;0, VLOOKUP($J545,'Gear Values'!$A$2:$E$13, IF(COUNTBLANK('Attributes &amp; Prefixes'!$B$49:$C$49)&gt;0, "4", "5"), 0)), "")</f>
        <v/>
      </c>
      <c r="M545" s="137" cm="1">
        <f t="array" ref="M545">IF(COUNTIF($B$49:$E$49, M$2)&gt;0, _xlfn.IFS(COUNTIF($B$49:$C$49, M$2)&gt;0, VLOOKUP($J545,'Gear Values'!$A$2:$E$13, IF(COUNTBLANK('Attributes &amp; Prefixes'!$B$49:$C$49)&gt;0, "2", "3"), 0), COUNTIF($D$49:$E$49, M$2)&gt;0, VLOOKUP($J545,'Gear Values'!$A$2:$E$13, IF(COUNTBLANK('Attributes &amp; Prefixes'!$B$49:$C$49)&gt;0, "4", "5"), 0)), "")</f>
        <v>51</v>
      </c>
      <c r="N545" s="137" t="str" cm="1">
        <f t="array" ref="N545">IF(COUNTIF($B$49:$E$49, N$2)&gt;0, _xlfn.IFS(COUNTIF($B$49:$C$49, N$2)&gt;0, VLOOKUP($J545,'Gear Values'!$A$2:$E$13, IF(COUNTBLANK('Attributes &amp; Prefixes'!$B$49:$C$49)&gt;0, "2", "3"), 0), COUNTIF($D$49:$E$49, N$2)&gt;0, VLOOKUP($J545,'Gear Values'!$A$2:$E$13, IF(COUNTBLANK('Attributes &amp; Prefixes'!$B$49:$C$49)&gt;0, "4", "5"), 0)), "")</f>
        <v/>
      </c>
      <c r="O545" s="137" cm="1">
        <f t="array" ref="O545">IF(COUNTIF($B$49:$E$49, O$2)&gt;0, _xlfn.IFS(COUNTIF($B$49:$C$49, O$2)&gt;0, VLOOKUP($J545,'Gear Values'!$A$2:$E$13, IF(COUNTBLANK('Attributes &amp; Prefixes'!$B$49:$C$49)&gt;0, "2", "3"), 0), COUNTIF($D$49:$E$49, O$2)&gt;0, VLOOKUP($J545,'Gear Values'!$A$2:$E$13, IF(COUNTBLANK('Attributes &amp; Prefixes'!$B$49:$C$49)&gt;0, "4", "5"), 0)), "")</f>
        <v>28</v>
      </c>
      <c r="P545" s="137" t="str" cm="1">
        <f t="array" ref="P545">IF(COUNTIF($B$49:$E$49, P$2)&gt;0, _xlfn.IFS(COUNTIF($B$49:$C$49, P$2)&gt;0, VLOOKUP($J545,'Gear Values'!$A$2:$E$13, IF(COUNTBLANK('Attributes &amp; Prefixes'!$B$49:$C$49)&gt;0, "2", "3"), 0), COUNTIF($D$49:$E$49, P$2)&gt;0, VLOOKUP($J545,'Gear Values'!$A$2:$E$13, IF(COUNTBLANK('Attributes &amp; Prefixes'!$B$49:$C$49)&gt;0, "4", "5"), 0)), "")</f>
        <v/>
      </c>
      <c r="Q545" s="137" cm="1">
        <f t="array" ref="Q545">IF(COUNTIF($B$49:$E$49, Q$2)&gt;0, _xlfn.IFS(COUNTIF($B$49:$C$49, Q$2)&gt;0, VLOOKUP($J545,'Gear Values'!$A$2:$E$13, IF(COUNTBLANK('Attributes &amp; Prefixes'!$B$49:$C$49)&gt;0, "2", "3"), 0), COUNTIF($D$49:$E$49, Q$2)&gt;0, VLOOKUP($J545,'Gear Values'!$A$2:$E$13, IF(COUNTBLANK('Attributes &amp; Prefixes'!$B$49:$C$49)&gt;0, "4", "5"), 0)), "")</f>
        <v>28</v>
      </c>
      <c r="R545" s="137" t="str" cm="1">
        <f t="array" ref="R545">IF(COUNTIF($B$49:$E$49, R$2)&gt;0, _xlfn.IFS(COUNTIF($B$49:$C$49, R$2)&gt;0, VLOOKUP($J545,'Gear Values'!$A$2:$E$13, IF(COUNTBLANK('Attributes &amp; Prefixes'!$B$49:$C$49)&gt;0, "2", "3"), 0), COUNTIF($D$49:$E$49, R$2)&gt;0, VLOOKUP($J545,'Gear Values'!$A$2:$E$13, IF(COUNTBLANK('Attributes &amp; Prefixes'!$B$49:$C$49)&gt;0, "4", "5"), 0)), "")</f>
        <v/>
      </c>
      <c r="S545" s="138" t="str" cm="1">
        <f t="array" ref="S545">IF(COUNTIF($B$49:$E$49, S$2)&gt;0, _xlfn.IFS(COUNTIF($B$49:$C$49, S$2)&gt;0, VLOOKUP($J545,'Gear Values'!$A$2:$E$13, IF(COUNTBLANK('Attributes &amp; Prefixes'!$B$49:$C$49)&gt;0, "2", "3"), 0), COUNTIF($D$49:$E$49, S$2)&gt;0, VLOOKUP($J545,'Gear Values'!$A$2:$E$13, IF(COUNTBLANK('Attributes &amp; Prefixes'!$B$49:$C$49)&gt;0, "4", "5"), 0)), "")</f>
        <v/>
      </c>
      <c r="V545" s="112"/>
      <c r="W545" s="113"/>
    </row>
    <row r="546" spans="6:23">
      <c r="H546" s="130" t="str">
        <f>_xlfn.CONCAT(I$543,J546)</f>
        <v>VigilantShoulders</v>
      </c>
      <c r="I546" s="520"/>
      <c r="J546" s="144" t="s">
        <v>42</v>
      </c>
      <c r="K546" s="136" cm="1">
        <f t="array" ref="K546">IF(COUNTIF($B$49:$E$49, K$2)&gt;0, _xlfn.IFS(COUNTIF($B$49:$C$49, K$2)&gt;0, VLOOKUP($J546,'Gear Values'!$A$2:$E$13, IF(COUNTBLANK('Attributes &amp; Prefixes'!$B$49:$C$49)&gt;0, "2", "3"), 0), COUNTIF($D$49:$E$49, K$2)&gt;0, VLOOKUP($J546,'Gear Values'!$A$2:$E$13, IF(COUNTBLANK('Attributes &amp; Prefixes'!$B$49:$C$49)&gt;0, "4", "5"), 0)), "")</f>
        <v>38</v>
      </c>
      <c r="L546" s="137" t="str" cm="1">
        <f t="array" ref="L546">IF(COUNTIF($B$49:$E$49, L$2)&gt;0, _xlfn.IFS(COUNTIF($B$49:$C$49, L$2)&gt;0, VLOOKUP($J546,'Gear Values'!$A$2:$E$13, IF(COUNTBLANK('Attributes &amp; Prefixes'!$B$49:$C$49)&gt;0, "2", "3"), 0), COUNTIF($D$49:$E$49, L$2)&gt;0, VLOOKUP($J546,'Gear Values'!$A$2:$E$13, IF(COUNTBLANK('Attributes &amp; Prefixes'!$B$49:$C$49)&gt;0, "4", "5"), 0)), "")</f>
        <v/>
      </c>
      <c r="M546" s="137" cm="1">
        <f t="array" ref="M546">IF(COUNTIF($B$49:$E$49, M$2)&gt;0, _xlfn.IFS(COUNTIF($B$49:$C$49, M$2)&gt;0, VLOOKUP($J546,'Gear Values'!$A$2:$E$13, IF(COUNTBLANK('Attributes &amp; Prefixes'!$B$49:$C$49)&gt;0, "2", "3"), 0), COUNTIF($D$49:$E$49, M$2)&gt;0, VLOOKUP($J546,'Gear Values'!$A$2:$E$13, IF(COUNTBLANK('Attributes &amp; Prefixes'!$B$49:$C$49)&gt;0, "4", "5"), 0)), "")</f>
        <v>38</v>
      </c>
      <c r="N546" s="137" t="str" cm="1">
        <f t="array" ref="N546">IF(COUNTIF($B$49:$E$49, N$2)&gt;0, _xlfn.IFS(COUNTIF($B$49:$C$49, N$2)&gt;0, VLOOKUP($J546,'Gear Values'!$A$2:$E$13, IF(COUNTBLANK('Attributes &amp; Prefixes'!$B$49:$C$49)&gt;0, "2", "3"), 0), COUNTIF($D$49:$E$49, N$2)&gt;0, VLOOKUP($J546,'Gear Values'!$A$2:$E$13, IF(COUNTBLANK('Attributes &amp; Prefixes'!$B$49:$C$49)&gt;0, "4", "5"), 0)), "")</f>
        <v/>
      </c>
      <c r="O546" s="137" cm="1">
        <f t="array" ref="O546">IF(COUNTIF($B$49:$E$49, O$2)&gt;0, _xlfn.IFS(COUNTIF($B$49:$C$49, O$2)&gt;0, VLOOKUP($J546,'Gear Values'!$A$2:$E$13, IF(COUNTBLANK('Attributes &amp; Prefixes'!$B$49:$C$49)&gt;0, "2", "3"), 0), COUNTIF($D$49:$E$49, O$2)&gt;0, VLOOKUP($J546,'Gear Values'!$A$2:$E$13, IF(COUNTBLANK('Attributes &amp; Prefixes'!$B$49:$C$49)&gt;0, "4", "5"), 0)), "")</f>
        <v>21</v>
      </c>
      <c r="P546" s="137" t="str" cm="1">
        <f t="array" ref="P546">IF(COUNTIF($B$49:$E$49, P$2)&gt;0, _xlfn.IFS(COUNTIF($B$49:$C$49, P$2)&gt;0, VLOOKUP($J546,'Gear Values'!$A$2:$E$13, IF(COUNTBLANK('Attributes &amp; Prefixes'!$B$49:$C$49)&gt;0, "2", "3"), 0), COUNTIF($D$49:$E$49, P$2)&gt;0, VLOOKUP($J546,'Gear Values'!$A$2:$E$13, IF(COUNTBLANK('Attributes &amp; Prefixes'!$B$49:$C$49)&gt;0, "4", "5"), 0)), "")</f>
        <v/>
      </c>
      <c r="Q546" s="137" cm="1">
        <f t="array" ref="Q546">IF(COUNTIF($B$49:$E$49, Q$2)&gt;0, _xlfn.IFS(COUNTIF($B$49:$C$49, Q$2)&gt;0, VLOOKUP($J546,'Gear Values'!$A$2:$E$13, IF(COUNTBLANK('Attributes &amp; Prefixes'!$B$49:$C$49)&gt;0, "2", "3"), 0), COUNTIF($D$49:$E$49, Q$2)&gt;0, VLOOKUP($J546,'Gear Values'!$A$2:$E$13, IF(COUNTBLANK('Attributes &amp; Prefixes'!$B$49:$C$49)&gt;0, "4", "5"), 0)), "")</f>
        <v>21</v>
      </c>
      <c r="R546" s="137" t="str" cm="1">
        <f t="array" ref="R546">IF(COUNTIF($B$49:$E$49, R$2)&gt;0, _xlfn.IFS(COUNTIF($B$49:$C$49, R$2)&gt;0, VLOOKUP($J546,'Gear Values'!$A$2:$E$13, IF(COUNTBLANK('Attributes &amp; Prefixes'!$B$49:$C$49)&gt;0, "2", "3"), 0), COUNTIF($D$49:$E$49, R$2)&gt;0, VLOOKUP($J546,'Gear Values'!$A$2:$E$13, IF(COUNTBLANK('Attributes &amp; Prefixes'!$B$49:$C$49)&gt;0, "4", "5"), 0)), "")</f>
        <v/>
      </c>
      <c r="S546" s="138" t="str" cm="1">
        <f t="array" ref="S546">IF(COUNTIF($B$49:$E$49, S$2)&gt;0, _xlfn.IFS(COUNTIF($B$49:$C$49, S$2)&gt;0, VLOOKUP($J546,'Gear Values'!$A$2:$E$13, IF(COUNTBLANK('Attributes &amp; Prefixes'!$B$49:$C$49)&gt;0, "2", "3"), 0), COUNTIF($D$49:$E$49, S$2)&gt;0, VLOOKUP($J546,'Gear Values'!$A$2:$E$13, IF(COUNTBLANK('Attributes &amp; Prefixes'!$B$49:$C$49)&gt;0, "4", "5"), 0)), "")</f>
        <v/>
      </c>
      <c r="V546" s="112"/>
      <c r="W546" s="113"/>
    </row>
    <row r="547" spans="6:23">
      <c r="H547" s="130" t="str">
        <f>_xlfn.CONCAT(I$543,J547)</f>
        <v>VigilantChest</v>
      </c>
      <c r="I547" s="520"/>
      <c r="J547" s="144" t="s">
        <v>44</v>
      </c>
      <c r="K547" s="136" cm="1">
        <f t="array" ref="K547">IF(COUNTIF($B$49:$E$49, K$2)&gt;0, _xlfn.IFS(COUNTIF($B$49:$C$49, K$2)&gt;0, VLOOKUP($J547,'Gear Values'!$A$2:$E$13, IF(COUNTBLANK('Attributes &amp; Prefixes'!$B$49:$C$49)&gt;0, "2", "3"), 0), COUNTIF($D$49:$E$49, K$2)&gt;0, VLOOKUP($J547,'Gear Values'!$A$2:$E$13, IF(COUNTBLANK('Attributes &amp; Prefixes'!$B$49:$C$49)&gt;0, "4", "5"), 0)), "")</f>
        <v>115</v>
      </c>
      <c r="L547" s="137" t="str" cm="1">
        <f t="array" ref="L547">IF(COUNTIF($B$49:$E$49, L$2)&gt;0, _xlfn.IFS(COUNTIF($B$49:$C$49, L$2)&gt;0, VLOOKUP($J547,'Gear Values'!$A$2:$E$13, IF(COUNTBLANK('Attributes &amp; Prefixes'!$B$49:$C$49)&gt;0, "2", "3"), 0), COUNTIF($D$49:$E$49, L$2)&gt;0, VLOOKUP($J547,'Gear Values'!$A$2:$E$13, IF(COUNTBLANK('Attributes &amp; Prefixes'!$B$49:$C$49)&gt;0, "4", "5"), 0)), "")</f>
        <v/>
      </c>
      <c r="M547" s="137" cm="1">
        <f t="array" ref="M547">IF(COUNTIF($B$49:$E$49, M$2)&gt;0, _xlfn.IFS(COUNTIF($B$49:$C$49, M$2)&gt;0, VLOOKUP($J547,'Gear Values'!$A$2:$E$13, IF(COUNTBLANK('Attributes &amp; Prefixes'!$B$49:$C$49)&gt;0, "2", "3"), 0), COUNTIF($D$49:$E$49, M$2)&gt;0, VLOOKUP($J547,'Gear Values'!$A$2:$E$13, IF(COUNTBLANK('Attributes &amp; Prefixes'!$B$49:$C$49)&gt;0, "4", "5"), 0)), "")</f>
        <v>115</v>
      </c>
      <c r="N547" s="137" t="str" cm="1">
        <f t="array" ref="N547">IF(COUNTIF($B$49:$E$49, N$2)&gt;0, _xlfn.IFS(COUNTIF($B$49:$C$49, N$2)&gt;0, VLOOKUP($J547,'Gear Values'!$A$2:$E$13, IF(COUNTBLANK('Attributes &amp; Prefixes'!$B$49:$C$49)&gt;0, "2", "3"), 0), COUNTIF($D$49:$E$49, N$2)&gt;0, VLOOKUP($J547,'Gear Values'!$A$2:$E$13, IF(COUNTBLANK('Attributes &amp; Prefixes'!$B$49:$C$49)&gt;0, "4", "5"), 0)), "")</f>
        <v/>
      </c>
      <c r="O547" s="137" cm="1">
        <f t="array" ref="O547">IF(COUNTIF($B$49:$E$49, O$2)&gt;0, _xlfn.IFS(COUNTIF($B$49:$C$49, O$2)&gt;0, VLOOKUP($J547,'Gear Values'!$A$2:$E$13, IF(COUNTBLANK('Attributes &amp; Prefixes'!$B$49:$C$49)&gt;0, "2", "3"), 0), COUNTIF($D$49:$E$49, O$2)&gt;0, VLOOKUP($J547,'Gear Values'!$A$2:$E$13, IF(COUNTBLANK('Attributes &amp; Prefixes'!$B$49:$C$49)&gt;0, "4", "5"), 0)), "")</f>
        <v>63</v>
      </c>
      <c r="P547" s="137" t="str" cm="1">
        <f t="array" ref="P547">IF(COUNTIF($B$49:$E$49, P$2)&gt;0, _xlfn.IFS(COUNTIF($B$49:$C$49, P$2)&gt;0, VLOOKUP($J547,'Gear Values'!$A$2:$E$13, IF(COUNTBLANK('Attributes &amp; Prefixes'!$B$49:$C$49)&gt;0, "2", "3"), 0), COUNTIF($D$49:$E$49, P$2)&gt;0, VLOOKUP($J547,'Gear Values'!$A$2:$E$13, IF(COUNTBLANK('Attributes &amp; Prefixes'!$B$49:$C$49)&gt;0, "4", "5"), 0)), "")</f>
        <v/>
      </c>
      <c r="Q547" s="137" cm="1">
        <f t="array" ref="Q547">IF(COUNTIF($B$49:$E$49, Q$2)&gt;0, _xlfn.IFS(COUNTIF($B$49:$C$49, Q$2)&gt;0, VLOOKUP($J547,'Gear Values'!$A$2:$E$13, IF(COUNTBLANK('Attributes &amp; Prefixes'!$B$49:$C$49)&gt;0, "2", "3"), 0), COUNTIF($D$49:$E$49, Q$2)&gt;0, VLOOKUP($J547,'Gear Values'!$A$2:$E$13, IF(COUNTBLANK('Attributes &amp; Prefixes'!$B$49:$C$49)&gt;0, "4", "5"), 0)), "")</f>
        <v>63</v>
      </c>
      <c r="R547" s="137" t="str" cm="1">
        <f t="array" ref="R547">IF(COUNTIF($B$49:$E$49, R$2)&gt;0, _xlfn.IFS(COUNTIF($B$49:$C$49, R$2)&gt;0, VLOOKUP($J547,'Gear Values'!$A$2:$E$13, IF(COUNTBLANK('Attributes &amp; Prefixes'!$B$49:$C$49)&gt;0, "2", "3"), 0), COUNTIF($D$49:$E$49, R$2)&gt;0, VLOOKUP($J547,'Gear Values'!$A$2:$E$13, IF(COUNTBLANK('Attributes &amp; Prefixes'!$B$49:$C$49)&gt;0, "4", "5"), 0)), "")</f>
        <v/>
      </c>
      <c r="S547" s="138" t="str" cm="1">
        <f t="array" ref="S547">IF(COUNTIF($B$49:$E$49, S$2)&gt;0, _xlfn.IFS(COUNTIF($B$49:$C$49, S$2)&gt;0, VLOOKUP($J547,'Gear Values'!$A$2:$E$13, IF(COUNTBLANK('Attributes &amp; Prefixes'!$B$49:$C$49)&gt;0, "2", "3"), 0), COUNTIF($D$49:$E$49, S$2)&gt;0, VLOOKUP($J547,'Gear Values'!$A$2:$E$13, IF(COUNTBLANK('Attributes &amp; Prefixes'!$B$49:$C$49)&gt;0, "4", "5"), 0)), "")</f>
        <v/>
      </c>
      <c r="V547" s="112"/>
      <c r="W547" s="113"/>
    </row>
    <row r="548" spans="6:23">
      <c r="H548" s="130" t="str">
        <f>_xlfn.CONCAT(I$543,J548)</f>
        <v>VigilantHands</v>
      </c>
      <c r="I548" s="520"/>
      <c r="J548" s="144" t="s">
        <v>45</v>
      </c>
      <c r="K548" s="136" cm="1">
        <f t="array" ref="K548">IF(COUNTIF($B$49:$E$49, K$2)&gt;0, _xlfn.IFS(COUNTIF($B$49:$C$49, K$2)&gt;0, VLOOKUP($J548,'Gear Values'!$A$2:$E$13, IF(COUNTBLANK('Attributes &amp; Prefixes'!$B$49:$C$49)&gt;0, "2", "3"), 0), COUNTIF($D$49:$E$49, K$2)&gt;0, VLOOKUP($J548,'Gear Values'!$A$2:$E$13, IF(COUNTBLANK('Attributes &amp; Prefixes'!$B$49:$C$49)&gt;0, "4", "5"), 0)), "")</f>
        <v>38</v>
      </c>
      <c r="L548" s="137" t="str" cm="1">
        <f t="array" ref="L548">IF(COUNTIF($B$49:$E$49, L$2)&gt;0, _xlfn.IFS(COUNTIF($B$49:$C$49, L$2)&gt;0, VLOOKUP($J548,'Gear Values'!$A$2:$E$13, IF(COUNTBLANK('Attributes &amp; Prefixes'!$B$49:$C$49)&gt;0, "2", "3"), 0), COUNTIF($D$49:$E$49, L$2)&gt;0, VLOOKUP($J548,'Gear Values'!$A$2:$E$13, IF(COUNTBLANK('Attributes &amp; Prefixes'!$B$49:$C$49)&gt;0, "4", "5"), 0)), "")</f>
        <v/>
      </c>
      <c r="M548" s="137" cm="1">
        <f t="array" ref="M548">IF(COUNTIF($B$49:$E$49, M$2)&gt;0, _xlfn.IFS(COUNTIF($B$49:$C$49, M$2)&gt;0, VLOOKUP($J548,'Gear Values'!$A$2:$E$13, IF(COUNTBLANK('Attributes &amp; Prefixes'!$B$49:$C$49)&gt;0, "2", "3"), 0), COUNTIF($D$49:$E$49, M$2)&gt;0, VLOOKUP($J548,'Gear Values'!$A$2:$E$13, IF(COUNTBLANK('Attributes &amp; Prefixes'!$B$49:$C$49)&gt;0, "4", "5"), 0)), "")</f>
        <v>38</v>
      </c>
      <c r="N548" s="137" t="str" cm="1">
        <f t="array" ref="N548">IF(COUNTIF($B$49:$E$49, N$2)&gt;0, _xlfn.IFS(COUNTIF($B$49:$C$49, N$2)&gt;0, VLOOKUP($J548,'Gear Values'!$A$2:$E$13, IF(COUNTBLANK('Attributes &amp; Prefixes'!$B$49:$C$49)&gt;0, "2", "3"), 0), COUNTIF($D$49:$E$49, N$2)&gt;0, VLOOKUP($J548,'Gear Values'!$A$2:$E$13, IF(COUNTBLANK('Attributes &amp; Prefixes'!$B$49:$C$49)&gt;0, "4", "5"), 0)), "")</f>
        <v/>
      </c>
      <c r="O548" s="137" cm="1">
        <f t="array" ref="O548">IF(COUNTIF($B$49:$E$49, O$2)&gt;0, _xlfn.IFS(COUNTIF($B$49:$C$49, O$2)&gt;0, VLOOKUP($J548,'Gear Values'!$A$2:$E$13, IF(COUNTBLANK('Attributes &amp; Prefixes'!$B$49:$C$49)&gt;0, "2", "3"), 0), COUNTIF($D$49:$E$49, O$2)&gt;0, VLOOKUP($J548,'Gear Values'!$A$2:$E$13, IF(COUNTBLANK('Attributes &amp; Prefixes'!$B$49:$C$49)&gt;0, "4", "5"), 0)), "")</f>
        <v>21</v>
      </c>
      <c r="P548" s="137" t="str" cm="1">
        <f t="array" ref="P548">IF(COUNTIF($B$49:$E$49, P$2)&gt;0, _xlfn.IFS(COUNTIF($B$49:$C$49, P$2)&gt;0, VLOOKUP($J548,'Gear Values'!$A$2:$E$13, IF(COUNTBLANK('Attributes &amp; Prefixes'!$B$49:$C$49)&gt;0, "2", "3"), 0), COUNTIF($D$49:$E$49, P$2)&gt;0, VLOOKUP($J548,'Gear Values'!$A$2:$E$13, IF(COUNTBLANK('Attributes &amp; Prefixes'!$B$49:$C$49)&gt;0, "4", "5"), 0)), "")</f>
        <v/>
      </c>
      <c r="Q548" s="137" cm="1">
        <f t="array" ref="Q548">IF(COUNTIF($B$49:$E$49, Q$2)&gt;0, _xlfn.IFS(COUNTIF($B$49:$C$49, Q$2)&gt;0, VLOOKUP($J548,'Gear Values'!$A$2:$E$13, IF(COUNTBLANK('Attributes &amp; Prefixes'!$B$49:$C$49)&gt;0, "2", "3"), 0), COUNTIF($D$49:$E$49, Q$2)&gt;0, VLOOKUP($J548,'Gear Values'!$A$2:$E$13, IF(COUNTBLANK('Attributes &amp; Prefixes'!$B$49:$C$49)&gt;0, "4", "5"), 0)), "")</f>
        <v>21</v>
      </c>
      <c r="R548" s="137" t="str" cm="1">
        <f t="array" ref="R548">IF(COUNTIF($B$49:$E$49, R$2)&gt;0, _xlfn.IFS(COUNTIF($B$49:$C$49, R$2)&gt;0, VLOOKUP($J548,'Gear Values'!$A$2:$E$13, IF(COUNTBLANK('Attributes &amp; Prefixes'!$B$49:$C$49)&gt;0, "2", "3"), 0), COUNTIF($D$49:$E$49, R$2)&gt;0, VLOOKUP($J548,'Gear Values'!$A$2:$E$13, IF(COUNTBLANK('Attributes &amp; Prefixes'!$B$49:$C$49)&gt;0, "4", "5"), 0)), "")</f>
        <v/>
      </c>
      <c r="S548" s="138" t="str" cm="1">
        <f t="array" ref="S548">IF(COUNTIF($B$49:$E$49, S$2)&gt;0, _xlfn.IFS(COUNTIF($B$49:$C$49, S$2)&gt;0, VLOOKUP($J548,'Gear Values'!$A$2:$E$13, IF(COUNTBLANK('Attributes &amp; Prefixes'!$B$49:$C$49)&gt;0, "2", "3"), 0), COUNTIF($D$49:$E$49, S$2)&gt;0, VLOOKUP($J548,'Gear Values'!$A$2:$E$13, IF(COUNTBLANK('Attributes &amp; Prefixes'!$B$49:$C$49)&gt;0, "4", "5"), 0)), "")</f>
        <v/>
      </c>
      <c r="V548" s="112"/>
      <c r="W548" s="113"/>
    </row>
    <row r="549" spans="6:23">
      <c r="H549" s="130" t="str">
        <f>_xlfn.CONCAT(I$543,J549)</f>
        <v>VigilantLegs</v>
      </c>
      <c r="I549" s="520"/>
      <c r="J549" s="144" t="s">
        <v>47</v>
      </c>
      <c r="K549" s="136" cm="1">
        <f t="array" ref="K549">IF(COUNTIF($B$49:$E$49, K$2)&gt;0, _xlfn.IFS(COUNTIF($B$49:$C$49, K$2)&gt;0, VLOOKUP($J549,'Gear Values'!$A$2:$E$13, IF(COUNTBLANK('Attributes &amp; Prefixes'!$B$49:$C$49)&gt;0, "2", "3"), 0), COUNTIF($D$49:$E$49, K$2)&gt;0, VLOOKUP($J549,'Gear Values'!$A$2:$E$13, IF(COUNTBLANK('Attributes &amp; Prefixes'!$B$49:$C$49)&gt;0, "4", "5"), 0)), "")</f>
        <v>77</v>
      </c>
      <c r="L549" s="137" t="str" cm="1">
        <f t="array" ref="L549">IF(COUNTIF($B$49:$E$49, L$2)&gt;0, _xlfn.IFS(COUNTIF($B$49:$C$49, L$2)&gt;0, VLOOKUP($J549,'Gear Values'!$A$2:$E$13, IF(COUNTBLANK('Attributes &amp; Prefixes'!$B$49:$C$49)&gt;0, "2", "3"), 0), COUNTIF($D$49:$E$49, L$2)&gt;0, VLOOKUP($J549,'Gear Values'!$A$2:$E$13, IF(COUNTBLANK('Attributes &amp; Prefixes'!$B$49:$C$49)&gt;0, "4", "5"), 0)), "")</f>
        <v/>
      </c>
      <c r="M549" s="137" cm="1">
        <f t="array" ref="M549">IF(COUNTIF($B$49:$E$49, M$2)&gt;0, _xlfn.IFS(COUNTIF($B$49:$C$49, M$2)&gt;0, VLOOKUP($J549,'Gear Values'!$A$2:$E$13, IF(COUNTBLANK('Attributes &amp; Prefixes'!$B$49:$C$49)&gt;0, "2", "3"), 0), COUNTIF($D$49:$E$49, M$2)&gt;0, VLOOKUP($J549,'Gear Values'!$A$2:$E$13, IF(COUNTBLANK('Attributes &amp; Prefixes'!$B$49:$C$49)&gt;0, "4", "5"), 0)), "")</f>
        <v>77</v>
      </c>
      <c r="N549" s="137" t="str" cm="1">
        <f t="array" ref="N549">IF(COUNTIF($B$49:$E$49, N$2)&gt;0, _xlfn.IFS(COUNTIF($B$49:$C$49, N$2)&gt;0, VLOOKUP($J549,'Gear Values'!$A$2:$E$13, IF(COUNTBLANK('Attributes &amp; Prefixes'!$B$49:$C$49)&gt;0, "2", "3"), 0), COUNTIF($D$49:$E$49, N$2)&gt;0, VLOOKUP($J549,'Gear Values'!$A$2:$E$13, IF(COUNTBLANK('Attributes &amp; Prefixes'!$B$49:$C$49)&gt;0, "4", "5"), 0)), "")</f>
        <v/>
      </c>
      <c r="O549" s="137" cm="1">
        <f t="array" ref="O549">IF(COUNTIF($B$49:$E$49, O$2)&gt;0, _xlfn.IFS(COUNTIF($B$49:$C$49, O$2)&gt;0, VLOOKUP($J549,'Gear Values'!$A$2:$E$13, IF(COUNTBLANK('Attributes &amp; Prefixes'!$B$49:$C$49)&gt;0, "2", "3"), 0), COUNTIF($D$49:$E$49, O$2)&gt;0, VLOOKUP($J549,'Gear Values'!$A$2:$E$13, IF(COUNTBLANK('Attributes &amp; Prefixes'!$B$49:$C$49)&gt;0, "4", "5"), 0)), "")</f>
        <v>42</v>
      </c>
      <c r="P549" s="137" t="str" cm="1">
        <f t="array" ref="P549">IF(COUNTIF($B$49:$E$49, P$2)&gt;0, _xlfn.IFS(COUNTIF($B$49:$C$49, P$2)&gt;0, VLOOKUP($J549,'Gear Values'!$A$2:$E$13, IF(COUNTBLANK('Attributes &amp; Prefixes'!$B$49:$C$49)&gt;0, "2", "3"), 0), COUNTIF($D$49:$E$49, P$2)&gt;0, VLOOKUP($J549,'Gear Values'!$A$2:$E$13, IF(COUNTBLANK('Attributes &amp; Prefixes'!$B$49:$C$49)&gt;0, "4", "5"), 0)), "")</f>
        <v/>
      </c>
      <c r="Q549" s="137" cm="1">
        <f t="array" ref="Q549">IF(COUNTIF($B$49:$E$49, Q$2)&gt;0, _xlfn.IFS(COUNTIF($B$49:$C$49, Q$2)&gt;0, VLOOKUP($J549,'Gear Values'!$A$2:$E$13, IF(COUNTBLANK('Attributes &amp; Prefixes'!$B$49:$C$49)&gt;0, "2", "3"), 0), COUNTIF($D$49:$E$49, Q$2)&gt;0, VLOOKUP($J549,'Gear Values'!$A$2:$E$13, IF(COUNTBLANK('Attributes &amp; Prefixes'!$B$49:$C$49)&gt;0, "4", "5"), 0)), "")</f>
        <v>42</v>
      </c>
      <c r="R549" s="137" t="str" cm="1">
        <f t="array" ref="R549">IF(COUNTIF($B$49:$E$49, R$2)&gt;0, _xlfn.IFS(COUNTIF($B$49:$C$49, R$2)&gt;0, VLOOKUP($J549,'Gear Values'!$A$2:$E$13, IF(COUNTBLANK('Attributes &amp; Prefixes'!$B$49:$C$49)&gt;0, "2", "3"), 0), COUNTIF($D$49:$E$49, R$2)&gt;0, VLOOKUP($J549,'Gear Values'!$A$2:$E$13, IF(COUNTBLANK('Attributes &amp; Prefixes'!$B$49:$C$49)&gt;0, "4", "5"), 0)), "")</f>
        <v/>
      </c>
      <c r="S549" s="138" t="str" cm="1">
        <f t="array" ref="S549">IF(COUNTIF($B$49:$E$49, S$2)&gt;0, _xlfn.IFS(COUNTIF($B$49:$C$49, S$2)&gt;0, VLOOKUP($J549,'Gear Values'!$A$2:$E$13, IF(COUNTBLANK('Attributes &amp; Prefixes'!$B$49:$C$49)&gt;0, "2", "3"), 0), COUNTIF($D$49:$E$49, S$2)&gt;0, VLOOKUP($J549,'Gear Values'!$A$2:$E$13, IF(COUNTBLANK('Attributes &amp; Prefixes'!$B$49:$C$49)&gt;0, "4", "5"), 0)), "")</f>
        <v/>
      </c>
      <c r="V549" s="112"/>
      <c r="W549" s="113"/>
    </row>
    <row r="550" spans="6:23">
      <c r="H550" s="130" t="str">
        <f>_xlfn.CONCAT(I$543,J550)</f>
        <v>VigilantFeet</v>
      </c>
      <c r="I550" s="520"/>
      <c r="J550" s="144" t="s">
        <v>48</v>
      </c>
      <c r="K550" s="136" cm="1">
        <f t="array" ref="K550">IF(COUNTIF($B$49:$E$49, K$2)&gt;0, _xlfn.IFS(COUNTIF($B$49:$C$49, K$2)&gt;0, VLOOKUP($J550,'Gear Values'!$A$2:$E$13, IF(COUNTBLANK('Attributes &amp; Prefixes'!$B$49:$C$49)&gt;0, "2", "3"), 0), COUNTIF($D$49:$E$49, K$2)&gt;0, VLOOKUP($J550,'Gear Values'!$A$2:$E$13, IF(COUNTBLANK('Attributes &amp; Prefixes'!$B$49:$C$49)&gt;0, "4", "5"), 0)), "")</f>
        <v>38</v>
      </c>
      <c r="L550" s="137" t="str" cm="1">
        <f t="array" ref="L550">IF(COUNTIF($B$49:$E$49, L$2)&gt;0, _xlfn.IFS(COUNTIF($B$49:$C$49, L$2)&gt;0, VLOOKUP($J550,'Gear Values'!$A$2:$E$13, IF(COUNTBLANK('Attributes &amp; Prefixes'!$B$49:$C$49)&gt;0, "2", "3"), 0), COUNTIF($D$49:$E$49, L$2)&gt;0, VLOOKUP($J550,'Gear Values'!$A$2:$E$13, IF(COUNTBLANK('Attributes &amp; Prefixes'!$B$49:$C$49)&gt;0, "4", "5"), 0)), "")</f>
        <v/>
      </c>
      <c r="M550" s="137" cm="1">
        <f t="array" ref="M550">IF(COUNTIF($B$49:$E$49, M$2)&gt;0, _xlfn.IFS(COUNTIF($B$49:$C$49, M$2)&gt;0, VLOOKUP($J550,'Gear Values'!$A$2:$E$13, IF(COUNTBLANK('Attributes &amp; Prefixes'!$B$49:$C$49)&gt;0, "2", "3"), 0), COUNTIF($D$49:$E$49, M$2)&gt;0, VLOOKUP($J550,'Gear Values'!$A$2:$E$13, IF(COUNTBLANK('Attributes &amp; Prefixes'!$B$49:$C$49)&gt;0, "4", "5"), 0)), "")</f>
        <v>38</v>
      </c>
      <c r="N550" s="137" t="str" cm="1">
        <f t="array" ref="N550">IF(COUNTIF($B$49:$E$49, N$2)&gt;0, _xlfn.IFS(COUNTIF($B$49:$C$49, N$2)&gt;0, VLOOKUP($J550,'Gear Values'!$A$2:$E$13, IF(COUNTBLANK('Attributes &amp; Prefixes'!$B$49:$C$49)&gt;0, "2", "3"), 0), COUNTIF($D$49:$E$49, N$2)&gt;0, VLOOKUP($J550,'Gear Values'!$A$2:$E$13, IF(COUNTBLANK('Attributes &amp; Prefixes'!$B$49:$C$49)&gt;0, "4", "5"), 0)), "")</f>
        <v/>
      </c>
      <c r="O550" s="137" cm="1">
        <f t="array" ref="O550">IF(COUNTIF($B$49:$E$49, O$2)&gt;0, _xlfn.IFS(COUNTIF($B$49:$C$49, O$2)&gt;0, VLOOKUP($J550,'Gear Values'!$A$2:$E$13, IF(COUNTBLANK('Attributes &amp; Prefixes'!$B$49:$C$49)&gt;0, "2", "3"), 0), COUNTIF($D$49:$E$49, O$2)&gt;0, VLOOKUP($J550,'Gear Values'!$A$2:$E$13, IF(COUNTBLANK('Attributes &amp; Prefixes'!$B$49:$C$49)&gt;0, "4", "5"), 0)), "")</f>
        <v>21</v>
      </c>
      <c r="P550" s="137" t="str" cm="1">
        <f t="array" ref="P550">IF(COUNTIF($B$49:$E$49, P$2)&gt;0, _xlfn.IFS(COUNTIF($B$49:$C$49, P$2)&gt;0, VLOOKUP($J550,'Gear Values'!$A$2:$E$13, IF(COUNTBLANK('Attributes &amp; Prefixes'!$B$49:$C$49)&gt;0, "2", "3"), 0), COUNTIF($D$49:$E$49, P$2)&gt;0, VLOOKUP($J550,'Gear Values'!$A$2:$E$13, IF(COUNTBLANK('Attributes &amp; Prefixes'!$B$49:$C$49)&gt;0, "4", "5"), 0)), "")</f>
        <v/>
      </c>
      <c r="Q550" s="137" cm="1">
        <f t="array" ref="Q550">IF(COUNTIF($B$49:$E$49, Q$2)&gt;0, _xlfn.IFS(COUNTIF($B$49:$C$49, Q$2)&gt;0, VLOOKUP($J550,'Gear Values'!$A$2:$E$13, IF(COUNTBLANK('Attributes &amp; Prefixes'!$B$49:$C$49)&gt;0, "2", "3"), 0), COUNTIF($D$49:$E$49, Q$2)&gt;0, VLOOKUP($J550,'Gear Values'!$A$2:$E$13, IF(COUNTBLANK('Attributes &amp; Prefixes'!$B$49:$C$49)&gt;0, "4", "5"), 0)), "")</f>
        <v>21</v>
      </c>
      <c r="R550" s="137" t="str" cm="1">
        <f t="array" ref="R550">IF(COUNTIF($B$49:$E$49, R$2)&gt;0, _xlfn.IFS(COUNTIF($B$49:$C$49, R$2)&gt;0, VLOOKUP($J550,'Gear Values'!$A$2:$E$13, IF(COUNTBLANK('Attributes &amp; Prefixes'!$B$49:$C$49)&gt;0, "2", "3"), 0), COUNTIF($D$49:$E$49, R$2)&gt;0, VLOOKUP($J550,'Gear Values'!$A$2:$E$13, IF(COUNTBLANK('Attributes &amp; Prefixes'!$B$49:$C$49)&gt;0, "4", "5"), 0)), "")</f>
        <v/>
      </c>
      <c r="S550" s="138" t="str" cm="1">
        <f t="array" ref="S550">IF(COUNTIF($B$49:$E$49, S$2)&gt;0, _xlfn.IFS(COUNTIF($B$49:$C$49, S$2)&gt;0, VLOOKUP($J550,'Gear Values'!$A$2:$E$13, IF(COUNTBLANK('Attributes &amp; Prefixes'!$B$49:$C$49)&gt;0, "2", "3"), 0), COUNTIF($D$49:$E$49, S$2)&gt;0, VLOOKUP($J550,'Gear Values'!$A$2:$E$13, IF(COUNTBLANK('Attributes &amp; Prefixes'!$B$49:$C$49)&gt;0, "4", "5"), 0)), "")</f>
        <v/>
      </c>
      <c r="V550" s="112"/>
      <c r="W550" s="113"/>
    </row>
    <row r="551" spans="6:23">
      <c r="H551" s="130" t="str">
        <f>_xlfn.CONCAT(A$67,J551)</f>
        <v>Flax BlossomEar</v>
      </c>
      <c r="I551" s="520"/>
      <c r="J551" s="144" t="s">
        <v>49</v>
      </c>
      <c r="K551" s="136" cm="1">
        <f t="array" ref="K551">IF(COUNTIF($B$49:$E$49, K$2)&gt;0, _xlfn.IFS(COUNTIF($B$49:$C$49, K$2)&gt;0, VLOOKUP($J551,'Gear Values'!$A$2:$E$13, IF(COUNTBLANK('Attributes &amp; Prefixes'!$B$49:$C$49)&gt;0, "2", "3"), 0), COUNTIF($D$49:$E$49, K$2)&gt;0, VLOOKUP($J551,'Gear Values'!$A$2:$E$13, IF(COUNTBLANK('Attributes &amp; Prefixes'!$B$49:$C$49)&gt;0, "4", "5"), 0)), "")</f>
        <v>64</v>
      </c>
      <c r="L551" s="137" t="str" cm="1">
        <f t="array" ref="L551">IF(COUNTIF($B$49:$E$49, L$2)&gt;0, _xlfn.IFS(COUNTIF($B$49:$C$49, L$2)&gt;0, VLOOKUP($J551,'Gear Values'!$A$2:$E$13, IF(COUNTBLANK('Attributes &amp; Prefixes'!$B$49:$C$49)&gt;0, "2", "3"), 0), COUNTIF($D$49:$E$49, L$2)&gt;0, VLOOKUP($J551,'Gear Values'!$A$2:$E$13, IF(COUNTBLANK('Attributes &amp; Prefixes'!$B$49:$C$49)&gt;0, "4", "5"), 0)), "")</f>
        <v/>
      </c>
      <c r="M551" s="137" cm="1">
        <f t="array" ref="M551">IF(COUNTIF($B$49:$E$49, M$2)&gt;0, _xlfn.IFS(COUNTIF($B$49:$C$49, M$2)&gt;0, VLOOKUP($J551,'Gear Values'!$A$2:$E$13, IF(COUNTBLANK('Attributes &amp; Prefixes'!$B$49:$C$49)&gt;0, "2", "3"), 0), COUNTIF($D$49:$E$49, M$2)&gt;0, VLOOKUP($J551,'Gear Values'!$A$2:$E$13, IF(COUNTBLANK('Attributes &amp; Prefixes'!$B$49:$C$49)&gt;0, "4", "5"), 0)), "")</f>
        <v>64</v>
      </c>
      <c r="N551" s="137" t="str" cm="1">
        <f t="array" ref="N551">IF(COUNTIF($B$49:$E$49, N$2)&gt;0, _xlfn.IFS(COUNTIF($B$49:$C$49, N$2)&gt;0, VLOOKUP($J551,'Gear Values'!$A$2:$E$13, IF(COUNTBLANK('Attributes &amp; Prefixes'!$B$49:$C$49)&gt;0, "2", "3"), 0), COUNTIF($D$49:$E$49, N$2)&gt;0, VLOOKUP($J551,'Gear Values'!$A$2:$E$13, IF(COUNTBLANK('Attributes &amp; Prefixes'!$B$49:$C$49)&gt;0, "4", "5"), 0)), "")</f>
        <v/>
      </c>
      <c r="O551" s="137" cm="1">
        <f t="array" ref="O551">IF(COUNTIF($B$49:$E$49, O$2)&gt;0, _xlfn.IFS(COUNTIF($B$49:$C$49, O$2)&gt;0, VLOOKUP($J551,'Gear Values'!$A$2:$E$13, IF(COUNTBLANK('Attributes &amp; Prefixes'!$B$49:$C$49)&gt;0, "2", "3"), 0), COUNTIF($D$49:$E$49, O$2)&gt;0, VLOOKUP($J551,'Gear Values'!$A$2:$E$13, IF(COUNTBLANK('Attributes &amp; Prefixes'!$B$49:$C$49)&gt;0, "4", "5"), 0)), "")</f>
        <v>35</v>
      </c>
      <c r="P551" s="137" t="str" cm="1">
        <f t="array" ref="P551">IF(COUNTIF($B$49:$E$49, P$2)&gt;0, _xlfn.IFS(COUNTIF($B$49:$C$49, P$2)&gt;0, VLOOKUP($J551,'Gear Values'!$A$2:$E$13, IF(COUNTBLANK('Attributes &amp; Prefixes'!$B$49:$C$49)&gt;0, "2", "3"), 0), COUNTIF($D$49:$E$49, P$2)&gt;0, VLOOKUP($J551,'Gear Values'!$A$2:$E$13, IF(COUNTBLANK('Attributes &amp; Prefixes'!$B$49:$C$49)&gt;0, "4", "5"), 0)), "")</f>
        <v/>
      </c>
      <c r="Q551" s="137" cm="1">
        <f t="array" ref="Q551">IF(COUNTIF($B$49:$E$49, Q$2)&gt;0, _xlfn.IFS(COUNTIF($B$49:$C$49, Q$2)&gt;0, VLOOKUP($J551,'Gear Values'!$A$2:$E$13, IF(COUNTBLANK('Attributes &amp; Prefixes'!$B$49:$C$49)&gt;0, "2", "3"), 0), COUNTIF($D$49:$E$49, Q$2)&gt;0, VLOOKUP($J551,'Gear Values'!$A$2:$E$13, IF(COUNTBLANK('Attributes &amp; Prefixes'!$B$49:$C$49)&gt;0, "4", "5"), 0)), "")</f>
        <v>35</v>
      </c>
      <c r="R551" s="137" t="str" cm="1">
        <f t="array" ref="R551">IF(COUNTIF($B$49:$E$49, R$2)&gt;0, _xlfn.IFS(COUNTIF($B$49:$C$49, R$2)&gt;0, VLOOKUP($J551,'Gear Values'!$A$2:$E$13, IF(COUNTBLANK('Attributes &amp; Prefixes'!$B$49:$C$49)&gt;0, "2", "3"), 0), COUNTIF($D$49:$E$49, R$2)&gt;0, VLOOKUP($J551,'Gear Values'!$A$2:$E$13, IF(COUNTBLANK('Attributes &amp; Prefixes'!$B$49:$C$49)&gt;0, "4", "5"), 0)), "")</f>
        <v/>
      </c>
      <c r="S551" s="138" t="str" cm="1">
        <f t="array" ref="S551">IF(COUNTIF($B$49:$E$49, S$2)&gt;0, _xlfn.IFS(COUNTIF($B$49:$C$49, S$2)&gt;0, VLOOKUP($J551,'Gear Values'!$A$2:$E$13, IF(COUNTBLANK('Attributes &amp; Prefixes'!$B$49:$C$49)&gt;0, "2", "3"), 0), COUNTIF($D$49:$E$49, S$2)&gt;0, VLOOKUP($J551,'Gear Values'!$A$2:$E$13, IF(COUNTBLANK('Attributes &amp; Prefixes'!$B$49:$C$49)&gt;0, "4", "5"), 0)), "")</f>
        <v/>
      </c>
      <c r="V551" s="112"/>
      <c r="W551" s="113"/>
    </row>
    <row r="552" spans="6:23">
      <c r="F552" s="114"/>
      <c r="G552" s="114"/>
      <c r="H552" s="130" t="str">
        <f>_xlfn.CONCAT(A$67,J552)</f>
        <v>Flax BlossomFinger</v>
      </c>
      <c r="I552" s="520"/>
      <c r="J552" s="144" t="s">
        <v>51</v>
      </c>
      <c r="K552" s="136" cm="1">
        <f t="array" ref="K552">IF(COUNTIF($B$49:$E$49, K$2)&gt;0, _xlfn.IFS(COUNTIF($B$49:$C$49, K$2)&gt;0, VLOOKUP($J552,'Gear Values'!$A$2:$E$13, IF(COUNTBLANK('Attributes &amp; Prefixes'!$B$49:$C$49)&gt;0, "2", "3"), 0), COUNTIF($D$49:$E$49, K$2)&gt;0, VLOOKUP($J552,'Gear Values'!$A$2:$E$13, IF(COUNTBLANK('Attributes &amp; Prefixes'!$B$49:$C$49)&gt;0, "4", "5"), 0)), "")</f>
        <v>77</v>
      </c>
      <c r="L552" s="137" t="str" cm="1">
        <f t="array" ref="L552">IF(COUNTIF($B$49:$E$49, L$2)&gt;0, _xlfn.IFS(COUNTIF($B$49:$C$49, L$2)&gt;0, VLOOKUP($J552,'Gear Values'!$A$2:$E$13, IF(COUNTBLANK('Attributes &amp; Prefixes'!$B$49:$C$49)&gt;0, "2", "3"), 0), COUNTIF($D$49:$E$49, L$2)&gt;0, VLOOKUP($J552,'Gear Values'!$A$2:$E$13, IF(COUNTBLANK('Attributes &amp; Prefixes'!$B$49:$C$49)&gt;0, "4", "5"), 0)), "")</f>
        <v/>
      </c>
      <c r="M552" s="137" cm="1">
        <f t="array" ref="M552">IF(COUNTIF($B$49:$E$49, M$2)&gt;0, _xlfn.IFS(COUNTIF($B$49:$C$49, M$2)&gt;0, VLOOKUP($J552,'Gear Values'!$A$2:$E$13, IF(COUNTBLANK('Attributes &amp; Prefixes'!$B$49:$C$49)&gt;0, "2", "3"), 0), COUNTIF($D$49:$E$49, M$2)&gt;0, VLOOKUP($J552,'Gear Values'!$A$2:$E$13, IF(COUNTBLANK('Attributes &amp; Prefixes'!$B$49:$C$49)&gt;0, "4", "5"), 0)), "")</f>
        <v>77</v>
      </c>
      <c r="N552" s="137" t="str" cm="1">
        <f t="array" ref="N552">IF(COUNTIF($B$49:$E$49, N$2)&gt;0, _xlfn.IFS(COUNTIF($B$49:$C$49, N$2)&gt;0, VLOOKUP($J552,'Gear Values'!$A$2:$E$13, IF(COUNTBLANK('Attributes &amp; Prefixes'!$B$49:$C$49)&gt;0, "2", "3"), 0), COUNTIF($D$49:$E$49, N$2)&gt;0, VLOOKUP($J552,'Gear Values'!$A$2:$E$13, IF(COUNTBLANK('Attributes &amp; Prefixes'!$B$49:$C$49)&gt;0, "4", "5"), 0)), "")</f>
        <v/>
      </c>
      <c r="O552" s="137" cm="1">
        <f t="array" ref="O552">IF(COUNTIF($B$49:$E$49, O$2)&gt;0, _xlfn.IFS(COUNTIF($B$49:$C$49, O$2)&gt;0, VLOOKUP($J552,'Gear Values'!$A$2:$E$13, IF(COUNTBLANK('Attributes &amp; Prefixes'!$B$49:$C$49)&gt;0, "2", "3"), 0), COUNTIF($D$49:$E$49, O$2)&gt;0, VLOOKUP($J552,'Gear Values'!$A$2:$E$13, IF(COUNTBLANK('Attributes &amp; Prefixes'!$B$49:$C$49)&gt;0, "4", "5"), 0)), "")</f>
        <v>42</v>
      </c>
      <c r="P552" s="137" t="str" cm="1">
        <f t="array" ref="P552">IF(COUNTIF($B$49:$E$49, P$2)&gt;0, _xlfn.IFS(COUNTIF($B$49:$C$49, P$2)&gt;0, VLOOKUP($J552,'Gear Values'!$A$2:$E$13, IF(COUNTBLANK('Attributes &amp; Prefixes'!$B$49:$C$49)&gt;0, "2", "3"), 0), COUNTIF($D$49:$E$49, P$2)&gt;0, VLOOKUP($J552,'Gear Values'!$A$2:$E$13, IF(COUNTBLANK('Attributes &amp; Prefixes'!$B$49:$C$49)&gt;0, "4", "5"), 0)), "")</f>
        <v/>
      </c>
      <c r="Q552" s="137" cm="1">
        <f t="array" ref="Q552">IF(COUNTIF($B$49:$E$49, Q$2)&gt;0, _xlfn.IFS(COUNTIF($B$49:$C$49, Q$2)&gt;0, VLOOKUP($J552,'Gear Values'!$A$2:$E$13, IF(COUNTBLANK('Attributes &amp; Prefixes'!$B$49:$C$49)&gt;0, "2", "3"), 0), COUNTIF($D$49:$E$49, Q$2)&gt;0, VLOOKUP($J552,'Gear Values'!$A$2:$E$13, IF(COUNTBLANK('Attributes &amp; Prefixes'!$B$49:$C$49)&gt;0, "4", "5"), 0)), "")</f>
        <v>42</v>
      </c>
      <c r="R552" s="137" t="str" cm="1">
        <f t="array" ref="R552">IF(COUNTIF($B$49:$E$49, R$2)&gt;0, _xlfn.IFS(COUNTIF($B$49:$C$49, R$2)&gt;0, VLOOKUP($J552,'Gear Values'!$A$2:$E$13, IF(COUNTBLANK('Attributes &amp; Prefixes'!$B$49:$C$49)&gt;0, "2", "3"), 0), COUNTIF($D$49:$E$49, R$2)&gt;0, VLOOKUP($J552,'Gear Values'!$A$2:$E$13, IF(COUNTBLANK('Attributes &amp; Prefixes'!$B$49:$C$49)&gt;0, "4", "5"), 0)), "")</f>
        <v/>
      </c>
      <c r="S552" s="138" t="str" cm="1">
        <f t="array" ref="S552">IF(COUNTIF($B$49:$E$49, S$2)&gt;0, _xlfn.IFS(COUNTIF($B$49:$C$49, S$2)&gt;0, VLOOKUP($J552,'Gear Values'!$A$2:$E$13, IF(COUNTBLANK('Attributes &amp; Prefixes'!$B$49:$C$49)&gt;0, "2", "3"), 0), COUNTIF($D$49:$E$49, S$2)&gt;0, VLOOKUP($J552,'Gear Values'!$A$2:$E$13, IF(COUNTBLANK('Attributes &amp; Prefixes'!$B$49:$C$49)&gt;0, "4", "5"), 0)), "")</f>
        <v/>
      </c>
      <c r="V552" s="112"/>
      <c r="W552" s="113"/>
    </row>
    <row r="553" spans="6:23">
      <c r="F553" s="114"/>
      <c r="G553" s="114"/>
      <c r="H553" s="130" t="str">
        <f>_xlfn.CONCAT(A$67,J553)</f>
        <v>Flax BlossomNeck</v>
      </c>
      <c r="I553" s="520"/>
      <c r="J553" s="144" t="s">
        <v>52</v>
      </c>
      <c r="K553" s="136" cm="1">
        <f t="array" ref="K553">IF(COUNTIF($B$49:$E$49, K$2)&gt;0, _xlfn.IFS(COUNTIF($B$49:$C$49, K$2)&gt;0, VLOOKUP($J553,'Gear Values'!$A$2:$E$13, IF(COUNTBLANK('Attributes &amp; Prefixes'!$B$49:$C$49)&gt;0, "2", "3"), 0), COUNTIF($D$49:$E$49, K$2)&gt;0, VLOOKUP($J553,'Gear Values'!$A$2:$E$13, IF(COUNTBLANK('Attributes &amp; Prefixes'!$B$49:$C$49)&gt;0, "4", "5"), 0)), "")</f>
        <v>102</v>
      </c>
      <c r="L553" s="137" t="str" cm="1">
        <f t="array" ref="L553">IF(COUNTIF($B$49:$E$49, L$2)&gt;0, _xlfn.IFS(COUNTIF($B$49:$C$49, L$2)&gt;0, VLOOKUP($J553,'Gear Values'!$A$2:$E$13, IF(COUNTBLANK('Attributes &amp; Prefixes'!$B$49:$C$49)&gt;0, "2", "3"), 0), COUNTIF($D$49:$E$49, L$2)&gt;0, VLOOKUP($J553,'Gear Values'!$A$2:$E$13, IF(COUNTBLANK('Attributes &amp; Prefixes'!$B$49:$C$49)&gt;0, "4", "5"), 0)), "")</f>
        <v/>
      </c>
      <c r="M553" s="137" cm="1">
        <f t="array" ref="M553">IF(COUNTIF($B$49:$E$49, M$2)&gt;0, _xlfn.IFS(COUNTIF($B$49:$C$49, M$2)&gt;0, VLOOKUP($J553,'Gear Values'!$A$2:$E$13, IF(COUNTBLANK('Attributes &amp; Prefixes'!$B$49:$C$49)&gt;0, "2", "3"), 0), COUNTIF($D$49:$E$49, M$2)&gt;0, VLOOKUP($J553,'Gear Values'!$A$2:$E$13, IF(COUNTBLANK('Attributes &amp; Prefixes'!$B$49:$C$49)&gt;0, "4", "5"), 0)), "")</f>
        <v>102</v>
      </c>
      <c r="N553" s="137" t="str" cm="1">
        <f t="array" ref="N553">IF(COUNTIF($B$49:$E$49, N$2)&gt;0, _xlfn.IFS(COUNTIF($B$49:$C$49, N$2)&gt;0, VLOOKUP($J553,'Gear Values'!$A$2:$E$13, IF(COUNTBLANK('Attributes &amp; Prefixes'!$B$49:$C$49)&gt;0, "2", "3"), 0), COUNTIF($D$49:$E$49, N$2)&gt;0, VLOOKUP($J553,'Gear Values'!$A$2:$E$13, IF(COUNTBLANK('Attributes &amp; Prefixes'!$B$49:$C$49)&gt;0, "4", "5"), 0)), "")</f>
        <v/>
      </c>
      <c r="O553" s="137" cm="1">
        <f t="array" ref="O553">IF(COUNTIF($B$49:$E$49, O$2)&gt;0, _xlfn.IFS(COUNTIF($B$49:$C$49, O$2)&gt;0, VLOOKUP($J553,'Gear Values'!$A$2:$E$13, IF(COUNTBLANK('Attributes &amp; Prefixes'!$B$49:$C$49)&gt;0, "2", "3"), 0), COUNTIF($D$49:$E$49, O$2)&gt;0, VLOOKUP($J553,'Gear Values'!$A$2:$E$13, IF(COUNTBLANK('Attributes &amp; Prefixes'!$B$49:$C$49)&gt;0, "4", "5"), 0)), "")</f>
        <v>56</v>
      </c>
      <c r="P553" s="137" t="str" cm="1">
        <f t="array" ref="P553">IF(COUNTIF($B$49:$E$49, P$2)&gt;0, _xlfn.IFS(COUNTIF($B$49:$C$49, P$2)&gt;0, VLOOKUP($J553,'Gear Values'!$A$2:$E$13, IF(COUNTBLANK('Attributes &amp; Prefixes'!$B$49:$C$49)&gt;0, "2", "3"), 0), COUNTIF($D$49:$E$49, P$2)&gt;0, VLOOKUP($J553,'Gear Values'!$A$2:$E$13, IF(COUNTBLANK('Attributes &amp; Prefixes'!$B$49:$C$49)&gt;0, "4", "5"), 0)), "")</f>
        <v/>
      </c>
      <c r="Q553" s="137" cm="1">
        <f t="array" ref="Q553">IF(COUNTIF($B$49:$E$49, Q$2)&gt;0, _xlfn.IFS(COUNTIF($B$49:$C$49, Q$2)&gt;0, VLOOKUP($J553,'Gear Values'!$A$2:$E$13, IF(COUNTBLANK('Attributes &amp; Prefixes'!$B$49:$C$49)&gt;0, "2", "3"), 0), COUNTIF($D$49:$E$49, Q$2)&gt;0, VLOOKUP($J553,'Gear Values'!$A$2:$E$13, IF(COUNTBLANK('Attributes &amp; Prefixes'!$B$49:$C$49)&gt;0, "4", "5"), 0)), "")</f>
        <v>56</v>
      </c>
      <c r="R553" s="137" t="str" cm="1">
        <f t="array" ref="R553">IF(COUNTIF($B$49:$E$49, R$2)&gt;0, _xlfn.IFS(COUNTIF($B$49:$C$49, R$2)&gt;0, VLOOKUP($J553,'Gear Values'!$A$2:$E$13, IF(COUNTBLANK('Attributes &amp; Prefixes'!$B$49:$C$49)&gt;0, "2", "3"), 0), COUNTIF($D$49:$E$49, R$2)&gt;0, VLOOKUP($J553,'Gear Values'!$A$2:$E$13, IF(COUNTBLANK('Attributes &amp; Prefixes'!$B$49:$C$49)&gt;0, "4", "5"), 0)), "")</f>
        <v/>
      </c>
      <c r="S553" s="138" t="str" cm="1">
        <f t="array" ref="S553">IF(COUNTIF($B$49:$E$49, S$2)&gt;0, _xlfn.IFS(COUNTIF($B$49:$C$49, S$2)&gt;0, VLOOKUP($J553,'Gear Values'!$A$2:$E$13, IF(COUNTBLANK('Attributes &amp; Prefixes'!$B$49:$C$49)&gt;0, "2", "3"), 0), COUNTIF($D$49:$E$49, S$2)&gt;0, VLOOKUP($J553,'Gear Values'!$A$2:$E$13, IF(COUNTBLANK('Attributes &amp; Prefixes'!$B$49:$C$49)&gt;0, "4", "5"), 0)), "")</f>
        <v/>
      </c>
      <c r="V553" s="112"/>
      <c r="W553" s="113"/>
    </row>
    <row r="554" spans="6:23">
      <c r="F554" s="114"/>
      <c r="G554" s="114"/>
      <c r="H554" s="130" t="str">
        <f>_xlfn.CONCAT(I$543,J554)</f>
        <v>VigilantBack</v>
      </c>
      <c r="I554" s="521"/>
      <c r="J554" s="146" t="s">
        <v>53</v>
      </c>
      <c r="K554" s="147" t="str" cm="1">
        <f t="array" ref="K554">IF(COUNTIF($B$49:$E$49, K$2)&gt;0, _xlfn.IFS(COUNTIF($B$49:$C$49, K$2)&gt;0, VLOOKUP($J554,'Gear Values'!$A$2:$E$13, IF(COUNTBLANK('Attributes &amp; Prefixes'!$B$49:$C$49)&gt;0, "2", "3"), 0), COUNTIF($D$49:$E$49, K$2)&gt;0, VLOOKUP($J554,'Gear Values'!$A$2:$E$13, IF(COUNTBLANK('Attributes &amp; Prefixes'!$B$49:$C$49)&gt;0, "4", "5"), 0)), "")</f>
        <v>N/A</v>
      </c>
      <c r="L554" s="148" t="str" cm="1">
        <f t="array" ref="L554">IF(COUNTIF($B$49:$E$49, L$2)&gt;0, _xlfn.IFS(COUNTIF($B$49:$C$49, L$2)&gt;0, VLOOKUP($J554,'Gear Values'!$A$2:$E$13, IF(COUNTBLANK('Attributes &amp; Prefixes'!$B$49:$C$49)&gt;0, "2", "3"), 0), COUNTIF($D$49:$E$49, L$2)&gt;0, VLOOKUP($J554,'Gear Values'!$A$2:$E$13, IF(COUNTBLANK('Attributes &amp; Prefixes'!$B$49:$C$49)&gt;0, "4", "5"), 0)), "")</f>
        <v/>
      </c>
      <c r="M554" s="148" t="str" cm="1">
        <f t="array" ref="M554">IF(COUNTIF($B$49:$E$49, M$2)&gt;0, _xlfn.IFS(COUNTIF($B$49:$C$49, M$2)&gt;0, VLOOKUP($J554,'Gear Values'!$A$2:$E$13, IF(COUNTBLANK('Attributes &amp; Prefixes'!$B$49:$C$49)&gt;0, "2", "3"), 0), COUNTIF($D$49:$E$49, M$2)&gt;0, VLOOKUP($J554,'Gear Values'!$A$2:$E$13, IF(COUNTBLANK('Attributes &amp; Prefixes'!$B$49:$C$49)&gt;0, "4", "5"), 0)), "")</f>
        <v>N/A</v>
      </c>
      <c r="N554" s="148" t="str" cm="1">
        <f t="array" ref="N554">IF(COUNTIF($B$49:$E$49, N$2)&gt;0, _xlfn.IFS(COUNTIF($B$49:$C$49, N$2)&gt;0, VLOOKUP($J554,'Gear Values'!$A$2:$E$13, IF(COUNTBLANK('Attributes &amp; Prefixes'!$B$49:$C$49)&gt;0, "2", "3"), 0), COUNTIF($D$49:$E$49, N$2)&gt;0, VLOOKUP($J554,'Gear Values'!$A$2:$E$13, IF(COUNTBLANK('Attributes &amp; Prefixes'!$B$49:$C$49)&gt;0, "4", "5"), 0)), "")</f>
        <v/>
      </c>
      <c r="O554" s="148" t="str" cm="1">
        <f t="array" ref="O554">IF(COUNTIF($B$49:$E$49, O$2)&gt;0, _xlfn.IFS(COUNTIF($B$49:$C$49, O$2)&gt;0, VLOOKUP($J554,'Gear Values'!$A$2:$E$13, IF(COUNTBLANK('Attributes &amp; Prefixes'!$B$49:$C$49)&gt;0, "2", "3"), 0), COUNTIF($D$49:$E$49, O$2)&gt;0, VLOOKUP($J554,'Gear Values'!$A$2:$E$13, IF(COUNTBLANK('Attributes &amp; Prefixes'!$B$49:$C$49)&gt;0, "4", "5"), 0)), "")</f>
        <v>N/A</v>
      </c>
      <c r="P554" s="148" t="str" cm="1">
        <f t="array" ref="P554">IF(COUNTIF($B$49:$E$49, P$2)&gt;0, _xlfn.IFS(COUNTIF($B$49:$C$49, P$2)&gt;0, VLOOKUP($J554,'Gear Values'!$A$2:$E$13, IF(COUNTBLANK('Attributes &amp; Prefixes'!$B$49:$C$49)&gt;0, "2", "3"), 0), COUNTIF($D$49:$E$49, P$2)&gt;0, VLOOKUP($J554,'Gear Values'!$A$2:$E$13, IF(COUNTBLANK('Attributes &amp; Prefixes'!$B$49:$C$49)&gt;0, "4", "5"), 0)), "")</f>
        <v/>
      </c>
      <c r="Q554" s="148" t="str" cm="1">
        <f t="array" ref="Q554">IF(COUNTIF($B$49:$E$49, Q$2)&gt;0, _xlfn.IFS(COUNTIF($B$49:$C$49, Q$2)&gt;0, VLOOKUP($J554,'Gear Values'!$A$2:$E$13, IF(COUNTBLANK('Attributes &amp; Prefixes'!$B$49:$C$49)&gt;0, "2", "3"), 0), COUNTIF($D$49:$E$49, Q$2)&gt;0, VLOOKUP($J554,'Gear Values'!$A$2:$E$13, IF(COUNTBLANK('Attributes &amp; Prefixes'!$B$49:$C$49)&gt;0, "4", "5"), 0)), "")</f>
        <v>N/A</v>
      </c>
      <c r="R554" s="148" t="str" cm="1">
        <f t="array" ref="R554">IF(COUNTIF($B$49:$E$49, R$2)&gt;0, _xlfn.IFS(COUNTIF($B$49:$C$49, R$2)&gt;0, VLOOKUP($J554,'Gear Values'!$A$2:$E$13, IF(COUNTBLANK('Attributes &amp; Prefixes'!$B$49:$C$49)&gt;0, "2", "3"), 0), COUNTIF($D$49:$E$49, R$2)&gt;0, VLOOKUP($J554,'Gear Values'!$A$2:$E$13, IF(COUNTBLANK('Attributes &amp; Prefixes'!$B$49:$C$49)&gt;0, "4", "5"), 0)), "")</f>
        <v/>
      </c>
      <c r="S554" s="150" t="str" cm="1">
        <f t="array" ref="S554">IF(COUNTIF($B$49:$E$49, S$2)&gt;0, _xlfn.IFS(COUNTIF($B$49:$C$49, S$2)&gt;0, VLOOKUP($J554,'Gear Values'!$A$2:$E$13, IF(COUNTBLANK('Attributes &amp; Prefixes'!$B$49:$C$49)&gt;0, "2", "3"), 0), COUNTIF($D$49:$E$49, S$2)&gt;0, VLOOKUP($J554,'Gear Values'!$A$2:$E$13, IF(COUNTBLANK('Attributes &amp; Prefixes'!$B$49:$C$49)&gt;0, "4", "5"), 0)), "")</f>
        <v/>
      </c>
      <c r="V554" s="112"/>
      <c r="W554" s="113"/>
    </row>
    <row r="555" spans="6:23">
      <c r="F555" s="114"/>
      <c r="G555" s="114"/>
      <c r="H555" s="130" t="str">
        <f>_xlfn.CONCAT(I$555,J555)</f>
        <v>ViperWeapon (1H)</v>
      </c>
      <c r="I555" s="519" t="str">
        <f>A50</f>
        <v>Viper</v>
      </c>
      <c r="J555" s="145" t="s">
        <v>37</v>
      </c>
      <c r="K555" s="133" cm="1">
        <f t="array" ref="K555">IF(COUNTIF($B$50:$E$50, K$2)&gt;0, _xlfn.IFS(COUNTIF($B$50:$C$50, K$2)&gt;0, VLOOKUP($J555,'Gear Values'!$A$2:$E$13, IF(COUNTBLANK('Attributes &amp; Prefixes'!$B$50:$C$50)&gt;0, "2", "3"), 0), COUNTIF($D$50:$E$50, K$2)&gt;0, VLOOKUP($J555,'Gear Values'!$A$2:$E$13, IF(COUNTBLANK('Attributes &amp; Prefixes'!$B$50:$C$50)&gt;0, "4", "5"), 0)), "")</f>
        <v>102</v>
      </c>
      <c r="L555" s="134" cm="1">
        <f t="array" ref="L555">IF(COUNTIF($B$50:$E$50, L$2)&gt;0, _xlfn.IFS(COUNTIF($B$50:$C$50, L$2)&gt;0, VLOOKUP($J555,'Gear Values'!$A$2:$E$13, IF(COUNTBLANK('Attributes &amp; Prefixes'!$B$50:$C$50)&gt;0, "2", "3"), 0), COUNTIF($D$50:$E$50, L$2)&gt;0, VLOOKUP($J555,'Gear Values'!$A$2:$E$13, IF(COUNTBLANK('Attributes &amp; Prefixes'!$B$50:$C$50)&gt;0, "4", "5"), 0)), "")</f>
        <v>56</v>
      </c>
      <c r="M555" s="134" t="str" cm="1">
        <f t="array" ref="M555">IF(COUNTIF($B$50:$E$50, M$2)&gt;0, _xlfn.IFS(COUNTIF($B$50:$C$50, M$2)&gt;0, VLOOKUP($J555,'Gear Values'!$A$2:$E$13, IF(COUNTBLANK('Attributes &amp; Prefixes'!$B$50:$C$50)&gt;0, "2", "3"), 0), COUNTIF($D$50:$E$50, M$2)&gt;0, VLOOKUP($J555,'Gear Values'!$A$2:$E$13, IF(COUNTBLANK('Attributes &amp; Prefixes'!$B$50:$C$50)&gt;0, "4", "5"), 0)), "")</f>
        <v/>
      </c>
      <c r="N555" s="134" t="str" cm="1">
        <f t="array" ref="N555">IF(COUNTIF($B$50:$E$50, N$2)&gt;0, _xlfn.IFS(COUNTIF($B$50:$C$50, N$2)&gt;0, VLOOKUP($J555,'Gear Values'!$A$2:$E$13, IF(COUNTBLANK('Attributes &amp; Prefixes'!$B$50:$C$50)&gt;0, "2", "3"), 0), COUNTIF($D$50:$E$50, N$2)&gt;0, VLOOKUP($J555,'Gear Values'!$A$2:$E$13, IF(COUNTBLANK('Attributes &amp; Prefixes'!$B$50:$C$50)&gt;0, "4", "5"), 0)), "")</f>
        <v/>
      </c>
      <c r="O555" s="134" t="str" cm="1">
        <f t="array" ref="O555">IF(COUNTIF($B$50:$E$50, O$2)&gt;0, _xlfn.IFS(COUNTIF($B$50:$C$50, O$2)&gt;0, VLOOKUP($J555,'Gear Values'!$A$2:$E$13, IF(COUNTBLANK('Attributes &amp; Prefixes'!$B$50:$C$50)&gt;0, "2", "3"), 0), COUNTIF($D$50:$E$50, O$2)&gt;0, VLOOKUP($J555,'Gear Values'!$A$2:$E$13, IF(COUNTBLANK('Attributes &amp; Prefixes'!$B$50:$C$50)&gt;0, "4", "5"), 0)), "")</f>
        <v/>
      </c>
      <c r="P555" s="134" cm="1">
        <f t="array" ref="P555">IF(COUNTIF($B$50:$E$50, P$2)&gt;0, _xlfn.IFS(COUNTIF($B$50:$C$50, P$2)&gt;0, VLOOKUP($J555,'Gear Values'!$A$2:$E$13, IF(COUNTBLANK('Attributes &amp; Prefixes'!$B$50:$C$50)&gt;0, "2", "3"), 0), COUNTIF($D$50:$E$50, P$2)&gt;0, VLOOKUP($J555,'Gear Values'!$A$2:$E$13, IF(COUNTBLANK('Attributes &amp; Prefixes'!$B$50:$C$50)&gt;0, "4", "5"), 0)), "")</f>
        <v>102</v>
      </c>
      <c r="Q555" s="134" cm="1">
        <f t="array" ref="Q555">IF(COUNTIF($B$50:$E$50, Q$2)&gt;0, _xlfn.IFS(COUNTIF($B$50:$C$50, Q$2)&gt;0, VLOOKUP($J555,'Gear Values'!$A$2:$E$13, IF(COUNTBLANK('Attributes &amp; Prefixes'!$B$50:$C$50)&gt;0, "2", "3"), 0), COUNTIF($D$50:$E$50, Q$2)&gt;0, VLOOKUP($J555,'Gear Values'!$A$2:$E$13, IF(COUNTBLANK('Attributes &amp; Prefixes'!$B$50:$C$50)&gt;0, "4", "5"), 0)), "")</f>
        <v>56</v>
      </c>
      <c r="R555" s="134" t="str" cm="1">
        <f t="array" ref="R555">IF(COUNTIF($B$50:$E$50, R$2)&gt;0, _xlfn.IFS(COUNTIF($B$50:$C$50, R$2)&gt;0, VLOOKUP($J555,'Gear Values'!$A$2:$E$13, IF(COUNTBLANK('Attributes &amp; Prefixes'!$B$50:$C$50)&gt;0, "2", "3"), 0), COUNTIF($D$50:$E$50, R$2)&gt;0, VLOOKUP($J555,'Gear Values'!$A$2:$E$13, IF(COUNTBLANK('Attributes &amp; Prefixes'!$B$50:$C$50)&gt;0, "4", "5"), 0)), "")</f>
        <v/>
      </c>
      <c r="S555" s="135" t="str" cm="1">
        <f t="array" ref="S555">IF(COUNTIF($B$50:$E$50, S$2)&gt;0, _xlfn.IFS(COUNTIF($B$50:$C$50, S$2)&gt;0, VLOOKUP($J555,'Gear Values'!$A$2:$E$13, IF(COUNTBLANK('Attributes &amp; Prefixes'!$B$50:$C$50)&gt;0, "2", "3"), 0), COUNTIF($D$50:$E$50, S$2)&gt;0, VLOOKUP($J555,'Gear Values'!$A$2:$E$13, IF(COUNTBLANK('Attributes &amp; Prefixes'!$B$50:$C$50)&gt;0, "4", "5"), 0)), "")</f>
        <v/>
      </c>
      <c r="V555" s="112"/>
      <c r="W555" s="113"/>
    </row>
    <row r="556" spans="6:23">
      <c r="F556" s="114"/>
      <c r="G556" s="114"/>
      <c r="H556" s="130" t="str">
        <f>_xlfn.CONCAT(I$555,J556)</f>
        <v>ViperWeapon (2H)</v>
      </c>
      <c r="I556" s="520"/>
      <c r="J556" s="144" t="s">
        <v>39</v>
      </c>
      <c r="K556" s="136" cm="1">
        <f t="array" ref="K556">IF(COUNTIF($B$50:$E$50, K$2)&gt;0, _xlfn.IFS(COUNTIF($B$50:$C$50, K$2)&gt;0, VLOOKUP($J556,'Gear Values'!$A$2:$E$13, IF(COUNTBLANK('Attributes &amp; Prefixes'!$B$50:$C$50)&gt;0, "2", "3"), 0), COUNTIF($D$50:$E$50, K$2)&gt;0, VLOOKUP($J556,'Gear Values'!$A$2:$E$13, IF(COUNTBLANK('Attributes &amp; Prefixes'!$B$50:$C$50)&gt;0, "4", "5"), 0)), "")</f>
        <v>205</v>
      </c>
      <c r="L556" s="137" cm="1">
        <f t="array" ref="L556">IF(COUNTIF($B$50:$E$50, L$2)&gt;0, _xlfn.IFS(COUNTIF($B$50:$C$50, L$2)&gt;0, VLOOKUP($J556,'Gear Values'!$A$2:$E$13, IF(COUNTBLANK('Attributes &amp; Prefixes'!$B$50:$C$50)&gt;0, "2", "3"), 0), COUNTIF($D$50:$E$50, L$2)&gt;0, VLOOKUP($J556,'Gear Values'!$A$2:$E$13, IF(COUNTBLANK('Attributes &amp; Prefixes'!$B$50:$C$50)&gt;0, "4", "5"), 0)), "")</f>
        <v>113</v>
      </c>
      <c r="M556" s="137" t="str" cm="1">
        <f t="array" ref="M556">IF(COUNTIF($B$50:$E$50, M$2)&gt;0, _xlfn.IFS(COUNTIF($B$50:$C$50, M$2)&gt;0, VLOOKUP($J556,'Gear Values'!$A$2:$E$13, IF(COUNTBLANK('Attributes &amp; Prefixes'!$B$50:$C$50)&gt;0, "2", "3"), 0), COUNTIF($D$50:$E$50, M$2)&gt;0, VLOOKUP($J556,'Gear Values'!$A$2:$E$13, IF(COUNTBLANK('Attributes &amp; Prefixes'!$B$50:$C$50)&gt;0, "4", "5"), 0)), "")</f>
        <v/>
      </c>
      <c r="N556" s="137" t="str" cm="1">
        <f t="array" ref="N556">IF(COUNTIF($B$50:$E$50, N$2)&gt;0, _xlfn.IFS(COUNTIF($B$50:$C$50, N$2)&gt;0, VLOOKUP($J556,'Gear Values'!$A$2:$E$13, IF(COUNTBLANK('Attributes &amp; Prefixes'!$B$50:$C$50)&gt;0, "2", "3"), 0), COUNTIF($D$50:$E$50, N$2)&gt;0, VLOOKUP($J556,'Gear Values'!$A$2:$E$13, IF(COUNTBLANK('Attributes &amp; Prefixes'!$B$50:$C$50)&gt;0, "4", "5"), 0)), "")</f>
        <v/>
      </c>
      <c r="O556" s="137" t="str" cm="1">
        <f t="array" ref="O556">IF(COUNTIF($B$50:$E$50, O$2)&gt;0, _xlfn.IFS(COUNTIF($B$50:$C$50, O$2)&gt;0, VLOOKUP($J556,'Gear Values'!$A$2:$E$13, IF(COUNTBLANK('Attributes &amp; Prefixes'!$B$50:$C$50)&gt;0, "2", "3"), 0), COUNTIF($D$50:$E$50, O$2)&gt;0, VLOOKUP($J556,'Gear Values'!$A$2:$E$13, IF(COUNTBLANK('Attributes &amp; Prefixes'!$B$50:$C$50)&gt;0, "4", "5"), 0)), "")</f>
        <v/>
      </c>
      <c r="P556" s="137" cm="1">
        <f t="array" ref="P556">IF(COUNTIF($B$50:$E$50, P$2)&gt;0, _xlfn.IFS(COUNTIF($B$50:$C$50, P$2)&gt;0, VLOOKUP($J556,'Gear Values'!$A$2:$E$13, IF(COUNTBLANK('Attributes &amp; Prefixes'!$B$50:$C$50)&gt;0, "2", "3"), 0), COUNTIF($D$50:$E$50, P$2)&gt;0, VLOOKUP($J556,'Gear Values'!$A$2:$E$13, IF(COUNTBLANK('Attributes &amp; Prefixes'!$B$50:$C$50)&gt;0, "4", "5"), 0)), "")</f>
        <v>205</v>
      </c>
      <c r="Q556" s="137" cm="1">
        <f t="array" ref="Q556">IF(COUNTIF($B$50:$E$50, Q$2)&gt;0, _xlfn.IFS(COUNTIF($B$50:$C$50, Q$2)&gt;0, VLOOKUP($J556,'Gear Values'!$A$2:$E$13, IF(COUNTBLANK('Attributes &amp; Prefixes'!$B$50:$C$50)&gt;0, "2", "3"), 0), COUNTIF($D$50:$E$50, Q$2)&gt;0, VLOOKUP($J556,'Gear Values'!$A$2:$E$13, IF(COUNTBLANK('Attributes &amp; Prefixes'!$B$50:$C$50)&gt;0, "4", "5"), 0)), "")</f>
        <v>113</v>
      </c>
      <c r="R556" s="137" t="str" cm="1">
        <f t="array" ref="R556">IF(COUNTIF($B$50:$E$50, R$2)&gt;0, _xlfn.IFS(COUNTIF($B$50:$C$50, R$2)&gt;0, VLOOKUP($J556,'Gear Values'!$A$2:$E$13, IF(COUNTBLANK('Attributes &amp; Prefixes'!$B$50:$C$50)&gt;0, "2", "3"), 0), COUNTIF($D$50:$E$50, R$2)&gt;0, VLOOKUP($J556,'Gear Values'!$A$2:$E$13, IF(COUNTBLANK('Attributes &amp; Prefixes'!$B$50:$C$50)&gt;0, "4", "5"), 0)), "")</f>
        <v/>
      </c>
      <c r="S556" s="138" t="str" cm="1">
        <f t="array" ref="S556">IF(COUNTIF($B$50:$E$50, S$2)&gt;0, _xlfn.IFS(COUNTIF($B$50:$C$50, S$2)&gt;0, VLOOKUP($J556,'Gear Values'!$A$2:$E$13, IF(COUNTBLANK('Attributes &amp; Prefixes'!$B$50:$C$50)&gt;0, "2", "3"), 0), COUNTIF($D$50:$E$50, S$2)&gt;0, VLOOKUP($J556,'Gear Values'!$A$2:$E$13, IF(COUNTBLANK('Attributes &amp; Prefixes'!$B$50:$C$50)&gt;0, "4", "5"), 0)), "")</f>
        <v/>
      </c>
      <c r="V556" s="112"/>
      <c r="W556" s="113"/>
    </row>
    <row r="557" spans="6:23">
      <c r="F557" s="114"/>
      <c r="G557" s="114"/>
      <c r="H557" s="130" t="str">
        <f>_xlfn.CONCAT(I$555,J557)</f>
        <v>ViperHead</v>
      </c>
      <c r="I557" s="520"/>
      <c r="J557" s="144" t="s">
        <v>40</v>
      </c>
      <c r="K557" s="136" cm="1">
        <f t="array" ref="K557">IF(COUNTIF($B$50:$E$50, K$2)&gt;0, _xlfn.IFS(COUNTIF($B$50:$C$50, K$2)&gt;0, VLOOKUP($J557,'Gear Values'!$A$2:$E$13, IF(COUNTBLANK('Attributes &amp; Prefixes'!$B$50:$C$50)&gt;0, "2", "3"), 0), COUNTIF($D$50:$E$50, K$2)&gt;0, VLOOKUP($J557,'Gear Values'!$A$2:$E$13, IF(COUNTBLANK('Attributes &amp; Prefixes'!$B$50:$C$50)&gt;0, "4", "5"), 0)), "")</f>
        <v>51</v>
      </c>
      <c r="L557" s="137" cm="1">
        <f t="array" ref="L557">IF(COUNTIF($B$50:$E$50, L$2)&gt;0, _xlfn.IFS(COUNTIF($B$50:$C$50, L$2)&gt;0, VLOOKUP($J557,'Gear Values'!$A$2:$E$13, IF(COUNTBLANK('Attributes &amp; Prefixes'!$B$50:$C$50)&gt;0, "2", "3"), 0), COUNTIF($D$50:$E$50, L$2)&gt;0, VLOOKUP($J557,'Gear Values'!$A$2:$E$13, IF(COUNTBLANK('Attributes &amp; Prefixes'!$B$50:$C$50)&gt;0, "4", "5"), 0)), "")</f>
        <v>28</v>
      </c>
      <c r="M557" s="137" t="str" cm="1">
        <f t="array" ref="M557">IF(COUNTIF($B$50:$E$50, M$2)&gt;0, _xlfn.IFS(COUNTIF($B$50:$C$50, M$2)&gt;0, VLOOKUP($J557,'Gear Values'!$A$2:$E$13, IF(COUNTBLANK('Attributes &amp; Prefixes'!$B$50:$C$50)&gt;0, "2", "3"), 0), COUNTIF($D$50:$E$50, M$2)&gt;0, VLOOKUP($J557,'Gear Values'!$A$2:$E$13, IF(COUNTBLANK('Attributes &amp; Prefixes'!$B$50:$C$50)&gt;0, "4", "5"), 0)), "")</f>
        <v/>
      </c>
      <c r="N557" s="137" t="str" cm="1">
        <f t="array" ref="N557">IF(COUNTIF($B$50:$E$50, N$2)&gt;0, _xlfn.IFS(COUNTIF($B$50:$C$50, N$2)&gt;0, VLOOKUP($J557,'Gear Values'!$A$2:$E$13, IF(COUNTBLANK('Attributes &amp; Prefixes'!$B$50:$C$50)&gt;0, "2", "3"), 0), COUNTIF($D$50:$E$50, N$2)&gt;0, VLOOKUP($J557,'Gear Values'!$A$2:$E$13, IF(COUNTBLANK('Attributes &amp; Prefixes'!$B$50:$C$50)&gt;0, "4", "5"), 0)), "")</f>
        <v/>
      </c>
      <c r="O557" s="137" t="str" cm="1">
        <f t="array" ref="O557">IF(COUNTIF($B$50:$E$50, O$2)&gt;0, _xlfn.IFS(COUNTIF($B$50:$C$50, O$2)&gt;0, VLOOKUP($J557,'Gear Values'!$A$2:$E$13, IF(COUNTBLANK('Attributes &amp; Prefixes'!$B$50:$C$50)&gt;0, "2", "3"), 0), COUNTIF($D$50:$E$50, O$2)&gt;0, VLOOKUP($J557,'Gear Values'!$A$2:$E$13, IF(COUNTBLANK('Attributes &amp; Prefixes'!$B$50:$C$50)&gt;0, "4", "5"), 0)), "")</f>
        <v/>
      </c>
      <c r="P557" s="137" cm="1">
        <f t="array" ref="P557">IF(COUNTIF($B$50:$E$50, P$2)&gt;0, _xlfn.IFS(COUNTIF($B$50:$C$50, P$2)&gt;0, VLOOKUP($J557,'Gear Values'!$A$2:$E$13, IF(COUNTBLANK('Attributes &amp; Prefixes'!$B$50:$C$50)&gt;0, "2", "3"), 0), COUNTIF($D$50:$E$50, P$2)&gt;0, VLOOKUP($J557,'Gear Values'!$A$2:$E$13, IF(COUNTBLANK('Attributes &amp; Prefixes'!$B$50:$C$50)&gt;0, "4", "5"), 0)), "")</f>
        <v>51</v>
      </c>
      <c r="Q557" s="137" cm="1">
        <f t="array" ref="Q557">IF(COUNTIF($B$50:$E$50, Q$2)&gt;0, _xlfn.IFS(COUNTIF($B$50:$C$50, Q$2)&gt;0, VLOOKUP($J557,'Gear Values'!$A$2:$E$13, IF(COUNTBLANK('Attributes &amp; Prefixes'!$B$50:$C$50)&gt;0, "2", "3"), 0), COUNTIF($D$50:$E$50, Q$2)&gt;0, VLOOKUP($J557,'Gear Values'!$A$2:$E$13, IF(COUNTBLANK('Attributes &amp; Prefixes'!$B$50:$C$50)&gt;0, "4", "5"), 0)), "")</f>
        <v>28</v>
      </c>
      <c r="R557" s="137" t="str" cm="1">
        <f t="array" ref="R557">IF(COUNTIF($B$50:$E$50, R$2)&gt;0, _xlfn.IFS(COUNTIF($B$50:$C$50, R$2)&gt;0, VLOOKUP($J557,'Gear Values'!$A$2:$E$13, IF(COUNTBLANK('Attributes &amp; Prefixes'!$B$50:$C$50)&gt;0, "2", "3"), 0), COUNTIF($D$50:$E$50, R$2)&gt;0, VLOOKUP($J557,'Gear Values'!$A$2:$E$13, IF(COUNTBLANK('Attributes &amp; Prefixes'!$B$50:$C$50)&gt;0, "4", "5"), 0)), "")</f>
        <v/>
      </c>
      <c r="S557" s="138" t="str" cm="1">
        <f t="array" ref="S557">IF(COUNTIF($B$50:$E$50, S$2)&gt;0, _xlfn.IFS(COUNTIF($B$50:$C$50, S$2)&gt;0, VLOOKUP($J557,'Gear Values'!$A$2:$E$13, IF(COUNTBLANK('Attributes &amp; Prefixes'!$B$50:$C$50)&gt;0, "2", "3"), 0), COUNTIF($D$50:$E$50, S$2)&gt;0, VLOOKUP($J557,'Gear Values'!$A$2:$E$13, IF(COUNTBLANK('Attributes &amp; Prefixes'!$B$50:$C$50)&gt;0, "4", "5"), 0)), "")</f>
        <v/>
      </c>
      <c r="V557" s="112"/>
      <c r="W557" s="113"/>
    </row>
    <row r="558" spans="6:23">
      <c r="F558" s="114"/>
      <c r="G558" s="114"/>
      <c r="H558" s="130" t="str">
        <f>_xlfn.CONCAT(I$555,J558)</f>
        <v>ViperShoulders</v>
      </c>
      <c r="I558" s="520"/>
      <c r="J558" s="144" t="s">
        <v>42</v>
      </c>
      <c r="K558" s="136" cm="1">
        <f t="array" ref="K558">IF(COUNTIF($B$50:$E$50, K$2)&gt;0, _xlfn.IFS(COUNTIF($B$50:$C$50, K$2)&gt;0, VLOOKUP($J558,'Gear Values'!$A$2:$E$13, IF(COUNTBLANK('Attributes &amp; Prefixes'!$B$50:$C$50)&gt;0, "2", "3"), 0), COUNTIF($D$50:$E$50, K$2)&gt;0, VLOOKUP($J558,'Gear Values'!$A$2:$E$13, IF(COUNTBLANK('Attributes &amp; Prefixes'!$B$50:$C$50)&gt;0, "4", "5"), 0)), "")</f>
        <v>38</v>
      </c>
      <c r="L558" s="137" cm="1">
        <f t="array" ref="L558">IF(COUNTIF($B$50:$E$50, L$2)&gt;0, _xlfn.IFS(COUNTIF($B$50:$C$50, L$2)&gt;0, VLOOKUP($J558,'Gear Values'!$A$2:$E$13, IF(COUNTBLANK('Attributes &amp; Prefixes'!$B$50:$C$50)&gt;0, "2", "3"), 0), COUNTIF($D$50:$E$50, L$2)&gt;0, VLOOKUP($J558,'Gear Values'!$A$2:$E$13, IF(COUNTBLANK('Attributes &amp; Prefixes'!$B$50:$C$50)&gt;0, "4", "5"), 0)), "")</f>
        <v>21</v>
      </c>
      <c r="M558" s="137" t="str" cm="1">
        <f t="array" ref="M558">IF(COUNTIF($B$50:$E$50, M$2)&gt;0, _xlfn.IFS(COUNTIF($B$50:$C$50, M$2)&gt;0, VLOOKUP($J558,'Gear Values'!$A$2:$E$13, IF(COUNTBLANK('Attributes &amp; Prefixes'!$B$50:$C$50)&gt;0, "2", "3"), 0), COUNTIF($D$50:$E$50, M$2)&gt;0, VLOOKUP($J558,'Gear Values'!$A$2:$E$13, IF(COUNTBLANK('Attributes &amp; Prefixes'!$B$50:$C$50)&gt;0, "4", "5"), 0)), "")</f>
        <v/>
      </c>
      <c r="N558" s="137" t="str" cm="1">
        <f t="array" ref="N558">IF(COUNTIF($B$50:$E$50, N$2)&gt;0, _xlfn.IFS(COUNTIF($B$50:$C$50, N$2)&gt;0, VLOOKUP($J558,'Gear Values'!$A$2:$E$13, IF(COUNTBLANK('Attributes &amp; Prefixes'!$B$50:$C$50)&gt;0, "2", "3"), 0), COUNTIF($D$50:$E$50, N$2)&gt;0, VLOOKUP($J558,'Gear Values'!$A$2:$E$13, IF(COUNTBLANK('Attributes &amp; Prefixes'!$B$50:$C$50)&gt;0, "4", "5"), 0)), "")</f>
        <v/>
      </c>
      <c r="O558" s="137" t="str" cm="1">
        <f t="array" ref="O558">IF(COUNTIF($B$50:$E$50, O$2)&gt;0, _xlfn.IFS(COUNTIF($B$50:$C$50, O$2)&gt;0, VLOOKUP($J558,'Gear Values'!$A$2:$E$13, IF(COUNTBLANK('Attributes &amp; Prefixes'!$B$50:$C$50)&gt;0, "2", "3"), 0), COUNTIF($D$50:$E$50, O$2)&gt;0, VLOOKUP($J558,'Gear Values'!$A$2:$E$13, IF(COUNTBLANK('Attributes &amp; Prefixes'!$B$50:$C$50)&gt;0, "4", "5"), 0)), "")</f>
        <v/>
      </c>
      <c r="P558" s="137" cm="1">
        <f t="array" ref="P558">IF(COUNTIF($B$50:$E$50, P$2)&gt;0, _xlfn.IFS(COUNTIF($B$50:$C$50, P$2)&gt;0, VLOOKUP($J558,'Gear Values'!$A$2:$E$13, IF(COUNTBLANK('Attributes &amp; Prefixes'!$B$50:$C$50)&gt;0, "2", "3"), 0), COUNTIF($D$50:$E$50, P$2)&gt;0, VLOOKUP($J558,'Gear Values'!$A$2:$E$13, IF(COUNTBLANK('Attributes &amp; Prefixes'!$B$50:$C$50)&gt;0, "4", "5"), 0)), "")</f>
        <v>38</v>
      </c>
      <c r="Q558" s="137" cm="1">
        <f t="array" ref="Q558">IF(COUNTIF($B$50:$E$50, Q$2)&gt;0, _xlfn.IFS(COUNTIF($B$50:$C$50, Q$2)&gt;0, VLOOKUP($J558,'Gear Values'!$A$2:$E$13, IF(COUNTBLANK('Attributes &amp; Prefixes'!$B$50:$C$50)&gt;0, "2", "3"), 0), COUNTIF($D$50:$E$50, Q$2)&gt;0, VLOOKUP($J558,'Gear Values'!$A$2:$E$13, IF(COUNTBLANK('Attributes &amp; Prefixes'!$B$50:$C$50)&gt;0, "4", "5"), 0)), "")</f>
        <v>21</v>
      </c>
      <c r="R558" s="137" t="str" cm="1">
        <f t="array" ref="R558">IF(COUNTIF($B$50:$E$50, R$2)&gt;0, _xlfn.IFS(COUNTIF($B$50:$C$50, R$2)&gt;0, VLOOKUP($J558,'Gear Values'!$A$2:$E$13, IF(COUNTBLANK('Attributes &amp; Prefixes'!$B$50:$C$50)&gt;0, "2", "3"), 0), COUNTIF($D$50:$E$50, R$2)&gt;0, VLOOKUP($J558,'Gear Values'!$A$2:$E$13, IF(COUNTBLANK('Attributes &amp; Prefixes'!$B$50:$C$50)&gt;0, "4", "5"), 0)), "")</f>
        <v/>
      </c>
      <c r="S558" s="138" t="str" cm="1">
        <f t="array" ref="S558">IF(COUNTIF($B$50:$E$50, S$2)&gt;0, _xlfn.IFS(COUNTIF($B$50:$C$50, S$2)&gt;0, VLOOKUP($J558,'Gear Values'!$A$2:$E$13, IF(COUNTBLANK('Attributes &amp; Prefixes'!$B$50:$C$50)&gt;0, "2", "3"), 0), COUNTIF($D$50:$E$50, S$2)&gt;0, VLOOKUP($J558,'Gear Values'!$A$2:$E$13, IF(COUNTBLANK('Attributes &amp; Prefixes'!$B$50:$C$50)&gt;0, "4", "5"), 0)), "")</f>
        <v/>
      </c>
      <c r="V558" s="112"/>
      <c r="W558" s="113"/>
    </row>
    <row r="559" spans="6:23">
      <c r="F559" s="114"/>
      <c r="G559" s="114"/>
      <c r="H559" s="130" t="str">
        <f>_xlfn.CONCAT(I$555,J559)</f>
        <v>ViperChest</v>
      </c>
      <c r="I559" s="520"/>
      <c r="J559" s="144" t="s">
        <v>44</v>
      </c>
      <c r="K559" s="136" cm="1">
        <f t="array" ref="K559">IF(COUNTIF($B$50:$E$50, K$2)&gt;0, _xlfn.IFS(COUNTIF($B$50:$C$50, K$2)&gt;0, VLOOKUP($J559,'Gear Values'!$A$2:$E$13, IF(COUNTBLANK('Attributes &amp; Prefixes'!$B$50:$C$50)&gt;0, "2", "3"), 0), COUNTIF($D$50:$E$50, K$2)&gt;0, VLOOKUP($J559,'Gear Values'!$A$2:$E$13, IF(COUNTBLANK('Attributes &amp; Prefixes'!$B$50:$C$50)&gt;0, "4", "5"), 0)), "")</f>
        <v>115</v>
      </c>
      <c r="L559" s="137" cm="1">
        <f t="array" ref="L559">IF(COUNTIF($B$50:$E$50, L$2)&gt;0, _xlfn.IFS(COUNTIF($B$50:$C$50, L$2)&gt;0, VLOOKUP($J559,'Gear Values'!$A$2:$E$13, IF(COUNTBLANK('Attributes &amp; Prefixes'!$B$50:$C$50)&gt;0, "2", "3"), 0), COUNTIF($D$50:$E$50, L$2)&gt;0, VLOOKUP($J559,'Gear Values'!$A$2:$E$13, IF(COUNTBLANK('Attributes &amp; Prefixes'!$B$50:$C$50)&gt;0, "4", "5"), 0)), "")</f>
        <v>63</v>
      </c>
      <c r="M559" s="137" t="str" cm="1">
        <f t="array" ref="M559">IF(COUNTIF($B$50:$E$50, M$2)&gt;0, _xlfn.IFS(COUNTIF($B$50:$C$50, M$2)&gt;0, VLOOKUP($J559,'Gear Values'!$A$2:$E$13, IF(COUNTBLANK('Attributes &amp; Prefixes'!$B$50:$C$50)&gt;0, "2", "3"), 0), COUNTIF($D$50:$E$50, M$2)&gt;0, VLOOKUP($J559,'Gear Values'!$A$2:$E$13, IF(COUNTBLANK('Attributes &amp; Prefixes'!$B$50:$C$50)&gt;0, "4", "5"), 0)), "")</f>
        <v/>
      </c>
      <c r="N559" s="137" t="str" cm="1">
        <f t="array" ref="N559">IF(COUNTIF($B$50:$E$50, N$2)&gt;0, _xlfn.IFS(COUNTIF($B$50:$C$50, N$2)&gt;0, VLOOKUP($J559,'Gear Values'!$A$2:$E$13, IF(COUNTBLANK('Attributes &amp; Prefixes'!$B$50:$C$50)&gt;0, "2", "3"), 0), COUNTIF($D$50:$E$50, N$2)&gt;0, VLOOKUP($J559,'Gear Values'!$A$2:$E$13, IF(COUNTBLANK('Attributes &amp; Prefixes'!$B$50:$C$50)&gt;0, "4", "5"), 0)), "")</f>
        <v/>
      </c>
      <c r="O559" s="137" t="str" cm="1">
        <f t="array" ref="O559">IF(COUNTIF($B$50:$E$50, O$2)&gt;0, _xlfn.IFS(COUNTIF($B$50:$C$50, O$2)&gt;0, VLOOKUP($J559,'Gear Values'!$A$2:$E$13, IF(COUNTBLANK('Attributes &amp; Prefixes'!$B$50:$C$50)&gt;0, "2", "3"), 0), COUNTIF($D$50:$E$50, O$2)&gt;0, VLOOKUP($J559,'Gear Values'!$A$2:$E$13, IF(COUNTBLANK('Attributes &amp; Prefixes'!$B$50:$C$50)&gt;0, "4", "5"), 0)), "")</f>
        <v/>
      </c>
      <c r="P559" s="137" cm="1">
        <f t="array" ref="P559">IF(COUNTIF($B$50:$E$50, P$2)&gt;0, _xlfn.IFS(COUNTIF($B$50:$C$50, P$2)&gt;0, VLOOKUP($J559,'Gear Values'!$A$2:$E$13, IF(COUNTBLANK('Attributes &amp; Prefixes'!$B$50:$C$50)&gt;0, "2", "3"), 0), COUNTIF($D$50:$E$50, P$2)&gt;0, VLOOKUP($J559,'Gear Values'!$A$2:$E$13, IF(COUNTBLANK('Attributes &amp; Prefixes'!$B$50:$C$50)&gt;0, "4", "5"), 0)), "")</f>
        <v>115</v>
      </c>
      <c r="Q559" s="137" cm="1">
        <f t="array" ref="Q559">IF(COUNTIF($B$50:$E$50, Q$2)&gt;0, _xlfn.IFS(COUNTIF($B$50:$C$50, Q$2)&gt;0, VLOOKUP($J559,'Gear Values'!$A$2:$E$13, IF(COUNTBLANK('Attributes &amp; Prefixes'!$B$50:$C$50)&gt;0, "2", "3"), 0), COUNTIF($D$50:$E$50, Q$2)&gt;0, VLOOKUP($J559,'Gear Values'!$A$2:$E$13, IF(COUNTBLANK('Attributes &amp; Prefixes'!$B$50:$C$50)&gt;0, "4", "5"), 0)), "")</f>
        <v>63</v>
      </c>
      <c r="R559" s="137" t="str" cm="1">
        <f t="array" ref="R559">IF(COUNTIF($B$50:$E$50, R$2)&gt;0, _xlfn.IFS(COUNTIF($B$50:$C$50, R$2)&gt;0, VLOOKUP($J559,'Gear Values'!$A$2:$E$13, IF(COUNTBLANK('Attributes &amp; Prefixes'!$B$50:$C$50)&gt;0, "2", "3"), 0), COUNTIF($D$50:$E$50, R$2)&gt;0, VLOOKUP($J559,'Gear Values'!$A$2:$E$13, IF(COUNTBLANK('Attributes &amp; Prefixes'!$B$50:$C$50)&gt;0, "4", "5"), 0)), "")</f>
        <v/>
      </c>
      <c r="S559" s="138" t="str" cm="1">
        <f t="array" ref="S559">IF(COUNTIF($B$50:$E$50, S$2)&gt;0, _xlfn.IFS(COUNTIF($B$50:$C$50, S$2)&gt;0, VLOOKUP($J559,'Gear Values'!$A$2:$E$13, IF(COUNTBLANK('Attributes &amp; Prefixes'!$B$50:$C$50)&gt;0, "2", "3"), 0), COUNTIF($D$50:$E$50, S$2)&gt;0, VLOOKUP($J559,'Gear Values'!$A$2:$E$13, IF(COUNTBLANK('Attributes &amp; Prefixes'!$B$50:$C$50)&gt;0, "4", "5"), 0)), "")</f>
        <v/>
      </c>
      <c r="V559" s="112"/>
      <c r="W559" s="113"/>
    </row>
    <row r="560" spans="6:23">
      <c r="F560" s="114"/>
      <c r="G560" s="114"/>
      <c r="H560" s="130" t="str">
        <f>_xlfn.CONCAT(I$555,J560)</f>
        <v>ViperHands</v>
      </c>
      <c r="I560" s="520"/>
      <c r="J560" s="144" t="s">
        <v>45</v>
      </c>
      <c r="K560" s="136" cm="1">
        <f t="array" ref="K560">IF(COUNTIF($B$50:$E$50, K$2)&gt;0, _xlfn.IFS(COUNTIF($B$50:$C$50, K$2)&gt;0, VLOOKUP($J560,'Gear Values'!$A$2:$E$13, IF(COUNTBLANK('Attributes &amp; Prefixes'!$B$50:$C$50)&gt;0, "2", "3"), 0), COUNTIF($D$50:$E$50, K$2)&gt;0, VLOOKUP($J560,'Gear Values'!$A$2:$E$13, IF(COUNTBLANK('Attributes &amp; Prefixes'!$B$50:$C$50)&gt;0, "4", "5"), 0)), "")</f>
        <v>38</v>
      </c>
      <c r="L560" s="137" cm="1">
        <f t="array" ref="L560">IF(COUNTIF($B$50:$E$50, L$2)&gt;0, _xlfn.IFS(COUNTIF($B$50:$C$50, L$2)&gt;0, VLOOKUP($J560,'Gear Values'!$A$2:$E$13, IF(COUNTBLANK('Attributes &amp; Prefixes'!$B$50:$C$50)&gt;0, "2", "3"), 0), COUNTIF($D$50:$E$50, L$2)&gt;0, VLOOKUP($J560,'Gear Values'!$A$2:$E$13, IF(COUNTBLANK('Attributes &amp; Prefixes'!$B$50:$C$50)&gt;0, "4", "5"), 0)), "")</f>
        <v>21</v>
      </c>
      <c r="M560" s="137" t="str" cm="1">
        <f t="array" ref="M560">IF(COUNTIF($B$50:$E$50, M$2)&gt;0, _xlfn.IFS(COUNTIF($B$50:$C$50, M$2)&gt;0, VLOOKUP($J560,'Gear Values'!$A$2:$E$13, IF(COUNTBLANK('Attributes &amp; Prefixes'!$B$50:$C$50)&gt;0, "2", "3"), 0), COUNTIF($D$50:$E$50, M$2)&gt;0, VLOOKUP($J560,'Gear Values'!$A$2:$E$13, IF(COUNTBLANK('Attributes &amp; Prefixes'!$B$50:$C$50)&gt;0, "4", "5"), 0)), "")</f>
        <v/>
      </c>
      <c r="N560" s="137" t="str" cm="1">
        <f t="array" ref="N560">IF(COUNTIF($B$50:$E$50, N$2)&gt;0, _xlfn.IFS(COUNTIF($B$50:$C$50, N$2)&gt;0, VLOOKUP($J560,'Gear Values'!$A$2:$E$13, IF(COUNTBLANK('Attributes &amp; Prefixes'!$B$50:$C$50)&gt;0, "2", "3"), 0), COUNTIF($D$50:$E$50, N$2)&gt;0, VLOOKUP($J560,'Gear Values'!$A$2:$E$13, IF(COUNTBLANK('Attributes &amp; Prefixes'!$B$50:$C$50)&gt;0, "4", "5"), 0)), "")</f>
        <v/>
      </c>
      <c r="O560" s="137" t="str" cm="1">
        <f t="array" ref="O560">IF(COUNTIF($B$50:$E$50, O$2)&gt;0, _xlfn.IFS(COUNTIF($B$50:$C$50, O$2)&gt;0, VLOOKUP($J560,'Gear Values'!$A$2:$E$13, IF(COUNTBLANK('Attributes &amp; Prefixes'!$B$50:$C$50)&gt;0, "2", "3"), 0), COUNTIF($D$50:$E$50, O$2)&gt;0, VLOOKUP($J560,'Gear Values'!$A$2:$E$13, IF(COUNTBLANK('Attributes &amp; Prefixes'!$B$50:$C$50)&gt;0, "4", "5"), 0)), "")</f>
        <v/>
      </c>
      <c r="P560" s="137" cm="1">
        <f t="array" ref="P560">IF(COUNTIF($B$50:$E$50, P$2)&gt;0, _xlfn.IFS(COUNTIF($B$50:$C$50, P$2)&gt;0, VLOOKUP($J560,'Gear Values'!$A$2:$E$13, IF(COUNTBLANK('Attributes &amp; Prefixes'!$B$50:$C$50)&gt;0, "2", "3"), 0), COUNTIF($D$50:$E$50, P$2)&gt;0, VLOOKUP($J560,'Gear Values'!$A$2:$E$13, IF(COUNTBLANK('Attributes &amp; Prefixes'!$B$50:$C$50)&gt;0, "4", "5"), 0)), "")</f>
        <v>38</v>
      </c>
      <c r="Q560" s="137" cm="1">
        <f t="array" ref="Q560">IF(COUNTIF($B$50:$E$50, Q$2)&gt;0, _xlfn.IFS(COUNTIF($B$50:$C$50, Q$2)&gt;0, VLOOKUP($J560,'Gear Values'!$A$2:$E$13, IF(COUNTBLANK('Attributes &amp; Prefixes'!$B$50:$C$50)&gt;0, "2", "3"), 0), COUNTIF($D$50:$E$50, Q$2)&gt;0, VLOOKUP($J560,'Gear Values'!$A$2:$E$13, IF(COUNTBLANK('Attributes &amp; Prefixes'!$B$50:$C$50)&gt;0, "4", "5"), 0)), "")</f>
        <v>21</v>
      </c>
      <c r="R560" s="137" t="str" cm="1">
        <f t="array" ref="R560">IF(COUNTIF($B$50:$E$50, R$2)&gt;0, _xlfn.IFS(COUNTIF($B$50:$C$50, R$2)&gt;0, VLOOKUP($J560,'Gear Values'!$A$2:$E$13, IF(COUNTBLANK('Attributes &amp; Prefixes'!$B$50:$C$50)&gt;0, "2", "3"), 0), COUNTIF($D$50:$E$50, R$2)&gt;0, VLOOKUP($J560,'Gear Values'!$A$2:$E$13, IF(COUNTBLANK('Attributes &amp; Prefixes'!$B$50:$C$50)&gt;0, "4", "5"), 0)), "")</f>
        <v/>
      </c>
      <c r="S560" s="138" t="str" cm="1">
        <f t="array" ref="S560">IF(COUNTIF($B$50:$E$50, S$2)&gt;0, _xlfn.IFS(COUNTIF($B$50:$C$50, S$2)&gt;0, VLOOKUP($J560,'Gear Values'!$A$2:$E$13, IF(COUNTBLANK('Attributes &amp; Prefixes'!$B$50:$C$50)&gt;0, "2", "3"), 0), COUNTIF($D$50:$E$50, S$2)&gt;0, VLOOKUP($J560,'Gear Values'!$A$2:$E$13, IF(COUNTBLANK('Attributes &amp; Prefixes'!$B$50:$C$50)&gt;0, "4", "5"), 0)), "")</f>
        <v/>
      </c>
      <c r="V560" s="112"/>
      <c r="W560" s="113"/>
    </row>
    <row r="561" spans="6:23">
      <c r="F561" s="114"/>
      <c r="G561" s="114"/>
      <c r="H561" s="130" t="str">
        <f>_xlfn.CONCAT(I$555,J561)</f>
        <v>ViperLegs</v>
      </c>
      <c r="I561" s="520"/>
      <c r="J561" s="144" t="s">
        <v>47</v>
      </c>
      <c r="K561" s="136" cm="1">
        <f t="array" ref="K561">IF(COUNTIF($B$50:$E$50, K$2)&gt;0, _xlfn.IFS(COUNTIF($B$50:$C$50, K$2)&gt;0, VLOOKUP($J561,'Gear Values'!$A$2:$E$13, IF(COUNTBLANK('Attributes &amp; Prefixes'!$B$50:$C$50)&gt;0, "2", "3"), 0), COUNTIF($D$50:$E$50, K$2)&gt;0, VLOOKUP($J561,'Gear Values'!$A$2:$E$13, IF(COUNTBLANK('Attributes &amp; Prefixes'!$B$50:$C$50)&gt;0, "4", "5"), 0)), "")</f>
        <v>77</v>
      </c>
      <c r="L561" s="137" cm="1">
        <f t="array" ref="L561">IF(COUNTIF($B$50:$E$50, L$2)&gt;0, _xlfn.IFS(COUNTIF($B$50:$C$50, L$2)&gt;0, VLOOKUP($J561,'Gear Values'!$A$2:$E$13, IF(COUNTBLANK('Attributes &amp; Prefixes'!$B$50:$C$50)&gt;0, "2", "3"), 0), COUNTIF($D$50:$E$50, L$2)&gt;0, VLOOKUP($J561,'Gear Values'!$A$2:$E$13, IF(COUNTBLANK('Attributes &amp; Prefixes'!$B$50:$C$50)&gt;0, "4", "5"), 0)), "")</f>
        <v>42</v>
      </c>
      <c r="M561" s="137" t="str" cm="1">
        <f t="array" ref="M561">IF(COUNTIF($B$50:$E$50, M$2)&gt;0, _xlfn.IFS(COUNTIF($B$50:$C$50, M$2)&gt;0, VLOOKUP($J561,'Gear Values'!$A$2:$E$13, IF(COUNTBLANK('Attributes &amp; Prefixes'!$B$50:$C$50)&gt;0, "2", "3"), 0), COUNTIF($D$50:$E$50, M$2)&gt;0, VLOOKUP($J561,'Gear Values'!$A$2:$E$13, IF(COUNTBLANK('Attributes &amp; Prefixes'!$B$50:$C$50)&gt;0, "4", "5"), 0)), "")</f>
        <v/>
      </c>
      <c r="N561" s="137" t="str" cm="1">
        <f t="array" ref="N561">IF(COUNTIF($B$50:$E$50, N$2)&gt;0, _xlfn.IFS(COUNTIF($B$50:$C$50, N$2)&gt;0, VLOOKUP($J561,'Gear Values'!$A$2:$E$13, IF(COUNTBLANK('Attributes &amp; Prefixes'!$B$50:$C$50)&gt;0, "2", "3"), 0), COUNTIF($D$50:$E$50, N$2)&gt;0, VLOOKUP($J561,'Gear Values'!$A$2:$E$13, IF(COUNTBLANK('Attributes &amp; Prefixes'!$B$50:$C$50)&gt;0, "4", "5"), 0)), "")</f>
        <v/>
      </c>
      <c r="O561" s="137" t="str" cm="1">
        <f t="array" ref="O561">IF(COUNTIF($B$50:$E$50, O$2)&gt;0, _xlfn.IFS(COUNTIF($B$50:$C$50, O$2)&gt;0, VLOOKUP($J561,'Gear Values'!$A$2:$E$13, IF(COUNTBLANK('Attributes &amp; Prefixes'!$B$50:$C$50)&gt;0, "2", "3"), 0), COUNTIF($D$50:$E$50, O$2)&gt;0, VLOOKUP($J561,'Gear Values'!$A$2:$E$13, IF(COUNTBLANK('Attributes &amp; Prefixes'!$B$50:$C$50)&gt;0, "4", "5"), 0)), "")</f>
        <v/>
      </c>
      <c r="P561" s="137" cm="1">
        <f t="array" ref="P561">IF(COUNTIF($B$50:$E$50, P$2)&gt;0, _xlfn.IFS(COUNTIF($B$50:$C$50, P$2)&gt;0, VLOOKUP($J561,'Gear Values'!$A$2:$E$13, IF(COUNTBLANK('Attributes &amp; Prefixes'!$B$50:$C$50)&gt;0, "2", "3"), 0), COUNTIF($D$50:$E$50, P$2)&gt;0, VLOOKUP($J561,'Gear Values'!$A$2:$E$13, IF(COUNTBLANK('Attributes &amp; Prefixes'!$B$50:$C$50)&gt;0, "4", "5"), 0)), "")</f>
        <v>77</v>
      </c>
      <c r="Q561" s="137" cm="1">
        <f t="array" ref="Q561">IF(COUNTIF($B$50:$E$50, Q$2)&gt;0, _xlfn.IFS(COUNTIF($B$50:$C$50, Q$2)&gt;0, VLOOKUP($J561,'Gear Values'!$A$2:$E$13, IF(COUNTBLANK('Attributes &amp; Prefixes'!$B$50:$C$50)&gt;0, "2", "3"), 0), COUNTIF($D$50:$E$50, Q$2)&gt;0, VLOOKUP($J561,'Gear Values'!$A$2:$E$13, IF(COUNTBLANK('Attributes &amp; Prefixes'!$B$50:$C$50)&gt;0, "4", "5"), 0)), "")</f>
        <v>42</v>
      </c>
      <c r="R561" s="137" t="str" cm="1">
        <f t="array" ref="R561">IF(COUNTIF($B$50:$E$50, R$2)&gt;0, _xlfn.IFS(COUNTIF($B$50:$C$50, R$2)&gt;0, VLOOKUP($J561,'Gear Values'!$A$2:$E$13, IF(COUNTBLANK('Attributes &amp; Prefixes'!$B$50:$C$50)&gt;0, "2", "3"), 0), COUNTIF($D$50:$E$50, R$2)&gt;0, VLOOKUP($J561,'Gear Values'!$A$2:$E$13, IF(COUNTBLANK('Attributes &amp; Prefixes'!$B$50:$C$50)&gt;0, "4", "5"), 0)), "")</f>
        <v/>
      </c>
      <c r="S561" s="138" t="str" cm="1">
        <f t="array" ref="S561">IF(COUNTIF($B$50:$E$50, S$2)&gt;0, _xlfn.IFS(COUNTIF($B$50:$C$50, S$2)&gt;0, VLOOKUP($J561,'Gear Values'!$A$2:$E$13, IF(COUNTBLANK('Attributes &amp; Prefixes'!$B$50:$C$50)&gt;0, "2", "3"), 0), COUNTIF($D$50:$E$50, S$2)&gt;0, VLOOKUP($J561,'Gear Values'!$A$2:$E$13, IF(COUNTBLANK('Attributes &amp; Prefixes'!$B$50:$C$50)&gt;0, "4", "5"), 0)), "")</f>
        <v/>
      </c>
      <c r="V561" s="112"/>
      <c r="W561" s="113"/>
    </row>
    <row r="562" spans="6:23">
      <c r="F562" s="114"/>
      <c r="G562" s="114"/>
      <c r="H562" s="130" t="str">
        <f>_xlfn.CONCAT(I$555,J562)</f>
        <v>ViperFeet</v>
      </c>
      <c r="I562" s="520"/>
      <c r="J562" s="144" t="s">
        <v>48</v>
      </c>
      <c r="K562" s="136" cm="1">
        <f t="array" ref="K562">IF(COUNTIF($B$50:$E$50, K$2)&gt;0, _xlfn.IFS(COUNTIF($B$50:$C$50, K$2)&gt;0, VLOOKUP($J562,'Gear Values'!$A$2:$E$13, IF(COUNTBLANK('Attributes &amp; Prefixes'!$B$50:$C$50)&gt;0, "2", "3"), 0), COUNTIF($D$50:$E$50, K$2)&gt;0, VLOOKUP($J562,'Gear Values'!$A$2:$E$13, IF(COUNTBLANK('Attributes &amp; Prefixes'!$B$50:$C$50)&gt;0, "4", "5"), 0)), "")</f>
        <v>38</v>
      </c>
      <c r="L562" s="137" cm="1">
        <f t="array" ref="L562">IF(COUNTIF($B$50:$E$50, L$2)&gt;0, _xlfn.IFS(COUNTIF($B$50:$C$50, L$2)&gt;0, VLOOKUP($J562,'Gear Values'!$A$2:$E$13, IF(COUNTBLANK('Attributes &amp; Prefixes'!$B$50:$C$50)&gt;0, "2", "3"), 0), COUNTIF($D$50:$E$50, L$2)&gt;0, VLOOKUP($J562,'Gear Values'!$A$2:$E$13, IF(COUNTBLANK('Attributes &amp; Prefixes'!$B$50:$C$50)&gt;0, "4", "5"), 0)), "")</f>
        <v>21</v>
      </c>
      <c r="M562" s="137" t="str" cm="1">
        <f t="array" ref="M562">IF(COUNTIF($B$50:$E$50, M$2)&gt;0, _xlfn.IFS(COUNTIF($B$50:$C$50, M$2)&gt;0, VLOOKUP($J562,'Gear Values'!$A$2:$E$13, IF(COUNTBLANK('Attributes &amp; Prefixes'!$B$50:$C$50)&gt;0, "2", "3"), 0), COUNTIF($D$50:$E$50, M$2)&gt;0, VLOOKUP($J562,'Gear Values'!$A$2:$E$13, IF(COUNTBLANK('Attributes &amp; Prefixes'!$B$50:$C$50)&gt;0, "4", "5"), 0)), "")</f>
        <v/>
      </c>
      <c r="N562" s="137" t="str" cm="1">
        <f t="array" ref="N562">IF(COUNTIF($B$50:$E$50, N$2)&gt;0, _xlfn.IFS(COUNTIF($B$50:$C$50, N$2)&gt;0, VLOOKUP($J562,'Gear Values'!$A$2:$E$13, IF(COUNTBLANK('Attributes &amp; Prefixes'!$B$50:$C$50)&gt;0, "2", "3"), 0), COUNTIF($D$50:$E$50, N$2)&gt;0, VLOOKUP($J562,'Gear Values'!$A$2:$E$13, IF(COUNTBLANK('Attributes &amp; Prefixes'!$B$50:$C$50)&gt;0, "4", "5"), 0)), "")</f>
        <v/>
      </c>
      <c r="O562" s="137" t="str" cm="1">
        <f t="array" ref="O562">IF(COUNTIF($B$50:$E$50, O$2)&gt;0, _xlfn.IFS(COUNTIF($B$50:$C$50, O$2)&gt;0, VLOOKUP($J562,'Gear Values'!$A$2:$E$13, IF(COUNTBLANK('Attributes &amp; Prefixes'!$B$50:$C$50)&gt;0, "2", "3"), 0), COUNTIF($D$50:$E$50, O$2)&gt;0, VLOOKUP($J562,'Gear Values'!$A$2:$E$13, IF(COUNTBLANK('Attributes &amp; Prefixes'!$B$50:$C$50)&gt;0, "4", "5"), 0)), "")</f>
        <v/>
      </c>
      <c r="P562" s="137" cm="1">
        <f t="array" ref="P562">IF(COUNTIF($B$50:$E$50, P$2)&gt;0, _xlfn.IFS(COUNTIF($B$50:$C$50, P$2)&gt;0, VLOOKUP($J562,'Gear Values'!$A$2:$E$13, IF(COUNTBLANK('Attributes &amp; Prefixes'!$B$50:$C$50)&gt;0, "2", "3"), 0), COUNTIF($D$50:$E$50, P$2)&gt;0, VLOOKUP($J562,'Gear Values'!$A$2:$E$13, IF(COUNTBLANK('Attributes &amp; Prefixes'!$B$50:$C$50)&gt;0, "4", "5"), 0)), "")</f>
        <v>38</v>
      </c>
      <c r="Q562" s="137" cm="1">
        <f t="array" ref="Q562">IF(COUNTIF($B$50:$E$50, Q$2)&gt;0, _xlfn.IFS(COUNTIF($B$50:$C$50, Q$2)&gt;0, VLOOKUP($J562,'Gear Values'!$A$2:$E$13, IF(COUNTBLANK('Attributes &amp; Prefixes'!$B$50:$C$50)&gt;0, "2", "3"), 0), COUNTIF($D$50:$E$50, Q$2)&gt;0, VLOOKUP($J562,'Gear Values'!$A$2:$E$13, IF(COUNTBLANK('Attributes &amp; Prefixes'!$B$50:$C$50)&gt;0, "4", "5"), 0)), "")</f>
        <v>21</v>
      </c>
      <c r="R562" s="137" t="str" cm="1">
        <f t="array" ref="R562">IF(COUNTIF($B$50:$E$50, R$2)&gt;0, _xlfn.IFS(COUNTIF($B$50:$C$50, R$2)&gt;0, VLOOKUP($J562,'Gear Values'!$A$2:$E$13, IF(COUNTBLANK('Attributes &amp; Prefixes'!$B$50:$C$50)&gt;0, "2", "3"), 0), COUNTIF($D$50:$E$50, R$2)&gt;0, VLOOKUP($J562,'Gear Values'!$A$2:$E$13, IF(COUNTBLANK('Attributes &amp; Prefixes'!$B$50:$C$50)&gt;0, "4", "5"), 0)), "")</f>
        <v/>
      </c>
      <c r="S562" s="138" t="str" cm="1">
        <f t="array" ref="S562">IF(COUNTIF($B$50:$E$50, S$2)&gt;0, _xlfn.IFS(COUNTIF($B$50:$C$50, S$2)&gt;0, VLOOKUP($J562,'Gear Values'!$A$2:$E$13, IF(COUNTBLANK('Attributes &amp; Prefixes'!$B$50:$C$50)&gt;0, "2", "3"), 0), COUNTIF($D$50:$E$50, S$2)&gt;0, VLOOKUP($J562,'Gear Values'!$A$2:$E$13, IF(COUNTBLANK('Attributes &amp; Prefixes'!$B$50:$C$50)&gt;0, "4", "5"), 0)), "")</f>
        <v/>
      </c>
      <c r="V562" s="112"/>
      <c r="W562" s="113"/>
    </row>
    <row r="563" spans="6:23">
      <c r="F563" s="114"/>
      <c r="G563" s="114"/>
      <c r="H563" s="130" t="str">
        <f>_xlfn.CONCAT(A$59,J563)</f>
        <v>Black DiamondEar</v>
      </c>
      <c r="I563" s="520"/>
      <c r="J563" s="144" t="s">
        <v>49</v>
      </c>
      <c r="K563" s="136" cm="1">
        <f t="array" ref="K563">IF(COUNTIF($B$50:$E$50, K$2)&gt;0, _xlfn.IFS(COUNTIF($B$50:$C$50, K$2)&gt;0, VLOOKUP($J563,'Gear Values'!$A$2:$E$13, IF(COUNTBLANK('Attributes &amp; Prefixes'!$B$50:$C$50)&gt;0, "2", "3"), 0), COUNTIF($D$50:$E$50, K$2)&gt;0, VLOOKUP($J563,'Gear Values'!$A$2:$E$13, IF(COUNTBLANK('Attributes &amp; Prefixes'!$B$50:$C$50)&gt;0, "4", "5"), 0)), "")</f>
        <v>64</v>
      </c>
      <c r="L563" s="137" cm="1">
        <f t="array" ref="L563">IF(COUNTIF($B$50:$E$50, L$2)&gt;0, _xlfn.IFS(COUNTIF($B$50:$C$50, L$2)&gt;0, VLOOKUP($J563,'Gear Values'!$A$2:$E$13, IF(COUNTBLANK('Attributes &amp; Prefixes'!$B$50:$C$50)&gt;0, "2", "3"), 0), COUNTIF($D$50:$E$50, L$2)&gt;0, VLOOKUP($J563,'Gear Values'!$A$2:$E$13, IF(COUNTBLANK('Attributes &amp; Prefixes'!$B$50:$C$50)&gt;0, "4", "5"), 0)), "")</f>
        <v>35</v>
      </c>
      <c r="M563" s="137" t="str" cm="1">
        <f t="array" ref="M563">IF(COUNTIF($B$50:$E$50, M$2)&gt;0, _xlfn.IFS(COUNTIF($B$50:$C$50, M$2)&gt;0, VLOOKUP($J563,'Gear Values'!$A$2:$E$13, IF(COUNTBLANK('Attributes &amp; Prefixes'!$B$50:$C$50)&gt;0, "2", "3"), 0), COUNTIF($D$50:$E$50, M$2)&gt;0, VLOOKUP($J563,'Gear Values'!$A$2:$E$13, IF(COUNTBLANK('Attributes &amp; Prefixes'!$B$50:$C$50)&gt;0, "4", "5"), 0)), "")</f>
        <v/>
      </c>
      <c r="N563" s="137" t="str" cm="1">
        <f t="array" ref="N563">IF(COUNTIF($B$50:$E$50, N$2)&gt;0, _xlfn.IFS(COUNTIF($B$50:$C$50, N$2)&gt;0, VLOOKUP($J563,'Gear Values'!$A$2:$E$13, IF(COUNTBLANK('Attributes &amp; Prefixes'!$B$50:$C$50)&gt;0, "2", "3"), 0), COUNTIF($D$50:$E$50, N$2)&gt;0, VLOOKUP($J563,'Gear Values'!$A$2:$E$13, IF(COUNTBLANK('Attributes &amp; Prefixes'!$B$50:$C$50)&gt;0, "4", "5"), 0)), "")</f>
        <v/>
      </c>
      <c r="O563" s="137" t="str" cm="1">
        <f t="array" ref="O563">IF(COUNTIF($B$50:$E$50, O$2)&gt;0, _xlfn.IFS(COUNTIF($B$50:$C$50, O$2)&gt;0, VLOOKUP($J563,'Gear Values'!$A$2:$E$13, IF(COUNTBLANK('Attributes &amp; Prefixes'!$B$50:$C$50)&gt;0, "2", "3"), 0), COUNTIF($D$50:$E$50, O$2)&gt;0, VLOOKUP($J563,'Gear Values'!$A$2:$E$13, IF(COUNTBLANK('Attributes &amp; Prefixes'!$B$50:$C$50)&gt;0, "4", "5"), 0)), "")</f>
        <v/>
      </c>
      <c r="P563" s="137" cm="1">
        <f t="array" ref="P563">IF(COUNTIF($B$50:$E$50, P$2)&gt;0, _xlfn.IFS(COUNTIF($B$50:$C$50, P$2)&gt;0, VLOOKUP($J563,'Gear Values'!$A$2:$E$13, IF(COUNTBLANK('Attributes &amp; Prefixes'!$B$50:$C$50)&gt;0, "2", "3"), 0), COUNTIF($D$50:$E$50, P$2)&gt;0, VLOOKUP($J563,'Gear Values'!$A$2:$E$13, IF(COUNTBLANK('Attributes &amp; Prefixes'!$B$50:$C$50)&gt;0, "4", "5"), 0)), "")</f>
        <v>64</v>
      </c>
      <c r="Q563" s="137" cm="1">
        <f t="array" ref="Q563">IF(COUNTIF($B$50:$E$50, Q$2)&gt;0, _xlfn.IFS(COUNTIF($B$50:$C$50, Q$2)&gt;0, VLOOKUP($J563,'Gear Values'!$A$2:$E$13, IF(COUNTBLANK('Attributes &amp; Prefixes'!$B$50:$C$50)&gt;0, "2", "3"), 0), COUNTIF($D$50:$E$50, Q$2)&gt;0, VLOOKUP($J563,'Gear Values'!$A$2:$E$13, IF(COUNTBLANK('Attributes &amp; Prefixes'!$B$50:$C$50)&gt;0, "4", "5"), 0)), "")</f>
        <v>35</v>
      </c>
      <c r="R563" s="137" t="str" cm="1">
        <f t="array" ref="R563">IF(COUNTIF($B$50:$E$50, R$2)&gt;0, _xlfn.IFS(COUNTIF($B$50:$C$50, R$2)&gt;0, VLOOKUP($J563,'Gear Values'!$A$2:$E$13, IF(COUNTBLANK('Attributes &amp; Prefixes'!$B$50:$C$50)&gt;0, "2", "3"), 0), COUNTIF($D$50:$E$50, R$2)&gt;0, VLOOKUP($J563,'Gear Values'!$A$2:$E$13, IF(COUNTBLANK('Attributes &amp; Prefixes'!$B$50:$C$50)&gt;0, "4", "5"), 0)), "")</f>
        <v/>
      </c>
      <c r="S563" s="138" t="str" cm="1">
        <f t="array" ref="S563">IF(COUNTIF($B$50:$E$50, S$2)&gt;0, _xlfn.IFS(COUNTIF($B$50:$C$50, S$2)&gt;0, VLOOKUP($J563,'Gear Values'!$A$2:$E$13, IF(COUNTBLANK('Attributes &amp; Prefixes'!$B$50:$C$50)&gt;0, "2", "3"), 0), COUNTIF($D$50:$E$50, S$2)&gt;0, VLOOKUP($J563,'Gear Values'!$A$2:$E$13, IF(COUNTBLANK('Attributes &amp; Prefixes'!$B$50:$C$50)&gt;0, "4", "5"), 0)), "")</f>
        <v/>
      </c>
      <c r="V563" s="112"/>
      <c r="W563" s="113"/>
    </row>
    <row r="564" spans="6:23">
      <c r="F564" s="114"/>
      <c r="G564" s="114"/>
      <c r="H564" s="130" t="str">
        <f>_xlfn.CONCAT(A$59,J564)</f>
        <v>Black DiamondFinger</v>
      </c>
      <c r="I564" s="520"/>
      <c r="J564" s="144" t="s">
        <v>51</v>
      </c>
      <c r="K564" s="136" cm="1">
        <f t="array" ref="K564">IF(COUNTIF($B$50:$E$50, K$2)&gt;0, _xlfn.IFS(COUNTIF($B$50:$C$50, K$2)&gt;0, VLOOKUP($J564,'Gear Values'!$A$2:$E$13, IF(COUNTBLANK('Attributes &amp; Prefixes'!$B$50:$C$50)&gt;0, "2", "3"), 0), COUNTIF($D$50:$E$50, K$2)&gt;0, VLOOKUP($J564,'Gear Values'!$A$2:$E$13, IF(COUNTBLANK('Attributes &amp; Prefixes'!$B$50:$C$50)&gt;0, "4", "5"), 0)), "")</f>
        <v>77</v>
      </c>
      <c r="L564" s="137" cm="1">
        <f t="array" ref="L564">IF(COUNTIF($B$50:$E$50, L$2)&gt;0, _xlfn.IFS(COUNTIF($B$50:$C$50, L$2)&gt;0, VLOOKUP($J564,'Gear Values'!$A$2:$E$13, IF(COUNTBLANK('Attributes &amp; Prefixes'!$B$50:$C$50)&gt;0, "2", "3"), 0), COUNTIF($D$50:$E$50, L$2)&gt;0, VLOOKUP($J564,'Gear Values'!$A$2:$E$13, IF(COUNTBLANK('Attributes &amp; Prefixes'!$B$50:$C$50)&gt;0, "4", "5"), 0)), "")</f>
        <v>42</v>
      </c>
      <c r="M564" s="137" t="str" cm="1">
        <f t="array" ref="M564">IF(COUNTIF($B$50:$E$50, M$2)&gt;0, _xlfn.IFS(COUNTIF($B$50:$C$50, M$2)&gt;0, VLOOKUP($J564,'Gear Values'!$A$2:$E$13, IF(COUNTBLANK('Attributes &amp; Prefixes'!$B$50:$C$50)&gt;0, "2", "3"), 0), COUNTIF($D$50:$E$50, M$2)&gt;0, VLOOKUP($J564,'Gear Values'!$A$2:$E$13, IF(COUNTBLANK('Attributes &amp; Prefixes'!$B$50:$C$50)&gt;0, "4", "5"), 0)), "")</f>
        <v/>
      </c>
      <c r="N564" s="137" t="str" cm="1">
        <f t="array" ref="N564">IF(COUNTIF($B$50:$E$50, N$2)&gt;0, _xlfn.IFS(COUNTIF($B$50:$C$50, N$2)&gt;0, VLOOKUP($J564,'Gear Values'!$A$2:$E$13, IF(COUNTBLANK('Attributes &amp; Prefixes'!$B$50:$C$50)&gt;0, "2", "3"), 0), COUNTIF($D$50:$E$50, N$2)&gt;0, VLOOKUP($J564,'Gear Values'!$A$2:$E$13, IF(COUNTBLANK('Attributes &amp; Prefixes'!$B$50:$C$50)&gt;0, "4", "5"), 0)), "")</f>
        <v/>
      </c>
      <c r="O564" s="137" t="str" cm="1">
        <f t="array" ref="O564">IF(COUNTIF($B$50:$E$50, O$2)&gt;0, _xlfn.IFS(COUNTIF($B$50:$C$50, O$2)&gt;0, VLOOKUP($J564,'Gear Values'!$A$2:$E$13, IF(COUNTBLANK('Attributes &amp; Prefixes'!$B$50:$C$50)&gt;0, "2", "3"), 0), COUNTIF($D$50:$E$50, O$2)&gt;0, VLOOKUP($J564,'Gear Values'!$A$2:$E$13, IF(COUNTBLANK('Attributes &amp; Prefixes'!$B$50:$C$50)&gt;0, "4", "5"), 0)), "")</f>
        <v/>
      </c>
      <c r="P564" s="137" cm="1">
        <f t="array" ref="P564">IF(COUNTIF($B$50:$E$50, P$2)&gt;0, _xlfn.IFS(COUNTIF($B$50:$C$50, P$2)&gt;0, VLOOKUP($J564,'Gear Values'!$A$2:$E$13, IF(COUNTBLANK('Attributes &amp; Prefixes'!$B$50:$C$50)&gt;0, "2", "3"), 0), COUNTIF($D$50:$E$50, P$2)&gt;0, VLOOKUP($J564,'Gear Values'!$A$2:$E$13, IF(COUNTBLANK('Attributes &amp; Prefixes'!$B$50:$C$50)&gt;0, "4", "5"), 0)), "")</f>
        <v>77</v>
      </c>
      <c r="Q564" s="137" cm="1">
        <f t="array" ref="Q564">IF(COUNTIF($B$50:$E$50, Q$2)&gt;0, _xlfn.IFS(COUNTIF($B$50:$C$50, Q$2)&gt;0, VLOOKUP($J564,'Gear Values'!$A$2:$E$13, IF(COUNTBLANK('Attributes &amp; Prefixes'!$B$50:$C$50)&gt;0, "2", "3"), 0), COUNTIF($D$50:$E$50, Q$2)&gt;0, VLOOKUP($J564,'Gear Values'!$A$2:$E$13, IF(COUNTBLANK('Attributes &amp; Prefixes'!$B$50:$C$50)&gt;0, "4", "5"), 0)), "")</f>
        <v>42</v>
      </c>
      <c r="R564" s="137" t="str" cm="1">
        <f t="array" ref="R564">IF(COUNTIF($B$50:$E$50, R$2)&gt;0, _xlfn.IFS(COUNTIF($B$50:$C$50, R$2)&gt;0, VLOOKUP($J564,'Gear Values'!$A$2:$E$13, IF(COUNTBLANK('Attributes &amp; Prefixes'!$B$50:$C$50)&gt;0, "2", "3"), 0), COUNTIF($D$50:$E$50, R$2)&gt;0, VLOOKUP($J564,'Gear Values'!$A$2:$E$13, IF(COUNTBLANK('Attributes &amp; Prefixes'!$B$50:$C$50)&gt;0, "4", "5"), 0)), "")</f>
        <v/>
      </c>
      <c r="S564" s="138" t="str" cm="1">
        <f t="array" ref="S564">IF(COUNTIF($B$50:$E$50, S$2)&gt;0, _xlfn.IFS(COUNTIF($B$50:$C$50, S$2)&gt;0, VLOOKUP($J564,'Gear Values'!$A$2:$E$13, IF(COUNTBLANK('Attributes &amp; Prefixes'!$B$50:$C$50)&gt;0, "2", "3"), 0), COUNTIF($D$50:$E$50, S$2)&gt;0, VLOOKUP($J564,'Gear Values'!$A$2:$E$13, IF(COUNTBLANK('Attributes &amp; Prefixes'!$B$50:$C$50)&gt;0, "4", "5"), 0)), "")</f>
        <v/>
      </c>
      <c r="V564" s="112"/>
      <c r="W564" s="113"/>
    </row>
    <row r="565" spans="6:23">
      <c r="F565" s="114"/>
      <c r="G565" s="114"/>
      <c r="H565" s="130" t="str">
        <f>_xlfn.CONCAT(A$59,J565)</f>
        <v>Black DiamondNeck</v>
      </c>
      <c r="I565" s="520"/>
      <c r="J565" s="144" t="s">
        <v>52</v>
      </c>
      <c r="K565" s="136" cm="1">
        <f t="array" ref="K565">IF(COUNTIF($B$50:$E$50, K$2)&gt;0, _xlfn.IFS(COUNTIF($B$50:$C$50, K$2)&gt;0, VLOOKUP($J565,'Gear Values'!$A$2:$E$13, IF(COUNTBLANK('Attributes &amp; Prefixes'!$B$50:$C$50)&gt;0, "2", "3"), 0), COUNTIF($D$50:$E$50, K$2)&gt;0, VLOOKUP($J565,'Gear Values'!$A$2:$E$13, IF(COUNTBLANK('Attributes &amp; Prefixes'!$B$50:$C$50)&gt;0, "4", "5"), 0)), "")</f>
        <v>102</v>
      </c>
      <c r="L565" s="137" cm="1">
        <f t="array" ref="L565">IF(COUNTIF($B$50:$E$50, L$2)&gt;0, _xlfn.IFS(COUNTIF($B$50:$C$50, L$2)&gt;0, VLOOKUP($J565,'Gear Values'!$A$2:$E$13, IF(COUNTBLANK('Attributes &amp; Prefixes'!$B$50:$C$50)&gt;0, "2", "3"), 0), COUNTIF($D$50:$E$50, L$2)&gt;0, VLOOKUP($J565,'Gear Values'!$A$2:$E$13, IF(COUNTBLANK('Attributes &amp; Prefixes'!$B$50:$C$50)&gt;0, "4", "5"), 0)), "")</f>
        <v>56</v>
      </c>
      <c r="M565" s="137" t="str" cm="1">
        <f t="array" ref="M565">IF(COUNTIF($B$50:$E$50, M$2)&gt;0, _xlfn.IFS(COUNTIF($B$50:$C$50, M$2)&gt;0, VLOOKUP($J565,'Gear Values'!$A$2:$E$13, IF(COUNTBLANK('Attributes &amp; Prefixes'!$B$50:$C$50)&gt;0, "2", "3"), 0), COUNTIF($D$50:$E$50, M$2)&gt;0, VLOOKUP($J565,'Gear Values'!$A$2:$E$13, IF(COUNTBLANK('Attributes &amp; Prefixes'!$B$50:$C$50)&gt;0, "4", "5"), 0)), "")</f>
        <v/>
      </c>
      <c r="N565" s="137" t="str" cm="1">
        <f t="array" ref="N565">IF(COUNTIF($B$50:$E$50, N$2)&gt;0, _xlfn.IFS(COUNTIF($B$50:$C$50, N$2)&gt;0, VLOOKUP($J565,'Gear Values'!$A$2:$E$13, IF(COUNTBLANK('Attributes &amp; Prefixes'!$B$50:$C$50)&gt;0, "2", "3"), 0), COUNTIF($D$50:$E$50, N$2)&gt;0, VLOOKUP($J565,'Gear Values'!$A$2:$E$13, IF(COUNTBLANK('Attributes &amp; Prefixes'!$B$50:$C$50)&gt;0, "4", "5"), 0)), "")</f>
        <v/>
      </c>
      <c r="O565" s="137" t="str" cm="1">
        <f t="array" ref="O565">IF(COUNTIF($B$50:$E$50, O$2)&gt;0, _xlfn.IFS(COUNTIF($B$50:$C$50, O$2)&gt;0, VLOOKUP($J565,'Gear Values'!$A$2:$E$13, IF(COUNTBLANK('Attributes &amp; Prefixes'!$B$50:$C$50)&gt;0, "2", "3"), 0), COUNTIF($D$50:$E$50, O$2)&gt;0, VLOOKUP($J565,'Gear Values'!$A$2:$E$13, IF(COUNTBLANK('Attributes &amp; Prefixes'!$B$50:$C$50)&gt;0, "4", "5"), 0)), "")</f>
        <v/>
      </c>
      <c r="P565" s="137" cm="1">
        <f t="array" ref="P565">IF(COUNTIF($B$50:$E$50, P$2)&gt;0, _xlfn.IFS(COUNTIF($B$50:$C$50, P$2)&gt;0, VLOOKUP($J565,'Gear Values'!$A$2:$E$13, IF(COUNTBLANK('Attributes &amp; Prefixes'!$B$50:$C$50)&gt;0, "2", "3"), 0), COUNTIF($D$50:$E$50, P$2)&gt;0, VLOOKUP($J565,'Gear Values'!$A$2:$E$13, IF(COUNTBLANK('Attributes &amp; Prefixes'!$B$50:$C$50)&gt;0, "4", "5"), 0)), "")</f>
        <v>102</v>
      </c>
      <c r="Q565" s="137" cm="1">
        <f t="array" ref="Q565">IF(COUNTIF($B$50:$E$50, Q$2)&gt;0, _xlfn.IFS(COUNTIF($B$50:$C$50, Q$2)&gt;0, VLOOKUP($J565,'Gear Values'!$A$2:$E$13, IF(COUNTBLANK('Attributes &amp; Prefixes'!$B$50:$C$50)&gt;0, "2", "3"), 0), COUNTIF($D$50:$E$50, Q$2)&gt;0, VLOOKUP($J565,'Gear Values'!$A$2:$E$13, IF(COUNTBLANK('Attributes &amp; Prefixes'!$B$50:$C$50)&gt;0, "4", "5"), 0)), "")</f>
        <v>56</v>
      </c>
      <c r="R565" s="137" t="str" cm="1">
        <f t="array" ref="R565">IF(COUNTIF($B$50:$E$50, R$2)&gt;0, _xlfn.IFS(COUNTIF($B$50:$C$50, R$2)&gt;0, VLOOKUP($J565,'Gear Values'!$A$2:$E$13, IF(COUNTBLANK('Attributes &amp; Prefixes'!$B$50:$C$50)&gt;0, "2", "3"), 0), COUNTIF($D$50:$E$50, R$2)&gt;0, VLOOKUP($J565,'Gear Values'!$A$2:$E$13, IF(COUNTBLANK('Attributes &amp; Prefixes'!$B$50:$C$50)&gt;0, "4", "5"), 0)), "")</f>
        <v/>
      </c>
      <c r="S565" s="138" t="str" cm="1">
        <f t="array" ref="S565">IF(COUNTIF($B$50:$E$50, S$2)&gt;0, _xlfn.IFS(COUNTIF($B$50:$C$50, S$2)&gt;0, VLOOKUP($J565,'Gear Values'!$A$2:$E$13, IF(COUNTBLANK('Attributes &amp; Prefixes'!$B$50:$C$50)&gt;0, "2", "3"), 0), COUNTIF($D$50:$E$50, S$2)&gt;0, VLOOKUP($J565,'Gear Values'!$A$2:$E$13, IF(COUNTBLANK('Attributes &amp; Prefixes'!$B$50:$C$50)&gt;0, "4", "5"), 0)), "")</f>
        <v/>
      </c>
      <c r="V565" s="112"/>
      <c r="W565" s="113"/>
    </row>
    <row r="566" spans="6:23">
      <c r="F566" s="114"/>
      <c r="G566" s="114"/>
      <c r="H566" s="130" t="str">
        <f>_xlfn.CONCAT(I$555,J566)</f>
        <v>ViperBack</v>
      </c>
      <c r="I566" s="521"/>
      <c r="J566" s="146" t="s">
        <v>53</v>
      </c>
      <c r="K566" s="147" t="str" cm="1">
        <f t="array" ref="K566">IF(COUNTIF($B$50:$E$50, K$2)&gt;0, _xlfn.IFS(COUNTIF($B$50:$C$50, K$2)&gt;0, VLOOKUP($J566,'Gear Values'!$A$2:$E$13, IF(COUNTBLANK('Attributes &amp; Prefixes'!$B$50:$C$50)&gt;0, "2", "3"), 0), COUNTIF($D$50:$E$50, K$2)&gt;0, VLOOKUP($J566,'Gear Values'!$A$2:$E$13, IF(COUNTBLANK('Attributes &amp; Prefixes'!$B$50:$C$50)&gt;0, "4", "5"), 0)), "")</f>
        <v>N/A</v>
      </c>
      <c r="L566" s="148" t="str" cm="1">
        <f t="array" ref="L566">IF(COUNTIF($B$50:$E$50, L$2)&gt;0, _xlfn.IFS(COUNTIF($B$50:$C$50, L$2)&gt;0, VLOOKUP($J566,'Gear Values'!$A$2:$E$13, IF(COUNTBLANK('Attributes &amp; Prefixes'!$B$50:$C$50)&gt;0, "2", "3"), 0), COUNTIF($D$50:$E$50, L$2)&gt;0, VLOOKUP($J566,'Gear Values'!$A$2:$E$13, IF(COUNTBLANK('Attributes &amp; Prefixes'!$B$50:$C$50)&gt;0, "4", "5"), 0)), "")</f>
        <v>N/A</v>
      </c>
      <c r="M566" s="148" t="str" cm="1">
        <f t="array" ref="M566">IF(COUNTIF($B$50:$E$50, M$2)&gt;0, _xlfn.IFS(COUNTIF($B$50:$C$50, M$2)&gt;0, VLOOKUP($J566,'Gear Values'!$A$2:$E$13, IF(COUNTBLANK('Attributes &amp; Prefixes'!$B$50:$C$50)&gt;0, "2", "3"), 0), COUNTIF($D$50:$E$50, M$2)&gt;0, VLOOKUP($J566,'Gear Values'!$A$2:$E$13, IF(COUNTBLANK('Attributes &amp; Prefixes'!$B$50:$C$50)&gt;0, "4", "5"), 0)), "")</f>
        <v/>
      </c>
      <c r="N566" s="148" t="str" cm="1">
        <f t="array" ref="N566">IF(COUNTIF($B$50:$E$50, N$2)&gt;0, _xlfn.IFS(COUNTIF($B$50:$C$50, N$2)&gt;0, VLOOKUP($J566,'Gear Values'!$A$2:$E$13, IF(COUNTBLANK('Attributes &amp; Prefixes'!$B$50:$C$50)&gt;0, "2", "3"), 0), COUNTIF($D$50:$E$50, N$2)&gt;0, VLOOKUP($J566,'Gear Values'!$A$2:$E$13, IF(COUNTBLANK('Attributes &amp; Prefixes'!$B$50:$C$50)&gt;0, "4", "5"), 0)), "")</f>
        <v/>
      </c>
      <c r="O566" s="148" t="str" cm="1">
        <f t="array" ref="O566">IF(COUNTIF($B$50:$E$50, O$2)&gt;0, _xlfn.IFS(COUNTIF($B$50:$C$50, O$2)&gt;0, VLOOKUP($J566,'Gear Values'!$A$2:$E$13, IF(COUNTBLANK('Attributes &amp; Prefixes'!$B$50:$C$50)&gt;0, "2", "3"), 0), COUNTIF($D$50:$E$50, O$2)&gt;0, VLOOKUP($J566,'Gear Values'!$A$2:$E$13, IF(COUNTBLANK('Attributes &amp; Prefixes'!$B$50:$C$50)&gt;0, "4", "5"), 0)), "")</f>
        <v/>
      </c>
      <c r="P566" s="148" t="str" cm="1">
        <f t="array" ref="P566">IF(COUNTIF($B$50:$E$50, P$2)&gt;0, _xlfn.IFS(COUNTIF($B$50:$C$50, P$2)&gt;0, VLOOKUP($J566,'Gear Values'!$A$2:$E$13, IF(COUNTBLANK('Attributes &amp; Prefixes'!$B$50:$C$50)&gt;0, "2", "3"), 0), COUNTIF($D$50:$E$50, P$2)&gt;0, VLOOKUP($J566,'Gear Values'!$A$2:$E$13, IF(COUNTBLANK('Attributes &amp; Prefixes'!$B$50:$C$50)&gt;0, "4", "5"), 0)), "")</f>
        <v>N/A</v>
      </c>
      <c r="Q566" s="148" t="str" cm="1">
        <f t="array" ref="Q566">IF(COUNTIF($B$50:$E$50, Q$2)&gt;0, _xlfn.IFS(COUNTIF($B$50:$C$50, Q$2)&gt;0, VLOOKUP($J566,'Gear Values'!$A$2:$E$13, IF(COUNTBLANK('Attributes &amp; Prefixes'!$B$50:$C$50)&gt;0, "2", "3"), 0), COUNTIF($D$50:$E$50, Q$2)&gt;0, VLOOKUP($J566,'Gear Values'!$A$2:$E$13, IF(COUNTBLANK('Attributes &amp; Prefixes'!$B$50:$C$50)&gt;0, "4", "5"), 0)), "")</f>
        <v>N/A</v>
      </c>
      <c r="R566" s="148" t="str" cm="1">
        <f t="array" ref="R566">IF(COUNTIF($B$50:$E$50, R$2)&gt;0, _xlfn.IFS(COUNTIF($B$50:$C$50, R$2)&gt;0, VLOOKUP($J566,'Gear Values'!$A$2:$E$13, IF(COUNTBLANK('Attributes &amp; Prefixes'!$B$50:$C$50)&gt;0, "2", "3"), 0), COUNTIF($D$50:$E$50, R$2)&gt;0, VLOOKUP($J566,'Gear Values'!$A$2:$E$13, IF(COUNTBLANK('Attributes &amp; Prefixes'!$B$50:$C$50)&gt;0, "4", "5"), 0)), "")</f>
        <v/>
      </c>
      <c r="S566" s="150" t="str" cm="1">
        <f t="array" ref="S566">IF(COUNTIF($B$50:$E$50, S$2)&gt;0, _xlfn.IFS(COUNTIF($B$50:$C$50, S$2)&gt;0, VLOOKUP($J566,'Gear Values'!$A$2:$E$13, IF(COUNTBLANK('Attributes &amp; Prefixes'!$B$50:$C$50)&gt;0, "2", "3"), 0), COUNTIF($D$50:$E$50, S$2)&gt;0, VLOOKUP($J566,'Gear Values'!$A$2:$E$13, IF(COUNTBLANK('Attributes &amp; Prefixes'!$B$50:$C$50)&gt;0, "4", "5"), 0)), "")</f>
        <v/>
      </c>
      <c r="V566" s="112"/>
      <c r="W566" s="113"/>
    </row>
    <row r="567" spans="6:23">
      <c r="F567" s="114"/>
      <c r="G567" s="114"/>
      <c r="H567" s="130" t="str">
        <f>_xlfn.CONCAT(I$567,J567)</f>
        <v>WandererWeapon (1H)</v>
      </c>
      <c r="I567" s="519" t="str">
        <f>A51</f>
        <v>Wanderer</v>
      </c>
      <c r="J567" s="145" t="s">
        <v>37</v>
      </c>
      <c r="K567" s="133" cm="1">
        <f t="array" ref="K567">IF(COUNTIF($B$51:$E$51, K$2)&gt;0, _xlfn.IFS(COUNTIF($B$51:$C$51, K$2)&gt;0, VLOOKUP($J568,'Gear Values'!$A$2:$E$13, IF(COUNTBLANK('Attributes &amp; Prefixes'!$B$51:$C$51)&gt;0, "2", "3"), 0), COUNTIF($D$51:$E$51, K$2)&gt;0, VLOOKUP($J568,'Gear Values'!$A$2:$E$13, IF(COUNTBLANK('Attributes &amp; Prefixes'!$B$51:$C$51)&gt;0, "4", "5"), 0)), "")</f>
        <v>205</v>
      </c>
      <c r="L567" s="134" t="str" cm="1">
        <f t="array" ref="L567">IF(COUNTIF($B$51:$E$51, L$2)&gt;0, _xlfn.IFS(COUNTIF($B$51:$C$51, L$2)&gt;0, VLOOKUP($J568,'Gear Values'!$A$2:$E$13, IF(COUNTBLANK('Attributes &amp; Prefixes'!$B$51:$C$51)&gt;0, "2", "3"), 0), COUNTIF($D$51:$E$51, L$2)&gt;0, VLOOKUP($J568,'Gear Values'!$A$2:$E$13, IF(COUNTBLANK('Attributes &amp; Prefixes'!$B$51:$C$51)&gt;0, "4", "5"), 0)), "")</f>
        <v/>
      </c>
      <c r="M567" s="134" cm="1">
        <f t="array" ref="M567">IF(COUNTIF($B$51:$E$51, M$2)&gt;0, _xlfn.IFS(COUNTIF($B$51:$C$51, M$2)&gt;0, VLOOKUP($J568,'Gear Values'!$A$2:$E$13, IF(COUNTBLANK('Attributes &amp; Prefixes'!$B$51:$C$51)&gt;0, "2", "3"), 0), COUNTIF($D$51:$E$51, M$2)&gt;0, VLOOKUP($J568,'Gear Values'!$A$2:$E$13, IF(COUNTBLANK('Attributes &amp; Prefixes'!$B$51:$C$51)&gt;0, "4", "5"), 0)), "")</f>
        <v>113</v>
      </c>
      <c r="N567" s="134" cm="1">
        <f t="array" ref="N567">IF(COUNTIF($B$51:$E$51, N$2)&gt;0, _xlfn.IFS(COUNTIF($B$51:$C$51, N$2)&gt;0, VLOOKUP($J568,'Gear Values'!$A$2:$E$13, IF(COUNTBLANK('Attributes &amp; Prefixes'!$B$51:$C$51)&gt;0, "2", "3"), 0), COUNTIF($D$51:$E$51, N$2)&gt;0, VLOOKUP($J568,'Gear Values'!$A$2:$E$13, IF(COUNTBLANK('Attributes &amp; Prefixes'!$B$51:$C$51)&gt;0, "4", "5"), 0)), "")</f>
        <v>205</v>
      </c>
      <c r="O567" s="134" cm="1">
        <f t="array" ref="O567">IF(COUNTIF($B$51:$E$51, O$2)&gt;0, _xlfn.IFS(COUNTIF($B$51:$C$51, O$2)&gt;0, VLOOKUP($J568,'Gear Values'!$A$2:$E$13, IF(COUNTBLANK('Attributes &amp; Prefixes'!$B$51:$C$51)&gt;0, "2", "3"), 0), COUNTIF($D$51:$E$51, O$2)&gt;0, VLOOKUP($J568,'Gear Values'!$A$2:$E$13, IF(COUNTBLANK('Attributes &amp; Prefixes'!$B$51:$C$51)&gt;0, "4", "5"), 0)), "")</f>
        <v>113</v>
      </c>
      <c r="P567" s="134" t="str" cm="1">
        <f t="array" ref="P567">IF(COUNTIF($B$51:$E$51, P$2)&gt;0, _xlfn.IFS(COUNTIF($B$51:$C$51, P$2)&gt;0, VLOOKUP($J568,'Gear Values'!$A$2:$E$13, IF(COUNTBLANK('Attributes &amp; Prefixes'!$B$51:$C$51)&gt;0, "2", "3"), 0), COUNTIF($D$51:$E$51, P$2)&gt;0, VLOOKUP($J568,'Gear Values'!$A$2:$E$13, IF(COUNTBLANK('Attributes &amp; Prefixes'!$B$51:$C$51)&gt;0, "4", "5"), 0)), "")</f>
        <v/>
      </c>
      <c r="Q567" s="134" t="str" cm="1">
        <f t="array" ref="Q567">IF(COUNTIF($B$51:$E$51, Q$2)&gt;0, _xlfn.IFS(COUNTIF($B$51:$C$51, Q$2)&gt;0, VLOOKUP($J568,'Gear Values'!$A$2:$E$13, IF(COUNTBLANK('Attributes &amp; Prefixes'!$B$51:$C$51)&gt;0, "2", "3"), 0), COUNTIF($D$51:$E$51, Q$2)&gt;0, VLOOKUP($J568,'Gear Values'!$A$2:$E$13, IF(COUNTBLANK('Attributes &amp; Prefixes'!$B$51:$C$51)&gt;0, "4", "5"), 0)), "")</f>
        <v/>
      </c>
      <c r="R567" s="134" t="str" cm="1">
        <f t="array" ref="R567">IF(COUNTIF($B$51:$E$51, R$2)&gt;0, _xlfn.IFS(COUNTIF($B$51:$C$51, R$2)&gt;0, VLOOKUP($J568,'Gear Values'!$A$2:$E$13, IF(COUNTBLANK('Attributes &amp; Prefixes'!$B$51:$C$51)&gt;0, "2", "3"), 0), COUNTIF($D$51:$E$51, R$2)&gt;0, VLOOKUP($J568,'Gear Values'!$A$2:$E$13, IF(COUNTBLANK('Attributes &amp; Prefixes'!$B$51:$C$51)&gt;0, "4", "5"), 0)), "")</f>
        <v/>
      </c>
      <c r="S567" s="135" t="str" cm="1">
        <f t="array" ref="S567">IF(COUNTIF($B$51:$E$51, S$2)&gt;0, _xlfn.IFS(COUNTIF($B$51:$C$51, S$2)&gt;0, VLOOKUP($J568,'Gear Values'!$A$2:$E$13, IF(COUNTBLANK('Attributes &amp; Prefixes'!$B$51:$C$51)&gt;0, "2", "3"), 0), COUNTIF($D$51:$E$51, S$2)&gt;0, VLOOKUP($J568,'Gear Values'!$A$2:$E$13, IF(COUNTBLANK('Attributes &amp; Prefixes'!$B$51:$C$51)&gt;0, "4", "5"), 0)), "")</f>
        <v/>
      </c>
      <c r="V567" s="112"/>
      <c r="W567" s="113"/>
    </row>
    <row r="568" spans="6:23">
      <c r="F568" s="114"/>
      <c r="G568" s="114"/>
      <c r="H568" s="130" t="str">
        <f>_xlfn.CONCAT(I$567,J568)</f>
        <v>WandererWeapon (2H)</v>
      </c>
      <c r="I568" s="520"/>
      <c r="J568" s="144" t="s">
        <v>39</v>
      </c>
      <c r="K568" s="136" cm="1">
        <f t="array" ref="K568">IF(COUNTIF($B$51:$E$51, K$2)&gt;0, _xlfn.IFS(COUNTIF($B$51:$C$51, K$2)&gt;0, VLOOKUP($J568,'Gear Values'!$A$2:$E$13, IF(COUNTBLANK('Attributes &amp; Prefixes'!$B$51:$C$51)&gt;0, "2", "3"), 0), COUNTIF($D$51:$E$51, K$2)&gt;0, VLOOKUP($J568,'Gear Values'!$A$2:$E$13, IF(COUNTBLANK('Attributes &amp; Prefixes'!$B$51:$C$51)&gt;0, "4", "5"), 0)), "")</f>
        <v>205</v>
      </c>
      <c r="L568" s="137" t="str" cm="1">
        <f t="array" ref="L568">IF(COUNTIF($B$51:$E$51, L$2)&gt;0, _xlfn.IFS(COUNTIF($B$51:$C$51, L$2)&gt;0, VLOOKUP($J568,'Gear Values'!$A$2:$E$13, IF(COUNTBLANK('Attributes &amp; Prefixes'!$B$51:$C$51)&gt;0, "2", "3"), 0), COUNTIF($D$51:$E$51, L$2)&gt;0, VLOOKUP($J568,'Gear Values'!$A$2:$E$13, IF(COUNTBLANK('Attributes &amp; Prefixes'!$B$51:$C$51)&gt;0, "4", "5"), 0)), "")</f>
        <v/>
      </c>
      <c r="M568" s="137" cm="1">
        <f t="array" ref="M568">IF(COUNTIF($B$51:$E$51, M$2)&gt;0, _xlfn.IFS(COUNTIF($B$51:$C$51, M$2)&gt;0, VLOOKUP($J568,'Gear Values'!$A$2:$E$13, IF(COUNTBLANK('Attributes &amp; Prefixes'!$B$51:$C$51)&gt;0, "2", "3"), 0), COUNTIF($D$51:$E$51, M$2)&gt;0, VLOOKUP($J568,'Gear Values'!$A$2:$E$13, IF(COUNTBLANK('Attributes &amp; Prefixes'!$B$51:$C$51)&gt;0, "4", "5"), 0)), "")</f>
        <v>113</v>
      </c>
      <c r="N568" s="137" cm="1">
        <f t="array" ref="N568">IF(COUNTIF($B$51:$E$51, N$2)&gt;0, _xlfn.IFS(COUNTIF($B$51:$C$51, N$2)&gt;0, VLOOKUP($J568,'Gear Values'!$A$2:$E$13, IF(COUNTBLANK('Attributes &amp; Prefixes'!$B$51:$C$51)&gt;0, "2", "3"), 0), COUNTIF($D$51:$E$51, N$2)&gt;0, VLOOKUP($J568,'Gear Values'!$A$2:$E$13, IF(COUNTBLANK('Attributes &amp; Prefixes'!$B$51:$C$51)&gt;0, "4", "5"), 0)), "")</f>
        <v>205</v>
      </c>
      <c r="O568" s="137" cm="1">
        <f t="array" ref="O568">IF(COUNTIF($B$51:$E$51, O$2)&gt;0, _xlfn.IFS(COUNTIF($B$51:$C$51, O$2)&gt;0, VLOOKUP($J568,'Gear Values'!$A$2:$E$13, IF(COUNTBLANK('Attributes &amp; Prefixes'!$B$51:$C$51)&gt;0, "2", "3"), 0), COUNTIF($D$51:$E$51, O$2)&gt;0, VLOOKUP($J568,'Gear Values'!$A$2:$E$13, IF(COUNTBLANK('Attributes &amp; Prefixes'!$B$51:$C$51)&gt;0, "4", "5"), 0)), "")</f>
        <v>113</v>
      </c>
      <c r="P568" s="137" t="str" cm="1">
        <f t="array" ref="P568">IF(COUNTIF($B$51:$E$51, P$2)&gt;0, _xlfn.IFS(COUNTIF($B$51:$C$51, P$2)&gt;0, VLOOKUP($J568,'Gear Values'!$A$2:$E$13, IF(COUNTBLANK('Attributes &amp; Prefixes'!$B$51:$C$51)&gt;0, "2", "3"), 0), COUNTIF($D$51:$E$51, P$2)&gt;0, VLOOKUP($J568,'Gear Values'!$A$2:$E$13, IF(COUNTBLANK('Attributes &amp; Prefixes'!$B$51:$C$51)&gt;0, "4", "5"), 0)), "")</f>
        <v/>
      </c>
      <c r="Q568" s="137" t="str" cm="1">
        <f t="array" ref="Q568">IF(COUNTIF($B$51:$E$51, Q$2)&gt;0, _xlfn.IFS(COUNTIF($B$51:$C$51, Q$2)&gt;0, VLOOKUP($J568,'Gear Values'!$A$2:$E$13, IF(COUNTBLANK('Attributes &amp; Prefixes'!$B$51:$C$51)&gt;0, "2", "3"), 0), COUNTIF($D$51:$E$51, Q$2)&gt;0, VLOOKUP($J568,'Gear Values'!$A$2:$E$13, IF(COUNTBLANK('Attributes &amp; Prefixes'!$B$51:$C$51)&gt;0, "4", "5"), 0)), "")</f>
        <v/>
      </c>
      <c r="R568" s="137" t="str" cm="1">
        <f t="array" ref="R568">IF(COUNTIF($B$51:$E$51, R$2)&gt;0, _xlfn.IFS(COUNTIF($B$51:$C$51, R$2)&gt;0, VLOOKUP($J568,'Gear Values'!$A$2:$E$13, IF(COUNTBLANK('Attributes &amp; Prefixes'!$B$51:$C$51)&gt;0, "2", "3"), 0), COUNTIF($D$51:$E$51, R$2)&gt;0, VLOOKUP($J568,'Gear Values'!$A$2:$E$13, IF(COUNTBLANK('Attributes &amp; Prefixes'!$B$51:$C$51)&gt;0, "4", "5"), 0)), "")</f>
        <v/>
      </c>
      <c r="S568" s="138" t="str" cm="1">
        <f t="array" ref="S568">IF(COUNTIF($B$51:$E$51, S$2)&gt;0, _xlfn.IFS(COUNTIF($B$51:$C$51, S$2)&gt;0, VLOOKUP($J568,'Gear Values'!$A$2:$E$13, IF(COUNTBLANK('Attributes &amp; Prefixes'!$B$51:$C$51)&gt;0, "2", "3"), 0), COUNTIF($D$51:$E$51, S$2)&gt;0, VLOOKUP($J568,'Gear Values'!$A$2:$E$13, IF(COUNTBLANK('Attributes &amp; Prefixes'!$B$51:$C$51)&gt;0, "4", "5"), 0)), "")</f>
        <v/>
      </c>
      <c r="V568" s="112"/>
      <c r="W568" s="113"/>
    </row>
    <row r="569" spans="6:23">
      <c r="F569" s="114"/>
      <c r="G569" s="114"/>
      <c r="H569" s="130" t="str">
        <f>_xlfn.CONCAT(I$567,J569)</f>
        <v>WandererHead</v>
      </c>
      <c r="I569" s="520"/>
      <c r="J569" s="144" t="s">
        <v>40</v>
      </c>
      <c r="K569" s="136" cm="1">
        <f t="array" ref="K569">IF(COUNTIF($B$51:$E$51, K$2)&gt;0, _xlfn.IFS(COUNTIF($B$51:$C$51, K$2)&gt;0, VLOOKUP($J569,'Gear Values'!$A$2:$E$13, IF(COUNTBLANK('Attributes &amp; Prefixes'!$B$51:$C$51)&gt;0, "2", "3"), 0), COUNTIF($D$51:$E$51, K$2)&gt;0, VLOOKUP($J569,'Gear Values'!$A$2:$E$13, IF(COUNTBLANK('Attributes &amp; Prefixes'!$B$51:$C$51)&gt;0, "4", "5"), 0)), "")</f>
        <v>51</v>
      </c>
      <c r="L569" s="137" t="str" cm="1">
        <f t="array" ref="L569">IF(COUNTIF($B$51:$E$51, L$2)&gt;0, _xlfn.IFS(COUNTIF($B$51:$C$51, L$2)&gt;0, VLOOKUP($J569,'Gear Values'!$A$2:$E$13, IF(COUNTBLANK('Attributes &amp; Prefixes'!$B$51:$C$51)&gt;0, "2", "3"), 0), COUNTIF($D$51:$E$51, L$2)&gt;0, VLOOKUP($J569,'Gear Values'!$A$2:$E$13, IF(COUNTBLANK('Attributes &amp; Prefixes'!$B$51:$C$51)&gt;0, "4", "5"), 0)), "")</f>
        <v/>
      </c>
      <c r="M569" s="137" cm="1">
        <f t="array" ref="M569">IF(COUNTIF($B$51:$E$51, M$2)&gt;0, _xlfn.IFS(COUNTIF($B$51:$C$51, M$2)&gt;0, VLOOKUP($J569,'Gear Values'!$A$2:$E$13, IF(COUNTBLANK('Attributes &amp; Prefixes'!$B$51:$C$51)&gt;0, "2", "3"), 0), COUNTIF($D$51:$E$51, M$2)&gt;0, VLOOKUP($J569,'Gear Values'!$A$2:$E$13, IF(COUNTBLANK('Attributes &amp; Prefixes'!$B$51:$C$51)&gt;0, "4", "5"), 0)), "")</f>
        <v>28</v>
      </c>
      <c r="N569" s="137" cm="1">
        <f t="array" ref="N569">IF(COUNTIF($B$51:$E$51, N$2)&gt;0, _xlfn.IFS(COUNTIF($B$51:$C$51, N$2)&gt;0, VLOOKUP($J569,'Gear Values'!$A$2:$E$13, IF(COUNTBLANK('Attributes &amp; Prefixes'!$B$51:$C$51)&gt;0, "2", "3"), 0), COUNTIF($D$51:$E$51, N$2)&gt;0, VLOOKUP($J569,'Gear Values'!$A$2:$E$13, IF(COUNTBLANK('Attributes &amp; Prefixes'!$B$51:$C$51)&gt;0, "4", "5"), 0)), "")</f>
        <v>51</v>
      </c>
      <c r="O569" s="137" cm="1">
        <f t="array" ref="O569">IF(COUNTIF($B$51:$E$51, O$2)&gt;0, _xlfn.IFS(COUNTIF($B$51:$C$51, O$2)&gt;0, VLOOKUP($J569,'Gear Values'!$A$2:$E$13, IF(COUNTBLANK('Attributes &amp; Prefixes'!$B$51:$C$51)&gt;0, "2", "3"), 0), COUNTIF($D$51:$E$51, O$2)&gt;0, VLOOKUP($J569,'Gear Values'!$A$2:$E$13, IF(COUNTBLANK('Attributes &amp; Prefixes'!$B$51:$C$51)&gt;0, "4", "5"), 0)), "")</f>
        <v>28</v>
      </c>
      <c r="P569" s="137" t="str" cm="1">
        <f t="array" ref="P569">IF(COUNTIF($B$51:$E$51, P$2)&gt;0, _xlfn.IFS(COUNTIF($B$51:$C$51, P$2)&gt;0, VLOOKUP($J569,'Gear Values'!$A$2:$E$13, IF(COUNTBLANK('Attributes &amp; Prefixes'!$B$51:$C$51)&gt;0, "2", "3"), 0), COUNTIF($D$51:$E$51, P$2)&gt;0, VLOOKUP($J569,'Gear Values'!$A$2:$E$13, IF(COUNTBLANK('Attributes &amp; Prefixes'!$B$51:$C$51)&gt;0, "4", "5"), 0)), "")</f>
        <v/>
      </c>
      <c r="Q569" s="137" t="str" cm="1">
        <f t="array" ref="Q569">IF(COUNTIF($B$51:$E$51, Q$2)&gt;0, _xlfn.IFS(COUNTIF($B$51:$C$51, Q$2)&gt;0, VLOOKUP($J569,'Gear Values'!$A$2:$E$13, IF(COUNTBLANK('Attributes &amp; Prefixes'!$B$51:$C$51)&gt;0, "2", "3"), 0), COUNTIF($D$51:$E$51, Q$2)&gt;0, VLOOKUP($J569,'Gear Values'!$A$2:$E$13, IF(COUNTBLANK('Attributes &amp; Prefixes'!$B$51:$C$51)&gt;0, "4", "5"), 0)), "")</f>
        <v/>
      </c>
      <c r="R569" s="137" t="str" cm="1">
        <f t="array" ref="R569">IF(COUNTIF($B$51:$E$51, R$2)&gt;0, _xlfn.IFS(COUNTIF($B$51:$C$51, R$2)&gt;0, VLOOKUP($J569,'Gear Values'!$A$2:$E$13, IF(COUNTBLANK('Attributes &amp; Prefixes'!$B$51:$C$51)&gt;0, "2", "3"), 0), COUNTIF($D$51:$E$51, R$2)&gt;0, VLOOKUP($J569,'Gear Values'!$A$2:$E$13, IF(COUNTBLANK('Attributes &amp; Prefixes'!$B$51:$C$51)&gt;0, "4", "5"), 0)), "")</f>
        <v/>
      </c>
      <c r="S569" s="138" t="str" cm="1">
        <f t="array" ref="S569">IF(COUNTIF($B$51:$E$51, S$2)&gt;0, _xlfn.IFS(COUNTIF($B$51:$C$51, S$2)&gt;0, VLOOKUP($J569,'Gear Values'!$A$2:$E$13, IF(COUNTBLANK('Attributes &amp; Prefixes'!$B$51:$C$51)&gt;0, "2", "3"), 0), COUNTIF($D$51:$E$51, S$2)&gt;0, VLOOKUP($J569,'Gear Values'!$A$2:$E$13, IF(COUNTBLANK('Attributes &amp; Prefixes'!$B$51:$C$51)&gt;0, "4", "5"), 0)), "")</f>
        <v/>
      </c>
      <c r="V569" s="112"/>
      <c r="W569" s="113"/>
    </row>
    <row r="570" spans="6:23">
      <c r="F570" s="114"/>
      <c r="G570" s="114"/>
      <c r="H570" s="130" t="str">
        <f>_xlfn.CONCAT(I$567,J570)</f>
        <v>WandererShoulders</v>
      </c>
      <c r="I570" s="520"/>
      <c r="J570" s="144" t="s">
        <v>42</v>
      </c>
      <c r="K570" s="136" cm="1">
        <f t="array" ref="K570">IF(COUNTIF($B$51:$E$51, K$2)&gt;0, _xlfn.IFS(COUNTIF($B$51:$C$51, K$2)&gt;0, VLOOKUP($J570,'Gear Values'!$A$2:$E$13, IF(COUNTBLANK('Attributes &amp; Prefixes'!$B$51:$C$51)&gt;0, "2", "3"), 0), COUNTIF($D$51:$E$51, K$2)&gt;0, VLOOKUP($J570,'Gear Values'!$A$2:$E$13, IF(COUNTBLANK('Attributes &amp; Prefixes'!$B$51:$C$51)&gt;0, "4", "5"), 0)), "")</f>
        <v>38</v>
      </c>
      <c r="L570" s="137" t="str" cm="1">
        <f t="array" ref="L570">IF(COUNTIF($B$51:$E$51, L$2)&gt;0, _xlfn.IFS(COUNTIF($B$51:$C$51, L$2)&gt;0, VLOOKUP($J570,'Gear Values'!$A$2:$E$13, IF(COUNTBLANK('Attributes &amp; Prefixes'!$B$51:$C$51)&gt;0, "2", "3"), 0), COUNTIF($D$51:$E$51, L$2)&gt;0, VLOOKUP($J570,'Gear Values'!$A$2:$E$13, IF(COUNTBLANK('Attributes &amp; Prefixes'!$B$51:$C$51)&gt;0, "4", "5"), 0)), "")</f>
        <v/>
      </c>
      <c r="M570" s="137" cm="1">
        <f t="array" ref="M570">IF(COUNTIF($B$51:$E$51, M$2)&gt;0, _xlfn.IFS(COUNTIF($B$51:$C$51, M$2)&gt;0, VLOOKUP($J570,'Gear Values'!$A$2:$E$13, IF(COUNTBLANK('Attributes &amp; Prefixes'!$B$51:$C$51)&gt;0, "2", "3"), 0), COUNTIF($D$51:$E$51, M$2)&gt;0, VLOOKUP($J570,'Gear Values'!$A$2:$E$13, IF(COUNTBLANK('Attributes &amp; Prefixes'!$B$51:$C$51)&gt;0, "4", "5"), 0)), "")</f>
        <v>21</v>
      </c>
      <c r="N570" s="137" cm="1">
        <f t="array" ref="N570">IF(COUNTIF($B$51:$E$51, N$2)&gt;0, _xlfn.IFS(COUNTIF($B$51:$C$51, N$2)&gt;0, VLOOKUP($J570,'Gear Values'!$A$2:$E$13, IF(COUNTBLANK('Attributes &amp; Prefixes'!$B$51:$C$51)&gt;0, "2", "3"), 0), COUNTIF($D$51:$E$51, N$2)&gt;0, VLOOKUP($J570,'Gear Values'!$A$2:$E$13, IF(COUNTBLANK('Attributes &amp; Prefixes'!$B$51:$C$51)&gt;0, "4", "5"), 0)), "")</f>
        <v>38</v>
      </c>
      <c r="O570" s="137" cm="1">
        <f t="array" ref="O570">IF(COUNTIF($B$51:$E$51, O$2)&gt;0, _xlfn.IFS(COUNTIF($B$51:$C$51, O$2)&gt;0, VLOOKUP($J570,'Gear Values'!$A$2:$E$13, IF(COUNTBLANK('Attributes &amp; Prefixes'!$B$51:$C$51)&gt;0, "2", "3"), 0), COUNTIF($D$51:$E$51, O$2)&gt;0, VLOOKUP($J570,'Gear Values'!$A$2:$E$13, IF(COUNTBLANK('Attributes &amp; Prefixes'!$B$51:$C$51)&gt;0, "4", "5"), 0)), "")</f>
        <v>21</v>
      </c>
      <c r="P570" s="137" t="str" cm="1">
        <f t="array" ref="P570">IF(COUNTIF($B$51:$E$51, P$2)&gt;0, _xlfn.IFS(COUNTIF($B$51:$C$51, P$2)&gt;0, VLOOKUP($J570,'Gear Values'!$A$2:$E$13, IF(COUNTBLANK('Attributes &amp; Prefixes'!$B$51:$C$51)&gt;0, "2", "3"), 0), COUNTIF($D$51:$E$51, P$2)&gt;0, VLOOKUP($J570,'Gear Values'!$A$2:$E$13, IF(COUNTBLANK('Attributes &amp; Prefixes'!$B$51:$C$51)&gt;0, "4", "5"), 0)), "")</f>
        <v/>
      </c>
      <c r="Q570" s="137" t="str" cm="1">
        <f t="array" ref="Q570">IF(COUNTIF($B$51:$E$51, Q$2)&gt;0, _xlfn.IFS(COUNTIF($B$51:$C$51, Q$2)&gt;0, VLOOKUP($J570,'Gear Values'!$A$2:$E$13, IF(COUNTBLANK('Attributes &amp; Prefixes'!$B$51:$C$51)&gt;0, "2", "3"), 0), COUNTIF($D$51:$E$51, Q$2)&gt;0, VLOOKUP($J570,'Gear Values'!$A$2:$E$13, IF(COUNTBLANK('Attributes &amp; Prefixes'!$B$51:$C$51)&gt;0, "4", "5"), 0)), "")</f>
        <v/>
      </c>
      <c r="R570" s="137" t="str" cm="1">
        <f t="array" ref="R570">IF(COUNTIF($B$51:$E$51, R$2)&gt;0, _xlfn.IFS(COUNTIF($B$51:$C$51, R$2)&gt;0, VLOOKUP($J570,'Gear Values'!$A$2:$E$13, IF(COUNTBLANK('Attributes &amp; Prefixes'!$B$51:$C$51)&gt;0, "2", "3"), 0), COUNTIF($D$51:$E$51, R$2)&gt;0, VLOOKUP($J570,'Gear Values'!$A$2:$E$13, IF(COUNTBLANK('Attributes &amp; Prefixes'!$B$51:$C$51)&gt;0, "4", "5"), 0)), "")</f>
        <v/>
      </c>
      <c r="S570" s="138" t="str" cm="1">
        <f t="array" ref="S570">IF(COUNTIF($B$51:$E$51, S$2)&gt;0, _xlfn.IFS(COUNTIF($B$51:$C$51, S$2)&gt;0, VLOOKUP($J570,'Gear Values'!$A$2:$E$13, IF(COUNTBLANK('Attributes &amp; Prefixes'!$B$51:$C$51)&gt;0, "2", "3"), 0), COUNTIF($D$51:$E$51, S$2)&gt;0, VLOOKUP($J570,'Gear Values'!$A$2:$E$13, IF(COUNTBLANK('Attributes &amp; Prefixes'!$B$51:$C$51)&gt;0, "4", "5"), 0)), "")</f>
        <v/>
      </c>
      <c r="V570" s="112"/>
      <c r="W570" s="113"/>
    </row>
    <row r="571" spans="6:23">
      <c r="F571" s="114"/>
      <c r="G571" s="114"/>
      <c r="H571" s="130" t="str">
        <f>_xlfn.CONCAT(I$567,J571)</f>
        <v>WandererChest</v>
      </c>
      <c r="I571" s="520"/>
      <c r="J571" s="144" t="s">
        <v>44</v>
      </c>
      <c r="K571" s="136" cm="1">
        <f t="array" ref="K571">IF(COUNTIF($B$51:$E$51, K$2)&gt;0, _xlfn.IFS(COUNTIF($B$51:$C$51, K$2)&gt;0, VLOOKUP($J571,'Gear Values'!$A$2:$E$13, IF(COUNTBLANK('Attributes &amp; Prefixes'!$B$51:$C$51)&gt;0, "2", "3"), 0), COUNTIF($D$51:$E$51, K$2)&gt;0, VLOOKUP($J571,'Gear Values'!$A$2:$E$13, IF(COUNTBLANK('Attributes &amp; Prefixes'!$B$51:$C$51)&gt;0, "4", "5"), 0)), "")</f>
        <v>115</v>
      </c>
      <c r="L571" s="137" t="str" cm="1">
        <f t="array" ref="L571">IF(COUNTIF($B$51:$E$51, L$2)&gt;0, _xlfn.IFS(COUNTIF($B$51:$C$51, L$2)&gt;0, VLOOKUP($J571,'Gear Values'!$A$2:$E$13, IF(COUNTBLANK('Attributes &amp; Prefixes'!$B$51:$C$51)&gt;0, "2", "3"), 0), COUNTIF($D$51:$E$51, L$2)&gt;0, VLOOKUP($J571,'Gear Values'!$A$2:$E$13, IF(COUNTBLANK('Attributes &amp; Prefixes'!$B$51:$C$51)&gt;0, "4", "5"), 0)), "")</f>
        <v/>
      </c>
      <c r="M571" s="137" cm="1">
        <f t="array" ref="M571">IF(COUNTIF($B$51:$E$51, M$2)&gt;0, _xlfn.IFS(COUNTIF($B$51:$C$51, M$2)&gt;0, VLOOKUP($J571,'Gear Values'!$A$2:$E$13, IF(COUNTBLANK('Attributes &amp; Prefixes'!$B$51:$C$51)&gt;0, "2", "3"), 0), COUNTIF($D$51:$E$51, M$2)&gt;0, VLOOKUP($J571,'Gear Values'!$A$2:$E$13, IF(COUNTBLANK('Attributes &amp; Prefixes'!$B$51:$C$51)&gt;0, "4", "5"), 0)), "")</f>
        <v>63</v>
      </c>
      <c r="N571" s="137" cm="1">
        <f t="array" ref="N571">IF(COUNTIF($B$51:$E$51, N$2)&gt;0, _xlfn.IFS(COUNTIF($B$51:$C$51, N$2)&gt;0, VLOOKUP($J571,'Gear Values'!$A$2:$E$13, IF(COUNTBLANK('Attributes &amp; Prefixes'!$B$51:$C$51)&gt;0, "2", "3"), 0), COUNTIF($D$51:$E$51, N$2)&gt;0, VLOOKUP($J571,'Gear Values'!$A$2:$E$13, IF(COUNTBLANK('Attributes &amp; Prefixes'!$B$51:$C$51)&gt;0, "4", "5"), 0)), "")</f>
        <v>115</v>
      </c>
      <c r="O571" s="137" cm="1">
        <f t="array" ref="O571">IF(COUNTIF($B$51:$E$51, O$2)&gt;0, _xlfn.IFS(COUNTIF($B$51:$C$51, O$2)&gt;0, VLOOKUP($J571,'Gear Values'!$A$2:$E$13, IF(COUNTBLANK('Attributes &amp; Prefixes'!$B$51:$C$51)&gt;0, "2", "3"), 0), COUNTIF($D$51:$E$51, O$2)&gt;0, VLOOKUP($J571,'Gear Values'!$A$2:$E$13, IF(COUNTBLANK('Attributes &amp; Prefixes'!$B$51:$C$51)&gt;0, "4", "5"), 0)), "")</f>
        <v>63</v>
      </c>
      <c r="P571" s="137" t="str" cm="1">
        <f t="array" ref="P571">IF(COUNTIF($B$51:$E$51, P$2)&gt;0, _xlfn.IFS(COUNTIF($B$51:$C$51, P$2)&gt;0, VLOOKUP($J571,'Gear Values'!$A$2:$E$13, IF(COUNTBLANK('Attributes &amp; Prefixes'!$B$51:$C$51)&gt;0, "2", "3"), 0), COUNTIF($D$51:$E$51, P$2)&gt;0, VLOOKUP($J571,'Gear Values'!$A$2:$E$13, IF(COUNTBLANK('Attributes &amp; Prefixes'!$B$51:$C$51)&gt;0, "4", "5"), 0)), "")</f>
        <v/>
      </c>
      <c r="Q571" s="137" t="str" cm="1">
        <f t="array" ref="Q571">IF(COUNTIF($B$51:$E$51, Q$2)&gt;0, _xlfn.IFS(COUNTIF($B$51:$C$51, Q$2)&gt;0, VLOOKUP($J571,'Gear Values'!$A$2:$E$13, IF(COUNTBLANK('Attributes &amp; Prefixes'!$B$51:$C$51)&gt;0, "2", "3"), 0), COUNTIF($D$51:$E$51, Q$2)&gt;0, VLOOKUP($J571,'Gear Values'!$A$2:$E$13, IF(COUNTBLANK('Attributes &amp; Prefixes'!$B$51:$C$51)&gt;0, "4", "5"), 0)), "")</f>
        <v/>
      </c>
      <c r="R571" s="137" t="str" cm="1">
        <f t="array" ref="R571">IF(COUNTIF($B$51:$E$51, R$2)&gt;0, _xlfn.IFS(COUNTIF($B$51:$C$51, R$2)&gt;0, VLOOKUP($J571,'Gear Values'!$A$2:$E$13, IF(COUNTBLANK('Attributes &amp; Prefixes'!$B$51:$C$51)&gt;0, "2", "3"), 0), COUNTIF($D$51:$E$51, R$2)&gt;0, VLOOKUP($J571,'Gear Values'!$A$2:$E$13, IF(COUNTBLANK('Attributes &amp; Prefixes'!$B$51:$C$51)&gt;0, "4", "5"), 0)), "")</f>
        <v/>
      </c>
      <c r="S571" s="138" t="str" cm="1">
        <f t="array" ref="S571">IF(COUNTIF($B$51:$E$51, S$2)&gt;0, _xlfn.IFS(COUNTIF($B$51:$C$51, S$2)&gt;0, VLOOKUP($J571,'Gear Values'!$A$2:$E$13, IF(COUNTBLANK('Attributes &amp; Prefixes'!$B$51:$C$51)&gt;0, "2", "3"), 0), COUNTIF($D$51:$E$51, S$2)&gt;0, VLOOKUP($J571,'Gear Values'!$A$2:$E$13, IF(COUNTBLANK('Attributes &amp; Prefixes'!$B$51:$C$51)&gt;0, "4", "5"), 0)), "")</f>
        <v/>
      </c>
      <c r="V571" s="112"/>
      <c r="W571" s="113"/>
    </row>
    <row r="572" spans="6:23">
      <c r="F572" s="114"/>
      <c r="G572" s="114"/>
      <c r="H572" s="130" t="str">
        <f>_xlfn.CONCAT(I$567,J572)</f>
        <v>WandererHands</v>
      </c>
      <c r="I572" s="520"/>
      <c r="J572" s="144" t="s">
        <v>45</v>
      </c>
      <c r="K572" s="136" cm="1">
        <f t="array" ref="K572">IF(COUNTIF($B$51:$E$51, K$2)&gt;0, _xlfn.IFS(COUNTIF($B$51:$C$51, K$2)&gt;0, VLOOKUP($J572,'Gear Values'!$A$2:$E$13, IF(COUNTBLANK('Attributes &amp; Prefixes'!$B$51:$C$51)&gt;0, "2", "3"), 0), COUNTIF($D$51:$E$51, K$2)&gt;0, VLOOKUP($J572,'Gear Values'!$A$2:$E$13, IF(COUNTBLANK('Attributes &amp; Prefixes'!$B$51:$C$51)&gt;0, "4", "5"), 0)), "")</f>
        <v>38</v>
      </c>
      <c r="L572" s="137" t="str" cm="1">
        <f t="array" ref="L572">IF(COUNTIF($B$51:$E$51, L$2)&gt;0, _xlfn.IFS(COUNTIF($B$51:$C$51, L$2)&gt;0, VLOOKUP($J572,'Gear Values'!$A$2:$E$13, IF(COUNTBLANK('Attributes &amp; Prefixes'!$B$51:$C$51)&gt;0, "2", "3"), 0), COUNTIF($D$51:$E$51, L$2)&gt;0, VLOOKUP($J572,'Gear Values'!$A$2:$E$13, IF(COUNTBLANK('Attributes &amp; Prefixes'!$B$51:$C$51)&gt;0, "4", "5"), 0)), "")</f>
        <v/>
      </c>
      <c r="M572" s="137" cm="1">
        <f t="array" ref="M572">IF(COUNTIF($B$51:$E$51, M$2)&gt;0, _xlfn.IFS(COUNTIF($B$51:$C$51, M$2)&gt;0, VLOOKUP($J572,'Gear Values'!$A$2:$E$13, IF(COUNTBLANK('Attributes &amp; Prefixes'!$B$51:$C$51)&gt;0, "2", "3"), 0), COUNTIF($D$51:$E$51, M$2)&gt;0, VLOOKUP($J572,'Gear Values'!$A$2:$E$13, IF(COUNTBLANK('Attributes &amp; Prefixes'!$B$51:$C$51)&gt;0, "4", "5"), 0)), "")</f>
        <v>21</v>
      </c>
      <c r="N572" s="137" cm="1">
        <f t="array" ref="N572">IF(COUNTIF($B$51:$E$51, N$2)&gt;0, _xlfn.IFS(COUNTIF($B$51:$C$51, N$2)&gt;0, VLOOKUP($J572,'Gear Values'!$A$2:$E$13, IF(COUNTBLANK('Attributes &amp; Prefixes'!$B$51:$C$51)&gt;0, "2", "3"), 0), COUNTIF($D$51:$E$51, N$2)&gt;0, VLOOKUP($J572,'Gear Values'!$A$2:$E$13, IF(COUNTBLANK('Attributes &amp; Prefixes'!$B$51:$C$51)&gt;0, "4", "5"), 0)), "")</f>
        <v>38</v>
      </c>
      <c r="O572" s="137" cm="1">
        <f t="array" ref="O572">IF(COUNTIF($B$51:$E$51, O$2)&gt;0, _xlfn.IFS(COUNTIF($B$51:$C$51, O$2)&gt;0, VLOOKUP($J572,'Gear Values'!$A$2:$E$13, IF(COUNTBLANK('Attributes &amp; Prefixes'!$B$51:$C$51)&gt;0, "2", "3"), 0), COUNTIF($D$51:$E$51, O$2)&gt;0, VLOOKUP($J572,'Gear Values'!$A$2:$E$13, IF(COUNTBLANK('Attributes &amp; Prefixes'!$B$51:$C$51)&gt;0, "4", "5"), 0)), "")</f>
        <v>21</v>
      </c>
      <c r="P572" s="137" t="str" cm="1">
        <f t="array" ref="P572">IF(COUNTIF($B$51:$E$51, P$2)&gt;0, _xlfn.IFS(COUNTIF($B$51:$C$51, P$2)&gt;0, VLOOKUP($J572,'Gear Values'!$A$2:$E$13, IF(COUNTBLANK('Attributes &amp; Prefixes'!$B$51:$C$51)&gt;0, "2", "3"), 0), COUNTIF($D$51:$E$51, P$2)&gt;0, VLOOKUP($J572,'Gear Values'!$A$2:$E$13, IF(COUNTBLANK('Attributes &amp; Prefixes'!$B$51:$C$51)&gt;0, "4", "5"), 0)), "")</f>
        <v/>
      </c>
      <c r="Q572" s="137" t="str" cm="1">
        <f t="array" ref="Q572">IF(COUNTIF($B$51:$E$51, Q$2)&gt;0, _xlfn.IFS(COUNTIF($B$51:$C$51, Q$2)&gt;0, VLOOKUP($J572,'Gear Values'!$A$2:$E$13, IF(COUNTBLANK('Attributes &amp; Prefixes'!$B$51:$C$51)&gt;0, "2", "3"), 0), COUNTIF($D$51:$E$51, Q$2)&gt;0, VLOOKUP($J572,'Gear Values'!$A$2:$E$13, IF(COUNTBLANK('Attributes &amp; Prefixes'!$B$51:$C$51)&gt;0, "4", "5"), 0)), "")</f>
        <v/>
      </c>
      <c r="R572" s="137" t="str" cm="1">
        <f t="array" ref="R572">IF(COUNTIF($B$51:$E$51, R$2)&gt;0, _xlfn.IFS(COUNTIF($B$51:$C$51, R$2)&gt;0, VLOOKUP($J572,'Gear Values'!$A$2:$E$13, IF(COUNTBLANK('Attributes &amp; Prefixes'!$B$51:$C$51)&gt;0, "2", "3"), 0), COUNTIF($D$51:$E$51, R$2)&gt;0, VLOOKUP($J572,'Gear Values'!$A$2:$E$13, IF(COUNTBLANK('Attributes &amp; Prefixes'!$B$51:$C$51)&gt;0, "4", "5"), 0)), "")</f>
        <v/>
      </c>
      <c r="S572" s="138" t="str" cm="1">
        <f t="array" ref="S572">IF(COUNTIF($B$51:$E$51, S$2)&gt;0, _xlfn.IFS(COUNTIF($B$51:$C$51, S$2)&gt;0, VLOOKUP($J572,'Gear Values'!$A$2:$E$13, IF(COUNTBLANK('Attributes &amp; Prefixes'!$B$51:$C$51)&gt;0, "2", "3"), 0), COUNTIF($D$51:$E$51, S$2)&gt;0, VLOOKUP($J572,'Gear Values'!$A$2:$E$13, IF(COUNTBLANK('Attributes &amp; Prefixes'!$B$51:$C$51)&gt;0, "4", "5"), 0)), "")</f>
        <v/>
      </c>
      <c r="V572" s="112"/>
      <c r="W572" s="112"/>
    </row>
    <row r="573" spans="6:23">
      <c r="F573" s="114"/>
      <c r="G573" s="114"/>
      <c r="H573" s="130" t="str">
        <f>_xlfn.CONCAT(I$567,J573)</f>
        <v>WandererLegs</v>
      </c>
      <c r="I573" s="520"/>
      <c r="J573" s="144" t="s">
        <v>47</v>
      </c>
      <c r="K573" s="136" cm="1">
        <f t="array" ref="K573">IF(COUNTIF($B$51:$E$51, K$2)&gt;0, _xlfn.IFS(COUNTIF($B$51:$C$51, K$2)&gt;0, VLOOKUP($J573,'Gear Values'!$A$2:$E$13, IF(COUNTBLANK('Attributes &amp; Prefixes'!$B$51:$C$51)&gt;0, "2", "3"), 0), COUNTIF($D$51:$E$51, K$2)&gt;0, VLOOKUP($J573,'Gear Values'!$A$2:$E$13, IF(COUNTBLANK('Attributes &amp; Prefixes'!$B$51:$C$51)&gt;0, "4", "5"), 0)), "")</f>
        <v>77</v>
      </c>
      <c r="L573" s="137" t="str" cm="1">
        <f t="array" ref="L573">IF(COUNTIF($B$51:$E$51, L$2)&gt;0, _xlfn.IFS(COUNTIF($B$51:$C$51, L$2)&gt;0, VLOOKUP($J573,'Gear Values'!$A$2:$E$13, IF(COUNTBLANK('Attributes &amp; Prefixes'!$B$51:$C$51)&gt;0, "2", "3"), 0), COUNTIF($D$51:$E$51, L$2)&gt;0, VLOOKUP($J573,'Gear Values'!$A$2:$E$13, IF(COUNTBLANK('Attributes &amp; Prefixes'!$B$51:$C$51)&gt;0, "4", "5"), 0)), "")</f>
        <v/>
      </c>
      <c r="M573" s="137" cm="1">
        <f t="array" ref="M573">IF(COUNTIF($B$51:$E$51, M$2)&gt;0, _xlfn.IFS(COUNTIF($B$51:$C$51, M$2)&gt;0, VLOOKUP($J573,'Gear Values'!$A$2:$E$13, IF(COUNTBLANK('Attributes &amp; Prefixes'!$B$51:$C$51)&gt;0, "2", "3"), 0), COUNTIF($D$51:$E$51, M$2)&gt;0, VLOOKUP($J573,'Gear Values'!$A$2:$E$13, IF(COUNTBLANK('Attributes &amp; Prefixes'!$B$51:$C$51)&gt;0, "4", "5"), 0)), "")</f>
        <v>42</v>
      </c>
      <c r="N573" s="137" cm="1">
        <f t="array" ref="N573">IF(COUNTIF($B$51:$E$51, N$2)&gt;0, _xlfn.IFS(COUNTIF($B$51:$C$51, N$2)&gt;0, VLOOKUP($J573,'Gear Values'!$A$2:$E$13, IF(COUNTBLANK('Attributes &amp; Prefixes'!$B$51:$C$51)&gt;0, "2", "3"), 0), COUNTIF($D$51:$E$51, N$2)&gt;0, VLOOKUP($J573,'Gear Values'!$A$2:$E$13, IF(COUNTBLANK('Attributes &amp; Prefixes'!$B$51:$C$51)&gt;0, "4", "5"), 0)), "")</f>
        <v>77</v>
      </c>
      <c r="O573" s="137" cm="1">
        <f t="array" ref="O573">IF(COUNTIF($B$51:$E$51, O$2)&gt;0, _xlfn.IFS(COUNTIF($B$51:$C$51, O$2)&gt;0, VLOOKUP($J573,'Gear Values'!$A$2:$E$13, IF(COUNTBLANK('Attributes &amp; Prefixes'!$B$51:$C$51)&gt;0, "2", "3"), 0), COUNTIF($D$51:$E$51, O$2)&gt;0, VLOOKUP($J573,'Gear Values'!$A$2:$E$13, IF(COUNTBLANK('Attributes &amp; Prefixes'!$B$51:$C$51)&gt;0, "4", "5"), 0)), "")</f>
        <v>42</v>
      </c>
      <c r="P573" s="137" t="str" cm="1">
        <f t="array" ref="P573">IF(COUNTIF($B$51:$E$51, P$2)&gt;0, _xlfn.IFS(COUNTIF($B$51:$C$51, P$2)&gt;0, VLOOKUP($J573,'Gear Values'!$A$2:$E$13, IF(COUNTBLANK('Attributes &amp; Prefixes'!$B$51:$C$51)&gt;0, "2", "3"), 0), COUNTIF($D$51:$E$51, P$2)&gt;0, VLOOKUP($J573,'Gear Values'!$A$2:$E$13, IF(COUNTBLANK('Attributes &amp; Prefixes'!$B$51:$C$51)&gt;0, "4", "5"), 0)), "")</f>
        <v/>
      </c>
      <c r="Q573" s="137" t="str" cm="1">
        <f t="array" ref="Q573">IF(COUNTIF($B$51:$E$51, Q$2)&gt;0, _xlfn.IFS(COUNTIF($B$51:$C$51, Q$2)&gt;0, VLOOKUP($J573,'Gear Values'!$A$2:$E$13, IF(COUNTBLANK('Attributes &amp; Prefixes'!$B$51:$C$51)&gt;0, "2", "3"), 0), COUNTIF($D$51:$E$51, Q$2)&gt;0, VLOOKUP($J573,'Gear Values'!$A$2:$E$13, IF(COUNTBLANK('Attributes &amp; Prefixes'!$B$51:$C$51)&gt;0, "4", "5"), 0)), "")</f>
        <v/>
      </c>
      <c r="R573" s="137" t="str" cm="1">
        <f t="array" ref="R573">IF(COUNTIF($B$51:$E$51, R$2)&gt;0, _xlfn.IFS(COUNTIF($B$51:$C$51, R$2)&gt;0, VLOOKUP($J573,'Gear Values'!$A$2:$E$13, IF(COUNTBLANK('Attributes &amp; Prefixes'!$B$51:$C$51)&gt;0, "2", "3"), 0), COUNTIF($D$51:$E$51, R$2)&gt;0, VLOOKUP($J573,'Gear Values'!$A$2:$E$13, IF(COUNTBLANK('Attributes &amp; Prefixes'!$B$51:$C$51)&gt;0, "4", "5"), 0)), "")</f>
        <v/>
      </c>
      <c r="S573" s="138" t="str" cm="1">
        <f t="array" ref="S573">IF(COUNTIF($B$51:$E$51, S$2)&gt;0, _xlfn.IFS(COUNTIF($B$51:$C$51, S$2)&gt;0, VLOOKUP($J573,'Gear Values'!$A$2:$E$13, IF(COUNTBLANK('Attributes &amp; Prefixes'!$B$51:$C$51)&gt;0, "2", "3"), 0), COUNTIF($D$51:$E$51, S$2)&gt;0, VLOOKUP($J573,'Gear Values'!$A$2:$E$13, IF(COUNTBLANK('Attributes &amp; Prefixes'!$B$51:$C$51)&gt;0, "4", "5"), 0)), "")</f>
        <v/>
      </c>
      <c r="V573" s="112"/>
      <c r="W573" s="112"/>
    </row>
    <row r="574" spans="6:23">
      <c r="F574" s="114"/>
      <c r="G574" s="114"/>
      <c r="H574" s="130" t="str">
        <f>_xlfn.CONCAT(I$567,J574)</f>
        <v>WandererFeet</v>
      </c>
      <c r="I574" s="520"/>
      <c r="J574" s="144" t="s">
        <v>48</v>
      </c>
      <c r="K574" s="136" cm="1">
        <f t="array" ref="K574">IF(COUNTIF($B$51:$E$51, K$2)&gt;0, _xlfn.IFS(COUNTIF($B$51:$C$51, K$2)&gt;0, VLOOKUP($J574,'Gear Values'!$A$2:$E$13, IF(COUNTBLANK('Attributes &amp; Prefixes'!$B$51:$C$51)&gt;0, "2", "3"), 0), COUNTIF($D$51:$E$51, K$2)&gt;0, VLOOKUP($J574,'Gear Values'!$A$2:$E$13, IF(COUNTBLANK('Attributes &amp; Prefixes'!$B$51:$C$51)&gt;0, "4", "5"), 0)), "")</f>
        <v>38</v>
      </c>
      <c r="L574" s="137" t="str" cm="1">
        <f t="array" ref="L574">IF(COUNTIF($B$51:$E$51, L$2)&gt;0, _xlfn.IFS(COUNTIF($B$51:$C$51, L$2)&gt;0, VLOOKUP($J574,'Gear Values'!$A$2:$E$13, IF(COUNTBLANK('Attributes &amp; Prefixes'!$B$51:$C$51)&gt;0, "2", "3"), 0), COUNTIF($D$51:$E$51, L$2)&gt;0, VLOOKUP($J574,'Gear Values'!$A$2:$E$13, IF(COUNTBLANK('Attributes &amp; Prefixes'!$B$51:$C$51)&gt;0, "4", "5"), 0)), "")</f>
        <v/>
      </c>
      <c r="M574" s="137" cm="1">
        <f t="array" ref="M574">IF(COUNTIF($B$51:$E$51, M$2)&gt;0, _xlfn.IFS(COUNTIF($B$51:$C$51, M$2)&gt;0, VLOOKUP($J574,'Gear Values'!$A$2:$E$13, IF(COUNTBLANK('Attributes &amp; Prefixes'!$B$51:$C$51)&gt;0, "2", "3"), 0), COUNTIF($D$51:$E$51, M$2)&gt;0, VLOOKUP($J574,'Gear Values'!$A$2:$E$13, IF(COUNTBLANK('Attributes &amp; Prefixes'!$B$51:$C$51)&gt;0, "4", "5"), 0)), "")</f>
        <v>21</v>
      </c>
      <c r="N574" s="137" cm="1">
        <f t="array" ref="N574">IF(COUNTIF($B$51:$E$51, N$2)&gt;0, _xlfn.IFS(COUNTIF($B$51:$C$51, N$2)&gt;0, VLOOKUP($J574,'Gear Values'!$A$2:$E$13, IF(COUNTBLANK('Attributes &amp; Prefixes'!$B$51:$C$51)&gt;0, "2", "3"), 0), COUNTIF($D$51:$E$51, N$2)&gt;0, VLOOKUP($J574,'Gear Values'!$A$2:$E$13, IF(COUNTBLANK('Attributes &amp; Prefixes'!$B$51:$C$51)&gt;0, "4", "5"), 0)), "")</f>
        <v>38</v>
      </c>
      <c r="O574" s="137" cm="1">
        <f t="array" ref="O574">IF(COUNTIF($B$51:$E$51, O$2)&gt;0, _xlfn.IFS(COUNTIF($B$51:$C$51, O$2)&gt;0, VLOOKUP($J574,'Gear Values'!$A$2:$E$13, IF(COUNTBLANK('Attributes &amp; Prefixes'!$B$51:$C$51)&gt;0, "2", "3"), 0), COUNTIF($D$51:$E$51, O$2)&gt;0, VLOOKUP($J574,'Gear Values'!$A$2:$E$13, IF(COUNTBLANK('Attributes &amp; Prefixes'!$B$51:$C$51)&gt;0, "4", "5"), 0)), "")</f>
        <v>21</v>
      </c>
      <c r="P574" s="137" t="str" cm="1">
        <f t="array" ref="P574">IF(COUNTIF($B$51:$E$51, P$2)&gt;0, _xlfn.IFS(COUNTIF($B$51:$C$51, P$2)&gt;0, VLOOKUP($J574,'Gear Values'!$A$2:$E$13, IF(COUNTBLANK('Attributes &amp; Prefixes'!$B$51:$C$51)&gt;0, "2", "3"), 0), COUNTIF($D$51:$E$51, P$2)&gt;0, VLOOKUP($J574,'Gear Values'!$A$2:$E$13, IF(COUNTBLANK('Attributes &amp; Prefixes'!$B$51:$C$51)&gt;0, "4", "5"), 0)), "")</f>
        <v/>
      </c>
      <c r="Q574" s="137" t="str" cm="1">
        <f t="array" ref="Q574">IF(COUNTIF($B$51:$E$51, Q$2)&gt;0, _xlfn.IFS(COUNTIF($B$51:$C$51, Q$2)&gt;0, VLOOKUP($J574,'Gear Values'!$A$2:$E$13, IF(COUNTBLANK('Attributes &amp; Prefixes'!$B$51:$C$51)&gt;0, "2", "3"), 0), COUNTIF($D$51:$E$51, Q$2)&gt;0, VLOOKUP($J574,'Gear Values'!$A$2:$E$13, IF(COUNTBLANK('Attributes &amp; Prefixes'!$B$51:$C$51)&gt;0, "4", "5"), 0)), "")</f>
        <v/>
      </c>
      <c r="R574" s="137" t="str" cm="1">
        <f t="array" ref="R574">IF(COUNTIF($B$51:$E$51, R$2)&gt;0, _xlfn.IFS(COUNTIF($B$51:$C$51, R$2)&gt;0, VLOOKUP($J574,'Gear Values'!$A$2:$E$13, IF(COUNTBLANK('Attributes &amp; Prefixes'!$B$51:$C$51)&gt;0, "2", "3"), 0), COUNTIF($D$51:$E$51, R$2)&gt;0, VLOOKUP($J574,'Gear Values'!$A$2:$E$13, IF(COUNTBLANK('Attributes &amp; Prefixes'!$B$51:$C$51)&gt;0, "4", "5"), 0)), "")</f>
        <v/>
      </c>
      <c r="S574" s="138" t="str" cm="1">
        <f t="array" ref="S574">IF(COUNTIF($B$51:$E$51, S$2)&gt;0, _xlfn.IFS(COUNTIF($B$51:$C$51, S$2)&gt;0, VLOOKUP($J574,'Gear Values'!$A$2:$E$13, IF(COUNTBLANK('Attributes &amp; Prefixes'!$B$51:$C$51)&gt;0, "2", "3"), 0), COUNTIF($D$51:$E$51, S$2)&gt;0, VLOOKUP($J574,'Gear Values'!$A$2:$E$13, IF(COUNTBLANK('Attributes &amp; Prefixes'!$B$51:$C$51)&gt;0, "4", "5"), 0)), "")</f>
        <v/>
      </c>
      <c r="V574" s="112"/>
      <c r="W574" s="113"/>
    </row>
    <row r="575" spans="6:23">
      <c r="F575" s="114"/>
      <c r="G575" s="114"/>
      <c r="H575" s="130" t="str">
        <f>_xlfn.CONCAT(A$71,J575)</f>
        <v>MoonstoneEar</v>
      </c>
      <c r="I575" s="520"/>
      <c r="J575" s="144" t="s">
        <v>49</v>
      </c>
      <c r="K575" s="136" cm="1">
        <f t="array" ref="K575">IF(COUNTIF($B$51:$E$51, K$2)&gt;0, _xlfn.IFS(COUNTIF($B$51:$C$51, K$2)&gt;0, VLOOKUP($J575,'Gear Values'!$A$2:$E$13, IF(COUNTBLANK('Attributes &amp; Prefixes'!$B$51:$C$51)&gt;0, "2", "3"), 0), COUNTIF($D$51:$E$51, K$2)&gt;0, VLOOKUP($J575,'Gear Values'!$A$2:$E$13, IF(COUNTBLANK('Attributes &amp; Prefixes'!$B$51:$C$51)&gt;0, "4", "5"), 0)), "")</f>
        <v>64</v>
      </c>
      <c r="L575" s="137" t="str" cm="1">
        <f t="array" ref="L575">IF(COUNTIF($B$51:$E$51, L$2)&gt;0, _xlfn.IFS(COUNTIF($B$51:$C$51, L$2)&gt;0, VLOOKUP($J575,'Gear Values'!$A$2:$E$13, IF(COUNTBLANK('Attributes &amp; Prefixes'!$B$51:$C$51)&gt;0, "2", "3"), 0), COUNTIF($D$51:$E$51, L$2)&gt;0, VLOOKUP($J575,'Gear Values'!$A$2:$E$13, IF(COUNTBLANK('Attributes &amp; Prefixes'!$B$51:$C$51)&gt;0, "4", "5"), 0)), "")</f>
        <v/>
      </c>
      <c r="M575" s="137" cm="1">
        <f t="array" ref="M575">IF(COUNTIF($B$51:$E$51, M$2)&gt;0, _xlfn.IFS(COUNTIF($B$51:$C$51, M$2)&gt;0, VLOOKUP($J575,'Gear Values'!$A$2:$E$13, IF(COUNTBLANK('Attributes &amp; Prefixes'!$B$51:$C$51)&gt;0, "2", "3"), 0), COUNTIF($D$51:$E$51, M$2)&gt;0, VLOOKUP($J575,'Gear Values'!$A$2:$E$13, IF(COUNTBLANK('Attributes &amp; Prefixes'!$B$51:$C$51)&gt;0, "4", "5"), 0)), "")</f>
        <v>35</v>
      </c>
      <c r="N575" s="137" cm="1">
        <f t="array" ref="N575">IF(COUNTIF($B$51:$E$51, N$2)&gt;0, _xlfn.IFS(COUNTIF($B$51:$C$51, N$2)&gt;0, VLOOKUP($J575,'Gear Values'!$A$2:$E$13, IF(COUNTBLANK('Attributes &amp; Prefixes'!$B$51:$C$51)&gt;0, "2", "3"), 0), COUNTIF($D$51:$E$51, N$2)&gt;0, VLOOKUP($J575,'Gear Values'!$A$2:$E$13, IF(COUNTBLANK('Attributes &amp; Prefixes'!$B$51:$C$51)&gt;0, "4", "5"), 0)), "")</f>
        <v>64</v>
      </c>
      <c r="O575" s="137" cm="1">
        <f t="array" ref="O575">IF(COUNTIF($B$51:$E$51, O$2)&gt;0, _xlfn.IFS(COUNTIF($B$51:$C$51, O$2)&gt;0, VLOOKUP($J575,'Gear Values'!$A$2:$E$13, IF(COUNTBLANK('Attributes &amp; Prefixes'!$B$51:$C$51)&gt;0, "2", "3"), 0), COUNTIF($D$51:$E$51, O$2)&gt;0, VLOOKUP($J575,'Gear Values'!$A$2:$E$13, IF(COUNTBLANK('Attributes &amp; Prefixes'!$B$51:$C$51)&gt;0, "4", "5"), 0)), "")</f>
        <v>35</v>
      </c>
      <c r="P575" s="137" t="str" cm="1">
        <f t="array" ref="P575">IF(COUNTIF($B$51:$E$51, P$2)&gt;0, _xlfn.IFS(COUNTIF($B$51:$C$51, P$2)&gt;0, VLOOKUP($J575,'Gear Values'!$A$2:$E$13, IF(COUNTBLANK('Attributes &amp; Prefixes'!$B$51:$C$51)&gt;0, "2", "3"), 0), COUNTIF($D$51:$E$51, P$2)&gt;0, VLOOKUP($J575,'Gear Values'!$A$2:$E$13, IF(COUNTBLANK('Attributes &amp; Prefixes'!$B$51:$C$51)&gt;0, "4", "5"), 0)), "")</f>
        <v/>
      </c>
      <c r="Q575" s="137" t="str" cm="1">
        <f t="array" ref="Q575">IF(COUNTIF($B$51:$E$51, Q$2)&gt;0, _xlfn.IFS(COUNTIF($B$51:$C$51, Q$2)&gt;0, VLOOKUP($J575,'Gear Values'!$A$2:$E$13, IF(COUNTBLANK('Attributes &amp; Prefixes'!$B$51:$C$51)&gt;0, "2", "3"), 0), COUNTIF($D$51:$E$51, Q$2)&gt;0, VLOOKUP($J575,'Gear Values'!$A$2:$E$13, IF(COUNTBLANK('Attributes &amp; Prefixes'!$B$51:$C$51)&gt;0, "4", "5"), 0)), "")</f>
        <v/>
      </c>
      <c r="R575" s="137" t="str" cm="1">
        <f t="array" ref="R575">IF(COUNTIF($B$51:$E$51, R$2)&gt;0, _xlfn.IFS(COUNTIF($B$51:$C$51, R$2)&gt;0, VLOOKUP($J575,'Gear Values'!$A$2:$E$13, IF(COUNTBLANK('Attributes &amp; Prefixes'!$B$51:$C$51)&gt;0, "2", "3"), 0), COUNTIF($D$51:$E$51, R$2)&gt;0, VLOOKUP($J575,'Gear Values'!$A$2:$E$13, IF(COUNTBLANK('Attributes &amp; Prefixes'!$B$51:$C$51)&gt;0, "4", "5"), 0)), "")</f>
        <v/>
      </c>
      <c r="S575" s="138" t="str" cm="1">
        <f t="array" ref="S575">IF(COUNTIF($B$51:$E$51, S$2)&gt;0, _xlfn.IFS(COUNTIF($B$51:$C$51, S$2)&gt;0, VLOOKUP($J575,'Gear Values'!$A$2:$E$13, IF(COUNTBLANK('Attributes &amp; Prefixes'!$B$51:$C$51)&gt;0, "2", "3"), 0), COUNTIF($D$51:$E$51, S$2)&gt;0, VLOOKUP($J575,'Gear Values'!$A$2:$E$13, IF(COUNTBLANK('Attributes &amp; Prefixes'!$B$51:$C$51)&gt;0, "4", "5"), 0)), "")</f>
        <v/>
      </c>
      <c r="V575" s="112"/>
      <c r="W575" s="113"/>
    </row>
    <row r="576" spans="6:23">
      <c r="F576" s="114"/>
      <c r="G576" s="114"/>
      <c r="H576" s="130" t="str">
        <f>_xlfn.CONCAT(A$71,J576)</f>
        <v>MoonstoneFinger</v>
      </c>
      <c r="I576" s="520"/>
      <c r="J576" s="144" t="s">
        <v>51</v>
      </c>
      <c r="K576" s="136" cm="1">
        <f t="array" ref="K576">IF(COUNTIF($B$51:$E$51, K$2)&gt;0, _xlfn.IFS(COUNTIF($B$51:$C$51, K$2)&gt;0, VLOOKUP($J576,'Gear Values'!$A$2:$E$13, IF(COUNTBLANK('Attributes &amp; Prefixes'!$B$51:$C$51)&gt;0, "2", "3"), 0), COUNTIF($D$51:$E$51, K$2)&gt;0, VLOOKUP($J576,'Gear Values'!$A$2:$E$13, IF(COUNTBLANK('Attributes &amp; Prefixes'!$B$51:$C$51)&gt;0, "4", "5"), 0)), "")</f>
        <v>77</v>
      </c>
      <c r="L576" s="137" t="str" cm="1">
        <f t="array" ref="L576">IF(COUNTIF($B$51:$E$51, L$2)&gt;0, _xlfn.IFS(COUNTIF($B$51:$C$51, L$2)&gt;0, VLOOKUP($J576,'Gear Values'!$A$2:$E$13, IF(COUNTBLANK('Attributes &amp; Prefixes'!$B$51:$C$51)&gt;0, "2", "3"), 0), COUNTIF($D$51:$E$51, L$2)&gt;0, VLOOKUP($J576,'Gear Values'!$A$2:$E$13, IF(COUNTBLANK('Attributes &amp; Prefixes'!$B$51:$C$51)&gt;0, "4", "5"), 0)), "")</f>
        <v/>
      </c>
      <c r="M576" s="137" cm="1">
        <f t="array" ref="M576">IF(COUNTIF($B$51:$E$51, M$2)&gt;0, _xlfn.IFS(COUNTIF($B$51:$C$51, M$2)&gt;0, VLOOKUP($J576,'Gear Values'!$A$2:$E$13, IF(COUNTBLANK('Attributes &amp; Prefixes'!$B$51:$C$51)&gt;0, "2", "3"), 0), COUNTIF($D$51:$E$51, M$2)&gt;0, VLOOKUP($J576,'Gear Values'!$A$2:$E$13, IF(COUNTBLANK('Attributes &amp; Prefixes'!$B$51:$C$51)&gt;0, "4", "5"), 0)), "")</f>
        <v>42</v>
      </c>
      <c r="N576" s="137" cm="1">
        <f t="array" ref="N576">IF(COUNTIF($B$51:$E$51, N$2)&gt;0, _xlfn.IFS(COUNTIF($B$51:$C$51, N$2)&gt;0, VLOOKUP($J576,'Gear Values'!$A$2:$E$13, IF(COUNTBLANK('Attributes &amp; Prefixes'!$B$51:$C$51)&gt;0, "2", "3"), 0), COUNTIF($D$51:$E$51, N$2)&gt;0, VLOOKUP($J576,'Gear Values'!$A$2:$E$13, IF(COUNTBLANK('Attributes &amp; Prefixes'!$B$51:$C$51)&gt;0, "4", "5"), 0)), "")</f>
        <v>77</v>
      </c>
      <c r="O576" s="137" cm="1">
        <f t="array" ref="O576">IF(COUNTIF($B$51:$E$51, O$2)&gt;0, _xlfn.IFS(COUNTIF($B$51:$C$51, O$2)&gt;0, VLOOKUP($J576,'Gear Values'!$A$2:$E$13, IF(COUNTBLANK('Attributes &amp; Prefixes'!$B$51:$C$51)&gt;0, "2", "3"), 0), COUNTIF($D$51:$E$51, O$2)&gt;0, VLOOKUP($J576,'Gear Values'!$A$2:$E$13, IF(COUNTBLANK('Attributes &amp; Prefixes'!$B$51:$C$51)&gt;0, "4", "5"), 0)), "")</f>
        <v>42</v>
      </c>
      <c r="P576" s="137" t="str" cm="1">
        <f t="array" ref="P576">IF(COUNTIF($B$51:$E$51, P$2)&gt;0, _xlfn.IFS(COUNTIF($B$51:$C$51, P$2)&gt;0, VLOOKUP($J576,'Gear Values'!$A$2:$E$13, IF(COUNTBLANK('Attributes &amp; Prefixes'!$B$51:$C$51)&gt;0, "2", "3"), 0), COUNTIF($D$51:$E$51, P$2)&gt;0, VLOOKUP($J576,'Gear Values'!$A$2:$E$13, IF(COUNTBLANK('Attributes &amp; Prefixes'!$B$51:$C$51)&gt;0, "4", "5"), 0)), "")</f>
        <v/>
      </c>
      <c r="Q576" s="137" t="str" cm="1">
        <f t="array" ref="Q576">IF(COUNTIF($B$51:$E$51, Q$2)&gt;0, _xlfn.IFS(COUNTIF($B$51:$C$51, Q$2)&gt;0, VLOOKUP($J576,'Gear Values'!$A$2:$E$13, IF(COUNTBLANK('Attributes &amp; Prefixes'!$B$51:$C$51)&gt;0, "2", "3"), 0), COUNTIF($D$51:$E$51, Q$2)&gt;0, VLOOKUP($J576,'Gear Values'!$A$2:$E$13, IF(COUNTBLANK('Attributes &amp; Prefixes'!$B$51:$C$51)&gt;0, "4", "5"), 0)), "")</f>
        <v/>
      </c>
      <c r="R576" s="137" t="str" cm="1">
        <f t="array" ref="R576">IF(COUNTIF($B$51:$E$51, R$2)&gt;0, _xlfn.IFS(COUNTIF($B$51:$C$51, R$2)&gt;0, VLOOKUP($J576,'Gear Values'!$A$2:$E$13, IF(COUNTBLANK('Attributes &amp; Prefixes'!$B$51:$C$51)&gt;0, "2", "3"), 0), COUNTIF($D$51:$E$51, R$2)&gt;0, VLOOKUP($J576,'Gear Values'!$A$2:$E$13, IF(COUNTBLANK('Attributes &amp; Prefixes'!$B$51:$C$51)&gt;0, "4", "5"), 0)), "")</f>
        <v/>
      </c>
      <c r="S576" s="138" t="str" cm="1">
        <f t="array" ref="S576">IF(COUNTIF($B$51:$E$51, S$2)&gt;0, _xlfn.IFS(COUNTIF($B$51:$C$51, S$2)&gt;0, VLOOKUP($J576,'Gear Values'!$A$2:$E$13, IF(COUNTBLANK('Attributes &amp; Prefixes'!$B$51:$C$51)&gt;0, "2", "3"), 0), COUNTIF($D$51:$E$51, S$2)&gt;0, VLOOKUP($J576,'Gear Values'!$A$2:$E$13, IF(COUNTBLANK('Attributes &amp; Prefixes'!$B$51:$C$51)&gt;0, "4", "5"), 0)), "")</f>
        <v/>
      </c>
      <c r="V576" s="112"/>
      <c r="W576" s="113"/>
    </row>
    <row r="577" spans="6:23">
      <c r="F577" s="114"/>
      <c r="G577" s="114"/>
      <c r="H577" s="130" t="str">
        <f>_xlfn.CONCAT(A$71,J577)</f>
        <v>MoonstoneNeck</v>
      </c>
      <c r="I577" s="520"/>
      <c r="J577" s="144" t="s">
        <v>52</v>
      </c>
      <c r="K577" s="136" cm="1">
        <f t="array" ref="K577">IF(COUNTIF($B$51:$E$51, K$2)&gt;0, _xlfn.IFS(COUNTIF($B$51:$C$51, K$2)&gt;0, VLOOKUP($J577,'Gear Values'!$A$2:$E$13, IF(COUNTBLANK('Attributes &amp; Prefixes'!$B$51:$C$51)&gt;0, "2", "3"), 0), COUNTIF($D$51:$E$51, K$2)&gt;0, VLOOKUP($J577,'Gear Values'!$A$2:$E$13, IF(COUNTBLANK('Attributes &amp; Prefixes'!$B$51:$C$51)&gt;0, "4", "5"), 0)), "")</f>
        <v>102</v>
      </c>
      <c r="L577" s="137" t="str" cm="1">
        <f t="array" ref="L577">IF(COUNTIF($B$51:$E$51, L$2)&gt;0, _xlfn.IFS(COUNTIF($B$51:$C$51, L$2)&gt;0, VLOOKUP($J577,'Gear Values'!$A$2:$E$13, IF(COUNTBLANK('Attributes &amp; Prefixes'!$B$51:$C$51)&gt;0, "2", "3"), 0), COUNTIF($D$51:$E$51, L$2)&gt;0, VLOOKUP($J577,'Gear Values'!$A$2:$E$13, IF(COUNTBLANK('Attributes &amp; Prefixes'!$B$51:$C$51)&gt;0, "4", "5"), 0)), "")</f>
        <v/>
      </c>
      <c r="M577" s="137" cm="1">
        <f t="array" ref="M577">IF(COUNTIF($B$51:$E$51, M$2)&gt;0, _xlfn.IFS(COUNTIF($B$51:$C$51, M$2)&gt;0, VLOOKUP($J577,'Gear Values'!$A$2:$E$13, IF(COUNTBLANK('Attributes &amp; Prefixes'!$B$51:$C$51)&gt;0, "2", "3"), 0), COUNTIF($D$51:$E$51, M$2)&gt;0, VLOOKUP($J577,'Gear Values'!$A$2:$E$13, IF(COUNTBLANK('Attributes &amp; Prefixes'!$B$51:$C$51)&gt;0, "4", "5"), 0)), "")</f>
        <v>56</v>
      </c>
      <c r="N577" s="137" cm="1">
        <f t="array" ref="N577">IF(COUNTIF($B$51:$E$51, N$2)&gt;0, _xlfn.IFS(COUNTIF($B$51:$C$51, N$2)&gt;0, VLOOKUP($J577,'Gear Values'!$A$2:$E$13, IF(COUNTBLANK('Attributes &amp; Prefixes'!$B$51:$C$51)&gt;0, "2", "3"), 0), COUNTIF($D$51:$E$51, N$2)&gt;0, VLOOKUP($J577,'Gear Values'!$A$2:$E$13, IF(COUNTBLANK('Attributes &amp; Prefixes'!$B$51:$C$51)&gt;0, "4", "5"), 0)), "")</f>
        <v>102</v>
      </c>
      <c r="O577" s="137" cm="1">
        <f t="array" ref="O577">IF(COUNTIF($B$51:$E$51, O$2)&gt;0, _xlfn.IFS(COUNTIF($B$51:$C$51, O$2)&gt;0, VLOOKUP($J577,'Gear Values'!$A$2:$E$13, IF(COUNTBLANK('Attributes &amp; Prefixes'!$B$51:$C$51)&gt;0, "2", "3"), 0), COUNTIF($D$51:$E$51, O$2)&gt;0, VLOOKUP($J577,'Gear Values'!$A$2:$E$13, IF(COUNTBLANK('Attributes &amp; Prefixes'!$B$51:$C$51)&gt;0, "4", "5"), 0)), "")</f>
        <v>56</v>
      </c>
      <c r="P577" s="137" t="str" cm="1">
        <f t="array" ref="P577">IF(COUNTIF($B$51:$E$51, P$2)&gt;0, _xlfn.IFS(COUNTIF($B$51:$C$51, P$2)&gt;0, VLOOKUP($J577,'Gear Values'!$A$2:$E$13, IF(COUNTBLANK('Attributes &amp; Prefixes'!$B$51:$C$51)&gt;0, "2", "3"), 0), COUNTIF($D$51:$E$51, P$2)&gt;0, VLOOKUP($J577,'Gear Values'!$A$2:$E$13, IF(COUNTBLANK('Attributes &amp; Prefixes'!$B$51:$C$51)&gt;0, "4", "5"), 0)), "")</f>
        <v/>
      </c>
      <c r="Q577" s="137" t="str" cm="1">
        <f t="array" ref="Q577">IF(COUNTIF($B$51:$E$51, Q$2)&gt;0, _xlfn.IFS(COUNTIF($B$51:$C$51, Q$2)&gt;0, VLOOKUP($J577,'Gear Values'!$A$2:$E$13, IF(COUNTBLANK('Attributes &amp; Prefixes'!$B$51:$C$51)&gt;0, "2", "3"), 0), COUNTIF($D$51:$E$51, Q$2)&gt;0, VLOOKUP($J577,'Gear Values'!$A$2:$E$13, IF(COUNTBLANK('Attributes &amp; Prefixes'!$B$51:$C$51)&gt;0, "4", "5"), 0)), "")</f>
        <v/>
      </c>
      <c r="R577" s="137" t="str" cm="1">
        <f t="array" ref="R577">IF(COUNTIF($B$51:$E$51, R$2)&gt;0, _xlfn.IFS(COUNTIF($B$51:$C$51, R$2)&gt;0, VLOOKUP($J577,'Gear Values'!$A$2:$E$13, IF(COUNTBLANK('Attributes &amp; Prefixes'!$B$51:$C$51)&gt;0, "2", "3"), 0), COUNTIF($D$51:$E$51, R$2)&gt;0, VLOOKUP($J577,'Gear Values'!$A$2:$E$13, IF(COUNTBLANK('Attributes &amp; Prefixes'!$B$51:$C$51)&gt;0, "4", "5"), 0)), "")</f>
        <v/>
      </c>
      <c r="S577" s="138" t="str" cm="1">
        <f t="array" ref="S577">IF(COUNTIF($B$51:$E$51, S$2)&gt;0, _xlfn.IFS(COUNTIF($B$51:$C$51, S$2)&gt;0, VLOOKUP($J577,'Gear Values'!$A$2:$E$13, IF(COUNTBLANK('Attributes &amp; Prefixes'!$B$51:$C$51)&gt;0, "2", "3"), 0), COUNTIF($D$51:$E$51, S$2)&gt;0, VLOOKUP($J577,'Gear Values'!$A$2:$E$13, IF(COUNTBLANK('Attributes &amp; Prefixes'!$B$51:$C$51)&gt;0, "4", "5"), 0)), "")</f>
        <v/>
      </c>
      <c r="V577" s="112"/>
      <c r="W577" s="113"/>
    </row>
    <row r="578" spans="6:23">
      <c r="F578" s="114"/>
      <c r="G578" s="114"/>
      <c r="H578" s="130" t="str">
        <f>_xlfn.CONCAT(I$567,J578)</f>
        <v>WandererBack</v>
      </c>
      <c r="I578" s="521"/>
      <c r="J578" s="146" t="s">
        <v>53</v>
      </c>
      <c r="K578" s="147" t="str" cm="1">
        <f t="array" ref="K578">IF(COUNTIF($B$51:$E$51, K$2)&gt;0, _xlfn.IFS(COUNTIF($B$51:$C$51, K$2)&gt;0, VLOOKUP($J578,'Gear Values'!$A$2:$E$13, IF(COUNTBLANK('Attributes &amp; Prefixes'!$B$51:$C$51)&gt;0, "2", "3"), 0), COUNTIF($D$51:$E$51, K$2)&gt;0, VLOOKUP($J578,'Gear Values'!$A$2:$E$13, IF(COUNTBLANK('Attributes &amp; Prefixes'!$B$51:$C$51)&gt;0, "4", "5"), 0)), "")</f>
        <v>N/A</v>
      </c>
      <c r="L578" s="148" t="str" cm="1">
        <f t="array" ref="L578">IF(COUNTIF($B$51:$E$51, L$2)&gt;0, _xlfn.IFS(COUNTIF($B$51:$C$51, L$2)&gt;0, VLOOKUP($J578,'Gear Values'!$A$2:$E$13, IF(COUNTBLANK('Attributes &amp; Prefixes'!$B$51:$C$51)&gt;0, "2", "3"), 0), COUNTIF($D$51:$E$51, L$2)&gt;0, VLOOKUP($J578,'Gear Values'!$A$2:$E$13, IF(COUNTBLANK('Attributes &amp; Prefixes'!$B$51:$C$51)&gt;0, "4", "5"), 0)), "")</f>
        <v/>
      </c>
      <c r="M578" s="148" t="str" cm="1">
        <f t="array" ref="M578">IF(COUNTIF($B$51:$E$51, M$2)&gt;0, _xlfn.IFS(COUNTIF($B$51:$C$51, M$2)&gt;0, VLOOKUP($J578,'Gear Values'!$A$2:$E$13, IF(COUNTBLANK('Attributes &amp; Prefixes'!$B$51:$C$51)&gt;0, "2", "3"), 0), COUNTIF($D$51:$E$51, M$2)&gt;0, VLOOKUP($J578,'Gear Values'!$A$2:$E$13, IF(COUNTBLANK('Attributes &amp; Prefixes'!$B$51:$C$51)&gt;0, "4", "5"), 0)), "")</f>
        <v>N/A</v>
      </c>
      <c r="N578" s="148" t="str" cm="1">
        <f t="array" ref="N578">IF(COUNTIF($B$51:$E$51, N$2)&gt;0, _xlfn.IFS(COUNTIF($B$51:$C$51, N$2)&gt;0, VLOOKUP($J578,'Gear Values'!$A$2:$E$13, IF(COUNTBLANK('Attributes &amp; Prefixes'!$B$51:$C$51)&gt;0, "2", "3"), 0), COUNTIF($D$51:$E$51, N$2)&gt;0, VLOOKUP($J578,'Gear Values'!$A$2:$E$13, IF(COUNTBLANK('Attributes &amp; Prefixes'!$B$51:$C$51)&gt;0, "4", "5"), 0)), "")</f>
        <v>N/A</v>
      </c>
      <c r="O578" s="148" t="str" cm="1">
        <f t="array" ref="O578">IF(COUNTIF($B$51:$E$51, O$2)&gt;0, _xlfn.IFS(COUNTIF($B$51:$C$51, O$2)&gt;0, VLOOKUP($J578,'Gear Values'!$A$2:$E$13, IF(COUNTBLANK('Attributes &amp; Prefixes'!$B$51:$C$51)&gt;0, "2", "3"), 0), COUNTIF($D$51:$E$51, O$2)&gt;0, VLOOKUP($J578,'Gear Values'!$A$2:$E$13, IF(COUNTBLANK('Attributes &amp; Prefixes'!$B$51:$C$51)&gt;0, "4", "5"), 0)), "")</f>
        <v>N/A</v>
      </c>
      <c r="P578" s="148" t="str" cm="1">
        <f t="array" ref="P578">IF(COUNTIF($B$51:$E$51, P$2)&gt;0, _xlfn.IFS(COUNTIF($B$51:$C$51, P$2)&gt;0, VLOOKUP($J578,'Gear Values'!$A$2:$E$13, IF(COUNTBLANK('Attributes &amp; Prefixes'!$B$51:$C$51)&gt;0, "2", "3"), 0), COUNTIF($D$51:$E$51, P$2)&gt;0, VLOOKUP($J578,'Gear Values'!$A$2:$E$13, IF(COUNTBLANK('Attributes &amp; Prefixes'!$B$51:$C$51)&gt;0, "4", "5"), 0)), "")</f>
        <v/>
      </c>
      <c r="Q578" s="148" t="str" cm="1">
        <f t="array" ref="Q578">IF(COUNTIF($B$51:$E$51, Q$2)&gt;0, _xlfn.IFS(COUNTIF($B$51:$C$51, Q$2)&gt;0, VLOOKUP($J578,'Gear Values'!$A$2:$E$13, IF(COUNTBLANK('Attributes &amp; Prefixes'!$B$51:$C$51)&gt;0, "2", "3"), 0), COUNTIF($D$51:$E$51, Q$2)&gt;0, VLOOKUP($J578,'Gear Values'!$A$2:$E$13, IF(COUNTBLANK('Attributes &amp; Prefixes'!$B$51:$C$51)&gt;0, "4", "5"), 0)), "")</f>
        <v/>
      </c>
      <c r="R578" s="148" t="str" cm="1">
        <f t="array" ref="R578">IF(COUNTIF($B$51:$E$51, R$2)&gt;0, _xlfn.IFS(COUNTIF($B$51:$C$51, R$2)&gt;0, VLOOKUP($J578,'Gear Values'!$A$2:$E$13, IF(COUNTBLANK('Attributes &amp; Prefixes'!$B$51:$C$51)&gt;0, "2", "3"), 0), COUNTIF($D$51:$E$51, R$2)&gt;0, VLOOKUP($J578,'Gear Values'!$A$2:$E$13, IF(COUNTBLANK('Attributes &amp; Prefixes'!$B$51:$C$51)&gt;0, "4", "5"), 0)), "")</f>
        <v/>
      </c>
      <c r="S578" s="150" t="str" cm="1">
        <f t="array" ref="S578">IF(COUNTIF($B$51:$E$51, S$2)&gt;0, _xlfn.IFS(COUNTIF($B$51:$C$51, S$2)&gt;0, VLOOKUP($J578,'Gear Values'!$A$2:$E$13, IF(COUNTBLANK('Attributes &amp; Prefixes'!$B$51:$C$51)&gt;0, "2", "3"), 0), COUNTIF($D$51:$E$51, S$2)&gt;0, VLOOKUP($J578,'Gear Values'!$A$2:$E$13, IF(COUNTBLANK('Attributes &amp; Prefixes'!$B$51:$C$51)&gt;0, "4", "5"), 0)), "")</f>
        <v/>
      </c>
      <c r="V578" s="112"/>
      <c r="W578" s="113"/>
    </row>
    <row r="579" spans="6:23">
      <c r="F579" s="114"/>
      <c r="G579" s="114"/>
      <c r="H579" s="130" t="str">
        <f>_xlfn.CONCAT(I$579,J579)</f>
        <v>WizardWeapon (1H)</v>
      </c>
      <c r="I579" s="519" t="str">
        <f>A52</f>
        <v>Wizard</v>
      </c>
      <c r="J579" s="145" t="s">
        <v>37</v>
      </c>
      <c r="K579" s="133" cm="1">
        <f t="array" ref="K579">IF(COUNTIF($B$52:$E$52, K$2)&gt;0, _xlfn.IFS(COUNTIF($B$52:$C$52, K$2)&gt;0, VLOOKUP($J579,'Gear Values'!$A$2:$E$13, IF(COUNTBLANK('Attributes &amp; Prefixes'!$B$52:$C$52)&gt;0, "2", "3"), 0), COUNTIF($D$52:$E$52, K$2)&gt;0, VLOOKUP($J579,'Gear Values'!$A$2:$E$13, IF(COUNTBLANK('Attributes &amp; Prefixes'!$B$52:$C$52)&gt;0, "4", "5"), 0)), "")</f>
        <v>102</v>
      </c>
      <c r="L579" s="134" cm="1">
        <f t="array" ref="L579">IF(COUNTIF($B$52:$E$52, L$2)&gt;0, _xlfn.IFS(COUNTIF($B$52:$C$52, L$2)&gt;0, VLOOKUP($J579,'Gear Values'!$A$2:$E$13, IF(COUNTBLANK('Attributes &amp; Prefixes'!$B$52:$C$52)&gt;0, "2", "3"), 0), COUNTIF($D$52:$E$52, L$2)&gt;0, VLOOKUP($J579,'Gear Values'!$A$2:$E$13, IF(COUNTBLANK('Attributes &amp; Prefixes'!$B$52:$C$52)&gt;0, "4", "5"), 0)), "")</f>
        <v>56</v>
      </c>
      <c r="M579" s="134" t="str" cm="1">
        <f t="array" ref="M579">IF(COUNTIF($B$52:$E$52, M$2)&gt;0, _xlfn.IFS(COUNTIF($B$52:$C$52, M$2)&gt;0, VLOOKUP($J579,'Gear Values'!$A$2:$E$13, IF(COUNTBLANK('Attributes &amp; Prefixes'!$B$52:$C$52)&gt;0, "2", "3"), 0), COUNTIF($D$52:$E$52, M$2)&gt;0, VLOOKUP($J579,'Gear Values'!$A$2:$E$13, IF(COUNTBLANK('Attributes &amp; Prefixes'!$B$52:$C$52)&gt;0, "4", "5"), 0)), "")</f>
        <v/>
      </c>
      <c r="N579" s="134" cm="1">
        <f t="array" ref="N579">IF(COUNTIF($B$52:$E$52, N$2)&gt;0, _xlfn.IFS(COUNTIF($B$52:$C$52, N$2)&gt;0, VLOOKUP($J579,'Gear Values'!$A$2:$E$13, IF(COUNTBLANK('Attributes &amp; Prefixes'!$B$52:$C$52)&gt;0, "2", "3"), 0), COUNTIF($D$52:$E$52, N$2)&gt;0, VLOOKUP($J579,'Gear Values'!$A$2:$E$13, IF(COUNTBLANK('Attributes &amp; Prefixes'!$B$52:$C$52)&gt;0, "4", "5"), 0)), "")</f>
        <v>56</v>
      </c>
      <c r="O579" s="134" t="str" cm="1">
        <f t="array" ref="O579">IF(COUNTIF($B$52:$E$52, O$2)&gt;0, _xlfn.IFS(COUNTIF($B$52:$C$52, O$2)&gt;0, VLOOKUP($J579,'Gear Values'!$A$2:$E$13, IF(COUNTBLANK('Attributes &amp; Prefixes'!$B$52:$C$52)&gt;0, "2", "3"), 0), COUNTIF($D$52:$E$52, O$2)&gt;0, VLOOKUP($J579,'Gear Values'!$A$2:$E$13, IF(COUNTBLANK('Attributes &amp; Prefixes'!$B$52:$C$52)&gt;0, "4", "5"), 0)), "")</f>
        <v/>
      </c>
      <c r="P579" s="134" cm="1">
        <f t="array" ref="P579">IF(COUNTIF($B$52:$E$52, P$2)&gt;0, _xlfn.IFS(COUNTIF($B$52:$C$52, P$2)&gt;0, VLOOKUP($J579,'Gear Values'!$A$2:$E$13, IF(COUNTBLANK('Attributes &amp; Prefixes'!$B$52:$C$52)&gt;0, "2", "3"), 0), COUNTIF($D$52:$E$52, P$2)&gt;0, VLOOKUP($J579,'Gear Values'!$A$2:$E$13, IF(COUNTBLANK('Attributes &amp; Prefixes'!$B$52:$C$52)&gt;0, "4", "5"), 0)), "")</f>
        <v>102</v>
      </c>
      <c r="Q579" s="134" t="str" cm="1">
        <f t="array" ref="Q579">IF(COUNTIF($B$52:$E$52, Q$2)&gt;0, _xlfn.IFS(COUNTIF($B$52:$C$52, Q$2)&gt;0, VLOOKUP($J579,'Gear Values'!$A$2:$E$13, IF(COUNTBLANK('Attributes &amp; Prefixes'!$B$52:$C$52)&gt;0, "2", "3"), 0), COUNTIF($D$52:$E$52, Q$2)&gt;0, VLOOKUP($J579,'Gear Values'!$A$2:$E$13, IF(COUNTBLANK('Attributes &amp; Prefixes'!$B$52:$C$52)&gt;0, "4", "5"), 0)), "")</f>
        <v/>
      </c>
      <c r="R579" s="134" t="str" cm="1">
        <f t="array" ref="R579">IF(COUNTIF($B$52:$E$52, R$2)&gt;0, _xlfn.IFS(COUNTIF($B$52:$C$52, R$2)&gt;0, VLOOKUP($J579,'Gear Values'!$A$2:$E$13, IF(COUNTBLANK('Attributes &amp; Prefixes'!$B$52:$C$52)&gt;0, "2", "3"), 0), COUNTIF($D$52:$E$52, R$2)&gt;0, VLOOKUP($J579,'Gear Values'!$A$2:$E$13, IF(COUNTBLANK('Attributes &amp; Prefixes'!$B$52:$C$52)&gt;0, "4", "5"), 0)), "")</f>
        <v/>
      </c>
      <c r="S579" s="135" t="str" cm="1">
        <f t="array" ref="S579">IF(COUNTIF($B$52:$E$52, S$2)&gt;0, _xlfn.IFS(COUNTIF($B$52:$C$52, S$2)&gt;0, VLOOKUP($J579,'Gear Values'!$A$2:$E$13, IF(COUNTBLANK('Attributes &amp; Prefixes'!$B$52:$C$52)&gt;0, "2", "3"), 0), COUNTIF($D$52:$E$52, S$2)&gt;0, VLOOKUP($J579,'Gear Values'!$A$2:$E$13, IF(COUNTBLANK('Attributes &amp; Prefixes'!$B$52:$C$52)&gt;0, "4", "5"), 0)), "")</f>
        <v/>
      </c>
      <c r="V579" s="112"/>
      <c r="W579" s="113"/>
    </row>
    <row r="580" spans="6:23">
      <c r="H580" s="130" t="str">
        <f>_xlfn.CONCAT(I$579,J580)</f>
        <v>WizardWeapon (2H)</v>
      </c>
      <c r="I580" s="520"/>
      <c r="J580" s="144" t="s">
        <v>39</v>
      </c>
      <c r="K580" s="136" cm="1">
        <f t="array" ref="K580">IF(COUNTIF($B$52:$E$52, K$2)&gt;0, _xlfn.IFS(COUNTIF($B$52:$C$52, K$2)&gt;0, VLOOKUP($J580,'Gear Values'!$A$2:$E$13, IF(COUNTBLANK('Attributes &amp; Prefixes'!$B$52:$C$52)&gt;0, "2", "3"), 0), COUNTIF($D$52:$E$52, K$2)&gt;0, VLOOKUP($J580,'Gear Values'!$A$2:$E$13, IF(COUNTBLANK('Attributes &amp; Prefixes'!$B$52:$C$52)&gt;0, "4", "5"), 0)), "")</f>
        <v>205</v>
      </c>
      <c r="L580" s="137" cm="1">
        <f t="array" ref="L580">IF(COUNTIF($B$52:$E$52, L$2)&gt;0, _xlfn.IFS(COUNTIF($B$52:$C$52, L$2)&gt;0, VLOOKUP($J580,'Gear Values'!$A$2:$E$13, IF(COUNTBLANK('Attributes &amp; Prefixes'!$B$52:$C$52)&gt;0, "2", "3"), 0), COUNTIF($D$52:$E$52, L$2)&gt;0, VLOOKUP($J580,'Gear Values'!$A$2:$E$13, IF(COUNTBLANK('Attributes &amp; Prefixes'!$B$52:$C$52)&gt;0, "4", "5"), 0)), "")</f>
        <v>113</v>
      </c>
      <c r="M580" s="137" t="str" cm="1">
        <f t="array" ref="M580">IF(COUNTIF($B$52:$E$52, M$2)&gt;0, _xlfn.IFS(COUNTIF($B$52:$C$52, M$2)&gt;0, VLOOKUP($J580,'Gear Values'!$A$2:$E$13, IF(COUNTBLANK('Attributes &amp; Prefixes'!$B$52:$C$52)&gt;0, "2", "3"), 0), COUNTIF($D$52:$E$52, M$2)&gt;0, VLOOKUP($J580,'Gear Values'!$A$2:$E$13, IF(COUNTBLANK('Attributes &amp; Prefixes'!$B$52:$C$52)&gt;0, "4", "5"), 0)), "")</f>
        <v/>
      </c>
      <c r="N580" s="137" cm="1">
        <f t="array" ref="N580">IF(COUNTIF($B$52:$E$52, N$2)&gt;0, _xlfn.IFS(COUNTIF($B$52:$C$52, N$2)&gt;0, VLOOKUP($J580,'Gear Values'!$A$2:$E$13, IF(COUNTBLANK('Attributes &amp; Prefixes'!$B$52:$C$52)&gt;0, "2", "3"), 0), COUNTIF($D$52:$E$52, N$2)&gt;0, VLOOKUP($J580,'Gear Values'!$A$2:$E$13, IF(COUNTBLANK('Attributes &amp; Prefixes'!$B$52:$C$52)&gt;0, "4", "5"), 0)), "")</f>
        <v>113</v>
      </c>
      <c r="O580" s="137" t="str" cm="1">
        <f t="array" ref="O580">IF(COUNTIF($B$52:$E$52, O$2)&gt;0, _xlfn.IFS(COUNTIF($B$52:$C$52, O$2)&gt;0, VLOOKUP($J580,'Gear Values'!$A$2:$E$13, IF(COUNTBLANK('Attributes &amp; Prefixes'!$B$52:$C$52)&gt;0, "2", "3"), 0), COUNTIF($D$52:$E$52, O$2)&gt;0, VLOOKUP($J580,'Gear Values'!$A$2:$E$13, IF(COUNTBLANK('Attributes &amp; Prefixes'!$B$52:$C$52)&gt;0, "4", "5"), 0)), "")</f>
        <v/>
      </c>
      <c r="P580" s="137" cm="1">
        <f t="array" ref="P580">IF(COUNTIF($B$52:$E$52, P$2)&gt;0, _xlfn.IFS(COUNTIF($B$52:$C$52, P$2)&gt;0, VLOOKUP($J580,'Gear Values'!$A$2:$E$13, IF(COUNTBLANK('Attributes &amp; Prefixes'!$B$52:$C$52)&gt;0, "2", "3"), 0), COUNTIF($D$52:$E$52, P$2)&gt;0, VLOOKUP($J580,'Gear Values'!$A$2:$E$13, IF(COUNTBLANK('Attributes &amp; Prefixes'!$B$52:$C$52)&gt;0, "4", "5"), 0)), "")</f>
        <v>205</v>
      </c>
      <c r="Q580" s="137" t="str" cm="1">
        <f t="array" ref="Q580">IF(COUNTIF($B$52:$E$52, Q$2)&gt;0, _xlfn.IFS(COUNTIF($B$52:$C$52, Q$2)&gt;0, VLOOKUP($J580,'Gear Values'!$A$2:$E$13, IF(COUNTBLANK('Attributes &amp; Prefixes'!$B$52:$C$52)&gt;0, "2", "3"), 0), COUNTIF($D$52:$E$52, Q$2)&gt;0, VLOOKUP($J580,'Gear Values'!$A$2:$E$13, IF(COUNTBLANK('Attributes &amp; Prefixes'!$B$52:$C$52)&gt;0, "4", "5"), 0)), "")</f>
        <v/>
      </c>
      <c r="R580" s="137" t="str" cm="1">
        <f t="array" ref="R580">IF(COUNTIF($B$52:$E$52, R$2)&gt;0, _xlfn.IFS(COUNTIF($B$52:$C$52, R$2)&gt;0, VLOOKUP($J580,'Gear Values'!$A$2:$E$13, IF(COUNTBLANK('Attributes &amp; Prefixes'!$B$52:$C$52)&gt;0, "2", "3"), 0), COUNTIF($D$52:$E$52, R$2)&gt;0, VLOOKUP($J580,'Gear Values'!$A$2:$E$13, IF(COUNTBLANK('Attributes &amp; Prefixes'!$B$52:$C$52)&gt;0, "4", "5"), 0)), "")</f>
        <v/>
      </c>
      <c r="S580" s="138" t="str" cm="1">
        <f t="array" ref="S580">IF(COUNTIF($B$52:$E$52, S$2)&gt;0, _xlfn.IFS(COUNTIF($B$52:$C$52, S$2)&gt;0, VLOOKUP($J580,'Gear Values'!$A$2:$E$13, IF(COUNTBLANK('Attributes &amp; Prefixes'!$B$52:$C$52)&gt;0, "2", "3"), 0), COUNTIF($D$52:$E$52, S$2)&gt;0, VLOOKUP($J580,'Gear Values'!$A$2:$E$13, IF(COUNTBLANK('Attributes &amp; Prefixes'!$B$52:$C$52)&gt;0, "4", "5"), 0)), "")</f>
        <v/>
      </c>
      <c r="V580" s="112"/>
      <c r="W580" s="113"/>
    </row>
    <row r="581" spans="6:23">
      <c r="H581" s="130" t="str">
        <f>_xlfn.CONCAT(I$579,J581)</f>
        <v>WizardHead</v>
      </c>
      <c r="I581" s="520"/>
      <c r="J581" s="144" t="s">
        <v>40</v>
      </c>
      <c r="K581" s="136" cm="1">
        <f t="array" ref="K581">IF(COUNTIF($B$52:$E$52, K$2)&gt;0, _xlfn.IFS(COUNTIF($B$52:$C$52, K$2)&gt;0, VLOOKUP($J581,'Gear Values'!$A$2:$E$13, IF(COUNTBLANK('Attributes &amp; Prefixes'!$B$52:$C$52)&gt;0, "2", "3"), 0), COUNTIF($D$52:$E$52, K$2)&gt;0, VLOOKUP($J581,'Gear Values'!$A$2:$E$13, IF(COUNTBLANK('Attributes &amp; Prefixes'!$B$52:$C$52)&gt;0, "4", "5"), 0)), "")</f>
        <v>51</v>
      </c>
      <c r="L581" s="137" cm="1">
        <f t="array" ref="L581">IF(COUNTIF($B$52:$E$52, L$2)&gt;0, _xlfn.IFS(COUNTIF($B$52:$C$52, L$2)&gt;0, VLOOKUP($J581,'Gear Values'!$A$2:$E$13, IF(COUNTBLANK('Attributes &amp; Prefixes'!$B$52:$C$52)&gt;0, "2", "3"), 0), COUNTIF($D$52:$E$52, L$2)&gt;0, VLOOKUP($J581,'Gear Values'!$A$2:$E$13, IF(COUNTBLANK('Attributes &amp; Prefixes'!$B$52:$C$52)&gt;0, "4", "5"), 0)), "")</f>
        <v>28</v>
      </c>
      <c r="M581" s="137" t="str" cm="1">
        <f t="array" ref="M581">IF(COUNTIF($B$52:$E$52, M$2)&gt;0, _xlfn.IFS(COUNTIF($B$52:$C$52, M$2)&gt;0, VLOOKUP($J581,'Gear Values'!$A$2:$E$13, IF(COUNTBLANK('Attributes &amp; Prefixes'!$B$52:$C$52)&gt;0, "2", "3"), 0), COUNTIF($D$52:$E$52, M$2)&gt;0, VLOOKUP($J581,'Gear Values'!$A$2:$E$13, IF(COUNTBLANK('Attributes &amp; Prefixes'!$B$52:$C$52)&gt;0, "4", "5"), 0)), "")</f>
        <v/>
      </c>
      <c r="N581" s="137" cm="1">
        <f t="array" ref="N581">IF(COUNTIF($B$52:$E$52, N$2)&gt;0, _xlfn.IFS(COUNTIF($B$52:$C$52, N$2)&gt;0, VLOOKUP($J581,'Gear Values'!$A$2:$E$13, IF(COUNTBLANK('Attributes &amp; Prefixes'!$B$52:$C$52)&gt;0, "2", "3"), 0), COUNTIF($D$52:$E$52, N$2)&gt;0, VLOOKUP($J581,'Gear Values'!$A$2:$E$13, IF(COUNTBLANK('Attributes &amp; Prefixes'!$B$52:$C$52)&gt;0, "4", "5"), 0)), "")</f>
        <v>28</v>
      </c>
      <c r="O581" s="137" t="str" cm="1">
        <f t="array" ref="O581">IF(COUNTIF($B$52:$E$52, O$2)&gt;0, _xlfn.IFS(COUNTIF($B$52:$C$52, O$2)&gt;0, VLOOKUP($J581,'Gear Values'!$A$2:$E$13, IF(COUNTBLANK('Attributes &amp; Prefixes'!$B$52:$C$52)&gt;0, "2", "3"), 0), COUNTIF($D$52:$E$52, O$2)&gt;0, VLOOKUP($J581,'Gear Values'!$A$2:$E$13, IF(COUNTBLANK('Attributes &amp; Prefixes'!$B$52:$C$52)&gt;0, "4", "5"), 0)), "")</f>
        <v/>
      </c>
      <c r="P581" s="137" cm="1">
        <f t="array" ref="P581">IF(COUNTIF($B$52:$E$52, P$2)&gt;0, _xlfn.IFS(COUNTIF($B$52:$C$52, P$2)&gt;0, VLOOKUP($J581,'Gear Values'!$A$2:$E$13, IF(COUNTBLANK('Attributes &amp; Prefixes'!$B$52:$C$52)&gt;0, "2", "3"), 0), COUNTIF($D$52:$E$52, P$2)&gt;0, VLOOKUP($J581,'Gear Values'!$A$2:$E$13, IF(COUNTBLANK('Attributes &amp; Prefixes'!$B$52:$C$52)&gt;0, "4", "5"), 0)), "")</f>
        <v>51</v>
      </c>
      <c r="Q581" s="137" t="str" cm="1">
        <f t="array" ref="Q581">IF(COUNTIF($B$52:$E$52, Q$2)&gt;0, _xlfn.IFS(COUNTIF($B$52:$C$52, Q$2)&gt;0, VLOOKUP($J581,'Gear Values'!$A$2:$E$13, IF(COUNTBLANK('Attributes &amp; Prefixes'!$B$52:$C$52)&gt;0, "2", "3"), 0), COUNTIF($D$52:$E$52, Q$2)&gt;0, VLOOKUP($J581,'Gear Values'!$A$2:$E$13, IF(COUNTBLANK('Attributes &amp; Prefixes'!$B$52:$C$52)&gt;0, "4", "5"), 0)), "")</f>
        <v/>
      </c>
      <c r="R581" s="137" t="str" cm="1">
        <f t="array" ref="R581">IF(COUNTIF($B$52:$E$52, R$2)&gt;0, _xlfn.IFS(COUNTIF($B$52:$C$52, R$2)&gt;0, VLOOKUP($J581,'Gear Values'!$A$2:$E$13, IF(COUNTBLANK('Attributes &amp; Prefixes'!$B$52:$C$52)&gt;0, "2", "3"), 0), COUNTIF($D$52:$E$52, R$2)&gt;0, VLOOKUP($J581,'Gear Values'!$A$2:$E$13, IF(COUNTBLANK('Attributes &amp; Prefixes'!$B$52:$C$52)&gt;0, "4", "5"), 0)), "")</f>
        <v/>
      </c>
      <c r="S581" s="138" t="str" cm="1">
        <f t="array" ref="S581">IF(COUNTIF($B$52:$E$52, S$2)&gt;0, _xlfn.IFS(COUNTIF($B$52:$C$52, S$2)&gt;0, VLOOKUP($J581,'Gear Values'!$A$2:$E$13, IF(COUNTBLANK('Attributes &amp; Prefixes'!$B$52:$C$52)&gt;0, "2", "3"), 0), COUNTIF($D$52:$E$52, S$2)&gt;0, VLOOKUP($J581,'Gear Values'!$A$2:$E$13, IF(COUNTBLANK('Attributes &amp; Prefixes'!$B$52:$C$52)&gt;0, "4", "5"), 0)), "")</f>
        <v/>
      </c>
      <c r="V581" s="112"/>
      <c r="W581" s="113"/>
    </row>
    <row r="582" spans="6:23">
      <c r="H582" s="130" t="str">
        <f>_xlfn.CONCAT(I$579,J582)</f>
        <v>WizardShoulders</v>
      </c>
      <c r="I582" s="520"/>
      <c r="J582" s="144" t="s">
        <v>42</v>
      </c>
      <c r="K582" s="136" cm="1">
        <f t="array" ref="K582">IF(COUNTIF($B$52:$E$52, K$2)&gt;0, _xlfn.IFS(COUNTIF($B$52:$C$52, K$2)&gt;0, VLOOKUP($J582,'Gear Values'!$A$2:$E$13, IF(COUNTBLANK('Attributes &amp; Prefixes'!$B$52:$C$52)&gt;0, "2", "3"), 0), COUNTIF($D$52:$E$52, K$2)&gt;0, VLOOKUP($J582,'Gear Values'!$A$2:$E$13, IF(COUNTBLANK('Attributes &amp; Prefixes'!$B$52:$C$52)&gt;0, "4", "5"), 0)), "")</f>
        <v>38</v>
      </c>
      <c r="L582" s="137" cm="1">
        <f t="array" ref="L582">IF(COUNTIF($B$52:$E$52, L$2)&gt;0, _xlfn.IFS(COUNTIF($B$52:$C$52, L$2)&gt;0, VLOOKUP($J582,'Gear Values'!$A$2:$E$13, IF(COUNTBLANK('Attributes &amp; Prefixes'!$B$52:$C$52)&gt;0, "2", "3"), 0), COUNTIF($D$52:$E$52, L$2)&gt;0, VLOOKUP($J582,'Gear Values'!$A$2:$E$13, IF(COUNTBLANK('Attributes &amp; Prefixes'!$B$52:$C$52)&gt;0, "4", "5"), 0)), "")</f>
        <v>21</v>
      </c>
      <c r="M582" s="137" t="str" cm="1">
        <f t="array" ref="M582">IF(COUNTIF($B$52:$E$52, M$2)&gt;0, _xlfn.IFS(COUNTIF($B$52:$C$52, M$2)&gt;0, VLOOKUP($J582,'Gear Values'!$A$2:$E$13, IF(COUNTBLANK('Attributes &amp; Prefixes'!$B$52:$C$52)&gt;0, "2", "3"), 0), COUNTIF($D$52:$E$52, M$2)&gt;0, VLOOKUP($J582,'Gear Values'!$A$2:$E$13, IF(COUNTBLANK('Attributes &amp; Prefixes'!$B$52:$C$52)&gt;0, "4", "5"), 0)), "")</f>
        <v/>
      </c>
      <c r="N582" s="137" cm="1">
        <f t="array" ref="N582">IF(COUNTIF($B$52:$E$52, N$2)&gt;0, _xlfn.IFS(COUNTIF($B$52:$C$52, N$2)&gt;0, VLOOKUP($J582,'Gear Values'!$A$2:$E$13, IF(COUNTBLANK('Attributes &amp; Prefixes'!$B$52:$C$52)&gt;0, "2", "3"), 0), COUNTIF($D$52:$E$52, N$2)&gt;0, VLOOKUP($J582,'Gear Values'!$A$2:$E$13, IF(COUNTBLANK('Attributes &amp; Prefixes'!$B$52:$C$52)&gt;0, "4", "5"), 0)), "")</f>
        <v>21</v>
      </c>
      <c r="O582" s="137" t="str" cm="1">
        <f t="array" ref="O582">IF(COUNTIF($B$52:$E$52, O$2)&gt;0, _xlfn.IFS(COUNTIF($B$52:$C$52, O$2)&gt;0, VLOOKUP($J582,'Gear Values'!$A$2:$E$13, IF(COUNTBLANK('Attributes &amp; Prefixes'!$B$52:$C$52)&gt;0, "2", "3"), 0), COUNTIF($D$52:$E$52, O$2)&gt;0, VLOOKUP($J582,'Gear Values'!$A$2:$E$13, IF(COUNTBLANK('Attributes &amp; Prefixes'!$B$52:$C$52)&gt;0, "4", "5"), 0)), "")</f>
        <v/>
      </c>
      <c r="P582" s="137" cm="1">
        <f t="array" ref="P582">IF(COUNTIF($B$52:$E$52, P$2)&gt;0, _xlfn.IFS(COUNTIF($B$52:$C$52, P$2)&gt;0, VLOOKUP($J582,'Gear Values'!$A$2:$E$13, IF(COUNTBLANK('Attributes &amp; Prefixes'!$B$52:$C$52)&gt;0, "2", "3"), 0), COUNTIF($D$52:$E$52, P$2)&gt;0, VLOOKUP($J582,'Gear Values'!$A$2:$E$13, IF(COUNTBLANK('Attributes &amp; Prefixes'!$B$52:$C$52)&gt;0, "4", "5"), 0)), "")</f>
        <v>38</v>
      </c>
      <c r="Q582" s="137" t="str" cm="1">
        <f t="array" ref="Q582">IF(COUNTIF($B$52:$E$52, Q$2)&gt;0, _xlfn.IFS(COUNTIF($B$52:$C$52, Q$2)&gt;0, VLOOKUP($J582,'Gear Values'!$A$2:$E$13, IF(COUNTBLANK('Attributes &amp; Prefixes'!$B$52:$C$52)&gt;0, "2", "3"), 0), COUNTIF($D$52:$E$52, Q$2)&gt;0, VLOOKUP($J582,'Gear Values'!$A$2:$E$13, IF(COUNTBLANK('Attributes &amp; Prefixes'!$B$52:$C$52)&gt;0, "4", "5"), 0)), "")</f>
        <v/>
      </c>
      <c r="R582" s="137" t="str" cm="1">
        <f t="array" ref="R582">IF(COUNTIF($B$52:$E$52, R$2)&gt;0, _xlfn.IFS(COUNTIF($B$52:$C$52, R$2)&gt;0, VLOOKUP($J582,'Gear Values'!$A$2:$E$13, IF(COUNTBLANK('Attributes &amp; Prefixes'!$B$52:$C$52)&gt;0, "2", "3"), 0), COUNTIF($D$52:$E$52, R$2)&gt;0, VLOOKUP($J582,'Gear Values'!$A$2:$E$13, IF(COUNTBLANK('Attributes &amp; Prefixes'!$B$52:$C$52)&gt;0, "4", "5"), 0)), "")</f>
        <v/>
      </c>
      <c r="S582" s="138" t="str" cm="1">
        <f t="array" ref="S582">IF(COUNTIF($B$52:$E$52, S$2)&gt;0, _xlfn.IFS(COUNTIF($B$52:$C$52, S$2)&gt;0, VLOOKUP($J582,'Gear Values'!$A$2:$E$13, IF(COUNTBLANK('Attributes &amp; Prefixes'!$B$52:$C$52)&gt;0, "2", "3"), 0), COUNTIF($D$52:$E$52, S$2)&gt;0, VLOOKUP($J582,'Gear Values'!$A$2:$E$13, IF(COUNTBLANK('Attributes &amp; Prefixes'!$B$52:$C$52)&gt;0, "4", "5"), 0)), "")</f>
        <v/>
      </c>
      <c r="V582" s="112"/>
      <c r="W582" s="113"/>
    </row>
    <row r="583" spans="6:23">
      <c r="H583" s="130" t="str">
        <f>_xlfn.CONCAT(I$579,J583)</f>
        <v>WizardChest</v>
      </c>
      <c r="I583" s="520"/>
      <c r="J583" s="144" t="s">
        <v>44</v>
      </c>
      <c r="K583" s="136" cm="1">
        <f t="array" ref="K583">IF(COUNTIF($B$52:$E$52, K$2)&gt;0, _xlfn.IFS(COUNTIF($B$52:$C$52, K$2)&gt;0, VLOOKUP($J583,'Gear Values'!$A$2:$E$13, IF(COUNTBLANK('Attributes &amp; Prefixes'!$B$52:$C$52)&gt;0, "2", "3"), 0), COUNTIF($D$52:$E$52, K$2)&gt;0, VLOOKUP($J583,'Gear Values'!$A$2:$E$13, IF(COUNTBLANK('Attributes &amp; Prefixes'!$B$52:$C$52)&gt;0, "4", "5"), 0)), "")</f>
        <v>115</v>
      </c>
      <c r="L583" s="137" cm="1">
        <f t="array" ref="L583">IF(COUNTIF($B$52:$E$52, L$2)&gt;0, _xlfn.IFS(COUNTIF($B$52:$C$52, L$2)&gt;0, VLOOKUP($J583,'Gear Values'!$A$2:$E$13, IF(COUNTBLANK('Attributes &amp; Prefixes'!$B$52:$C$52)&gt;0, "2", "3"), 0), COUNTIF($D$52:$E$52, L$2)&gt;0, VLOOKUP($J583,'Gear Values'!$A$2:$E$13, IF(COUNTBLANK('Attributes &amp; Prefixes'!$B$52:$C$52)&gt;0, "4", "5"), 0)), "")</f>
        <v>63</v>
      </c>
      <c r="M583" s="137" t="str" cm="1">
        <f t="array" ref="M583">IF(COUNTIF($B$52:$E$52, M$2)&gt;0, _xlfn.IFS(COUNTIF($B$52:$C$52, M$2)&gt;0, VLOOKUP($J583,'Gear Values'!$A$2:$E$13, IF(COUNTBLANK('Attributes &amp; Prefixes'!$B$52:$C$52)&gt;0, "2", "3"), 0), COUNTIF($D$52:$E$52, M$2)&gt;0, VLOOKUP($J583,'Gear Values'!$A$2:$E$13, IF(COUNTBLANK('Attributes &amp; Prefixes'!$B$52:$C$52)&gt;0, "4", "5"), 0)), "")</f>
        <v/>
      </c>
      <c r="N583" s="137" cm="1">
        <f t="array" ref="N583">IF(COUNTIF($B$52:$E$52, N$2)&gt;0, _xlfn.IFS(COUNTIF($B$52:$C$52, N$2)&gt;0, VLOOKUP($J583,'Gear Values'!$A$2:$E$13, IF(COUNTBLANK('Attributes &amp; Prefixes'!$B$52:$C$52)&gt;0, "2", "3"), 0), COUNTIF($D$52:$E$52, N$2)&gt;0, VLOOKUP($J583,'Gear Values'!$A$2:$E$13, IF(COUNTBLANK('Attributes &amp; Prefixes'!$B$52:$C$52)&gt;0, "4", "5"), 0)), "")</f>
        <v>63</v>
      </c>
      <c r="O583" s="137" t="str" cm="1">
        <f t="array" ref="O583">IF(COUNTIF($B$52:$E$52, O$2)&gt;0, _xlfn.IFS(COUNTIF($B$52:$C$52, O$2)&gt;0, VLOOKUP($J583,'Gear Values'!$A$2:$E$13, IF(COUNTBLANK('Attributes &amp; Prefixes'!$B$52:$C$52)&gt;0, "2", "3"), 0), COUNTIF($D$52:$E$52, O$2)&gt;0, VLOOKUP($J583,'Gear Values'!$A$2:$E$13, IF(COUNTBLANK('Attributes &amp; Prefixes'!$B$52:$C$52)&gt;0, "4", "5"), 0)), "")</f>
        <v/>
      </c>
      <c r="P583" s="137" cm="1">
        <f t="array" ref="P583">IF(COUNTIF($B$52:$E$52, P$2)&gt;0, _xlfn.IFS(COUNTIF($B$52:$C$52, P$2)&gt;0, VLOOKUP($J583,'Gear Values'!$A$2:$E$13, IF(COUNTBLANK('Attributes &amp; Prefixes'!$B$52:$C$52)&gt;0, "2", "3"), 0), COUNTIF($D$52:$E$52, P$2)&gt;0, VLOOKUP($J583,'Gear Values'!$A$2:$E$13, IF(COUNTBLANK('Attributes &amp; Prefixes'!$B$52:$C$52)&gt;0, "4", "5"), 0)), "")</f>
        <v>115</v>
      </c>
      <c r="Q583" s="137" t="str" cm="1">
        <f t="array" ref="Q583">IF(COUNTIF($B$52:$E$52, Q$2)&gt;0, _xlfn.IFS(COUNTIF($B$52:$C$52, Q$2)&gt;0, VLOOKUP($J583,'Gear Values'!$A$2:$E$13, IF(COUNTBLANK('Attributes &amp; Prefixes'!$B$52:$C$52)&gt;0, "2", "3"), 0), COUNTIF($D$52:$E$52, Q$2)&gt;0, VLOOKUP($J583,'Gear Values'!$A$2:$E$13, IF(COUNTBLANK('Attributes &amp; Prefixes'!$B$52:$C$52)&gt;0, "4", "5"), 0)), "")</f>
        <v/>
      </c>
      <c r="R583" s="137" t="str" cm="1">
        <f t="array" ref="R583">IF(COUNTIF($B$52:$E$52, R$2)&gt;0, _xlfn.IFS(COUNTIF($B$52:$C$52, R$2)&gt;0, VLOOKUP($J583,'Gear Values'!$A$2:$E$13, IF(COUNTBLANK('Attributes &amp; Prefixes'!$B$52:$C$52)&gt;0, "2", "3"), 0), COUNTIF($D$52:$E$52, R$2)&gt;0, VLOOKUP($J583,'Gear Values'!$A$2:$E$13, IF(COUNTBLANK('Attributes &amp; Prefixes'!$B$52:$C$52)&gt;0, "4", "5"), 0)), "")</f>
        <v/>
      </c>
      <c r="S583" s="138" t="str" cm="1">
        <f t="array" ref="S583">IF(COUNTIF($B$52:$E$52, S$2)&gt;0, _xlfn.IFS(COUNTIF($B$52:$C$52, S$2)&gt;0, VLOOKUP($J583,'Gear Values'!$A$2:$E$13, IF(COUNTBLANK('Attributes &amp; Prefixes'!$B$52:$C$52)&gt;0, "2", "3"), 0), COUNTIF($D$52:$E$52, S$2)&gt;0, VLOOKUP($J583,'Gear Values'!$A$2:$E$13, IF(COUNTBLANK('Attributes &amp; Prefixes'!$B$52:$C$52)&gt;0, "4", "5"), 0)), "")</f>
        <v/>
      </c>
      <c r="V583" s="112"/>
      <c r="W583" s="113"/>
    </row>
    <row r="584" spans="6:23">
      <c r="H584" s="130" t="str">
        <f>_xlfn.CONCAT(I$579,J584)</f>
        <v>WizardHands</v>
      </c>
      <c r="I584" s="520"/>
      <c r="J584" s="144" t="s">
        <v>45</v>
      </c>
      <c r="K584" s="136" cm="1">
        <f t="array" ref="K584">IF(COUNTIF($B$52:$E$52, K$2)&gt;0, _xlfn.IFS(COUNTIF($B$52:$C$52, K$2)&gt;0, VLOOKUP($J584,'Gear Values'!$A$2:$E$13, IF(COUNTBLANK('Attributes &amp; Prefixes'!$B$52:$C$52)&gt;0, "2", "3"), 0), COUNTIF($D$52:$E$52, K$2)&gt;0, VLOOKUP($J584,'Gear Values'!$A$2:$E$13, IF(COUNTBLANK('Attributes &amp; Prefixes'!$B$52:$C$52)&gt;0, "4", "5"), 0)), "")</f>
        <v>38</v>
      </c>
      <c r="L584" s="137" cm="1">
        <f t="array" ref="L584">IF(COUNTIF($B$52:$E$52, L$2)&gt;0, _xlfn.IFS(COUNTIF($B$52:$C$52, L$2)&gt;0, VLOOKUP($J584,'Gear Values'!$A$2:$E$13, IF(COUNTBLANK('Attributes &amp; Prefixes'!$B$52:$C$52)&gt;0, "2", "3"), 0), COUNTIF($D$52:$E$52, L$2)&gt;0, VLOOKUP($J584,'Gear Values'!$A$2:$E$13, IF(COUNTBLANK('Attributes &amp; Prefixes'!$B$52:$C$52)&gt;0, "4", "5"), 0)), "")</f>
        <v>21</v>
      </c>
      <c r="M584" s="137" t="str" cm="1">
        <f t="array" ref="M584">IF(COUNTIF($B$52:$E$52, M$2)&gt;0, _xlfn.IFS(COUNTIF($B$52:$C$52, M$2)&gt;0, VLOOKUP($J584,'Gear Values'!$A$2:$E$13, IF(COUNTBLANK('Attributes &amp; Prefixes'!$B$52:$C$52)&gt;0, "2", "3"), 0), COUNTIF($D$52:$E$52, M$2)&gt;0, VLOOKUP($J584,'Gear Values'!$A$2:$E$13, IF(COUNTBLANK('Attributes &amp; Prefixes'!$B$52:$C$52)&gt;0, "4", "5"), 0)), "")</f>
        <v/>
      </c>
      <c r="N584" s="137" cm="1">
        <f t="array" ref="N584">IF(COUNTIF($B$52:$E$52, N$2)&gt;0, _xlfn.IFS(COUNTIF($B$52:$C$52, N$2)&gt;0, VLOOKUP($J584,'Gear Values'!$A$2:$E$13, IF(COUNTBLANK('Attributes &amp; Prefixes'!$B$52:$C$52)&gt;0, "2", "3"), 0), COUNTIF($D$52:$E$52, N$2)&gt;0, VLOOKUP($J584,'Gear Values'!$A$2:$E$13, IF(COUNTBLANK('Attributes &amp; Prefixes'!$B$52:$C$52)&gt;0, "4", "5"), 0)), "")</f>
        <v>21</v>
      </c>
      <c r="O584" s="137" t="str" cm="1">
        <f t="array" ref="O584">IF(COUNTIF($B$52:$E$52, O$2)&gt;0, _xlfn.IFS(COUNTIF($B$52:$C$52, O$2)&gt;0, VLOOKUP($J584,'Gear Values'!$A$2:$E$13, IF(COUNTBLANK('Attributes &amp; Prefixes'!$B$52:$C$52)&gt;0, "2", "3"), 0), COUNTIF($D$52:$E$52, O$2)&gt;0, VLOOKUP($J584,'Gear Values'!$A$2:$E$13, IF(COUNTBLANK('Attributes &amp; Prefixes'!$B$52:$C$52)&gt;0, "4", "5"), 0)), "")</f>
        <v/>
      </c>
      <c r="P584" s="137" cm="1">
        <f t="array" ref="P584">IF(COUNTIF($B$52:$E$52, P$2)&gt;0, _xlfn.IFS(COUNTIF($B$52:$C$52, P$2)&gt;0, VLOOKUP($J584,'Gear Values'!$A$2:$E$13, IF(COUNTBLANK('Attributes &amp; Prefixes'!$B$52:$C$52)&gt;0, "2", "3"), 0), COUNTIF($D$52:$E$52, P$2)&gt;0, VLOOKUP($J584,'Gear Values'!$A$2:$E$13, IF(COUNTBLANK('Attributes &amp; Prefixes'!$B$52:$C$52)&gt;0, "4", "5"), 0)), "")</f>
        <v>38</v>
      </c>
      <c r="Q584" s="137" t="str" cm="1">
        <f t="array" ref="Q584">IF(COUNTIF($B$52:$E$52, Q$2)&gt;0, _xlfn.IFS(COUNTIF($B$52:$C$52, Q$2)&gt;0, VLOOKUP($J584,'Gear Values'!$A$2:$E$13, IF(COUNTBLANK('Attributes &amp; Prefixes'!$B$52:$C$52)&gt;0, "2", "3"), 0), COUNTIF($D$52:$E$52, Q$2)&gt;0, VLOOKUP($J584,'Gear Values'!$A$2:$E$13, IF(COUNTBLANK('Attributes &amp; Prefixes'!$B$52:$C$52)&gt;0, "4", "5"), 0)), "")</f>
        <v/>
      </c>
      <c r="R584" s="137" t="str" cm="1">
        <f t="array" ref="R584">IF(COUNTIF($B$52:$E$52, R$2)&gt;0, _xlfn.IFS(COUNTIF($B$52:$C$52, R$2)&gt;0, VLOOKUP($J584,'Gear Values'!$A$2:$E$13, IF(COUNTBLANK('Attributes &amp; Prefixes'!$B$52:$C$52)&gt;0, "2", "3"), 0), COUNTIF($D$52:$E$52, R$2)&gt;0, VLOOKUP($J584,'Gear Values'!$A$2:$E$13, IF(COUNTBLANK('Attributes &amp; Prefixes'!$B$52:$C$52)&gt;0, "4", "5"), 0)), "")</f>
        <v/>
      </c>
      <c r="S584" s="138" t="str" cm="1">
        <f t="array" ref="S584">IF(COUNTIF($B$52:$E$52, S$2)&gt;0, _xlfn.IFS(COUNTIF($B$52:$C$52, S$2)&gt;0, VLOOKUP($J584,'Gear Values'!$A$2:$E$13, IF(COUNTBLANK('Attributes &amp; Prefixes'!$B$52:$C$52)&gt;0, "2", "3"), 0), COUNTIF($D$52:$E$52, S$2)&gt;0, VLOOKUP($J584,'Gear Values'!$A$2:$E$13, IF(COUNTBLANK('Attributes &amp; Prefixes'!$B$52:$C$52)&gt;0, "4", "5"), 0)), "")</f>
        <v/>
      </c>
      <c r="V584" s="112"/>
      <c r="W584" s="113"/>
    </row>
    <row r="585" spans="6:23">
      <c r="H585" s="130" t="str">
        <f>_xlfn.CONCAT(I$579,J585)</f>
        <v>WizardLegs</v>
      </c>
      <c r="I585" s="520"/>
      <c r="J585" s="144" t="s">
        <v>47</v>
      </c>
      <c r="K585" s="136" cm="1">
        <f t="array" ref="K585">IF(COUNTIF($B$52:$E$52, K$2)&gt;0, _xlfn.IFS(COUNTIF($B$52:$C$52, K$2)&gt;0, VLOOKUP($J585,'Gear Values'!$A$2:$E$13, IF(COUNTBLANK('Attributes &amp; Prefixes'!$B$52:$C$52)&gt;0, "2", "3"), 0), COUNTIF($D$52:$E$52, K$2)&gt;0, VLOOKUP($J585,'Gear Values'!$A$2:$E$13, IF(COUNTBLANK('Attributes &amp; Prefixes'!$B$52:$C$52)&gt;0, "4", "5"), 0)), "")</f>
        <v>77</v>
      </c>
      <c r="L585" s="137" cm="1">
        <f t="array" ref="L585">IF(COUNTIF($B$52:$E$52, L$2)&gt;0, _xlfn.IFS(COUNTIF($B$52:$C$52, L$2)&gt;0, VLOOKUP($J585,'Gear Values'!$A$2:$E$13, IF(COUNTBLANK('Attributes &amp; Prefixes'!$B$52:$C$52)&gt;0, "2", "3"), 0), COUNTIF($D$52:$E$52, L$2)&gt;0, VLOOKUP($J585,'Gear Values'!$A$2:$E$13, IF(COUNTBLANK('Attributes &amp; Prefixes'!$B$52:$C$52)&gt;0, "4", "5"), 0)), "")</f>
        <v>42</v>
      </c>
      <c r="M585" s="137" t="str" cm="1">
        <f t="array" ref="M585">IF(COUNTIF($B$52:$E$52, M$2)&gt;0, _xlfn.IFS(COUNTIF($B$52:$C$52, M$2)&gt;0, VLOOKUP($J585,'Gear Values'!$A$2:$E$13, IF(COUNTBLANK('Attributes &amp; Prefixes'!$B$52:$C$52)&gt;0, "2", "3"), 0), COUNTIF($D$52:$E$52, M$2)&gt;0, VLOOKUP($J585,'Gear Values'!$A$2:$E$13, IF(COUNTBLANK('Attributes &amp; Prefixes'!$B$52:$C$52)&gt;0, "4", "5"), 0)), "")</f>
        <v/>
      </c>
      <c r="N585" s="137" cm="1">
        <f t="array" ref="N585">IF(COUNTIF($B$52:$E$52, N$2)&gt;0, _xlfn.IFS(COUNTIF($B$52:$C$52, N$2)&gt;0, VLOOKUP($J585,'Gear Values'!$A$2:$E$13, IF(COUNTBLANK('Attributes &amp; Prefixes'!$B$52:$C$52)&gt;0, "2", "3"), 0), COUNTIF($D$52:$E$52, N$2)&gt;0, VLOOKUP($J585,'Gear Values'!$A$2:$E$13, IF(COUNTBLANK('Attributes &amp; Prefixes'!$B$52:$C$52)&gt;0, "4", "5"), 0)), "")</f>
        <v>42</v>
      </c>
      <c r="O585" s="137" t="str" cm="1">
        <f t="array" ref="O585">IF(COUNTIF($B$52:$E$52, O$2)&gt;0, _xlfn.IFS(COUNTIF($B$52:$C$52, O$2)&gt;0, VLOOKUP($J585,'Gear Values'!$A$2:$E$13, IF(COUNTBLANK('Attributes &amp; Prefixes'!$B$52:$C$52)&gt;0, "2", "3"), 0), COUNTIF($D$52:$E$52, O$2)&gt;0, VLOOKUP($J585,'Gear Values'!$A$2:$E$13, IF(COUNTBLANK('Attributes &amp; Prefixes'!$B$52:$C$52)&gt;0, "4", "5"), 0)), "")</f>
        <v/>
      </c>
      <c r="P585" s="137" cm="1">
        <f t="array" ref="P585">IF(COUNTIF($B$52:$E$52, P$2)&gt;0, _xlfn.IFS(COUNTIF($B$52:$C$52, P$2)&gt;0, VLOOKUP($J585,'Gear Values'!$A$2:$E$13, IF(COUNTBLANK('Attributes &amp; Prefixes'!$B$52:$C$52)&gt;0, "2", "3"), 0), COUNTIF($D$52:$E$52, P$2)&gt;0, VLOOKUP($J585,'Gear Values'!$A$2:$E$13, IF(COUNTBLANK('Attributes &amp; Prefixes'!$B$52:$C$52)&gt;0, "4", "5"), 0)), "")</f>
        <v>77</v>
      </c>
      <c r="Q585" s="137" t="str" cm="1">
        <f t="array" ref="Q585">IF(COUNTIF($B$52:$E$52, Q$2)&gt;0, _xlfn.IFS(COUNTIF($B$52:$C$52, Q$2)&gt;0, VLOOKUP($J585,'Gear Values'!$A$2:$E$13, IF(COUNTBLANK('Attributes &amp; Prefixes'!$B$52:$C$52)&gt;0, "2", "3"), 0), COUNTIF($D$52:$E$52, Q$2)&gt;0, VLOOKUP($J585,'Gear Values'!$A$2:$E$13, IF(COUNTBLANK('Attributes &amp; Prefixes'!$B$52:$C$52)&gt;0, "4", "5"), 0)), "")</f>
        <v/>
      </c>
      <c r="R585" s="137" t="str" cm="1">
        <f t="array" ref="R585">IF(COUNTIF($B$52:$E$52, R$2)&gt;0, _xlfn.IFS(COUNTIF($B$52:$C$52, R$2)&gt;0, VLOOKUP($J585,'Gear Values'!$A$2:$E$13, IF(COUNTBLANK('Attributes &amp; Prefixes'!$B$52:$C$52)&gt;0, "2", "3"), 0), COUNTIF($D$52:$E$52, R$2)&gt;0, VLOOKUP($J585,'Gear Values'!$A$2:$E$13, IF(COUNTBLANK('Attributes &amp; Prefixes'!$B$52:$C$52)&gt;0, "4", "5"), 0)), "")</f>
        <v/>
      </c>
      <c r="S585" s="138" t="str" cm="1">
        <f t="array" ref="S585">IF(COUNTIF($B$52:$E$52, S$2)&gt;0, _xlfn.IFS(COUNTIF($B$52:$C$52, S$2)&gt;0, VLOOKUP($J585,'Gear Values'!$A$2:$E$13, IF(COUNTBLANK('Attributes &amp; Prefixes'!$B$52:$C$52)&gt;0, "2", "3"), 0), COUNTIF($D$52:$E$52, S$2)&gt;0, VLOOKUP($J585,'Gear Values'!$A$2:$E$13, IF(COUNTBLANK('Attributes &amp; Prefixes'!$B$52:$C$52)&gt;0, "4", "5"), 0)), "")</f>
        <v/>
      </c>
      <c r="V585" s="112"/>
      <c r="W585" s="113"/>
    </row>
    <row r="586" spans="6:23">
      <c r="H586" s="130" t="str">
        <f>_xlfn.CONCAT(I$579,J586)</f>
        <v>WizardFeet</v>
      </c>
      <c r="I586" s="520"/>
      <c r="J586" s="144" t="s">
        <v>48</v>
      </c>
      <c r="K586" s="136" cm="1">
        <f t="array" ref="K586">IF(COUNTIF($B$52:$E$52, K$2)&gt;0, _xlfn.IFS(COUNTIF($B$52:$C$52, K$2)&gt;0, VLOOKUP($J586,'Gear Values'!$A$2:$E$13, IF(COUNTBLANK('Attributes &amp; Prefixes'!$B$52:$C$52)&gt;0, "2", "3"), 0), COUNTIF($D$52:$E$52, K$2)&gt;0, VLOOKUP($J586,'Gear Values'!$A$2:$E$13, IF(COUNTBLANK('Attributes &amp; Prefixes'!$B$52:$C$52)&gt;0, "4", "5"), 0)), "")</f>
        <v>38</v>
      </c>
      <c r="L586" s="137" cm="1">
        <f t="array" ref="L586">IF(COUNTIF($B$52:$E$52, L$2)&gt;0, _xlfn.IFS(COUNTIF($B$52:$C$52, L$2)&gt;0, VLOOKUP($J586,'Gear Values'!$A$2:$E$13, IF(COUNTBLANK('Attributes &amp; Prefixes'!$B$52:$C$52)&gt;0, "2", "3"), 0), COUNTIF($D$52:$E$52, L$2)&gt;0, VLOOKUP($J586,'Gear Values'!$A$2:$E$13, IF(COUNTBLANK('Attributes &amp; Prefixes'!$B$52:$C$52)&gt;0, "4", "5"), 0)), "")</f>
        <v>21</v>
      </c>
      <c r="M586" s="137" t="str" cm="1">
        <f t="array" ref="M586">IF(COUNTIF($B$52:$E$52, M$2)&gt;0, _xlfn.IFS(COUNTIF($B$52:$C$52, M$2)&gt;0, VLOOKUP($J586,'Gear Values'!$A$2:$E$13, IF(COUNTBLANK('Attributes &amp; Prefixes'!$B$52:$C$52)&gt;0, "2", "3"), 0), COUNTIF($D$52:$E$52, M$2)&gt;0, VLOOKUP($J586,'Gear Values'!$A$2:$E$13, IF(COUNTBLANK('Attributes &amp; Prefixes'!$B$52:$C$52)&gt;0, "4", "5"), 0)), "")</f>
        <v/>
      </c>
      <c r="N586" s="137" cm="1">
        <f t="array" ref="N586">IF(COUNTIF($B$52:$E$52, N$2)&gt;0, _xlfn.IFS(COUNTIF($B$52:$C$52, N$2)&gt;0, VLOOKUP($J586,'Gear Values'!$A$2:$E$13, IF(COUNTBLANK('Attributes &amp; Prefixes'!$B$52:$C$52)&gt;0, "2", "3"), 0), COUNTIF($D$52:$E$52, N$2)&gt;0, VLOOKUP($J586,'Gear Values'!$A$2:$E$13, IF(COUNTBLANK('Attributes &amp; Prefixes'!$B$52:$C$52)&gt;0, "4", "5"), 0)), "")</f>
        <v>21</v>
      </c>
      <c r="O586" s="137" t="str" cm="1">
        <f t="array" ref="O586">IF(COUNTIF($B$52:$E$52, O$2)&gt;0, _xlfn.IFS(COUNTIF($B$52:$C$52, O$2)&gt;0, VLOOKUP($J586,'Gear Values'!$A$2:$E$13, IF(COUNTBLANK('Attributes &amp; Prefixes'!$B$52:$C$52)&gt;0, "2", "3"), 0), COUNTIF($D$52:$E$52, O$2)&gt;0, VLOOKUP($J586,'Gear Values'!$A$2:$E$13, IF(COUNTBLANK('Attributes &amp; Prefixes'!$B$52:$C$52)&gt;0, "4", "5"), 0)), "")</f>
        <v/>
      </c>
      <c r="P586" s="137" cm="1">
        <f t="array" ref="P586">IF(COUNTIF($B$52:$E$52, P$2)&gt;0, _xlfn.IFS(COUNTIF($B$52:$C$52, P$2)&gt;0, VLOOKUP($J586,'Gear Values'!$A$2:$E$13, IF(COUNTBLANK('Attributes &amp; Prefixes'!$B$52:$C$52)&gt;0, "2", "3"), 0), COUNTIF($D$52:$E$52, P$2)&gt;0, VLOOKUP($J586,'Gear Values'!$A$2:$E$13, IF(COUNTBLANK('Attributes &amp; Prefixes'!$B$52:$C$52)&gt;0, "4", "5"), 0)), "")</f>
        <v>38</v>
      </c>
      <c r="Q586" s="137" t="str" cm="1">
        <f t="array" ref="Q586">IF(COUNTIF($B$52:$E$52, Q$2)&gt;0, _xlfn.IFS(COUNTIF($B$52:$C$52, Q$2)&gt;0, VLOOKUP($J586,'Gear Values'!$A$2:$E$13, IF(COUNTBLANK('Attributes &amp; Prefixes'!$B$52:$C$52)&gt;0, "2", "3"), 0), COUNTIF($D$52:$E$52, Q$2)&gt;0, VLOOKUP($J586,'Gear Values'!$A$2:$E$13, IF(COUNTBLANK('Attributes &amp; Prefixes'!$B$52:$C$52)&gt;0, "4", "5"), 0)), "")</f>
        <v/>
      </c>
      <c r="R586" s="137" t="str" cm="1">
        <f t="array" ref="R586">IF(COUNTIF($B$52:$E$52, R$2)&gt;0, _xlfn.IFS(COUNTIF($B$52:$C$52, R$2)&gt;0, VLOOKUP($J586,'Gear Values'!$A$2:$E$13, IF(COUNTBLANK('Attributes &amp; Prefixes'!$B$52:$C$52)&gt;0, "2", "3"), 0), COUNTIF($D$52:$E$52, R$2)&gt;0, VLOOKUP($J586,'Gear Values'!$A$2:$E$13, IF(COUNTBLANK('Attributes &amp; Prefixes'!$B$52:$C$52)&gt;0, "4", "5"), 0)), "")</f>
        <v/>
      </c>
      <c r="S586" s="138" t="str" cm="1">
        <f t="array" ref="S586">IF(COUNTIF($B$52:$E$52, S$2)&gt;0, _xlfn.IFS(COUNTIF($B$52:$C$52, S$2)&gt;0, VLOOKUP($J586,'Gear Values'!$A$2:$E$13, IF(COUNTBLANK('Attributes &amp; Prefixes'!$B$52:$C$52)&gt;0, "2", "3"), 0), COUNTIF($D$52:$E$52, S$2)&gt;0, VLOOKUP($J586,'Gear Values'!$A$2:$E$13, IF(COUNTBLANK('Attributes &amp; Prefixes'!$B$52:$C$52)&gt;0, "4", "5"), 0)), "")</f>
        <v/>
      </c>
      <c r="V586" s="112"/>
      <c r="W586" s="113"/>
    </row>
    <row r="587" spans="6:23">
      <c r="H587" s="130" t="str">
        <f>_xlfn.CONCAT(I$579,J587)</f>
        <v>WizardEar</v>
      </c>
      <c r="I587" s="520"/>
      <c r="J587" s="144" t="s">
        <v>49</v>
      </c>
      <c r="K587" s="136" cm="1">
        <f t="array" ref="K587">IF(COUNTIF($B$52:$E$52, K$2)&gt;0, _xlfn.IFS(COUNTIF($B$52:$C$52, K$2)&gt;0, VLOOKUP($J587,'Gear Values'!$A$2:$E$13, IF(COUNTBLANK('Attributes &amp; Prefixes'!$B$52:$C$52)&gt;0, "2", "3"), 0), COUNTIF($D$52:$E$52, K$2)&gt;0, VLOOKUP($J587,'Gear Values'!$A$2:$E$13, IF(COUNTBLANK('Attributes &amp; Prefixes'!$B$52:$C$52)&gt;0, "4", "5"), 0)), "")</f>
        <v>64</v>
      </c>
      <c r="L587" s="137" cm="1">
        <f t="array" ref="L587">IF(COUNTIF($B$52:$E$52, L$2)&gt;0, _xlfn.IFS(COUNTIF($B$52:$C$52, L$2)&gt;0, VLOOKUP($J587,'Gear Values'!$A$2:$E$13, IF(COUNTBLANK('Attributes &amp; Prefixes'!$B$52:$C$52)&gt;0, "2", "3"), 0), COUNTIF($D$52:$E$52, L$2)&gt;0, VLOOKUP($J587,'Gear Values'!$A$2:$E$13, IF(COUNTBLANK('Attributes &amp; Prefixes'!$B$52:$C$52)&gt;0, "4", "5"), 0)), "")</f>
        <v>35</v>
      </c>
      <c r="M587" s="137" t="str" cm="1">
        <f t="array" ref="M587">IF(COUNTIF($B$52:$E$52, M$2)&gt;0, _xlfn.IFS(COUNTIF($B$52:$C$52, M$2)&gt;0, VLOOKUP($J587,'Gear Values'!$A$2:$E$13, IF(COUNTBLANK('Attributes &amp; Prefixes'!$B$52:$C$52)&gt;0, "2", "3"), 0), COUNTIF($D$52:$E$52, M$2)&gt;0, VLOOKUP($J587,'Gear Values'!$A$2:$E$13, IF(COUNTBLANK('Attributes &amp; Prefixes'!$B$52:$C$52)&gt;0, "4", "5"), 0)), "")</f>
        <v/>
      </c>
      <c r="N587" s="137" cm="1">
        <f t="array" ref="N587">IF(COUNTIF($B$52:$E$52, N$2)&gt;0, _xlfn.IFS(COUNTIF($B$52:$C$52, N$2)&gt;0, VLOOKUP($J587,'Gear Values'!$A$2:$E$13, IF(COUNTBLANK('Attributes &amp; Prefixes'!$B$52:$C$52)&gt;0, "2", "3"), 0), COUNTIF($D$52:$E$52, N$2)&gt;0, VLOOKUP($J587,'Gear Values'!$A$2:$E$13, IF(COUNTBLANK('Attributes &amp; Prefixes'!$B$52:$C$52)&gt;0, "4", "5"), 0)), "")</f>
        <v>35</v>
      </c>
      <c r="O587" s="137" t="str" cm="1">
        <f t="array" ref="O587">IF(COUNTIF($B$52:$E$52, O$2)&gt;0, _xlfn.IFS(COUNTIF($B$52:$C$52, O$2)&gt;0, VLOOKUP($J587,'Gear Values'!$A$2:$E$13, IF(COUNTBLANK('Attributes &amp; Prefixes'!$B$52:$C$52)&gt;0, "2", "3"), 0), COUNTIF($D$52:$E$52, O$2)&gt;0, VLOOKUP($J587,'Gear Values'!$A$2:$E$13, IF(COUNTBLANK('Attributes &amp; Prefixes'!$B$52:$C$52)&gt;0, "4", "5"), 0)), "")</f>
        <v/>
      </c>
      <c r="P587" s="137" cm="1">
        <f t="array" ref="P587">IF(COUNTIF($B$52:$E$52, P$2)&gt;0, _xlfn.IFS(COUNTIF($B$52:$C$52, P$2)&gt;0, VLOOKUP($J587,'Gear Values'!$A$2:$E$13, IF(COUNTBLANK('Attributes &amp; Prefixes'!$B$52:$C$52)&gt;0, "2", "3"), 0), COUNTIF($D$52:$E$52, P$2)&gt;0, VLOOKUP($J587,'Gear Values'!$A$2:$E$13, IF(COUNTBLANK('Attributes &amp; Prefixes'!$B$52:$C$52)&gt;0, "4", "5"), 0)), "")</f>
        <v>64</v>
      </c>
      <c r="Q587" s="137" t="str" cm="1">
        <f t="array" ref="Q587">IF(COUNTIF($B$52:$E$52, Q$2)&gt;0, _xlfn.IFS(COUNTIF($B$52:$C$52, Q$2)&gt;0, VLOOKUP($J587,'Gear Values'!$A$2:$E$13, IF(COUNTBLANK('Attributes &amp; Prefixes'!$B$52:$C$52)&gt;0, "2", "3"), 0), COUNTIF($D$52:$E$52, Q$2)&gt;0, VLOOKUP($J587,'Gear Values'!$A$2:$E$13, IF(COUNTBLANK('Attributes &amp; Prefixes'!$B$52:$C$52)&gt;0, "4", "5"), 0)), "")</f>
        <v/>
      </c>
      <c r="R587" s="137" t="str" cm="1">
        <f t="array" ref="R587">IF(COUNTIF($B$52:$E$52, R$2)&gt;0, _xlfn.IFS(COUNTIF($B$52:$C$52, R$2)&gt;0, VLOOKUP($J587,'Gear Values'!$A$2:$E$13, IF(COUNTBLANK('Attributes &amp; Prefixes'!$B$52:$C$52)&gt;0, "2", "3"), 0), COUNTIF($D$52:$E$52, R$2)&gt;0, VLOOKUP($J587,'Gear Values'!$A$2:$E$13, IF(COUNTBLANK('Attributes &amp; Prefixes'!$B$52:$C$52)&gt;0, "4", "5"), 0)), "")</f>
        <v/>
      </c>
      <c r="S587" s="138" t="str" cm="1">
        <f t="array" ref="S587">IF(COUNTIF($B$52:$E$52, S$2)&gt;0, _xlfn.IFS(COUNTIF($B$52:$C$52, S$2)&gt;0, VLOOKUP($J587,'Gear Values'!$A$2:$E$13, IF(COUNTBLANK('Attributes &amp; Prefixes'!$B$52:$C$52)&gt;0, "2", "3"), 0), COUNTIF($D$52:$E$52, S$2)&gt;0, VLOOKUP($J587,'Gear Values'!$A$2:$E$13, IF(COUNTBLANK('Attributes &amp; Prefixes'!$B$52:$C$52)&gt;0, "4", "5"), 0)), "")</f>
        <v/>
      </c>
      <c r="V587" s="112"/>
      <c r="W587" s="113"/>
    </row>
    <row r="588" spans="6:23">
      <c r="H588" s="130" t="str">
        <f>_xlfn.CONCAT(I$579,J588)</f>
        <v>WizardFinger</v>
      </c>
      <c r="I588" s="520"/>
      <c r="J588" s="144" t="s">
        <v>51</v>
      </c>
      <c r="K588" s="136" cm="1">
        <f t="array" ref="K588">IF(COUNTIF($B$52:$E$52, K$2)&gt;0, _xlfn.IFS(COUNTIF($B$52:$C$52, K$2)&gt;0, VLOOKUP($J588,'Gear Values'!$A$2:$E$13, IF(COUNTBLANK('Attributes &amp; Prefixes'!$B$52:$C$52)&gt;0, "2", "3"), 0), COUNTIF($D$52:$E$52, K$2)&gt;0, VLOOKUP($J588,'Gear Values'!$A$2:$E$13, IF(COUNTBLANK('Attributes &amp; Prefixes'!$B$52:$C$52)&gt;0, "4", "5"), 0)), "")</f>
        <v>77</v>
      </c>
      <c r="L588" s="137" cm="1">
        <f t="array" ref="L588">IF(COUNTIF($B$52:$E$52, L$2)&gt;0, _xlfn.IFS(COUNTIF($B$52:$C$52, L$2)&gt;0, VLOOKUP($J588,'Gear Values'!$A$2:$E$13, IF(COUNTBLANK('Attributes &amp; Prefixes'!$B$52:$C$52)&gt;0, "2", "3"), 0), COUNTIF($D$52:$E$52, L$2)&gt;0, VLOOKUP($J588,'Gear Values'!$A$2:$E$13, IF(COUNTBLANK('Attributes &amp; Prefixes'!$B$52:$C$52)&gt;0, "4", "5"), 0)), "")</f>
        <v>42</v>
      </c>
      <c r="M588" s="137" t="str" cm="1">
        <f t="array" ref="M588">IF(COUNTIF($B$52:$E$52, M$2)&gt;0, _xlfn.IFS(COUNTIF($B$52:$C$52, M$2)&gt;0, VLOOKUP($J588,'Gear Values'!$A$2:$E$13, IF(COUNTBLANK('Attributes &amp; Prefixes'!$B$52:$C$52)&gt;0, "2", "3"), 0), COUNTIF($D$52:$E$52, M$2)&gt;0, VLOOKUP($J588,'Gear Values'!$A$2:$E$13, IF(COUNTBLANK('Attributes &amp; Prefixes'!$B$52:$C$52)&gt;0, "4", "5"), 0)), "")</f>
        <v/>
      </c>
      <c r="N588" s="137" cm="1">
        <f t="array" ref="N588">IF(COUNTIF($B$52:$E$52, N$2)&gt;0, _xlfn.IFS(COUNTIF($B$52:$C$52, N$2)&gt;0, VLOOKUP($J588,'Gear Values'!$A$2:$E$13, IF(COUNTBLANK('Attributes &amp; Prefixes'!$B$52:$C$52)&gt;0, "2", "3"), 0), COUNTIF($D$52:$E$52, N$2)&gt;0, VLOOKUP($J588,'Gear Values'!$A$2:$E$13, IF(COUNTBLANK('Attributes &amp; Prefixes'!$B$52:$C$52)&gt;0, "4", "5"), 0)), "")</f>
        <v>42</v>
      </c>
      <c r="O588" s="137" t="str" cm="1">
        <f t="array" ref="O588">IF(COUNTIF($B$52:$E$52, O$2)&gt;0, _xlfn.IFS(COUNTIF($B$52:$C$52, O$2)&gt;0, VLOOKUP($J588,'Gear Values'!$A$2:$E$13, IF(COUNTBLANK('Attributes &amp; Prefixes'!$B$52:$C$52)&gt;0, "2", "3"), 0), COUNTIF($D$52:$E$52, O$2)&gt;0, VLOOKUP($J588,'Gear Values'!$A$2:$E$13, IF(COUNTBLANK('Attributes &amp; Prefixes'!$B$52:$C$52)&gt;0, "4", "5"), 0)), "")</f>
        <v/>
      </c>
      <c r="P588" s="137" cm="1">
        <f t="array" ref="P588">IF(COUNTIF($B$52:$E$52, P$2)&gt;0, _xlfn.IFS(COUNTIF($B$52:$C$52, P$2)&gt;0, VLOOKUP($J588,'Gear Values'!$A$2:$E$13, IF(COUNTBLANK('Attributes &amp; Prefixes'!$B$52:$C$52)&gt;0, "2", "3"), 0), COUNTIF($D$52:$E$52, P$2)&gt;0, VLOOKUP($J588,'Gear Values'!$A$2:$E$13, IF(COUNTBLANK('Attributes &amp; Prefixes'!$B$52:$C$52)&gt;0, "4", "5"), 0)), "")</f>
        <v>77</v>
      </c>
      <c r="Q588" s="137" t="str" cm="1">
        <f t="array" ref="Q588">IF(COUNTIF($B$52:$E$52, Q$2)&gt;0, _xlfn.IFS(COUNTIF($B$52:$C$52, Q$2)&gt;0, VLOOKUP($J588,'Gear Values'!$A$2:$E$13, IF(COUNTBLANK('Attributes &amp; Prefixes'!$B$52:$C$52)&gt;0, "2", "3"), 0), COUNTIF($D$52:$E$52, Q$2)&gt;0, VLOOKUP($J588,'Gear Values'!$A$2:$E$13, IF(COUNTBLANK('Attributes &amp; Prefixes'!$B$52:$C$52)&gt;0, "4", "5"), 0)), "")</f>
        <v/>
      </c>
      <c r="R588" s="137" t="str" cm="1">
        <f t="array" ref="R588">IF(COUNTIF($B$52:$E$52, R$2)&gt;0, _xlfn.IFS(COUNTIF($B$52:$C$52, R$2)&gt;0, VLOOKUP($J588,'Gear Values'!$A$2:$E$13, IF(COUNTBLANK('Attributes &amp; Prefixes'!$B$52:$C$52)&gt;0, "2", "3"), 0), COUNTIF($D$52:$E$52, R$2)&gt;0, VLOOKUP($J588,'Gear Values'!$A$2:$E$13, IF(COUNTBLANK('Attributes &amp; Prefixes'!$B$52:$C$52)&gt;0, "4", "5"), 0)), "")</f>
        <v/>
      </c>
      <c r="S588" s="138" t="str" cm="1">
        <f t="array" ref="S588">IF(COUNTIF($B$52:$E$52, S$2)&gt;0, _xlfn.IFS(COUNTIF($B$52:$C$52, S$2)&gt;0, VLOOKUP($J588,'Gear Values'!$A$2:$E$13, IF(COUNTBLANK('Attributes &amp; Prefixes'!$B$52:$C$52)&gt;0, "2", "3"), 0), COUNTIF($D$52:$E$52, S$2)&gt;0, VLOOKUP($J588,'Gear Values'!$A$2:$E$13, IF(COUNTBLANK('Attributes &amp; Prefixes'!$B$52:$C$52)&gt;0, "4", "5"), 0)), "")</f>
        <v/>
      </c>
      <c r="V588" s="112"/>
      <c r="W588" s="113"/>
    </row>
    <row r="589" spans="6:23">
      <c r="H589" s="130" t="str">
        <f>_xlfn.CONCAT(I$579,J589)</f>
        <v>WizardNeck</v>
      </c>
      <c r="I589" s="520"/>
      <c r="J589" s="144" t="s">
        <v>52</v>
      </c>
      <c r="K589" s="136" cm="1">
        <f t="array" ref="K589">IF(COUNTIF($B$52:$E$52, K$2)&gt;0, _xlfn.IFS(COUNTIF($B$52:$C$52, K$2)&gt;0, VLOOKUP($J589,'Gear Values'!$A$2:$E$13, IF(COUNTBLANK('Attributes &amp; Prefixes'!$B$52:$C$52)&gt;0, "2", "3"), 0), COUNTIF($D$52:$E$52, K$2)&gt;0, VLOOKUP($J589,'Gear Values'!$A$2:$E$13, IF(COUNTBLANK('Attributes &amp; Prefixes'!$B$52:$C$52)&gt;0, "4", "5"), 0)), "")</f>
        <v>102</v>
      </c>
      <c r="L589" s="137" cm="1">
        <f t="array" ref="L589">IF(COUNTIF($B$52:$E$52, L$2)&gt;0, _xlfn.IFS(COUNTIF($B$52:$C$52, L$2)&gt;0, VLOOKUP($J589,'Gear Values'!$A$2:$E$13, IF(COUNTBLANK('Attributes &amp; Prefixes'!$B$52:$C$52)&gt;0, "2", "3"), 0), COUNTIF($D$52:$E$52, L$2)&gt;0, VLOOKUP($J589,'Gear Values'!$A$2:$E$13, IF(COUNTBLANK('Attributes &amp; Prefixes'!$B$52:$C$52)&gt;0, "4", "5"), 0)), "")</f>
        <v>56</v>
      </c>
      <c r="M589" s="137" t="str" cm="1">
        <f t="array" ref="M589">IF(COUNTIF($B$52:$E$52, M$2)&gt;0, _xlfn.IFS(COUNTIF($B$52:$C$52, M$2)&gt;0, VLOOKUP($J589,'Gear Values'!$A$2:$E$13, IF(COUNTBLANK('Attributes &amp; Prefixes'!$B$52:$C$52)&gt;0, "2", "3"), 0), COUNTIF($D$52:$E$52, M$2)&gt;0, VLOOKUP($J589,'Gear Values'!$A$2:$E$13, IF(COUNTBLANK('Attributes &amp; Prefixes'!$B$52:$C$52)&gt;0, "4", "5"), 0)), "")</f>
        <v/>
      </c>
      <c r="N589" s="137" cm="1">
        <f t="array" ref="N589">IF(COUNTIF($B$52:$E$52, N$2)&gt;0, _xlfn.IFS(COUNTIF($B$52:$C$52, N$2)&gt;0, VLOOKUP($J589,'Gear Values'!$A$2:$E$13, IF(COUNTBLANK('Attributes &amp; Prefixes'!$B$52:$C$52)&gt;0, "2", "3"), 0), COUNTIF($D$52:$E$52, N$2)&gt;0, VLOOKUP($J589,'Gear Values'!$A$2:$E$13, IF(COUNTBLANK('Attributes &amp; Prefixes'!$B$52:$C$52)&gt;0, "4", "5"), 0)), "")</f>
        <v>56</v>
      </c>
      <c r="O589" s="137" t="str" cm="1">
        <f t="array" ref="O589">IF(COUNTIF($B$52:$E$52, O$2)&gt;0, _xlfn.IFS(COUNTIF($B$52:$C$52, O$2)&gt;0, VLOOKUP($J589,'Gear Values'!$A$2:$E$13, IF(COUNTBLANK('Attributes &amp; Prefixes'!$B$52:$C$52)&gt;0, "2", "3"), 0), COUNTIF($D$52:$E$52, O$2)&gt;0, VLOOKUP($J589,'Gear Values'!$A$2:$E$13, IF(COUNTBLANK('Attributes &amp; Prefixes'!$B$52:$C$52)&gt;0, "4", "5"), 0)), "")</f>
        <v/>
      </c>
      <c r="P589" s="137" cm="1">
        <f t="array" ref="P589">IF(COUNTIF($B$52:$E$52, P$2)&gt;0, _xlfn.IFS(COUNTIF($B$52:$C$52, P$2)&gt;0, VLOOKUP($J589,'Gear Values'!$A$2:$E$13, IF(COUNTBLANK('Attributes &amp; Prefixes'!$B$52:$C$52)&gt;0, "2", "3"), 0), COUNTIF($D$52:$E$52, P$2)&gt;0, VLOOKUP($J589,'Gear Values'!$A$2:$E$13, IF(COUNTBLANK('Attributes &amp; Prefixes'!$B$52:$C$52)&gt;0, "4", "5"), 0)), "")</f>
        <v>102</v>
      </c>
      <c r="Q589" s="137" t="str" cm="1">
        <f t="array" ref="Q589">IF(COUNTIF($B$52:$E$52, Q$2)&gt;0, _xlfn.IFS(COUNTIF($B$52:$C$52, Q$2)&gt;0, VLOOKUP($J589,'Gear Values'!$A$2:$E$13, IF(COUNTBLANK('Attributes &amp; Prefixes'!$B$52:$C$52)&gt;0, "2", "3"), 0), COUNTIF($D$52:$E$52, Q$2)&gt;0, VLOOKUP($J589,'Gear Values'!$A$2:$E$13, IF(COUNTBLANK('Attributes &amp; Prefixes'!$B$52:$C$52)&gt;0, "4", "5"), 0)), "")</f>
        <v/>
      </c>
      <c r="R589" s="137" t="str" cm="1">
        <f t="array" ref="R589">IF(COUNTIF($B$52:$E$52, R$2)&gt;0, _xlfn.IFS(COUNTIF($B$52:$C$52, R$2)&gt;0, VLOOKUP($J589,'Gear Values'!$A$2:$E$13, IF(COUNTBLANK('Attributes &amp; Prefixes'!$B$52:$C$52)&gt;0, "2", "3"), 0), COUNTIF($D$52:$E$52, R$2)&gt;0, VLOOKUP($J589,'Gear Values'!$A$2:$E$13, IF(COUNTBLANK('Attributes &amp; Prefixes'!$B$52:$C$52)&gt;0, "4", "5"), 0)), "")</f>
        <v/>
      </c>
      <c r="S589" s="138" t="str" cm="1">
        <f t="array" ref="S589">IF(COUNTIF($B$52:$E$52, S$2)&gt;0, _xlfn.IFS(COUNTIF($B$52:$C$52, S$2)&gt;0, VLOOKUP($J589,'Gear Values'!$A$2:$E$13, IF(COUNTBLANK('Attributes &amp; Prefixes'!$B$52:$C$52)&gt;0, "2", "3"), 0), COUNTIF($D$52:$E$52, S$2)&gt;0, VLOOKUP($J589,'Gear Values'!$A$2:$E$13, IF(COUNTBLANK('Attributes &amp; Prefixes'!$B$52:$C$52)&gt;0, "4", "5"), 0)), "")</f>
        <v/>
      </c>
      <c r="V589" s="112"/>
      <c r="W589" s="112"/>
    </row>
    <row r="590" spans="6:23">
      <c r="H590" s="130" t="str">
        <f>_xlfn.CONCAT(I$579,J590)</f>
        <v>WizardBack</v>
      </c>
      <c r="I590" s="521"/>
      <c r="J590" s="146" t="s">
        <v>53</v>
      </c>
      <c r="K590" s="147" t="str" cm="1">
        <f t="array" ref="K590">IF(COUNTIF($B$52:$E$52, K$2)&gt;0, _xlfn.IFS(COUNTIF($B$52:$C$52, K$2)&gt;0, VLOOKUP($J590,'Gear Values'!$A$2:$E$13, IF(COUNTBLANK('Attributes &amp; Prefixes'!$B$52:$C$52)&gt;0, "2", "3"), 0), COUNTIF($D$52:$E$52, K$2)&gt;0, VLOOKUP($J590,'Gear Values'!$A$2:$E$13, IF(COUNTBLANK('Attributes &amp; Prefixes'!$B$52:$C$52)&gt;0, "4", "5"), 0)), "")</f>
        <v>N/A</v>
      </c>
      <c r="L590" s="148" t="str" cm="1">
        <f t="array" ref="L590">IF(COUNTIF($B$52:$E$52, L$2)&gt;0, _xlfn.IFS(COUNTIF($B$52:$C$52, L$2)&gt;0, VLOOKUP($J590,'Gear Values'!$A$2:$E$13, IF(COUNTBLANK('Attributes &amp; Prefixes'!$B$52:$C$52)&gt;0, "2", "3"), 0), COUNTIF($D$52:$E$52, L$2)&gt;0, VLOOKUP($J590,'Gear Values'!$A$2:$E$13, IF(COUNTBLANK('Attributes &amp; Prefixes'!$B$52:$C$52)&gt;0, "4", "5"), 0)), "")</f>
        <v>N/A</v>
      </c>
      <c r="M590" s="148" t="str" cm="1">
        <f t="array" ref="M590">IF(COUNTIF($B$52:$E$52, M$2)&gt;0, _xlfn.IFS(COUNTIF($B$52:$C$52, M$2)&gt;0, VLOOKUP($J590,'Gear Values'!$A$2:$E$13, IF(COUNTBLANK('Attributes &amp; Prefixes'!$B$52:$C$52)&gt;0, "2", "3"), 0), COUNTIF($D$52:$E$52, M$2)&gt;0, VLOOKUP($J590,'Gear Values'!$A$2:$E$13, IF(COUNTBLANK('Attributes &amp; Prefixes'!$B$52:$C$52)&gt;0, "4", "5"), 0)), "")</f>
        <v/>
      </c>
      <c r="N590" s="148" t="str" cm="1">
        <f t="array" ref="N590">IF(COUNTIF($B$52:$E$52, N$2)&gt;0, _xlfn.IFS(COUNTIF($B$52:$C$52, N$2)&gt;0, VLOOKUP($J590,'Gear Values'!$A$2:$E$13, IF(COUNTBLANK('Attributes &amp; Prefixes'!$B$52:$C$52)&gt;0, "2", "3"), 0), COUNTIF($D$52:$E$52, N$2)&gt;0, VLOOKUP($J590,'Gear Values'!$A$2:$E$13, IF(COUNTBLANK('Attributes &amp; Prefixes'!$B$52:$C$52)&gt;0, "4", "5"), 0)), "")</f>
        <v>N/A</v>
      </c>
      <c r="O590" s="148" t="str" cm="1">
        <f t="array" ref="O590">IF(COUNTIF($B$52:$E$52, O$2)&gt;0, _xlfn.IFS(COUNTIF($B$52:$C$52, O$2)&gt;0, VLOOKUP($J590,'Gear Values'!$A$2:$E$13, IF(COUNTBLANK('Attributes &amp; Prefixes'!$B$52:$C$52)&gt;0, "2", "3"), 0), COUNTIF($D$52:$E$52, O$2)&gt;0, VLOOKUP($J590,'Gear Values'!$A$2:$E$13, IF(COUNTBLANK('Attributes &amp; Prefixes'!$B$52:$C$52)&gt;0, "4", "5"), 0)), "")</f>
        <v/>
      </c>
      <c r="P590" s="148" t="str" cm="1">
        <f t="array" ref="P590">IF(COUNTIF($B$52:$E$52, P$2)&gt;0, _xlfn.IFS(COUNTIF($B$52:$C$52, P$2)&gt;0, VLOOKUP($J590,'Gear Values'!$A$2:$E$13, IF(COUNTBLANK('Attributes &amp; Prefixes'!$B$52:$C$52)&gt;0, "2", "3"), 0), COUNTIF($D$52:$E$52, P$2)&gt;0, VLOOKUP($J590,'Gear Values'!$A$2:$E$13, IF(COUNTBLANK('Attributes &amp; Prefixes'!$B$52:$C$52)&gt;0, "4", "5"), 0)), "")</f>
        <v>N/A</v>
      </c>
      <c r="Q590" s="148" t="str" cm="1">
        <f t="array" ref="Q590">IF(COUNTIF($B$52:$E$52, Q$2)&gt;0, _xlfn.IFS(COUNTIF($B$52:$C$52, Q$2)&gt;0, VLOOKUP($J590,'Gear Values'!$A$2:$E$13, IF(COUNTBLANK('Attributes &amp; Prefixes'!$B$52:$C$52)&gt;0, "2", "3"), 0), COUNTIF($D$52:$E$52, Q$2)&gt;0, VLOOKUP($J590,'Gear Values'!$A$2:$E$13, IF(COUNTBLANK('Attributes &amp; Prefixes'!$B$52:$C$52)&gt;0, "4", "5"), 0)), "")</f>
        <v/>
      </c>
      <c r="R590" s="148" t="str" cm="1">
        <f t="array" ref="R590">IF(COUNTIF($B$52:$E$52, R$2)&gt;0, _xlfn.IFS(COUNTIF($B$52:$C$52, R$2)&gt;0, VLOOKUP($J590,'Gear Values'!$A$2:$E$13, IF(COUNTBLANK('Attributes &amp; Prefixes'!$B$52:$C$52)&gt;0, "2", "3"), 0), COUNTIF($D$52:$E$52, R$2)&gt;0, VLOOKUP($J590,'Gear Values'!$A$2:$E$13, IF(COUNTBLANK('Attributes &amp; Prefixes'!$B$52:$C$52)&gt;0, "4", "5"), 0)), "")</f>
        <v/>
      </c>
      <c r="S590" s="150" t="str" cm="1">
        <f t="array" ref="S590">IF(COUNTIF($B$52:$E$52, S$2)&gt;0, _xlfn.IFS(COUNTIF($B$52:$C$52, S$2)&gt;0, VLOOKUP($J590,'Gear Values'!$A$2:$E$13, IF(COUNTBLANK('Attributes &amp; Prefixes'!$B$52:$C$52)&gt;0, "2", "3"), 0), COUNTIF($D$52:$E$52, S$2)&gt;0, VLOOKUP($J590,'Gear Values'!$A$2:$E$13, IF(COUNTBLANK('Attributes &amp; Prefixes'!$B$52:$C$52)&gt;0, "4", "5"), 0)), "")</f>
        <v/>
      </c>
      <c r="V590" s="112"/>
      <c r="W590" s="113"/>
    </row>
    <row r="591" spans="6:23">
      <c r="H591" s="130" t="str">
        <f>_xlfn.CONCAT(I$591,J591)</f>
        <v>ZealotWeapon (1H)</v>
      </c>
      <c r="I591" s="519" t="str">
        <f>A53</f>
        <v>Zealot</v>
      </c>
      <c r="J591" s="145" t="s">
        <v>37</v>
      </c>
      <c r="K591" s="133" cm="1">
        <f t="array" ref="K591">IF(COUNTIF($B$53:$E$53, K$2)&gt;0, _xlfn.IFS(COUNTIF($B$53:$C$53, K$2)&gt;0, VLOOKUP($J591,'Gear Values'!$A$2:$E$13, IF(COUNTBLANK('Attributes &amp; Prefixes'!$B$53:$C$53)&gt;0, "2", "3"), 0), COUNTIF($D$53:$E$53, K$2)&gt;0, VLOOKUP($J591,'Gear Values'!$A$2:$E$13, IF(COUNTBLANK('Attributes &amp; Prefixes'!$B$53:$C$53)&gt;0, "4", "5"), 0)), "")</f>
        <v>120</v>
      </c>
      <c r="L591" s="134" cm="1">
        <f t="array" ref="L591">IF(COUNTIF($B$53:$E$53, L$2)&gt;0, _xlfn.IFS(COUNTIF($B$53:$C$53, L$2)&gt;0, VLOOKUP($J591,'Gear Values'!$A$2:$E$13, IF(COUNTBLANK('Attributes &amp; Prefixes'!$B$53:$C$53)&gt;0, "2", "3"), 0), COUNTIF($D$53:$E$53, L$2)&gt;0, VLOOKUP($J591,'Gear Values'!$A$2:$E$13, IF(COUNTBLANK('Attributes &amp; Prefixes'!$B$53:$C$53)&gt;0, "4", "5"), 0)), "")</f>
        <v>85</v>
      </c>
      <c r="M591" s="134" t="str" cm="1">
        <f t="array" ref="M591">IF(COUNTIF($B$53:$E$53, M$2)&gt;0, _xlfn.IFS(COUNTIF($B$53:$C$53, M$2)&gt;0, VLOOKUP($J591,'Gear Values'!$A$2:$E$13, IF(COUNTBLANK('Attributes &amp; Prefixes'!$B$53:$C$53)&gt;0, "2", "3"), 0), COUNTIF($D$53:$E$53, M$2)&gt;0, VLOOKUP($J591,'Gear Values'!$A$2:$E$13, IF(COUNTBLANK('Attributes &amp; Prefixes'!$B$53:$C$53)&gt;0, "4", "5"), 0)), "")</f>
        <v/>
      </c>
      <c r="N591" s="134" t="str" cm="1">
        <f t="array" ref="N591">IF(COUNTIF($B$53:$E$53, N$2)&gt;0, _xlfn.IFS(COUNTIF($B$53:$C$53, N$2)&gt;0, VLOOKUP($J591,'Gear Values'!$A$2:$E$13, IF(COUNTBLANK('Attributes &amp; Prefixes'!$B$53:$C$53)&gt;0, "2", "3"), 0), COUNTIF($D$53:$E$53, N$2)&gt;0, VLOOKUP($J591,'Gear Values'!$A$2:$E$13, IF(COUNTBLANK('Attributes &amp; Prefixes'!$B$53:$C$53)&gt;0, "4", "5"), 0)), "")</f>
        <v/>
      </c>
      <c r="O591" s="134" t="str" cm="1">
        <f t="array" ref="O591">IF(COUNTIF($B$53:$E$53, O$2)&gt;0, _xlfn.IFS(COUNTIF($B$53:$C$53, O$2)&gt;0, VLOOKUP($J591,'Gear Values'!$A$2:$E$13, IF(COUNTBLANK('Attributes &amp; Prefixes'!$B$53:$C$53)&gt;0, "2", "3"), 0), COUNTIF($D$53:$E$53, O$2)&gt;0, VLOOKUP($J591,'Gear Values'!$A$2:$E$13, IF(COUNTBLANK('Attributes &amp; Prefixes'!$B$53:$C$53)&gt;0, "4", "5"), 0)), "")</f>
        <v/>
      </c>
      <c r="P591" s="134" t="str" cm="1">
        <f t="array" ref="P591">IF(COUNTIF($B$53:$E$53, P$2)&gt;0, _xlfn.IFS(COUNTIF($B$53:$C$53, P$2)&gt;0, VLOOKUP($J591,'Gear Values'!$A$2:$E$13, IF(COUNTBLANK('Attributes &amp; Prefixes'!$B$53:$C$53)&gt;0, "2", "3"), 0), COUNTIF($D$53:$E$53, P$2)&gt;0, VLOOKUP($J591,'Gear Values'!$A$2:$E$13, IF(COUNTBLANK('Attributes &amp; Prefixes'!$B$53:$C$53)&gt;0, "4", "5"), 0)), "")</f>
        <v/>
      </c>
      <c r="Q591" s="134" t="str" cm="1">
        <f t="array" ref="Q591">IF(COUNTIF($B$53:$E$53, Q$2)&gt;0, _xlfn.IFS(COUNTIF($B$53:$C$53, Q$2)&gt;0, VLOOKUP($J591,'Gear Values'!$A$2:$E$13, IF(COUNTBLANK('Attributes &amp; Prefixes'!$B$53:$C$53)&gt;0, "2", "3"), 0), COUNTIF($D$53:$E$53, Q$2)&gt;0, VLOOKUP($J591,'Gear Values'!$A$2:$E$13, IF(COUNTBLANK('Attributes &amp; Prefixes'!$B$53:$C$53)&gt;0, "4", "5"), 0)), "")</f>
        <v/>
      </c>
      <c r="R591" s="134" t="str" cm="1">
        <f t="array" ref="R591">IF(COUNTIF($B$53:$E$53, R$2)&gt;0, _xlfn.IFS(COUNTIF($B$53:$C$53, R$2)&gt;0, VLOOKUP($J591,'Gear Values'!$A$2:$E$13, IF(COUNTBLANK('Attributes &amp; Prefixes'!$B$53:$C$53)&gt;0, "2", "3"), 0), COUNTIF($D$53:$E$53, R$2)&gt;0, VLOOKUP($J591,'Gear Values'!$A$2:$E$13, IF(COUNTBLANK('Attributes &amp; Prefixes'!$B$53:$C$53)&gt;0, "4", "5"), 0)), "")</f>
        <v/>
      </c>
      <c r="S591" s="135" cm="1">
        <f t="array" ref="S591">IF(COUNTIF($B$53:$E$53, S$2)&gt;0, _xlfn.IFS(COUNTIF($B$53:$C$53, S$2)&gt;0, VLOOKUP($J591,'Gear Values'!$A$2:$E$13, IF(COUNTBLANK('Attributes &amp; Prefixes'!$B$53:$C$53)&gt;0, "2", "3"), 0), COUNTIF($D$53:$E$53, S$2)&gt;0, VLOOKUP($J591,'Gear Values'!$A$2:$E$13, IF(COUNTBLANK('Attributes &amp; Prefixes'!$B$53:$C$53)&gt;0, "4", "5"), 0)), "")</f>
        <v>85</v>
      </c>
      <c r="V591" s="112"/>
      <c r="W591" s="113"/>
    </row>
    <row r="592" spans="6:23">
      <c r="H592" s="130" t="str">
        <f>_xlfn.CONCAT(I$591,J592)</f>
        <v>ZealotWeapon (2H)</v>
      </c>
      <c r="I592" s="520"/>
      <c r="J592" s="144" t="s">
        <v>39</v>
      </c>
      <c r="K592" s="136" cm="1">
        <f t="array" ref="K592">IF(COUNTIF($B$53:$E$53, K$2)&gt;0, _xlfn.IFS(COUNTIF($B$53:$C$53, K$2)&gt;0, VLOOKUP($J592,'Gear Values'!$A$2:$E$13, IF(COUNTBLANK('Attributes &amp; Prefixes'!$B$53:$C$53)&gt;0, "2", "3"), 0), COUNTIF($D$53:$E$53, K$2)&gt;0, VLOOKUP($J592,'Gear Values'!$A$2:$E$13, IF(COUNTBLANK('Attributes &amp; Prefixes'!$B$53:$C$53)&gt;0, "4", "5"), 0)), "")</f>
        <v>239</v>
      </c>
      <c r="L592" s="137" cm="1">
        <f t="array" ref="L592">IF(COUNTIF($B$53:$E$53, L$2)&gt;0, _xlfn.IFS(COUNTIF($B$53:$C$53, L$2)&gt;0, VLOOKUP($J592,'Gear Values'!$A$2:$E$13, IF(COUNTBLANK('Attributes &amp; Prefixes'!$B$53:$C$53)&gt;0, "2", "3"), 0), COUNTIF($D$53:$E$53, L$2)&gt;0, VLOOKUP($J592,'Gear Values'!$A$2:$E$13, IF(COUNTBLANK('Attributes &amp; Prefixes'!$B$53:$C$53)&gt;0, "4", "5"), 0)), "")</f>
        <v>171</v>
      </c>
      <c r="M592" s="137" t="str" cm="1">
        <f t="array" ref="M592">IF(COUNTIF($B$53:$E$53, M$2)&gt;0, _xlfn.IFS(COUNTIF($B$53:$C$53, M$2)&gt;0, VLOOKUP($J592,'Gear Values'!$A$2:$E$13, IF(COUNTBLANK('Attributes &amp; Prefixes'!$B$53:$C$53)&gt;0, "2", "3"), 0), COUNTIF($D$53:$E$53, M$2)&gt;0, VLOOKUP($J592,'Gear Values'!$A$2:$E$13, IF(COUNTBLANK('Attributes &amp; Prefixes'!$B$53:$C$53)&gt;0, "4", "5"), 0)), "")</f>
        <v/>
      </c>
      <c r="N592" s="137" t="str" cm="1">
        <f t="array" ref="N592">IF(COUNTIF($B$53:$E$53, N$2)&gt;0, _xlfn.IFS(COUNTIF($B$53:$C$53, N$2)&gt;0, VLOOKUP($J592,'Gear Values'!$A$2:$E$13, IF(COUNTBLANK('Attributes &amp; Prefixes'!$B$53:$C$53)&gt;0, "2", "3"), 0), COUNTIF($D$53:$E$53, N$2)&gt;0, VLOOKUP($J592,'Gear Values'!$A$2:$E$13, IF(COUNTBLANK('Attributes &amp; Prefixes'!$B$53:$C$53)&gt;0, "4", "5"), 0)), "")</f>
        <v/>
      </c>
      <c r="O592" s="137" t="str" cm="1">
        <f t="array" ref="O592">IF(COUNTIF($B$53:$E$53, O$2)&gt;0, _xlfn.IFS(COUNTIF($B$53:$C$53, O$2)&gt;0, VLOOKUP($J592,'Gear Values'!$A$2:$E$13, IF(COUNTBLANK('Attributes &amp; Prefixes'!$B$53:$C$53)&gt;0, "2", "3"), 0), COUNTIF($D$53:$E$53, O$2)&gt;0, VLOOKUP($J592,'Gear Values'!$A$2:$E$13, IF(COUNTBLANK('Attributes &amp; Prefixes'!$B$53:$C$53)&gt;0, "4", "5"), 0)), "")</f>
        <v/>
      </c>
      <c r="P592" s="137" t="str" cm="1">
        <f t="array" ref="P592">IF(COUNTIF($B$53:$E$53, P$2)&gt;0, _xlfn.IFS(COUNTIF($B$53:$C$53, P$2)&gt;0, VLOOKUP($J592,'Gear Values'!$A$2:$E$13, IF(COUNTBLANK('Attributes &amp; Prefixes'!$B$53:$C$53)&gt;0, "2", "3"), 0), COUNTIF($D$53:$E$53, P$2)&gt;0, VLOOKUP($J592,'Gear Values'!$A$2:$E$13, IF(COUNTBLANK('Attributes &amp; Prefixes'!$B$53:$C$53)&gt;0, "4", "5"), 0)), "")</f>
        <v/>
      </c>
      <c r="Q592" s="137" t="str" cm="1">
        <f t="array" ref="Q592">IF(COUNTIF($B$53:$E$53, Q$2)&gt;0, _xlfn.IFS(COUNTIF($B$53:$C$53, Q$2)&gt;0, VLOOKUP($J592,'Gear Values'!$A$2:$E$13, IF(COUNTBLANK('Attributes &amp; Prefixes'!$B$53:$C$53)&gt;0, "2", "3"), 0), COUNTIF($D$53:$E$53, Q$2)&gt;0, VLOOKUP($J592,'Gear Values'!$A$2:$E$13, IF(COUNTBLANK('Attributes &amp; Prefixes'!$B$53:$C$53)&gt;0, "4", "5"), 0)), "")</f>
        <v/>
      </c>
      <c r="R592" s="137" t="str" cm="1">
        <f t="array" ref="R592">IF(COUNTIF($B$53:$E$53, R$2)&gt;0, _xlfn.IFS(COUNTIF($B$53:$C$53, R$2)&gt;0, VLOOKUP($J592,'Gear Values'!$A$2:$E$13, IF(COUNTBLANK('Attributes &amp; Prefixes'!$B$53:$C$53)&gt;0, "2", "3"), 0), COUNTIF($D$53:$E$53, R$2)&gt;0, VLOOKUP($J592,'Gear Values'!$A$2:$E$13, IF(COUNTBLANK('Attributes &amp; Prefixes'!$B$53:$C$53)&gt;0, "4", "5"), 0)), "")</f>
        <v/>
      </c>
      <c r="S592" s="138" cm="1">
        <f t="array" ref="S592">IF(COUNTIF($B$53:$E$53, S$2)&gt;0, _xlfn.IFS(COUNTIF($B$53:$C$53, S$2)&gt;0, VLOOKUP($J592,'Gear Values'!$A$2:$E$13, IF(COUNTBLANK('Attributes &amp; Prefixes'!$B$53:$C$53)&gt;0, "2", "3"), 0), COUNTIF($D$53:$E$53, S$2)&gt;0, VLOOKUP($J592,'Gear Values'!$A$2:$E$13, IF(COUNTBLANK('Attributes &amp; Prefixes'!$B$53:$C$53)&gt;0, "4", "5"), 0)), "")</f>
        <v>171</v>
      </c>
      <c r="V592" s="112"/>
      <c r="W592" s="113"/>
    </row>
    <row r="593" spans="8:23">
      <c r="H593" s="130" t="str">
        <f>_xlfn.CONCAT(I$591,J593)</f>
        <v>ZealotHead</v>
      </c>
      <c r="I593" s="520"/>
      <c r="J593" s="144" t="s">
        <v>40</v>
      </c>
      <c r="K593" s="136" cm="1">
        <f t="array" ref="K593">IF(COUNTIF($B$53:$E$53, K$2)&gt;0, _xlfn.IFS(COUNTIF($B$53:$C$53, K$2)&gt;0, VLOOKUP($J593,'Gear Values'!$A$2:$E$13, IF(COUNTBLANK('Attributes &amp; Prefixes'!$B$53:$C$53)&gt;0, "2", "3"), 0), COUNTIF($D$53:$E$53, K$2)&gt;0, VLOOKUP($J593,'Gear Values'!$A$2:$E$13, IF(COUNTBLANK('Attributes &amp; Prefixes'!$B$53:$C$53)&gt;0, "4", "5"), 0)), "")</f>
        <v>60</v>
      </c>
      <c r="L593" s="137" cm="1">
        <f t="array" ref="L593">IF(COUNTIF($B$53:$E$53, L$2)&gt;0, _xlfn.IFS(COUNTIF($B$53:$C$53, L$2)&gt;0, VLOOKUP($J593,'Gear Values'!$A$2:$E$13, IF(COUNTBLANK('Attributes &amp; Prefixes'!$B$53:$C$53)&gt;0, "2", "3"), 0), COUNTIF($D$53:$E$53, L$2)&gt;0, VLOOKUP($J593,'Gear Values'!$A$2:$E$13, IF(COUNTBLANK('Attributes &amp; Prefixes'!$B$53:$C$53)&gt;0, "4", "5"), 0)), "")</f>
        <v>43</v>
      </c>
      <c r="M593" s="137" t="str" cm="1">
        <f t="array" ref="M593">IF(COUNTIF($B$53:$E$53, M$2)&gt;0, _xlfn.IFS(COUNTIF($B$53:$C$53, M$2)&gt;0, VLOOKUP($J593,'Gear Values'!$A$2:$E$13, IF(COUNTBLANK('Attributes &amp; Prefixes'!$B$53:$C$53)&gt;0, "2", "3"), 0), COUNTIF($D$53:$E$53, M$2)&gt;0, VLOOKUP($J593,'Gear Values'!$A$2:$E$13, IF(COUNTBLANK('Attributes &amp; Prefixes'!$B$53:$C$53)&gt;0, "4", "5"), 0)), "")</f>
        <v/>
      </c>
      <c r="N593" s="137" t="str" cm="1">
        <f t="array" ref="N593">IF(COUNTIF($B$53:$E$53, N$2)&gt;0, _xlfn.IFS(COUNTIF($B$53:$C$53, N$2)&gt;0, VLOOKUP($J593,'Gear Values'!$A$2:$E$13, IF(COUNTBLANK('Attributes &amp; Prefixes'!$B$53:$C$53)&gt;0, "2", "3"), 0), COUNTIF($D$53:$E$53, N$2)&gt;0, VLOOKUP($J593,'Gear Values'!$A$2:$E$13, IF(COUNTBLANK('Attributes &amp; Prefixes'!$B$53:$C$53)&gt;0, "4", "5"), 0)), "")</f>
        <v/>
      </c>
      <c r="O593" s="137" t="str" cm="1">
        <f t="array" ref="O593">IF(COUNTIF($B$53:$E$53, O$2)&gt;0, _xlfn.IFS(COUNTIF($B$53:$C$53, O$2)&gt;0, VLOOKUP($J593,'Gear Values'!$A$2:$E$13, IF(COUNTBLANK('Attributes &amp; Prefixes'!$B$53:$C$53)&gt;0, "2", "3"), 0), COUNTIF($D$53:$E$53, O$2)&gt;0, VLOOKUP($J593,'Gear Values'!$A$2:$E$13, IF(COUNTBLANK('Attributes &amp; Prefixes'!$B$53:$C$53)&gt;0, "4", "5"), 0)), "")</f>
        <v/>
      </c>
      <c r="P593" s="137" t="str" cm="1">
        <f t="array" ref="P593">IF(COUNTIF($B$53:$E$53, P$2)&gt;0, _xlfn.IFS(COUNTIF($B$53:$C$53, P$2)&gt;0, VLOOKUP($J593,'Gear Values'!$A$2:$E$13, IF(COUNTBLANK('Attributes &amp; Prefixes'!$B$53:$C$53)&gt;0, "2", "3"), 0), COUNTIF($D$53:$E$53, P$2)&gt;0, VLOOKUP($J593,'Gear Values'!$A$2:$E$13, IF(COUNTBLANK('Attributes &amp; Prefixes'!$B$53:$C$53)&gt;0, "4", "5"), 0)), "")</f>
        <v/>
      </c>
      <c r="Q593" s="137" t="str" cm="1">
        <f t="array" ref="Q593">IF(COUNTIF($B$53:$E$53, Q$2)&gt;0, _xlfn.IFS(COUNTIF($B$53:$C$53, Q$2)&gt;0, VLOOKUP($J593,'Gear Values'!$A$2:$E$13, IF(COUNTBLANK('Attributes &amp; Prefixes'!$B$53:$C$53)&gt;0, "2", "3"), 0), COUNTIF($D$53:$E$53, Q$2)&gt;0, VLOOKUP($J593,'Gear Values'!$A$2:$E$13, IF(COUNTBLANK('Attributes &amp; Prefixes'!$B$53:$C$53)&gt;0, "4", "5"), 0)), "")</f>
        <v/>
      </c>
      <c r="R593" s="137" t="str" cm="1">
        <f t="array" ref="R593">IF(COUNTIF($B$53:$E$53, R$2)&gt;0, _xlfn.IFS(COUNTIF($B$53:$C$53, R$2)&gt;0, VLOOKUP($J593,'Gear Values'!$A$2:$E$13, IF(COUNTBLANK('Attributes &amp; Prefixes'!$B$53:$C$53)&gt;0, "2", "3"), 0), COUNTIF($D$53:$E$53, R$2)&gt;0, VLOOKUP($J593,'Gear Values'!$A$2:$E$13, IF(COUNTBLANK('Attributes &amp; Prefixes'!$B$53:$C$53)&gt;0, "4", "5"), 0)), "")</f>
        <v/>
      </c>
      <c r="S593" s="138" cm="1">
        <f t="array" ref="S593">IF(COUNTIF($B$53:$E$53, S$2)&gt;0, _xlfn.IFS(COUNTIF($B$53:$C$53, S$2)&gt;0, VLOOKUP($J593,'Gear Values'!$A$2:$E$13, IF(COUNTBLANK('Attributes &amp; Prefixes'!$B$53:$C$53)&gt;0, "2", "3"), 0), COUNTIF($D$53:$E$53, S$2)&gt;0, VLOOKUP($J593,'Gear Values'!$A$2:$E$13, IF(COUNTBLANK('Attributes &amp; Prefixes'!$B$53:$C$53)&gt;0, "4", "5"), 0)), "")</f>
        <v>43</v>
      </c>
      <c r="V593" s="112"/>
      <c r="W593" s="113"/>
    </row>
    <row r="594" spans="8:23">
      <c r="H594" s="130" t="str">
        <f>_xlfn.CONCAT(I$591,J594)</f>
        <v>ZealotShoulders</v>
      </c>
      <c r="I594" s="520"/>
      <c r="J594" s="144" t="s">
        <v>42</v>
      </c>
      <c r="K594" s="136" cm="1">
        <f t="array" ref="K594">IF(COUNTIF($B$53:$E$53, K$2)&gt;0, _xlfn.IFS(COUNTIF($B$53:$C$53, K$2)&gt;0, VLOOKUP($J594,'Gear Values'!$A$2:$E$13, IF(COUNTBLANK('Attributes &amp; Prefixes'!$B$53:$C$53)&gt;0, "2", "3"), 0), COUNTIF($D$53:$E$53, K$2)&gt;0, VLOOKUP($J594,'Gear Values'!$A$2:$E$13, IF(COUNTBLANK('Attributes &amp; Prefixes'!$B$53:$C$53)&gt;0, "4", "5"), 0)), "")</f>
        <v>45</v>
      </c>
      <c r="L594" s="137" cm="1">
        <f t="array" ref="L594">IF(COUNTIF($B$53:$E$53, L$2)&gt;0, _xlfn.IFS(COUNTIF($B$53:$C$53, L$2)&gt;0, VLOOKUP($J594,'Gear Values'!$A$2:$E$13, IF(COUNTBLANK('Attributes &amp; Prefixes'!$B$53:$C$53)&gt;0, "2", "3"), 0), COUNTIF($D$53:$E$53, L$2)&gt;0, VLOOKUP($J594,'Gear Values'!$A$2:$E$13, IF(COUNTBLANK('Attributes &amp; Prefixes'!$B$53:$C$53)&gt;0, "4", "5"), 0)), "")</f>
        <v>32</v>
      </c>
      <c r="M594" s="137" t="str" cm="1">
        <f t="array" ref="M594">IF(COUNTIF($B$53:$E$53, M$2)&gt;0, _xlfn.IFS(COUNTIF($B$53:$C$53, M$2)&gt;0, VLOOKUP($J594,'Gear Values'!$A$2:$E$13, IF(COUNTBLANK('Attributes &amp; Prefixes'!$B$53:$C$53)&gt;0, "2", "3"), 0), COUNTIF($D$53:$E$53, M$2)&gt;0, VLOOKUP($J594,'Gear Values'!$A$2:$E$13, IF(COUNTBLANK('Attributes &amp; Prefixes'!$B$53:$C$53)&gt;0, "4", "5"), 0)), "")</f>
        <v/>
      </c>
      <c r="N594" s="137" t="str" cm="1">
        <f t="array" ref="N594">IF(COUNTIF($B$53:$E$53, N$2)&gt;0, _xlfn.IFS(COUNTIF($B$53:$C$53, N$2)&gt;0, VLOOKUP($J594,'Gear Values'!$A$2:$E$13, IF(COUNTBLANK('Attributes &amp; Prefixes'!$B$53:$C$53)&gt;0, "2", "3"), 0), COUNTIF($D$53:$E$53, N$2)&gt;0, VLOOKUP($J594,'Gear Values'!$A$2:$E$13, IF(COUNTBLANK('Attributes &amp; Prefixes'!$B$53:$C$53)&gt;0, "4", "5"), 0)), "")</f>
        <v/>
      </c>
      <c r="O594" s="137" t="str" cm="1">
        <f t="array" ref="O594">IF(COUNTIF($B$53:$E$53, O$2)&gt;0, _xlfn.IFS(COUNTIF($B$53:$C$53, O$2)&gt;0, VLOOKUP($J594,'Gear Values'!$A$2:$E$13, IF(COUNTBLANK('Attributes &amp; Prefixes'!$B$53:$C$53)&gt;0, "2", "3"), 0), COUNTIF($D$53:$E$53, O$2)&gt;0, VLOOKUP($J594,'Gear Values'!$A$2:$E$13, IF(COUNTBLANK('Attributes &amp; Prefixes'!$B$53:$C$53)&gt;0, "4", "5"), 0)), "")</f>
        <v/>
      </c>
      <c r="P594" s="137" t="str" cm="1">
        <f t="array" ref="P594">IF(COUNTIF($B$53:$E$53, P$2)&gt;0, _xlfn.IFS(COUNTIF($B$53:$C$53, P$2)&gt;0, VLOOKUP($J594,'Gear Values'!$A$2:$E$13, IF(COUNTBLANK('Attributes &amp; Prefixes'!$B$53:$C$53)&gt;0, "2", "3"), 0), COUNTIF($D$53:$E$53, P$2)&gt;0, VLOOKUP($J594,'Gear Values'!$A$2:$E$13, IF(COUNTBLANK('Attributes &amp; Prefixes'!$B$53:$C$53)&gt;0, "4", "5"), 0)), "")</f>
        <v/>
      </c>
      <c r="Q594" s="137" t="str" cm="1">
        <f t="array" ref="Q594">IF(COUNTIF($B$53:$E$53, Q$2)&gt;0, _xlfn.IFS(COUNTIF($B$53:$C$53, Q$2)&gt;0, VLOOKUP($J594,'Gear Values'!$A$2:$E$13, IF(COUNTBLANK('Attributes &amp; Prefixes'!$B$53:$C$53)&gt;0, "2", "3"), 0), COUNTIF($D$53:$E$53, Q$2)&gt;0, VLOOKUP($J594,'Gear Values'!$A$2:$E$13, IF(COUNTBLANK('Attributes &amp; Prefixes'!$B$53:$C$53)&gt;0, "4", "5"), 0)), "")</f>
        <v/>
      </c>
      <c r="R594" s="137" t="str" cm="1">
        <f t="array" ref="R594">IF(COUNTIF($B$53:$E$53, R$2)&gt;0, _xlfn.IFS(COUNTIF($B$53:$C$53, R$2)&gt;0, VLOOKUP($J594,'Gear Values'!$A$2:$E$13, IF(COUNTBLANK('Attributes &amp; Prefixes'!$B$53:$C$53)&gt;0, "2", "3"), 0), COUNTIF($D$53:$E$53, R$2)&gt;0, VLOOKUP($J594,'Gear Values'!$A$2:$E$13, IF(COUNTBLANK('Attributes &amp; Prefixes'!$B$53:$C$53)&gt;0, "4", "5"), 0)), "")</f>
        <v/>
      </c>
      <c r="S594" s="138" cm="1">
        <f t="array" ref="S594">IF(COUNTIF($B$53:$E$53, S$2)&gt;0, _xlfn.IFS(COUNTIF($B$53:$C$53, S$2)&gt;0, VLOOKUP($J594,'Gear Values'!$A$2:$E$13, IF(COUNTBLANK('Attributes &amp; Prefixes'!$B$53:$C$53)&gt;0, "2", "3"), 0), COUNTIF($D$53:$E$53, S$2)&gt;0, VLOOKUP($J594,'Gear Values'!$A$2:$E$13, IF(COUNTBLANK('Attributes &amp; Prefixes'!$B$53:$C$53)&gt;0, "4", "5"), 0)), "")</f>
        <v>32</v>
      </c>
      <c r="V594" s="112"/>
      <c r="W594" s="113"/>
    </row>
    <row r="595" spans="8:23">
      <c r="H595" s="130" t="str">
        <f>_xlfn.CONCAT(I$591,J595)</f>
        <v>ZealotChest</v>
      </c>
      <c r="I595" s="520"/>
      <c r="J595" s="144" t="s">
        <v>44</v>
      </c>
      <c r="K595" s="136" cm="1">
        <f t="array" ref="K595">IF(COUNTIF($B$53:$E$53, K$2)&gt;0, _xlfn.IFS(COUNTIF($B$53:$C$53, K$2)&gt;0, VLOOKUP($J595,'Gear Values'!$A$2:$E$13, IF(COUNTBLANK('Attributes &amp; Prefixes'!$B$53:$C$53)&gt;0, "2", "3"), 0), COUNTIF($D$53:$E$53, K$2)&gt;0, VLOOKUP($J595,'Gear Values'!$A$2:$E$13, IF(COUNTBLANK('Attributes &amp; Prefixes'!$B$53:$C$53)&gt;0, "4", "5"), 0)), "")</f>
        <v>134</v>
      </c>
      <c r="L595" s="137" cm="1">
        <f t="array" ref="L595">IF(COUNTIF($B$53:$E$53, L$2)&gt;0, _xlfn.IFS(COUNTIF($B$53:$C$53, L$2)&gt;0, VLOOKUP($J595,'Gear Values'!$A$2:$E$13, IF(COUNTBLANK('Attributes &amp; Prefixes'!$B$53:$C$53)&gt;0, "2", "3"), 0), COUNTIF($D$53:$E$53, L$2)&gt;0, VLOOKUP($J595,'Gear Values'!$A$2:$E$13, IF(COUNTBLANK('Attributes &amp; Prefixes'!$B$53:$C$53)&gt;0, "4", "5"), 0)), "")</f>
        <v>96</v>
      </c>
      <c r="M595" s="137" t="str" cm="1">
        <f t="array" ref="M595">IF(COUNTIF($B$53:$E$53, M$2)&gt;0, _xlfn.IFS(COUNTIF($B$53:$C$53, M$2)&gt;0, VLOOKUP($J595,'Gear Values'!$A$2:$E$13, IF(COUNTBLANK('Attributes &amp; Prefixes'!$B$53:$C$53)&gt;0, "2", "3"), 0), COUNTIF($D$53:$E$53, M$2)&gt;0, VLOOKUP($J595,'Gear Values'!$A$2:$E$13, IF(COUNTBLANK('Attributes &amp; Prefixes'!$B$53:$C$53)&gt;0, "4", "5"), 0)), "")</f>
        <v/>
      </c>
      <c r="N595" s="137" t="str" cm="1">
        <f t="array" ref="N595">IF(COUNTIF($B$53:$E$53, N$2)&gt;0, _xlfn.IFS(COUNTIF($B$53:$C$53, N$2)&gt;0, VLOOKUP($J595,'Gear Values'!$A$2:$E$13, IF(COUNTBLANK('Attributes &amp; Prefixes'!$B$53:$C$53)&gt;0, "2", "3"), 0), COUNTIF($D$53:$E$53, N$2)&gt;0, VLOOKUP($J595,'Gear Values'!$A$2:$E$13, IF(COUNTBLANK('Attributes &amp; Prefixes'!$B$53:$C$53)&gt;0, "4", "5"), 0)), "")</f>
        <v/>
      </c>
      <c r="O595" s="137" t="str" cm="1">
        <f t="array" ref="O595">IF(COUNTIF($B$53:$E$53, O$2)&gt;0, _xlfn.IFS(COUNTIF($B$53:$C$53, O$2)&gt;0, VLOOKUP($J595,'Gear Values'!$A$2:$E$13, IF(COUNTBLANK('Attributes &amp; Prefixes'!$B$53:$C$53)&gt;0, "2", "3"), 0), COUNTIF($D$53:$E$53, O$2)&gt;0, VLOOKUP($J595,'Gear Values'!$A$2:$E$13, IF(COUNTBLANK('Attributes &amp; Prefixes'!$B$53:$C$53)&gt;0, "4", "5"), 0)), "")</f>
        <v/>
      </c>
      <c r="P595" s="137" t="str" cm="1">
        <f t="array" ref="P595">IF(COUNTIF($B$53:$E$53, P$2)&gt;0, _xlfn.IFS(COUNTIF($B$53:$C$53, P$2)&gt;0, VLOOKUP($J595,'Gear Values'!$A$2:$E$13, IF(COUNTBLANK('Attributes &amp; Prefixes'!$B$53:$C$53)&gt;0, "2", "3"), 0), COUNTIF($D$53:$E$53, P$2)&gt;0, VLOOKUP($J595,'Gear Values'!$A$2:$E$13, IF(COUNTBLANK('Attributes &amp; Prefixes'!$B$53:$C$53)&gt;0, "4", "5"), 0)), "")</f>
        <v/>
      </c>
      <c r="Q595" s="137" t="str" cm="1">
        <f t="array" ref="Q595">IF(COUNTIF($B$53:$E$53, Q$2)&gt;0, _xlfn.IFS(COUNTIF($B$53:$C$53, Q$2)&gt;0, VLOOKUP($J595,'Gear Values'!$A$2:$E$13, IF(COUNTBLANK('Attributes &amp; Prefixes'!$B$53:$C$53)&gt;0, "2", "3"), 0), COUNTIF($D$53:$E$53, Q$2)&gt;0, VLOOKUP($J595,'Gear Values'!$A$2:$E$13, IF(COUNTBLANK('Attributes &amp; Prefixes'!$B$53:$C$53)&gt;0, "4", "5"), 0)), "")</f>
        <v/>
      </c>
      <c r="R595" s="137" t="str" cm="1">
        <f t="array" ref="R595">IF(COUNTIF($B$53:$E$53, R$2)&gt;0, _xlfn.IFS(COUNTIF($B$53:$C$53, R$2)&gt;0, VLOOKUP($J595,'Gear Values'!$A$2:$E$13, IF(COUNTBLANK('Attributes &amp; Prefixes'!$B$53:$C$53)&gt;0, "2", "3"), 0), COUNTIF($D$53:$E$53, R$2)&gt;0, VLOOKUP($J595,'Gear Values'!$A$2:$E$13, IF(COUNTBLANK('Attributes &amp; Prefixes'!$B$53:$C$53)&gt;0, "4", "5"), 0)), "")</f>
        <v/>
      </c>
      <c r="S595" s="138" cm="1">
        <f t="array" ref="S595">IF(COUNTIF($B$53:$E$53, S$2)&gt;0, _xlfn.IFS(COUNTIF($B$53:$C$53, S$2)&gt;0, VLOOKUP($J595,'Gear Values'!$A$2:$E$13, IF(COUNTBLANK('Attributes &amp; Prefixes'!$B$53:$C$53)&gt;0, "2", "3"), 0), COUNTIF($D$53:$E$53, S$2)&gt;0, VLOOKUP($J595,'Gear Values'!$A$2:$E$13, IF(COUNTBLANK('Attributes &amp; Prefixes'!$B$53:$C$53)&gt;0, "4", "5"), 0)), "")</f>
        <v>96</v>
      </c>
      <c r="V595" s="112"/>
      <c r="W595" s="113"/>
    </row>
    <row r="596" spans="8:23">
      <c r="H596" s="130" t="str">
        <f>_xlfn.CONCAT(I$591,J596)</f>
        <v>ZealotHands</v>
      </c>
      <c r="I596" s="520"/>
      <c r="J596" s="144" t="s">
        <v>45</v>
      </c>
      <c r="K596" s="136" cm="1">
        <f t="array" ref="K596">IF(COUNTIF($B$53:$E$53, K$2)&gt;0, _xlfn.IFS(COUNTIF($B$53:$C$53, K$2)&gt;0, VLOOKUP($J596,'Gear Values'!$A$2:$E$13, IF(COUNTBLANK('Attributes &amp; Prefixes'!$B$53:$C$53)&gt;0, "2", "3"), 0), COUNTIF($D$53:$E$53, K$2)&gt;0, VLOOKUP($J596,'Gear Values'!$A$2:$E$13, IF(COUNTBLANK('Attributes &amp; Prefixes'!$B$53:$C$53)&gt;0, "4", "5"), 0)), "")</f>
        <v>45</v>
      </c>
      <c r="L596" s="137" cm="1">
        <f t="array" ref="L596">IF(COUNTIF($B$53:$E$53, L$2)&gt;0, _xlfn.IFS(COUNTIF($B$53:$C$53, L$2)&gt;0, VLOOKUP($J596,'Gear Values'!$A$2:$E$13, IF(COUNTBLANK('Attributes &amp; Prefixes'!$B$53:$C$53)&gt;0, "2", "3"), 0), COUNTIF($D$53:$E$53, L$2)&gt;0, VLOOKUP($J596,'Gear Values'!$A$2:$E$13, IF(COUNTBLANK('Attributes &amp; Prefixes'!$B$53:$C$53)&gt;0, "4", "5"), 0)), "")</f>
        <v>32</v>
      </c>
      <c r="M596" s="137" t="str" cm="1">
        <f t="array" ref="M596">IF(COUNTIF($B$53:$E$53, M$2)&gt;0, _xlfn.IFS(COUNTIF($B$53:$C$53, M$2)&gt;0, VLOOKUP($J596,'Gear Values'!$A$2:$E$13, IF(COUNTBLANK('Attributes &amp; Prefixes'!$B$53:$C$53)&gt;0, "2", "3"), 0), COUNTIF($D$53:$E$53, M$2)&gt;0, VLOOKUP($J596,'Gear Values'!$A$2:$E$13, IF(COUNTBLANK('Attributes &amp; Prefixes'!$B$53:$C$53)&gt;0, "4", "5"), 0)), "")</f>
        <v/>
      </c>
      <c r="N596" s="137" t="str" cm="1">
        <f t="array" ref="N596">IF(COUNTIF($B$53:$E$53, N$2)&gt;0, _xlfn.IFS(COUNTIF($B$53:$C$53, N$2)&gt;0, VLOOKUP($J596,'Gear Values'!$A$2:$E$13, IF(COUNTBLANK('Attributes &amp; Prefixes'!$B$53:$C$53)&gt;0, "2", "3"), 0), COUNTIF($D$53:$E$53, N$2)&gt;0, VLOOKUP($J596,'Gear Values'!$A$2:$E$13, IF(COUNTBLANK('Attributes &amp; Prefixes'!$B$53:$C$53)&gt;0, "4", "5"), 0)), "")</f>
        <v/>
      </c>
      <c r="O596" s="137" t="str" cm="1">
        <f t="array" ref="O596">IF(COUNTIF($B$53:$E$53, O$2)&gt;0, _xlfn.IFS(COUNTIF($B$53:$C$53, O$2)&gt;0, VLOOKUP($J596,'Gear Values'!$A$2:$E$13, IF(COUNTBLANK('Attributes &amp; Prefixes'!$B$53:$C$53)&gt;0, "2", "3"), 0), COUNTIF($D$53:$E$53, O$2)&gt;0, VLOOKUP($J596,'Gear Values'!$A$2:$E$13, IF(COUNTBLANK('Attributes &amp; Prefixes'!$B$53:$C$53)&gt;0, "4", "5"), 0)), "")</f>
        <v/>
      </c>
      <c r="P596" s="137" t="str" cm="1">
        <f t="array" ref="P596">IF(COUNTIF($B$53:$E$53, P$2)&gt;0, _xlfn.IFS(COUNTIF($B$53:$C$53, P$2)&gt;0, VLOOKUP($J596,'Gear Values'!$A$2:$E$13, IF(COUNTBLANK('Attributes &amp; Prefixes'!$B$53:$C$53)&gt;0, "2", "3"), 0), COUNTIF($D$53:$E$53, P$2)&gt;0, VLOOKUP($J596,'Gear Values'!$A$2:$E$13, IF(COUNTBLANK('Attributes &amp; Prefixes'!$B$53:$C$53)&gt;0, "4", "5"), 0)), "")</f>
        <v/>
      </c>
      <c r="Q596" s="137" t="str" cm="1">
        <f t="array" ref="Q596">IF(COUNTIF($B$53:$E$53, Q$2)&gt;0, _xlfn.IFS(COUNTIF($B$53:$C$53, Q$2)&gt;0, VLOOKUP($J596,'Gear Values'!$A$2:$E$13, IF(COUNTBLANK('Attributes &amp; Prefixes'!$B$53:$C$53)&gt;0, "2", "3"), 0), COUNTIF($D$53:$E$53, Q$2)&gt;0, VLOOKUP($J596,'Gear Values'!$A$2:$E$13, IF(COUNTBLANK('Attributes &amp; Prefixes'!$B$53:$C$53)&gt;0, "4", "5"), 0)), "")</f>
        <v/>
      </c>
      <c r="R596" s="137" t="str" cm="1">
        <f t="array" ref="R596">IF(COUNTIF($B$53:$E$53, R$2)&gt;0, _xlfn.IFS(COUNTIF($B$53:$C$53, R$2)&gt;0, VLOOKUP($J596,'Gear Values'!$A$2:$E$13, IF(COUNTBLANK('Attributes &amp; Prefixes'!$B$53:$C$53)&gt;0, "2", "3"), 0), COUNTIF($D$53:$E$53, R$2)&gt;0, VLOOKUP($J596,'Gear Values'!$A$2:$E$13, IF(COUNTBLANK('Attributes &amp; Prefixes'!$B$53:$C$53)&gt;0, "4", "5"), 0)), "")</f>
        <v/>
      </c>
      <c r="S596" s="138" cm="1">
        <f t="array" ref="S596">IF(COUNTIF($B$53:$E$53, S$2)&gt;0, _xlfn.IFS(COUNTIF($B$53:$C$53, S$2)&gt;0, VLOOKUP($J596,'Gear Values'!$A$2:$E$13, IF(COUNTBLANK('Attributes &amp; Prefixes'!$B$53:$C$53)&gt;0, "2", "3"), 0), COUNTIF($D$53:$E$53, S$2)&gt;0, VLOOKUP($J596,'Gear Values'!$A$2:$E$13, IF(COUNTBLANK('Attributes &amp; Prefixes'!$B$53:$C$53)&gt;0, "4", "5"), 0)), "")</f>
        <v>32</v>
      </c>
      <c r="V596" s="112"/>
      <c r="W596" s="113"/>
    </row>
    <row r="597" spans="8:23">
      <c r="H597" s="130" t="str">
        <f>_xlfn.CONCAT(I$591,J597)</f>
        <v>ZealotLegs</v>
      </c>
      <c r="I597" s="520"/>
      <c r="J597" s="144" t="s">
        <v>47</v>
      </c>
      <c r="K597" s="136" cm="1">
        <f t="array" ref="K597">IF(COUNTIF($B$53:$E$53, K$2)&gt;0, _xlfn.IFS(COUNTIF($B$53:$C$53, K$2)&gt;0, VLOOKUP($J597,'Gear Values'!$A$2:$E$13, IF(COUNTBLANK('Attributes &amp; Prefixes'!$B$53:$C$53)&gt;0, "2", "3"), 0), COUNTIF($D$53:$E$53, K$2)&gt;0, VLOOKUP($J597,'Gear Values'!$A$2:$E$13, IF(COUNTBLANK('Attributes &amp; Prefixes'!$B$53:$C$53)&gt;0, "4", "5"), 0)), "")</f>
        <v>90</v>
      </c>
      <c r="L597" s="137" cm="1">
        <f t="array" ref="L597">IF(COUNTIF($B$53:$E$53, L$2)&gt;0, _xlfn.IFS(COUNTIF($B$53:$C$53, L$2)&gt;0, VLOOKUP($J597,'Gear Values'!$A$2:$E$13, IF(COUNTBLANK('Attributes &amp; Prefixes'!$B$53:$C$53)&gt;0, "2", "3"), 0), COUNTIF($D$53:$E$53, L$2)&gt;0, VLOOKUP($J597,'Gear Values'!$A$2:$E$13, IF(COUNTBLANK('Attributes &amp; Prefixes'!$B$53:$C$53)&gt;0, "4", "5"), 0)), "")</f>
        <v>64</v>
      </c>
      <c r="M597" s="137" t="str" cm="1">
        <f t="array" ref="M597">IF(COUNTIF($B$53:$E$53, M$2)&gt;0, _xlfn.IFS(COUNTIF($B$53:$C$53, M$2)&gt;0, VLOOKUP($J597,'Gear Values'!$A$2:$E$13, IF(COUNTBLANK('Attributes &amp; Prefixes'!$B$53:$C$53)&gt;0, "2", "3"), 0), COUNTIF($D$53:$E$53, M$2)&gt;0, VLOOKUP($J597,'Gear Values'!$A$2:$E$13, IF(COUNTBLANK('Attributes &amp; Prefixes'!$B$53:$C$53)&gt;0, "4", "5"), 0)), "")</f>
        <v/>
      </c>
      <c r="N597" s="137" t="str" cm="1">
        <f t="array" ref="N597">IF(COUNTIF($B$53:$E$53, N$2)&gt;0, _xlfn.IFS(COUNTIF($B$53:$C$53, N$2)&gt;0, VLOOKUP($J597,'Gear Values'!$A$2:$E$13, IF(COUNTBLANK('Attributes &amp; Prefixes'!$B$53:$C$53)&gt;0, "2", "3"), 0), COUNTIF($D$53:$E$53, N$2)&gt;0, VLOOKUP($J597,'Gear Values'!$A$2:$E$13, IF(COUNTBLANK('Attributes &amp; Prefixes'!$B$53:$C$53)&gt;0, "4", "5"), 0)), "")</f>
        <v/>
      </c>
      <c r="O597" s="137" t="str" cm="1">
        <f t="array" ref="O597">IF(COUNTIF($B$53:$E$53, O$2)&gt;0, _xlfn.IFS(COUNTIF($B$53:$C$53, O$2)&gt;0, VLOOKUP($J597,'Gear Values'!$A$2:$E$13, IF(COUNTBLANK('Attributes &amp; Prefixes'!$B$53:$C$53)&gt;0, "2", "3"), 0), COUNTIF($D$53:$E$53, O$2)&gt;0, VLOOKUP($J597,'Gear Values'!$A$2:$E$13, IF(COUNTBLANK('Attributes &amp; Prefixes'!$B$53:$C$53)&gt;0, "4", "5"), 0)), "")</f>
        <v/>
      </c>
      <c r="P597" s="137" t="str" cm="1">
        <f t="array" ref="P597">IF(COUNTIF($B$53:$E$53, P$2)&gt;0, _xlfn.IFS(COUNTIF($B$53:$C$53, P$2)&gt;0, VLOOKUP($J597,'Gear Values'!$A$2:$E$13, IF(COUNTBLANK('Attributes &amp; Prefixes'!$B$53:$C$53)&gt;0, "2", "3"), 0), COUNTIF($D$53:$E$53, P$2)&gt;0, VLOOKUP($J597,'Gear Values'!$A$2:$E$13, IF(COUNTBLANK('Attributes &amp; Prefixes'!$B$53:$C$53)&gt;0, "4", "5"), 0)), "")</f>
        <v/>
      </c>
      <c r="Q597" s="137" t="str" cm="1">
        <f t="array" ref="Q597">IF(COUNTIF($B$53:$E$53, Q$2)&gt;0, _xlfn.IFS(COUNTIF($B$53:$C$53, Q$2)&gt;0, VLOOKUP($J597,'Gear Values'!$A$2:$E$13, IF(COUNTBLANK('Attributes &amp; Prefixes'!$B$53:$C$53)&gt;0, "2", "3"), 0), COUNTIF($D$53:$E$53, Q$2)&gt;0, VLOOKUP($J597,'Gear Values'!$A$2:$E$13, IF(COUNTBLANK('Attributes &amp; Prefixes'!$B$53:$C$53)&gt;0, "4", "5"), 0)), "")</f>
        <v/>
      </c>
      <c r="R597" s="137" t="str" cm="1">
        <f t="array" ref="R597">IF(COUNTIF($B$53:$E$53, R$2)&gt;0, _xlfn.IFS(COUNTIF($B$53:$C$53, R$2)&gt;0, VLOOKUP($J597,'Gear Values'!$A$2:$E$13, IF(COUNTBLANK('Attributes &amp; Prefixes'!$B$53:$C$53)&gt;0, "2", "3"), 0), COUNTIF($D$53:$E$53, R$2)&gt;0, VLOOKUP($J597,'Gear Values'!$A$2:$E$13, IF(COUNTBLANK('Attributes &amp; Prefixes'!$B$53:$C$53)&gt;0, "4", "5"), 0)), "")</f>
        <v/>
      </c>
      <c r="S597" s="138" cm="1">
        <f t="array" ref="S597">IF(COUNTIF($B$53:$E$53, S$2)&gt;0, _xlfn.IFS(COUNTIF($B$53:$C$53, S$2)&gt;0, VLOOKUP($J597,'Gear Values'!$A$2:$E$13, IF(COUNTBLANK('Attributes &amp; Prefixes'!$B$53:$C$53)&gt;0, "2", "3"), 0), COUNTIF($D$53:$E$53, S$2)&gt;0, VLOOKUP($J597,'Gear Values'!$A$2:$E$13, IF(COUNTBLANK('Attributes &amp; Prefixes'!$B$53:$C$53)&gt;0, "4", "5"), 0)), "")</f>
        <v>64</v>
      </c>
      <c r="V597" s="112"/>
      <c r="W597" s="113"/>
    </row>
    <row r="598" spans="8:23">
      <c r="H598" s="130" t="str">
        <f>_xlfn.CONCAT(I$591,J598)</f>
        <v>ZealotFeet</v>
      </c>
      <c r="I598" s="520"/>
      <c r="J598" s="144" t="s">
        <v>48</v>
      </c>
      <c r="K598" s="136" cm="1">
        <f t="array" ref="K598">IF(COUNTIF($B$53:$E$53, K$2)&gt;0, _xlfn.IFS(COUNTIF($B$53:$C$53, K$2)&gt;0, VLOOKUP($J598,'Gear Values'!$A$2:$E$13, IF(COUNTBLANK('Attributes &amp; Prefixes'!$B$53:$C$53)&gt;0, "2", "3"), 0), COUNTIF($D$53:$E$53, K$2)&gt;0, VLOOKUP($J598,'Gear Values'!$A$2:$E$13, IF(COUNTBLANK('Attributes &amp; Prefixes'!$B$53:$C$53)&gt;0, "4", "5"), 0)), "")</f>
        <v>45</v>
      </c>
      <c r="L598" s="137" cm="1">
        <f t="array" ref="L598">IF(COUNTIF($B$53:$E$53, L$2)&gt;0, _xlfn.IFS(COUNTIF($B$53:$C$53, L$2)&gt;0, VLOOKUP($J598,'Gear Values'!$A$2:$E$13, IF(COUNTBLANK('Attributes &amp; Prefixes'!$B$53:$C$53)&gt;0, "2", "3"), 0), COUNTIF($D$53:$E$53, L$2)&gt;0, VLOOKUP($J598,'Gear Values'!$A$2:$E$13, IF(COUNTBLANK('Attributes &amp; Prefixes'!$B$53:$C$53)&gt;0, "4", "5"), 0)), "")</f>
        <v>32</v>
      </c>
      <c r="M598" s="137" t="str" cm="1">
        <f t="array" ref="M598">IF(COUNTIF($B$53:$E$53, M$2)&gt;0, _xlfn.IFS(COUNTIF($B$53:$C$53, M$2)&gt;0, VLOOKUP($J598,'Gear Values'!$A$2:$E$13, IF(COUNTBLANK('Attributes &amp; Prefixes'!$B$53:$C$53)&gt;0, "2", "3"), 0), COUNTIF($D$53:$E$53, M$2)&gt;0, VLOOKUP($J598,'Gear Values'!$A$2:$E$13, IF(COUNTBLANK('Attributes &amp; Prefixes'!$B$53:$C$53)&gt;0, "4", "5"), 0)), "")</f>
        <v/>
      </c>
      <c r="N598" s="137" t="str" cm="1">
        <f t="array" ref="N598">IF(COUNTIF($B$53:$E$53, N$2)&gt;0, _xlfn.IFS(COUNTIF($B$53:$C$53, N$2)&gt;0, VLOOKUP($J598,'Gear Values'!$A$2:$E$13, IF(COUNTBLANK('Attributes &amp; Prefixes'!$B$53:$C$53)&gt;0, "2", "3"), 0), COUNTIF($D$53:$E$53, N$2)&gt;0, VLOOKUP($J598,'Gear Values'!$A$2:$E$13, IF(COUNTBLANK('Attributes &amp; Prefixes'!$B$53:$C$53)&gt;0, "4", "5"), 0)), "")</f>
        <v/>
      </c>
      <c r="O598" s="137" t="str" cm="1">
        <f t="array" ref="O598">IF(COUNTIF($B$53:$E$53, O$2)&gt;0, _xlfn.IFS(COUNTIF($B$53:$C$53, O$2)&gt;0, VLOOKUP($J598,'Gear Values'!$A$2:$E$13, IF(COUNTBLANK('Attributes &amp; Prefixes'!$B$53:$C$53)&gt;0, "2", "3"), 0), COUNTIF($D$53:$E$53, O$2)&gt;0, VLOOKUP($J598,'Gear Values'!$A$2:$E$13, IF(COUNTBLANK('Attributes &amp; Prefixes'!$B$53:$C$53)&gt;0, "4", "5"), 0)), "")</f>
        <v/>
      </c>
      <c r="P598" s="137" t="str" cm="1">
        <f t="array" ref="P598">IF(COUNTIF($B$53:$E$53, P$2)&gt;0, _xlfn.IFS(COUNTIF($B$53:$C$53, P$2)&gt;0, VLOOKUP($J598,'Gear Values'!$A$2:$E$13, IF(COUNTBLANK('Attributes &amp; Prefixes'!$B$53:$C$53)&gt;0, "2", "3"), 0), COUNTIF($D$53:$E$53, P$2)&gt;0, VLOOKUP($J598,'Gear Values'!$A$2:$E$13, IF(COUNTBLANK('Attributes &amp; Prefixes'!$B$53:$C$53)&gt;0, "4", "5"), 0)), "")</f>
        <v/>
      </c>
      <c r="Q598" s="137" t="str" cm="1">
        <f t="array" ref="Q598">IF(COUNTIF($B$53:$E$53, Q$2)&gt;0, _xlfn.IFS(COUNTIF($B$53:$C$53, Q$2)&gt;0, VLOOKUP($J598,'Gear Values'!$A$2:$E$13, IF(COUNTBLANK('Attributes &amp; Prefixes'!$B$53:$C$53)&gt;0, "2", "3"), 0), COUNTIF($D$53:$E$53, Q$2)&gt;0, VLOOKUP($J598,'Gear Values'!$A$2:$E$13, IF(COUNTBLANK('Attributes &amp; Prefixes'!$B$53:$C$53)&gt;0, "4", "5"), 0)), "")</f>
        <v/>
      </c>
      <c r="R598" s="137" t="str" cm="1">
        <f t="array" ref="R598">IF(COUNTIF($B$53:$E$53, R$2)&gt;0, _xlfn.IFS(COUNTIF($B$53:$C$53, R$2)&gt;0, VLOOKUP($J598,'Gear Values'!$A$2:$E$13, IF(COUNTBLANK('Attributes &amp; Prefixes'!$B$53:$C$53)&gt;0, "2", "3"), 0), COUNTIF($D$53:$E$53, R$2)&gt;0, VLOOKUP($J598,'Gear Values'!$A$2:$E$13, IF(COUNTBLANK('Attributes &amp; Prefixes'!$B$53:$C$53)&gt;0, "4", "5"), 0)), "")</f>
        <v/>
      </c>
      <c r="S598" s="138" cm="1">
        <f t="array" ref="S598">IF(COUNTIF($B$53:$E$53, S$2)&gt;0, _xlfn.IFS(COUNTIF($B$53:$C$53, S$2)&gt;0, VLOOKUP($J598,'Gear Values'!$A$2:$E$13, IF(COUNTBLANK('Attributes &amp; Prefixes'!$B$53:$C$53)&gt;0, "2", "3"), 0), COUNTIF($D$53:$E$53, S$2)&gt;0, VLOOKUP($J598,'Gear Values'!$A$2:$E$13, IF(COUNTBLANK('Attributes &amp; Prefixes'!$B$53:$C$53)&gt;0, "4", "5"), 0)), "")</f>
        <v>32</v>
      </c>
      <c r="V598" s="112"/>
      <c r="W598" s="113"/>
    </row>
    <row r="599" spans="8:23">
      <c r="H599" s="130" t="str">
        <f>_xlfn.CONCAT(A$78,J599)</f>
        <v>SprocketEar</v>
      </c>
      <c r="I599" s="520"/>
      <c r="J599" s="144" t="s">
        <v>49</v>
      </c>
      <c r="K599" s="136" cm="1">
        <f t="array" ref="K599">IF(COUNTIF($B$53:$E$53, K$2)&gt;0, _xlfn.IFS(COUNTIF($B$53:$C$53, K$2)&gt;0, VLOOKUP($J599,'Gear Values'!$A$2:$E$13, IF(COUNTBLANK('Attributes &amp; Prefixes'!$B$53:$C$53)&gt;0, "2", "3"), 0), COUNTIF($D$53:$E$53, K$2)&gt;0, VLOOKUP($J599,'Gear Values'!$A$2:$E$13, IF(COUNTBLANK('Attributes &amp; Prefixes'!$B$53:$C$53)&gt;0, "4", "5"), 0)), "")</f>
        <v>75</v>
      </c>
      <c r="L599" s="137" cm="1">
        <f t="array" ref="L599">IF(COUNTIF($B$53:$E$53, L$2)&gt;0, _xlfn.IFS(COUNTIF($B$53:$C$53, L$2)&gt;0, VLOOKUP($J599,'Gear Values'!$A$2:$E$13, IF(COUNTBLANK('Attributes &amp; Prefixes'!$B$53:$C$53)&gt;0, "2", "3"), 0), COUNTIF($D$53:$E$53, L$2)&gt;0, VLOOKUP($J599,'Gear Values'!$A$2:$E$13, IF(COUNTBLANK('Attributes &amp; Prefixes'!$B$53:$C$53)&gt;0, "4", "5"), 0)), "")</f>
        <v>53</v>
      </c>
      <c r="M599" s="137" t="str" cm="1">
        <f t="array" ref="M599">IF(COUNTIF($B$53:$E$53, M$2)&gt;0, _xlfn.IFS(COUNTIF($B$53:$C$53, M$2)&gt;0, VLOOKUP($J599,'Gear Values'!$A$2:$E$13, IF(COUNTBLANK('Attributes &amp; Prefixes'!$B$53:$C$53)&gt;0, "2", "3"), 0), COUNTIF($D$53:$E$53, M$2)&gt;0, VLOOKUP($J599,'Gear Values'!$A$2:$E$13, IF(COUNTBLANK('Attributes &amp; Prefixes'!$B$53:$C$53)&gt;0, "4", "5"), 0)), "")</f>
        <v/>
      </c>
      <c r="N599" s="137" t="str" cm="1">
        <f t="array" ref="N599">IF(COUNTIF($B$53:$E$53, N$2)&gt;0, _xlfn.IFS(COUNTIF($B$53:$C$53, N$2)&gt;0, VLOOKUP($J599,'Gear Values'!$A$2:$E$13, IF(COUNTBLANK('Attributes &amp; Prefixes'!$B$53:$C$53)&gt;0, "2", "3"), 0), COUNTIF($D$53:$E$53, N$2)&gt;0, VLOOKUP($J599,'Gear Values'!$A$2:$E$13, IF(COUNTBLANK('Attributes &amp; Prefixes'!$B$53:$C$53)&gt;0, "4", "5"), 0)), "")</f>
        <v/>
      </c>
      <c r="O599" s="137" t="str" cm="1">
        <f t="array" ref="O599">IF(COUNTIF($B$53:$E$53, O$2)&gt;0, _xlfn.IFS(COUNTIF($B$53:$C$53, O$2)&gt;0, VLOOKUP($J599,'Gear Values'!$A$2:$E$13, IF(COUNTBLANK('Attributes &amp; Prefixes'!$B$53:$C$53)&gt;0, "2", "3"), 0), COUNTIF($D$53:$E$53, O$2)&gt;0, VLOOKUP($J599,'Gear Values'!$A$2:$E$13, IF(COUNTBLANK('Attributes &amp; Prefixes'!$B$53:$C$53)&gt;0, "4", "5"), 0)), "")</f>
        <v/>
      </c>
      <c r="P599" s="137" t="str" cm="1">
        <f t="array" ref="P599">IF(COUNTIF($B$53:$E$53, P$2)&gt;0, _xlfn.IFS(COUNTIF($B$53:$C$53, P$2)&gt;0, VLOOKUP($J599,'Gear Values'!$A$2:$E$13, IF(COUNTBLANK('Attributes &amp; Prefixes'!$B$53:$C$53)&gt;0, "2", "3"), 0), COUNTIF($D$53:$E$53, P$2)&gt;0, VLOOKUP($J599,'Gear Values'!$A$2:$E$13, IF(COUNTBLANK('Attributes &amp; Prefixes'!$B$53:$C$53)&gt;0, "4", "5"), 0)), "")</f>
        <v/>
      </c>
      <c r="Q599" s="137" t="str" cm="1">
        <f t="array" ref="Q599">IF(COUNTIF($B$53:$E$53, Q$2)&gt;0, _xlfn.IFS(COUNTIF($B$53:$C$53, Q$2)&gt;0, VLOOKUP($J599,'Gear Values'!$A$2:$E$13, IF(COUNTBLANK('Attributes &amp; Prefixes'!$B$53:$C$53)&gt;0, "2", "3"), 0), COUNTIF($D$53:$E$53, Q$2)&gt;0, VLOOKUP($J599,'Gear Values'!$A$2:$E$13, IF(COUNTBLANK('Attributes &amp; Prefixes'!$B$53:$C$53)&gt;0, "4", "5"), 0)), "")</f>
        <v/>
      </c>
      <c r="R599" s="137" t="str" cm="1">
        <f t="array" ref="R599">IF(COUNTIF($B$53:$E$53, R$2)&gt;0, _xlfn.IFS(COUNTIF($B$53:$C$53, R$2)&gt;0, VLOOKUP($J599,'Gear Values'!$A$2:$E$13, IF(COUNTBLANK('Attributes &amp; Prefixes'!$B$53:$C$53)&gt;0, "2", "3"), 0), COUNTIF($D$53:$E$53, R$2)&gt;0, VLOOKUP($J599,'Gear Values'!$A$2:$E$13, IF(COUNTBLANK('Attributes &amp; Prefixes'!$B$53:$C$53)&gt;0, "4", "5"), 0)), "")</f>
        <v/>
      </c>
      <c r="S599" s="138" cm="1">
        <f t="array" ref="S599">IF(COUNTIF($B$53:$E$53, S$2)&gt;0, _xlfn.IFS(COUNTIF($B$53:$C$53, S$2)&gt;0, VLOOKUP($J599,'Gear Values'!$A$2:$E$13, IF(COUNTBLANK('Attributes &amp; Prefixes'!$B$53:$C$53)&gt;0, "2", "3"), 0), COUNTIF($D$53:$E$53, S$2)&gt;0, VLOOKUP($J599,'Gear Values'!$A$2:$E$13, IF(COUNTBLANK('Attributes &amp; Prefixes'!$B$53:$C$53)&gt;0, "4", "5"), 0)), "")</f>
        <v>53</v>
      </c>
      <c r="V599" s="112"/>
      <c r="W599" s="113"/>
    </row>
    <row r="600" spans="8:23">
      <c r="H600" s="130" t="str">
        <f>_xlfn.CONCAT(A$78,J600)</f>
        <v>SprocketFinger</v>
      </c>
      <c r="I600" s="520"/>
      <c r="J600" s="144" t="s">
        <v>51</v>
      </c>
      <c r="K600" s="136" cm="1">
        <f t="array" ref="K600">IF(COUNTIF($B$53:$E$53, K$2)&gt;0, _xlfn.IFS(COUNTIF($B$53:$C$53, K$2)&gt;0, VLOOKUP($J600,'Gear Values'!$A$2:$E$13, IF(COUNTBLANK('Attributes &amp; Prefixes'!$B$53:$C$53)&gt;0, "2", "3"), 0), COUNTIF($D$53:$E$53, K$2)&gt;0, VLOOKUP($J600,'Gear Values'!$A$2:$E$13, IF(COUNTBLANK('Attributes &amp; Prefixes'!$B$53:$C$53)&gt;0, "4", "5"), 0)), "")</f>
        <v>90</v>
      </c>
      <c r="L600" s="137" cm="1">
        <f t="array" ref="L600">IF(COUNTIF($B$53:$E$53, L$2)&gt;0, _xlfn.IFS(COUNTIF($B$53:$C$53, L$2)&gt;0, VLOOKUP($J600,'Gear Values'!$A$2:$E$13, IF(COUNTBLANK('Attributes &amp; Prefixes'!$B$53:$C$53)&gt;0, "2", "3"), 0), COUNTIF($D$53:$E$53, L$2)&gt;0, VLOOKUP($J600,'Gear Values'!$A$2:$E$13, IF(COUNTBLANK('Attributes &amp; Prefixes'!$B$53:$C$53)&gt;0, "4", "5"), 0)), "")</f>
        <v>64</v>
      </c>
      <c r="M600" s="137" t="str" cm="1">
        <f t="array" ref="M600">IF(COUNTIF($B$53:$E$53, M$2)&gt;0, _xlfn.IFS(COUNTIF($B$53:$C$53, M$2)&gt;0, VLOOKUP($J600,'Gear Values'!$A$2:$E$13, IF(COUNTBLANK('Attributes &amp; Prefixes'!$B$53:$C$53)&gt;0, "2", "3"), 0), COUNTIF($D$53:$E$53, M$2)&gt;0, VLOOKUP($J600,'Gear Values'!$A$2:$E$13, IF(COUNTBLANK('Attributes &amp; Prefixes'!$B$53:$C$53)&gt;0, "4", "5"), 0)), "")</f>
        <v/>
      </c>
      <c r="N600" s="137" t="str" cm="1">
        <f t="array" ref="N600">IF(COUNTIF($B$53:$E$53, N$2)&gt;0, _xlfn.IFS(COUNTIF($B$53:$C$53, N$2)&gt;0, VLOOKUP($J600,'Gear Values'!$A$2:$E$13, IF(COUNTBLANK('Attributes &amp; Prefixes'!$B$53:$C$53)&gt;0, "2", "3"), 0), COUNTIF($D$53:$E$53, N$2)&gt;0, VLOOKUP($J600,'Gear Values'!$A$2:$E$13, IF(COUNTBLANK('Attributes &amp; Prefixes'!$B$53:$C$53)&gt;0, "4", "5"), 0)), "")</f>
        <v/>
      </c>
      <c r="O600" s="137" t="str" cm="1">
        <f t="array" ref="O600">IF(COUNTIF($B$53:$E$53, O$2)&gt;0, _xlfn.IFS(COUNTIF($B$53:$C$53, O$2)&gt;0, VLOOKUP($J600,'Gear Values'!$A$2:$E$13, IF(COUNTBLANK('Attributes &amp; Prefixes'!$B$53:$C$53)&gt;0, "2", "3"), 0), COUNTIF($D$53:$E$53, O$2)&gt;0, VLOOKUP($J600,'Gear Values'!$A$2:$E$13, IF(COUNTBLANK('Attributes &amp; Prefixes'!$B$53:$C$53)&gt;0, "4", "5"), 0)), "")</f>
        <v/>
      </c>
      <c r="P600" s="137" t="str" cm="1">
        <f t="array" ref="P600">IF(COUNTIF($B$53:$E$53, P$2)&gt;0, _xlfn.IFS(COUNTIF($B$53:$C$53, P$2)&gt;0, VLOOKUP($J600,'Gear Values'!$A$2:$E$13, IF(COUNTBLANK('Attributes &amp; Prefixes'!$B$53:$C$53)&gt;0, "2", "3"), 0), COUNTIF($D$53:$E$53, P$2)&gt;0, VLOOKUP($J600,'Gear Values'!$A$2:$E$13, IF(COUNTBLANK('Attributes &amp; Prefixes'!$B$53:$C$53)&gt;0, "4", "5"), 0)), "")</f>
        <v/>
      </c>
      <c r="Q600" s="137" t="str" cm="1">
        <f t="array" ref="Q600">IF(COUNTIF($B$53:$E$53, Q$2)&gt;0, _xlfn.IFS(COUNTIF($B$53:$C$53, Q$2)&gt;0, VLOOKUP($J600,'Gear Values'!$A$2:$E$13, IF(COUNTBLANK('Attributes &amp; Prefixes'!$B$53:$C$53)&gt;0, "2", "3"), 0), COUNTIF($D$53:$E$53, Q$2)&gt;0, VLOOKUP($J600,'Gear Values'!$A$2:$E$13, IF(COUNTBLANK('Attributes &amp; Prefixes'!$B$53:$C$53)&gt;0, "4", "5"), 0)), "")</f>
        <v/>
      </c>
      <c r="R600" s="137" t="str" cm="1">
        <f t="array" ref="R600">IF(COUNTIF($B$53:$E$53, R$2)&gt;0, _xlfn.IFS(COUNTIF($B$53:$C$53, R$2)&gt;0, VLOOKUP($J600,'Gear Values'!$A$2:$E$13, IF(COUNTBLANK('Attributes &amp; Prefixes'!$B$53:$C$53)&gt;0, "2", "3"), 0), COUNTIF($D$53:$E$53, R$2)&gt;0, VLOOKUP($J600,'Gear Values'!$A$2:$E$13, IF(COUNTBLANK('Attributes &amp; Prefixes'!$B$53:$C$53)&gt;0, "4", "5"), 0)), "")</f>
        <v/>
      </c>
      <c r="S600" s="138" cm="1">
        <f t="array" ref="S600">IF(COUNTIF($B$53:$E$53, S$2)&gt;0, _xlfn.IFS(COUNTIF($B$53:$C$53, S$2)&gt;0, VLOOKUP($J600,'Gear Values'!$A$2:$E$13, IF(COUNTBLANK('Attributes &amp; Prefixes'!$B$53:$C$53)&gt;0, "2", "3"), 0), COUNTIF($D$53:$E$53, S$2)&gt;0, VLOOKUP($J600,'Gear Values'!$A$2:$E$13, IF(COUNTBLANK('Attributes &amp; Prefixes'!$B$53:$C$53)&gt;0, "4", "5"), 0)), "")</f>
        <v>64</v>
      </c>
      <c r="V600" s="112"/>
      <c r="W600" s="113"/>
    </row>
    <row r="601" spans="8:23">
      <c r="H601" s="130" t="str">
        <f>_xlfn.CONCAT(A$78,J601)</f>
        <v>SprocketNeck</v>
      </c>
      <c r="I601" s="520"/>
      <c r="J601" s="144" t="s">
        <v>52</v>
      </c>
      <c r="K601" s="136" cm="1">
        <f t="array" ref="K601">IF(COUNTIF($B$53:$E$53, K$2)&gt;0, _xlfn.IFS(COUNTIF($B$53:$C$53, K$2)&gt;0, VLOOKUP($J601,'Gear Values'!$A$2:$E$13, IF(COUNTBLANK('Attributes &amp; Prefixes'!$B$53:$C$53)&gt;0, "2", "3"), 0), COUNTIF($D$53:$E$53, K$2)&gt;0, VLOOKUP($J601,'Gear Values'!$A$2:$E$13, IF(COUNTBLANK('Attributes &amp; Prefixes'!$B$53:$C$53)&gt;0, "4", "5"), 0)), "")</f>
        <v>120</v>
      </c>
      <c r="L601" s="137" cm="1">
        <f t="array" ref="L601">IF(COUNTIF($B$53:$E$53, L$2)&gt;0, _xlfn.IFS(COUNTIF($B$53:$C$53, L$2)&gt;0, VLOOKUP($J601,'Gear Values'!$A$2:$E$13, IF(COUNTBLANK('Attributes &amp; Prefixes'!$B$53:$C$53)&gt;0, "2", "3"), 0), COUNTIF($D$53:$E$53, L$2)&gt;0, VLOOKUP($J601,'Gear Values'!$A$2:$E$13, IF(COUNTBLANK('Attributes &amp; Prefixes'!$B$53:$C$53)&gt;0, "4", "5"), 0)), "")</f>
        <v>85</v>
      </c>
      <c r="M601" s="137" t="str" cm="1">
        <f t="array" ref="M601">IF(COUNTIF($B$53:$E$53, M$2)&gt;0, _xlfn.IFS(COUNTIF($B$53:$C$53, M$2)&gt;0, VLOOKUP($J601,'Gear Values'!$A$2:$E$13, IF(COUNTBLANK('Attributes &amp; Prefixes'!$B$53:$C$53)&gt;0, "2", "3"), 0), COUNTIF($D$53:$E$53, M$2)&gt;0, VLOOKUP($J601,'Gear Values'!$A$2:$E$13, IF(COUNTBLANK('Attributes &amp; Prefixes'!$B$53:$C$53)&gt;0, "4", "5"), 0)), "")</f>
        <v/>
      </c>
      <c r="N601" s="137" t="str" cm="1">
        <f t="array" ref="N601">IF(COUNTIF($B$53:$E$53, N$2)&gt;0, _xlfn.IFS(COUNTIF($B$53:$C$53, N$2)&gt;0, VLOOKUP($J601,'Gear Values'!$A$2:$E$13, IF(COUNTBLANK('Attributes &amp; Prefixes'!$B$53:$C$53)&gt;0, "2", "3"), 0), COUNTIF($D$53:$E$53, N$2)&gt;0, VLOOKUP($J601,'Gear Values'!$A$2:$E$13, IF(COUNTBLANK('Attributes &amp; Prefixes'!$B$53:$C$53)&gt;0, "4", "5"), 0)), "")</f>
        <v/>
      </c>
      <c r="O601" s="137" t="str" cm="1">
        <f t="array" ref="O601">IF(COUNTIF($B$53:$E$53, O$2)&gt;0, _xlfn.IFS(COUNTIF($B$53:$C$53, O$2)&gt;0, VLOOKUP($J601,'Gear Values'!$A$2:$E$13, IF(COUNTBLANK('Attributes &amp; Prefixes'!$B$53:$C$53)&gt;0, "2", "3"), 0), COUNTIF($D$53:$E$53, O$2)&gt;0, VLOOKUP($J601,'Gear Values'!$A$2:$E$13, IF(COUNTBLANK('Attributes &amp; Prefixes'!$B$53:$C$53)&gt;0, "4", "5"), 0)), "")</f>
        <v/>
      </c>
      <c r="P601" s="137" t="str" cm="1">
        <f t="array" ref="P601">IF(COUNTIF($B$53:$E$53, P$2)&gt;0, _xlfn.IFS(COUNTIF($B$53:$C$53, P$2)&gt;0, VLOOKUP($J601,'Gear Values'!$A$2:$E$13, IF(COUNTBLANK('Attributes &amp; Prefixes'!$B$53:$C$53)&gt;0, "2", "3"), 0), COUNTIF($D$53:$E$53, P$2)&gt;0, VLOOKUP($J601,'Gear Values'!$A$2:$E$13, IF(COUNTBLANK('Attributes &amp; Prefixes'!$B$53:$C$53)&gt;0, "4", "5"), 0)), "")</f>
        <v/>
      </c>
      <c r="Q601" s="137" t="str" cm="1">
        <f t="array" ref="Q601">IF(COUNTIF($B$53:$E$53, Q$2)&gt;0, _xlfn.IFS(COUNTIF($B$53:$C$53, Q$2)&gt;0, VLOOKUP($J601,'Gear Values'!$A$2:$E$13, IF(COUNTBLANK('Attributes &amp; Prefixes'!$B$53:$C$53)&gt;0, "2", "3"), 0), COUNTIF($D$53:$E$53, Q$2)&gt;0, VLOOKUP($J601,'Gear Values'!$A$2:$E$13, IF(COUNTBLANK('Attributes &amp; Prefixes'!$B$53:$C$53)&gt;0, "4", "5"), 0)), "")</f>
        <v/>
      </c>
      <c r="R601" s="137" t="str" cm="1">
        <f t="array" ref="R601">IF(COUNTIF($B$53:$E$53, R$2)&gt;0, _xlfn.IFS(COUNTIF($B$53:$C$53, R$2)&gt;0, VLOOKUP($J601,'Gear Values'!$A$2:$E$13, IF(COUNTBLANK('Attributes &amp; Prefixes'!$B$53:$C$53)&gt;0, "2", "3"), 0), COUNTIF($D$53:$E$53, R$2)&gt;0, VLOOKUP($J601,'Gear Values'!$A$2:$E$13, IF(COUNTBLANK('Attributes &amp; Prefixes'!$B$53:$C$53)&gt;0, "4", "5"), 0)), "")</f>
        <v/>
      </c>
      <c r="S601" s="138" cm="1">
        <f t="array" ref="S601">IF(COUNTIF($B$53:$E$53, S$2)&gt;0, _xlfn.IFS(COUNTIF($B$53:$C$53, S$2)&gt;0, VLOOKUP($J601,'Gear Values'!$A$2:$E$13, IF(COUNTBLANK('Attributes &amp; Prefixes'!$B$53:$C$53)&gt;0, "2", "3"), 0), COUNTIF($D$53:$E$53, S$2)&gt;0, VLOOKUP($J601,'Gear Values'!$A$2:$E$13, IF(COUNTBLANK('Attributes &amp; Prefixes'!$B$53:$C$53)&gt;0, "4", "5"), 0)), "")</f>
        <v>85</v>
      </c>
      <c r="V601" s="112"/>
      <c r="W601" s="112"/>
    </row>
    <row r="602" spans="8:23">
      <c r="H602" s="130" t="str">
        <f>_xlfn.CONCAT(I$591,J602)</f>
        <v>ZealotBack</v>
      </c>
      <c r="I602" s="521"/>
      <c r="J602" s="146" t="s">
        <v>53</v>
      </c>
      <c r="K602" s="147" cm="1">
        <f t="array" ref="K602">IF(COUNTIF($B$53:$E$53, K$2)&gt;0, _xlfn.IFS(COUNTIF($B$53:$C$53, K$2)&gt;0, VLOOKUP($J602,'Gear Values'!$A$2:$E$13, IF(COUNTBLANK('Attributes &amp; Prefixes'!$B$53:$C$53)&gt;0, "2", "3"), 0), COUNTIF($D$53:$E$53, K$2)&gt;0, VLOOKUP($J602,'Gear Values'!$A$2:$E$13, IF(COUNTBLANK('Attributes &amp; Prefixes'!$B$53:$C$53)&gt;0, "4", "5"), 0)), "")</f>
        <v>32</v>
      </c>
      <c r="L602" s="148" cm="1">
        <f t="array" ref="L602">IF(COUNTIF($B$53:$E$53, L$2)&gt;0, _xlfn.IFS(COUNTIF($B$53:$C$53, L$2)&gt;0, VLOOKUP($J602,'Gear Values'!$A$2:$E$13, IF(COUNTBLANK('Attributes &amp; Prefixes'!$B$53:$C$53)&gt;0, "2", "3"), 0), COUNTIF($D$53:$E$53, L$2)&gt;0, VLOOKUP($J602,'Gear Values'!$A$2:$E$13, IF(COUNTBLANK('Attributes &amp; Prefixes'!$B$53:$C$53)&gt;0, "4", "5"), 0)), "")</f>
        <v>18</v>
      </c>
      <c r="M602" s="148" t="str" cm="1">
        <f t="array" ref="M602">IF(COUNTIF($B$53:$E$53, M$2)&gt;0, _xlfn.IFS(COUNTIF($B$53:$C$53, M$2)&gt;0, VLOOKUP($J602,'Gear Values'!$A$2:$E$13, IF(COUNTBLANK('Attributes &amp; Prefixes'!$B$53:$C$53)&gt;0, "2", "3"), 0), COUNTIF($D$53:$E$53, M$2)&gt;0, VLOOKUP($J602,'Gear Values'!$A$2:$E$13, IF(COUNTBLANK('Attributes &amp; Prefixes'!$B$53:$C$53)&gt;0, "4", "5"), 0)), "")</f>
        <v/>
      </c>
      <c r="N602" s="148" t="str" cm="1">
        <f t="array" ref="N602">IF(COUNTIF($B$53:$E$53, N$2)&gt;0, _xlfn.IFS(COUNTIF($B$53:$C$53, N$2)&gt;0, VLOOKUP($J602,'Gear Values'!$A$2:$E$13, IF(COUNTBLANK('Attributes &amp; Prefixes'!$B$53:$C$53)&gt;0, "2", "3"), 0), COUNTIF($D$53:$E$53, N$2)&gt;0, VLOOKUP($J602,'Gear Values'!$A$2:$E$13, IF(COUNTBLANK('Attributes &amp; Prefixes'!$B$53:$C$53)&gt;0, "4", "5"), 0)), "")</f>
        <v/>
      </c>
      <c r="O602" s="148" t="str" cm="1">
        <f t="array" ref="O602">IF(COUNTIF($B$53:$E$53, O$2)&gt;0, _xlfn.IFS(COUNTIF($B$53:$C$53, O$2)&gt;0, VLOOKUP($J602,'Gear Values'!$A$2:$E$13, IF(COUNTBLANK('Attributes &amp; Prefixes'!$B$53:$C$53)&gt;0, "2", "3"), 0), COUNTIF($D$53:$E$53, O$2)&gt;0, VLOOKUP($J602,'Gear Values'!$A$2:$E$13, IF(COUNTBLANK('Attributes &amp; Prefixes'!$B$53:$C$53)&gt;0, "4", "5"), 0)), "")</f>
        <v/>
      </c>
      <c r="P602" s="148" t="str" cm="1">
        <f t="array" ref="P602">IF(COUNTIF($B$53:$E$53, P$2)&gt;0, _xlfn.IFS(COUNTIF($B$53:$C$53, P$2)&gt;0, VLOOKUP($J602,'Gear Values'!$A$2:$E$13, IF(COUNTBLANK('Attributes &amp; Prefixes'!$B$53:$C$53)&gt;0, "2", "3"), 0), COUNTIF($D$53:$E$53, P$2)&gt;0, VLOOKUP($J602,'Gear Values'!$A$2:$E$13, IF(COUNTBLANK('Attributes &amp; Prefixes'!$B$53:$C$53)&gt;0, "4", "5"), 0)), "")</f>
        <v/>
      </c>
      <c r="Q602" s="148" t="str" cm="1">
        <f t="array" ref="Q602">IF(COUNTIF($B$53:$E$53, Q$2)&gt;0, _xlfn.IFS(COUNTIF($B$53:$C$53, Q$2)&gt;0, VLOOKUP($J602,'Gear Values'!$A$2:$E$13, IF(COUNTBLANK('Attributes &amp; Prefixes'!$B$53:$C$53)&gt;0, "2", "3"), 0), COUNTIF($D$53:$E$53, Q$2)&gt;0, VLOOKUP($J602,'Gear Values'!$A$2:$E$13, IF(COUNTBLANK('Attributes &amp; Prefixes'!$B$53:$C$53)&gt;0, "4", "5"), 0)), "")</f>
        <v/>
      </c>
      <c r="R602" s="148" t="str" cm="1">
        <f t="array" ref="R602">IF(COUNTIF($B$53:$E$53, R$2)&gt;0, _xlfn.IFS(COUNTIF($B$53:$C$53, R$2)&gt;0, VLOOKUP($J602,'Gear Values'!$A$2:$E$13, IF(COUNTBLANK('Attributes &amp; Prefixes'!$B$53:$C$53)&gt;0, "2", "3"), 0), COUNTIF($D$53:$E$53, R$2)&gt;0, VLOOKUP($J602,'Gear Values'!$A$2:$E$13, IF(COUNTBLANK('Attributes &amp; Prefixes'!$B$53:$C$53)&gt;0, "4", "5"), 0)), "")</f>
        <v/>
      </c>
      <c r="S602" s="150" cm="1">
        <f t="array" ref="S602">IF(COUNTIF($B$53:$E$53, S$2)&gt;0, _xlfn.IFS(COUNTIF($B$53:$C$53, S$2)&gt;0, VLOOKUP($J602,'Gear Values'!$A$2:$E$13, IF(COUNTBLANK('Attributes &amp; Prefixes'!$B$53:$C$53)&gt;0, "2", "3"), 0), COUNTIF($D$53:$E$53, S$2)&gt;0, VLOOKUP($J602,'Gear Values'!$A$2:$E$13, IF(COUNTBLANK('Attributes &amp; Prefixes'!$B$53:$C$53)&gt;0, "4", "5"), 0)), "")</f>
        <v>18</v>
      </c>
      <c r="V602" s="112"/>
      <c r="W602" s="113"/>
    </row>
    <row r="603" spans="8:23">
      <c r="H603" s="130" t="str">
        <f>_xlfn.CONCAT($I$603,J603)</f>
        <v>AmbriteEar</v>
      </c>
      <c r="I603" s="519" t="s">
        <v>2479</v>
      </c>
      <c r="J603" s="145" t="s">
        <v>49</v>
      </c>
      <c r="K603" s="133" t="str" cm="1">
        <f t="array" ref="K603">IF(COUNTIF($B$56:$E$56, K$2)&gt;0, _xlfn.IFS(COUNTIF($B$56:$C$56, K$2)&gt;0, VLOOKUP($J603,'Gear Values'!$A$2:$E$13, IF(COUNTBLANK('Attributes &amp; Prefixes'!$B$56:$C$56)&gt;0, "2", "3"), 0), COUNTIF($D$56:$E$56, K$2)&gt;0, VLOOKUP($J603,'Gear Values'!$A$2:$E$13, IF(COUNTBLANK('Attributes &amp; Prefixes'!$B$56:$C$56)&gt;0, "4", "5"), 0)), "")</f>
        <v/>
      </c>
      <c r="L603" s="134" t="str" cm="1">
        <f t="array" ref="L603">IF(COUNTIF($B$56:$E$56, L$2)&gt;0, _xlfn.IFS(COUNTIF($B$56:$C$56, L$2)&gt;0, VLOOKUP($J603,'Gear Values'!$A$2:$E$13, IF(COUNTBLANK('Attributes &amp; Prefixes'!$B$56:$C$56)&gt;0, "2", "3"), 0), COUNTIF($D$56:$E$56, L$2)&gt;0, VLOOKUP($J603,'Gear Values'!$A$2:$E$13, IF(COUNTBLANK('Attributes &amp; Prefixes'!$B$56:$C$56)&gt;0, "4", "5"), 0)), "")</f>
        <v/>
      </c>
      <c r="M603" s="134" cm="1">
        <f t="array" ref="M603">IF(COUNTIF($B$56:$E$56, M$2)&gt;0, _xlfn.IFS(COUNTIF($B$56:$C$56, M$2)&gt;0, VLOOKUP($J603,'Gear Values'!$A$2:$E$13, IF(COUNTBLANK('Attributes &amp; Prefixes'!$B$56:$C$56)&gt;0, "2", "3"), 0), COUNTIF($D$56:$E$56, M$2)&gt;0, VLOOKUP($J603,'Gear Values'!$A$2:$E$13, IF(COUNTBLANK('Attributes &amp; Prefixes'!$B$56:$C$56)&gt;0, "4", "5"), 0)), "")</f>
        <v>75</v>
      </c>
      <c r="N603" s="134" cm="1">
        <f t="array" ref="N603">IF(COUNTIF($B$56:$E$56, N$2)&gt;0, _xlfn.IFS(COUNTIF($B$56:$C$56, N$2)&gt;0, VLOOKUP($J603,'Gear Values'!$A$2:$E$13, IF(COUNTBLANK('Attributes &amp; Prefixes'!$B$56:$C$56)&gt;0, "2", "3"), 0), COUNTIF($D$56:$E$56, N$2)&gt;0, VLOOKUP($J603,'Gear Values'!$A$2:$E$13, IF(COUNTBLANK('Attributes &amp; Prefixes'!$B$56:$C$56)&gt;0, "4", "5"), 0)), "")</f>
        <v>53</v>
      </c>
      <c r="O603" s="134" t="str" cm="1">
        <f t="array" ref="O603">IF(COUNTIF($B$56:$E$56, O$2)&gt;0, _xlfn.IFS(COUNTIF($B$56:$C$56, O$2)&gt;0, VLOOKUP($J603,'Gear Values'!$A$2:$E$13, IF(COUNTBLANK('Attributes &amp; Prefixes'!$B$56:$C$56)&gt;0, "2", "3"), 0), COUNTIF($D$56:$E$56, O$2)&gt;0, VLOOKUP($J603,'Gear Values'!$A$2:$E$13, IF(COUNTBLANK('Attributes &amp; Prefixes'!$B$56:$C$56)&gt;0, "4", "5"), 0)), "")</f>
        <v/>
      </c>
      <c r="P603" s="134" t="str" cm="1">
        <f t="array" ref="P603">IF(COUNTIF($B$56:$E$56, P$2)&gt;0, _xlfn.IFS(COUNTIF($B$56:$C$56, P$2)&gt;0, VLOOKUP($J603,'Gear Values'!$A$2:$E$13, IF(COUNTBLANK('Attributes &amp; Prefixes'!$B$56:$C$56)&gt;0, "2", "3"), 0), COUNTIF($D$56:$E$56, P$2)&gt;0, VLOOKUP($J603,'Gear Values'!$A$2:$E$13, IF(COUNTBLANK('Attributes &amp; Prefixes'!$B$56:$C$56)&gt;0, "4", "5"), 0)), "")</f>
        <v/>
      </c>
      <c r="Q603" s="134" t="str" cm="1">
        <f t="array" ref="Q603">IF(COUNTIF($B$56:$E$56, Q$2)&gt;0, _xlfn.IFS(COUNTIF($B$56:$C$56, Q$2)&gt;0, VLOOKUP($J603,'Gear Values'!$A$2:$E$13, IF(COUNTBLANK('Attributes &amp; Prefixes'!$B$56:$C$56)&gt;0, "2", "3"), 0), COUNTIF($D$56:$E$56, Q$2)&gt;0, VLOOKUP($J603,'Gear Values'!$A$2:$E$13, IF(COUNTBLANK('Attributes &amp; Prefixes'!$B$56:$C$56)&gt;0, "4", "5"), 0)), "")</f>
        <v/>
      </c>
      <c r="R603" s="134" t="str" cm="1">
        <f t="array" ref="R603">IF(COUNTIF($B$56:$E$56, R$2)&gt;0, _xlfn.IFS(COUNTIF($B$56:$C$56, R$2)&gt;0, VLOOKUP($J603,'Gear Values'!$A$2:$E$13, IF(COUNTBLANK('Attributes &amp; Prefixes'!$B$56:$C$56)&gt;0, "2", "3"), 0), COUNTIF($D$56:$E$56, R$2)&gt;0, VLOOKUP($J603,'Gear Values'!$A$2:$E$13, IF(COUNTBLANK('Attributes &amp; Prefixes'!$B$56:$C$56)&gt;0, "4", "5"), 0)), "")</f>
        <v/>
      </c>
      <c r="S603" s="135" cm="1">
        <f t="array" ref="S603">IF(COUNTIF($B$56:$E$56, S$2)&gt;0, _xlfn.IFS(COUNTIF($B$56:$C$56, S$2)&gt;0, VLOOKUP($J603,'Gear Values'!$A$2:$E$13, IF(COUNTBLANK('Attributes &amp; Prefixes'!$B$56:$C$56)&gt;0, "2", "3"), 0), COUNTIF($D$56:$E$56, S$2)&gt;0, VLOOKUP($J603,'Gear Values'!$A$2:$E$13, IF(COUNTBLANK('Attributes &amp; Prefixes'!$B$56:$C$56)&gt;0, "4", "5"), 0)), "")</f>
        <v>53</v>
      </c>
      <c r="V603" s="112"/>
      <c r="W603" s="113"/>
    </row>
    <row r="604" spans="8:23">
      <c r="H604" s="130" t="str">
        <f>_xlfn.CONCAT($I$603,J604)</f>
        <v>AmbriteFinger</v>
      </c>
      <c r="I604" s="520"/>
      <c r="J604" s="144" t="s">
        <v>51</v>
      </c>
      <c r="K604" s="136" t="str" cm="1">
        <f t="array" ref="K604">IF(COUNTIF($B$56:$E$56, K$2)&gt;0, _xlfn.IFS(COUNTIF($B$56:$C$56, K$2)&gt;0, VLOOKUP($J604,'Gear Values'!$A$2:$E$13, IF(COUNTBLANK('Attributes &amp; Prefixes'!$B$56:$C$56)&gt;0, "2", "3"), 0), COUNTIF($D$56:$E$56, K$2)&gt;0, VLOOKUP($J604,'Gear Values'!$A$2:$E$13, IF(COUNTBLANK('Attributes &amp; Prefixes'!$B$56:$C$56)&gt;0, "4", "5"), 0)), "")</f>
        <v/>
      </c>
      <c r="L604" s="137" t="str" cm="1">
        <f t="array" ref="L604">IF(COUNTIF($B$56:$E$56, L$2)&gt;0, _xlfn.IFS(COUNTIF($B$56:$C$56, L$2)&gt;0, VLOOKUP($J604,'Gear Values'!$A$2:$E$13, IF(COUNTBLANK('Attributes &amp; Prefixes'!$B$56:$C$56)&gt;0, "2", "3"), 0), COUNTIF($D$56:$E$56, L$2)&gt;0, VLOOKUP($J604,'Gear Values'!$A$2:$E$13, IF(COUNTBLANK('Attributes &amp; Prefixes'!$B$56:$C$56)&gt;0, "4", "5"), 0)), "")</f>
        <v/>
      </c>
      <c r="M604" s="137" cm="1">
        <f t="array" ref="M604">IF(COUNTIF($B$56:$E$56, M$2)&gt;0, _xlfn.IFS(COUNTIF($B$56:$C$56, M$2)&gt;0, VLOOKUP($J604,'Gear Values'!$A$2:$E$13, IF(COUNTBLANK('Attributes &amp; Prefixes'!$B$56:$C$56)&gt;0, "2", "3"), 0), COUNTIF($D$56:$E$56, M$2)&gt;0, VLOOKUP($J604,'Gear Values'!$A$2:$E$13, IF(COUNTBLANK('Attributes &amp; Prefixes'!$B$56:$C$56)&gt;0, "4", "5"), 0)), "")</f>
        <v>90</v>
      </c>
      <c r="N604" s="137" cm="1">
        <f t="array" ref="N604">IF(COUNTIF($B$56:$E$56, N$2)&gt;0, _xlfn.IFS(COUNTIF($B$56:$C$56, N$2)&gt;0, VLOOKUP($J604,'Gear Values'!$A$2:$E$13, IF(COUNTBLANK('Attributes &amp; Prefixes'!$B$56:$C$56)&gt;0, "2", "3"), 0), COUNTIF($D$56:$E$56, N$2)&gt;0, VLOOKUP($J604,'Gear Values'!$A$2:$E$13, IF(COUNTBLANK('Attributes &amp; Prefixes'!$B$56:$C$56)&gt;0, "4", "5"), 0)), "")</f>
        <v>64</v>
      </c>
      <c r="O604" s="137" t="str" cm="1">
        <f t="array" ref="O604">IF(COUNTIF($B$56:$E$56, O$2)&gt;0, _xlfn.IFS(COUNTIF($B$56:$C$56, O$2)&gt;0, VLOOKUP($J604,'Gear Values'!$A$2:$E$13, IF(COUNTBLANK('Attributes &amp; Prefixes'!$B$56:$C$56)&gt;0, "2", "3"), 0), COUNTIF($D$56:$E$56, O$2)&gt;0, VLOOKUP($J604,'Gear Values'!$A$2:$E$13, IF(COUNTBLANK('Attributes &amp; Prefixes'!$B$56:$C$56)&gt;0, "4", "5"), 0)), "")</f>
        <v/>
      </c>
      <c r="P604" s="137" t="str" cm="1">
        <f t="array" ref="P604">IF(COUNTIF($B$56:$E$56, P$2)&gt;0, _xlfn.IFS(COUNTIF($B$56:$C$56, P$2)&gt;0, VLOOKUP($J604,'Gear Values'!$A$2:$E$13, IF(COUNTBLANK('Attributes &amp; Prefixes'!$B$56:$C$56)&gt;0, "2", "3"), 0), COUNTIF($D$56:$E$56, P$2)&gt;0, VLOOKUP($J604,'Gear Values'!$A$2:$E$13, IF(COUNTBLANK('Attributes &amp; Prefixes'!$B$56:$C$56)&gt;0, "4", "5"), 0)), "")</f>
        <v/>
      </c>
      <c r="Q604" s="137" t="str" cm="1">
        <f t="array" ref="Q604">IF(COUNTIF($B$56:$E$56, Q$2)&gt;0, _xlfn.IFS(COUNTIF($B$56:$C$56, Q$2)&gt;0, VLOOKUP($J604,'Gear Values'!$A$2:$E$13, IF(COUNTBLANK('Attributes &amp; Prefixes'!$B$56:$C$56)&gt;0, "2", "3"), 0), COUNTIF($D$56:$E$56, Q$2)&gt;0, VLOOKUP($J604,'Gear Values'!$A$2:$E$13, IF(COUNTBLANK('Attributes &amp; Prefixes'!$B$56:$C$56)&gt;0, "4", "5"), 0)), "")</f>
        <v/>
      </c>
      <c r="R604" s="137" t="str" cm="1">
        <f t="array" ref="R604">IF(COUNTIF($B$56:$E$56, R$2)&gt;0, _xlfn.IFS(COUNTIF($B$56:$C$56, R$2)&gt;0, VLOOKUP($J604,'Gear Values'!$A$2:$E$13, IF(COUNTBLANK('Attributes &amp; Prefixes'!$B$56:$C$56)&gt;0, "2", "3"), 0), COUNTIF($D$56:$E$56, R$2)&gt;0, VLOOKUP($J604,'Gear Values'!$A$2:$E$13, IF(COUNTBLANK('Attributes &amp; Prefixes'!$B$56:$C$56)&gt;0, "4", "5"), 0)), "")</f>
        <v/>
      </c>
      <c r="S604" s="138" cm="1">
        <f t="array" ref="S604">IF(COUNTIF($B$56:$E$56, S$2)&gt;0, _xlfn.IFS(COUNTIF($B$56:$C$56, S$2)&gt;0, VLOOKUP($J604,'Gear Values'!$A$2:$E$13, IF(COUNTBLANK('Attributes &amp; Prefixes'!$B$56:$C$56)&gt;0, "2", "3"), 0), COUNTIF($D$56:$E$56, S$2)&gt;0, VLOOKUP($J604,'Gear Values'!$A$2:$E$13, IF(COUNTBLANK('Attributes &amp; Prefixes'!$B$56:$C$56)&gt;0, "4", "5"), 0)), "")</f>
        <v>64</v>
      </c>
      <c r="V604" s="112"/>
      <c r="W604" s="112"/>
    </row>
    <row r="605" spans="8:23">
      <c r="H605" s="130" t="str">
        <f>_xlfn.CONCAT($I$603,J605)</f>
        <v>AmbriteNeck</v>
      </c>
      <c r="I605" s="521"/>
      <c r="J605" s="146" t="s">
        <v>52</v>
      </c>
      <c r="K605" s="147" t="str" cm="1">
        <f t="array" ref="K605">IF(COUNTIF($B$56:$E$56, K$2)&gt;0, _xlfn.IFS(COUNTIF($B$56:$C$56, K$2)&gt;0, VLOOKUP($J605,'Gear Values'!$A$2:$E$13, IF(COUNTBLANK('Attributes &amp; Prefixes'!$B$56:$C$56)&gt;0, "2", "3"), 0), COUNTIF($D$56:$E$56, K$2)&gt;0, VLOOKUP($J605,'Gear Values'!$A$2:$E$13, IF(COUNTBLANK('Attributes &amp; Prefixes'!$B$56:$C$56)&gt;0, "4", "5"), 0)), "")</f>
        <v/>
      </c>
      <c r="L605" s="148" t="str" cm="1">
        <f t="array" ref="L605">IF(COUNTIF($B$56:$E$56, L$2)&gt;0, _xlfn.IFS(COUNTIF($B$56:$C$56, L$2)&gt;0, VLOOKUP($J605,'Gear Values'!$A$2:$E$13, IF(COUNTBLANK('Attributes &amp; Prefixes'!$B$56:$C$56)&gt;0, "2", "3"), 0), COUNTIF($D$56:$E$56, L$2)&gt;0, VLOOKUP($J605,'Gear Values'!$A$2:$E$13, IF(COUNTBLANK('Attributes &amp; Prefixes'!$B$56:$C$56)&gt;0, "4", "5"), 0)), "")</f>
        <v/>
      </c>
      <c r="M605" s="148" cm="1">
        <f t="array" ref="M605">IF(COUNTIF($B$56:$E$56, M$2)&gt;0, _xlfn.IFS(COUNTIF($B$56:$C$56, M$2)&gt;0, VLOOKUP($J605,'Gear Values'!$A$2:$E$13, IF(COUNTBLANK('Attributes &amp; Prefixes'!$B$56:$C$56)&gt;0, "2", "3"), 0), COUNTIF($D$56:$E$56, M$2)&gt;0, VLOOKUP($J605,'Gear Values'!$A$2:$E$13, IF(COUNTBLANK('Attributes &amp; Prefixes'!$B$56:$C$56)&gt;0, "4", "5"), 0)), "")</f>
        <v>120</v>
      </c>
      <c r="N605" s="148" cm="1">
        <f t="array" ref="N605">IF(COUNTIF($B$56:$E$56, N$2)&gt;0, _xlfn.IFS(COUNTIF($B$56:$C$56, N$2)&gt;0, VLOOKUP($J605,'Gear Values'!$A$2:$E$13, IF(COUNTBLANK('Attributes &amp; Prefixes'!$B$56:$C$56)&gt;0, "2", "3"), 0), COUNTIF($D$56:$E$56, N$2)&gt;0, VLOOKUP($J605,'Gear Values'!$A$2:$E$13, IF(COUNTBLANK('Attributes &amp; Prefixes'!$B$56:$C$56)&gt;0, "4", "5"), 0)), "")</f>
        <v>85</v>
      </c>
      <c r="O605" s="148" t="str" cm="1">
        <f t="array" ref="O605">IF(COUNTIF($B$56:$E$56, O$2)&gt;0, _xlfn.IFS(COUNTIF($B$56:$C$56, O$2)&gt;0, VLOOKUP($J605,'Gear Values'!$A$2:$E$13, IF(COUNTBLANK('Attributes &amp; Prefixes'!$B$56:$C$56)&gt;0, "2", "3"), 0), COUNTIF($D$56:$E$56, O$2)&gt;0, VLOOKUP($J605,'Gear Values'!$A$2:$E$13, IF(COUNTBLANK('Attributes &amp; Prefixes'!$B$56:$C$56)&gt;0, "4", "5"), 0)), "")</f>
        <v/>
      </c>
      <c r="P605" s="148" t="str" cm="1">
        <f t="array" ref="P605">IF(COUNTIF($B$56:$E$56, P$2)&gt;0, _xlfn.IFS(COUNTIF($B$56:$C$56, P$2)&gt;0, VLOOKUP($J605,'Gear Values'!$A$2:$E$13, IF(COUNTBLANK('Attributes &amp; Prefixes'!$B$56:$C$56)&gt;0, "2", "3"), 0), COUNTIF($D$56:$E$56, P$2)&gt;0, VLOOKUP($J605,'Gear Values'!$A$2:$E$13, IF(COUNTBLANK('Attributes &amp; Prefixes'!$B$56:$C$56)&gt;0, "4", "5"), 0)), "")</f>
        <v/>
      </c>
      <c r="Q605" s="148" t="str" cm="1">
        <f t="array" ref="Q605">IF(COUNTIF($B$56:$E$56, Q$2)&gt;0, _xlfn.IFS(COUNTIF($B$56:$C$56, Q$2)&gt;0, VLOOKUP($J605,'Gear Values'!$A$2:$E$13, IF(COUNTBLANK('Attributes &amp; Prefixes'!$B$56:$C$56)&gt;0, "2", "3"), 0), COUNTIF($D$56:$E$56, Q$2)&gt;0, VLOOKUP($J605,'Gear Values'!$A$2:$E$13, IF(COUNTBLANK('Attributes &amp; Prefixes'!$B$56:$C$56)&gt;0, "4", "5"), 0)), "")</f>
        <v/>
      </c>
      <c r="R605" s="148" t="str" cm="1">
        <f t="array" ref="R605">IF(COUNTIF($B$56:$E$56, R$2)&gt;0, _xlfn.IFS(COUNTIF($B$56:$C$56, R$2)&gt;0, VLOOKUP($J605,'Gear Values'!$A$2:$E$13, IF(COUNTBLANK('Attributes &amp; Prefixes'!$B$56:$C$56)&gt;0, "2", "3"), 0), COUNTIF($D$56:$E$56, R$2)&gt;0, VLOOKUP($J605,'Gear Values'!$A$2:$E$13, IF(COUNTBLANK('Attributes &amp; Prefixes'!$B$56:$C$56)&gt;0, "4", "5"), 0)), "")</f>
        <v/>
      </c>
      <c r="S605" s="150" cm="1">
        <f t="array" ref="S605">IF(COUNTIF($B$56:$E$56, S$2)&gt;0, _xlfn.IFS(COUNTIF($B$56:$C$56, S$2)&gt;0, VLOOKUP($J605,'Gear Values'!$A$2:$E$13, IF(COUNTBLANK('Attributes &amp; Prefixes'!$B$56:$C$56)&gt;0, "2", "3"), 0), COUNTIF($D$56:$E$56, S$2)&gt;0, VLOOKUP($J605,'Gear Values'!$A$2:$E$13, IF(COUNTBLANK('Attributes &amp; Prefixes'!$B$56:$C$56)&gt;0, "4", "5"), 0)), "")</f>
        <v>85</v>
      </c>
      <c r="V605" s="112"/>
      <c r="W605" s="113"/>
    </row>
    <row r="606" spans="8:23">
      <c r="H606" s="130" t="str">
        <f>_xlfn.CONCAT($I$606,J606)</f>
        <v>SnowflakeEar</v>
      </c>
      <c r="I606" s="515" t="s">
        <v>2499</v>
      </c>
      <c r="J606" s="145" t="s">
        <v>49</v>
      </c>
      <c r="K606" s="133" t="str" cm="1">
        <f t="array" ref="K606">IF(COUNTIF($B$77:$E$77, K$2)&gt;0, _xlfn.IFS(COUNTIF($B$77:$C$77, K$2)&gt;0, VLOOKUP($J606,'Gear Values'!$A$2:$E$13, IF(COUNTBLANK('Attributes &amp; Prefixes'!$B$77:$C$77)&gt;0, "2", "3"), 0), COUNTIF($D$77:$E$77, K$2)&gt;0, VLOOKUP($J606,'Gear Values'!$A$2:$E$13, IF(COUNTBLANK('Attributes &amp; Prefixes'!$B$77:$C$77)&gt;0, "4", "5"), 0)), "")</f>
        <v/>
      </c>
      <c r="L606" s="134" t="str" cm="1">
        <f t="array" ref="L606">IF(COUNTIF($B$77:$E$77, L$2)&gt;0, _xlfn.IFS(COUNTIF($B$77:$C$77, L$2)&gt;0, VLOOKUP($J606,'Gear Values'!$A$2:$E$13, IF(COUNTBLANK('Attributes &amp; Prefixes'!$B$77:$C$77)&gt;0, "2", "3"), 0), COUNTIF($D$77:$E$77, L$2)&gt;0, VLOOKUP($J606,'Gear Values'!$A$2:$E$13, IF(COUNTBLANK('Attributes &amp; Prefixes'!$B$77:$C$77)&gt;0, "4", "5"), 0)), "")</f>
        <v/>
      </c>
      <c r="M606" s="134" cm="1">
        <f t="array" ref="M606">IF(COUNTIF($B$77:$E$77, M$2)&gt;0, _xlfn.IFS(COUNTIF($B$77:$C$77, M$2)&gt;0, VLOOKUP($J606,'Gear Values'!$A$2:$E$13, IF(COUNTBLANK('Attributes &amp; Prefixes'!$B$77:$C$77)&gt;0, "2", "3"), 0), COUNTIF($D$77:$E$77, M$2)&gt;0, VLOOKUP($J606,'Gear Values'!$A$2:$E$13, IF(COUNTBLANK('Attributes &amp; Prefixes'!$B$77:$C$77)&gt;0, "4", "5"), 0)), "")</f>
        <v>75</v>
      </c>
      <c r="N606" s="134" t="str" cm="1">
        <f t="array" ref="N606">IF(COUNTIF($B$77:$E$77, N$2)&gt;0, _xlfn.IFS(COUNTIF($B$77:$C$77, N$2)&gt;0, VLOOKUP($J606,'Gear Values'!$A$2:$E$13, IF(COUNTBLANK('Attributes &amp; Prefixes'!$B$77:$C$77)&gt;0, "2", "3"), 0), COUNTIF($D$77:$E$77, N$2)&gt;0, VLOOKUP($J606,'Gear Values'!$A$2:$E$13, IF(COUNTBLANK('Attributes &amp; Prefixes'!$B$77:$C$77)&gt;0, "4", "5"), 0)), "")</f>
        <v/>
      </c>
      <c r="O606" s="134" cm="1">
        <f t="array" ref="O606">IF(COUNTIF($B$77:$E$77, O$2)&gt;0, _xlfn.IFS(COUNTIF($B$77:$C$77, O$2)&gt;0, VLOOKUP($J606,'Gear Values'!$A$2:$E$13, IF(COUNTBLANK('Attributes &amp; Prefixes'!$B$77:$C$77)&gt;0, "2", "3"), 0), COUNTIF($D$77:$E$77, O$2)&gt;0, VLOOKUP($J606,'Gear Values'!$A$2:$E$13, IF(COUNTBLANK('Attributes &amp; Prefixes'!$B$77:$C$77)&gt;0, "4", "5"), 0)), "")</f>
        <v>53</v>
      </c>
      <c r="P606" s="134" t="str" cm="1">
        <f t="array" ref="P606">IF(COUNTIF($B$77:$E$77, P$2)&gt;0, _xlfn.IFS(COUNTIF($B$77:$C$77, P$2)&gt;0, VLOOKUP($J606,'Gear Values'!$A$2:$E$13, IF(COUNTBLANK('Attributes &amp; Prefixes'!$B$77:$C$77)&gt;0, "2", "3"), 0), COUNTIF($D$77:$E$77, P$2)&gt;0, VLOOKUP($J606,'Gear Values'!$A$2:$E$13, IF(COUNTBLANK('Attributes &amp; Prefixes'!$B$77:$C$77)&gt;0, "4", "5"), 0)), "")</f>
        <v/>
      </c>
      <c r="Q606" s="134" t="str" cm="1">
        <f t="array" ref="Q606">IF(COUNTIF($B$77:$E$77, Q$2)&gt;0, _xlfn.IFS(COUNTIF($B$77:$C$77, Q$2)&gt;0, VLOOKUP($J606,'Gear Values'!$A$2:$E$13, IF(COUNTBLANK('Attributes &amp; Prefixes'!$B$77:$C$77)&gt;0, "2", "3"), 0), COUNTIF($D$77:$E$77, Q$2)&gt;0, VLOOKUP($J606,'Gear Values'!$A$2:$E$13, IF(COUNTBLANK('Attributes &amp; Prefixes'!$B$77:$C$77)&gt;0, "4", "5"), 0)), "")</f>
        <v/>
      </c>
      <c r="R606" s="134" t="str" cm="1">
        <f t="array" ref="R606">IF(COUNTIF($B$77:$E$77, R$2)&gt;0, _xlfn.IFS(COUNTIF($B$77:$C$77, R$2)&gt;0, VLOOKUP($J606,'Gear Values'!$A$2:$E$13, IF(COUNTBLANK('Attributes &amp; Prefixes'!$B$77:$C$77)&gt;0, "2", "3"), 0), COUNTIF($D$77:$E$77, R$2)&gt;0, VLOOKUP($J606,'Gear Values'!$A$2:$E$13, IF(COUNTBLANK('Attributes &amp; Prefixes'!$B$77:$C$77)&gt;0, "4", "5"), 0)), "")</f>
        <v/>
      </c>
      <c r="S606" s="135" cm="1">
        <f t="array" ref="S606">IF(COUNTIF($B$77:$E$77, S$2)&gt;0, _xlfn.IFS(COUNTIF($B$77:$C$77, S$2)&gt;0, VLOOKUP($J606,'Gear Values'!$A$2:$E$13, IF(COUNTBLANK('Attributes &amp; Prefixes'!$B$77:$C$77)&gt;0, "2", "3"), 0), COUNTIF($D$77:$E$77, S$2)&gt;0, VLOOKUP($J606,'Gear Values'!$A$2:$E$13, IF(COUNTBLANK('Attributes &amp; Prefixes'!$B$77:$C$77)&gt;0, "4", "5"), 0)), "")</f>
        <v>53</v>
      </c>
      <c r="V606" s="112"/>
      <c r="W606" s="113"/>
    </row>
    <row r="607" spans="8:23">
      <c r="H607" s="130" t="str">
        <f>_xlfn.CONCAT($I$606,J607)</f>
        <v>SnowflakeFinger</v>
      </c>
      <c r="I607" s="516"/>
      <c r="J607" s="132" t="s">
        <v>51</v>
      </c>
      <c r="K607" s="136" t="str" cm="1">
        <f t="array" ref="K607">IF(COUNTIF($B$77:$E$77, K$2)&gt;0, _xlfn.IFS(COUNTIF($B$77:$C$77, K$2)&gt;0, VLOOKUP($J607,'Gear Values'!$A$2:$E$13, IF(COUNTBLANK('Attributes &amp; Prefixes'!$B$77:$C$77)&gt;0, "2", "3"), 0), COUNTIF($D$77:$E$77, K$2)&gt;0, VLOOKUP($J607,'Gear Values'!$A$2:$E$13, IF(COUNTBLANK('Attributes &amp; Prefixes'!$B$77:$C$77)&gt;0, "4", "5"), 0)), "")</f>
        <v/>
      </c>
      <c r="L607" s="137" t="str" cm="1">
        <f t="array" ref="L607">IF(COUNTIF($B$77:$E$77, L$2)&gt;0, _xlfn.IFS(COUNTIF($B$77:$C$77, L$2)&gt;0, VLOOKUP($J607,'Gear Values'!$A$2:$E$13, IF(COUNTBLANK('Attributes &amp; Prefixes'!$B$77:$C$77)&gt;0, "2", "3"), 0), COUNTIF($D$77:$E$77, L$2)&gt;0, VLOOKUP($J607,'Gear Values'!$A$2:$E$13, IF(COUNTBLANK('Attributes &amp; Prefixes'!$B$77:$C$77)&gt;0, "4", "5"), 0)), "")</f>
        <v/>
      </c>
      <c r="M607" s="137" cm="1">
        <f t="array" ref="M607">IF(COUNTIF($B$77:$E$77, M$2)&gt;0, _xlfn.IFS(COUNTIF($B$77:$C$77, M$2)&gt;0, VLOOKUP($J607,'Gear Values'!$A$2:$E$13, IF(COUNTBLANK('Attributes &amp; Prefixes'!$B$77:$C$77)&gt;0, "2", "3"), 0), COUNTIF($D$77:$E$77, M$2)&gt;0, VLOOKUP($J607,'Gear Values'!$A$2:$E$13, IF(COUNTBLANK('Attributes &amp; Prefixes'!$B$77:$C$77)&gt;0, "4", "5"), 0)), "")</f>
        <v>90</v>
      </c>
      <c r="N607" s="137" t="str" cm="1">
        <f t="array" ref="N607">IF(COUNTIF($B$77:$E$77, N$2)&gt;0, _xlfn.IFS(COUNTIF($B$77:$C$77, N$2)&gt;0, VLOOKUP($J607,'Gear Values'!$A$2:$E$13, IF(COUNTBLANK('Attributes &amp; Prefixes'!$B$77:$C$77)&gt;0, "2", "3"), 0), COUNTIF($D$77:$E$77, N$2)&gt;0, VLOOKUP($J607,'Gear Values'!$A$2:$E$13, IF(COUNTBLANK('Attributes &amp; Prefixes'!$B$77:$C$77)&gt;0, "4", "5"), 0)), "")</f>
        <v/>
      </c>
      <c r="O607" s="137" cm="1">
        <f t="array" ref="O607">IF(COUNTIF($B$77:$E$77, O$2)&gt;0, _xlfn.IFS(COUNTIF($B$77:$C$77, O$2)&gt;0, VLOOKUP($J607,'Gear Values'!$A$2:$E$13, IF(COUNTBLANK('Attributes &amp; Prefixes'!$B$77:$C$77)&gt;0, "2", "3"), 0), COUNTIF($D$77:$E$77, O$2)&gt;0, VLOOKUP($J607,'Gear Values'!$A$2:$E$13, IF(COUNTBLANK('Attributes &amp; Prefixes'!$B$77:$C$77)&gt;0, "4", "5"), 0)), "")</f>
        <v>64</v>
      </c>
      <c r="P607" s="137" t="str" cm="1">
        <f t="array" ref="P607">IF(COUNTIF($B$77:$E$77, P$2)&gt;0, _xlfn.IFS(COUNTIF($B$77:$C$77, P$2)&gt;0, VLOOKUP($J607,'Gear Values'!$A$2:$E$13, IF(COUNTBLANK('Attributes &amp; Prefixes'!$B$77:$C$77)&gt;0, "2", "3"), 0), COUNTIF($D$77:$E$77, P$2)&gt;0, VLOOKUP($J607,'Gear Values'!$A$2:$E$13, IF(COUNTBLANK('Attributes &amp; Prefixes'!$B$77:$C$77)&gt;0, "4", "5"), 0)), "")</f>
        <v/>
      </c>
      <c r="Q607" s="137" t="str" cm="1">
        <f t="array" ref="Q607">IF(COUNTIF($B$77:$E$77, Q$2)&gt;0, _xlfn.IFS(COUNTIF($B$77:$C$77, Q$2)&gt;0, VLOOKUP($J607,'Gear Values'!$A$2:$E$13, IF(COUNTBLANK('Attributes &amp; Prefixes'!$B$77:$C$77)&gt;0, "2", "3"), 0), COUNTIF($D$77:$E$77, Q$2)&gt;0, VLOOKUP($J607,'Gear Values'!$A$2:$E$13, IF(COUNTBLANK('Attributes &amp; Prefixes'!$B$77:$C$77)&gt;0, "4", "5"), 0)), "")</f>
        <v/>
      </c>
      <c r="R607" s="137" t="str" cm="1">
        <f t="array" ref="R607">IF(COUNTIF($B$77:$E$77, R$2)&gt;0, _xlfn.IFS(COUNTIF($B$77:$C$77, R$2)&gt;0, VLOOKUP($J607,'Gear Values'!$A$2:$E$13, IF(COUNTBLANK('Attributes &amp; Prefixes'!$B$77:$C$77)&gt;0, "2", "3"), 0), COUNTIF($D$77:$E$77, R$2)&gt;0, VLOOKUP($J607,'Gear Values'!$A$2:$E$13, IF(COUNTBLANK('Attributes &amp; Prefixes'!$B$77:$C$77)&gt;0, "4", "5"), 0)), "")</f>
        <v/>
      </c>
      <c r="S607" s="138" cm="1">
        <f t="array" ref="S607">IF(COUNTIF($B$77:$E$77, S$2)&gt;0, _xlfn.IFS(COUNTIF($B$77:$C$77, S$2)&gt;0, VLOOKUP($J607,'Gear Values'!$A$2:$E$13, IF(COUNTBLANK('Attributes &amp; Prefixes'!$B$77:$C$77)&gt;0, "2", "3"), 0), COUNTIF($D$77:$E$77, S$2)&gt;0, VLOOKUP($J607,'Gear Values'!$A$2:$E$13, IF(COUNTBLANK('Attributes &amp; Prefixes'!$B$77:$C$77)&gt;0, "4", "5"), 0)), "")</f>
        <v>64</v>
      </c>
      <c r="V607" s="112"/>
      <c r="W607" s="113"/>
    </row>
    <row r="608" spans="8:23">
      <c r="H608" s="130" t="str">
        <f>_xlfn.CONCAT($I$606,J608)</f>
        <v>SnowflakeNeck</v>
      </c>
      <c r="I608" s="517"/>
      <c r="J608" s="132" t="s">
        <v>52</v>
      </c>
      <c r="K608" s="141" t="str" cm="1">
        <f t="array" ref="K608">IF(COUNTIF($B$77:$E$77, K$2)&gt;0, _xlfn.IFS(COUNTIF($B$77:$C$77, K$2)&gt;0, VLOOKUP($J608,'Gear Values'!$A$2:$E$13, IF(COUNTBLANK('Attributes &amp; Prefixes'!$B$77:$C$77)&gt;0, "2", "3"), 0), COUNTIF($D$77:$E$77, K$2)&gt;0, VLOOKUP($J608,'Gear Values'!$A$2:$E$13, IF(COUNTBLANK('Attributes &amp; Prefixes'!$B$77:$C$77)&gt;0, "4", "5"), 0)), "")</f>
        <v/>
      </c>
      <c r="L608" s="142" t="str" cm="1">
        <f t="array" ref="L608">IF(COUNTIF($B$77:$E$77, L$2)&gt;0, _xlfn.IFS(COUNTIF($B$77:$C$77, L$2)&gt;0, VLOOKUP($J608,'Gear Values'!$A$2:$E$13, IF(COUNTBLANK('Attributes &amp; Prefixes'!$B$77:$C$77)&gt;0, "2", "3"), 0), COUNTIF($D$77:$E$77, L$2)&gt;0, VLOOKUP($J608,'Gear Values'!$A$2:$E$13, IF(COUNTBLANK('Attributes &amp; Prefixes'!$B$77:$C$77)&gt;0, "4", "5"), 0)), "")</f>
        <v/>
      </c>
      <c r="M608" s="142" cm="1">
        <f t="array" ref="M608">IF(COUNTIF($B$77:$E$77, M$2)&gt;0, _xlfn.IFS(COUNTIF($B$77:$C$77, M$2)&gt;0, VLOOKUP($J608,'Gear Values'!$A$2:$E$13, IF(COUNTBLANK('Attributes &amp; Prefixes'!$B$77:$C$77)&gt;0, "2", "3"), 0), COUNTIF($D$77:$E$77, M$2)&gt;0, VLOOKUP($J608,'Gear Values'!$A$2:$E$13, IF(COUNTBLANK('Attributes &amp; Prefixes'!$B$77:$C$77)&gt;0, "4", "5"), 0)), "")</f>
        <v>120</v>
      </c>
      <c r="N608" s="142" t="str" cm="1">
        <f t="array" ref="N608">IF(COUNTIF($B$77:$E$77, N$2)&gt;0, _xlfn.IFS(COUNTIF($B$77:$C$77, N$2)&gt;0, VLOOKUP($J608,'Gear Values'!$A$2:$E$13, IF(COUNTBLANK('Attributes &amp; Prefixes'!$B$77:$C$77)&gt;0, "2", "3"), 0), COUNTIF($D$77:$E$77, N$2)&gt;0, VLOOKUP($J608,'Gear Values'!$A$2:$E$13, IF(COUNTBLANK('Attributes &amp; Prefixes'!$B$77:$C$77)&gt;0, "4", "5"), 0)), "")</f>
        <v/>
      </c>
      <c r="O608" s="142" cm="1">
        <f t="array" ref="O608">IF(COUNTIF($B$77:$E$77, O$2)&gt;0, _xlfn.IFS(COUNTIF($B$77:$C$77, O$2)&gt;0, VLOOKUP($J608,'Gear Values'!$A$2:$E$13, IF(COUNTBLANK('Attributes &amp; Prefixes'!$B$77:$C$77)&gt;0, "2", "3"), 0), COUNTIF($D$77:$E$77, O$2)&gt;0, VLOOKUP($J608,'Gear Values'!$A$2:$E$13, IF(COUNTBLANK('Attributes &amp; Prefixes'!$B$77:$C$77)&gt;0, "4", "5"), 0)), "")</f>
        <v>85</v>
      </c>
      <c r="P608" s="142" t="str" cm="1">
        <f t="array" ref="P608">IF(COUNTIF($B$77:$E$77, P$2)&gt;0, _xlfn.IFS(COUNTIF($B$77:$C$77, P$2)&gt;0, VLOOKUP($J608,'Gear Values'!$A$2:$E$13, IF(COUNTBLANK('Attributes &amp; Prefixes'!$B$77:$C$77)&gt;0, "2", "3"), 0), COUNTIF($D$77:$E$77, P$2)&gt;0, VLOOKUP($J608,'Gear Values'!$A$2:$E$13, IF(COUNTBLANK('Attributes &amp; Prefixes'!$B$77:$C$77)&gt;0, "4", "5"), 0)), "")</f>
        <v/>
      </c>
      <c r="Q608" s="142" t="str" cm="1">
        <f t="array" ref="Q608">IF(COUNTIF($B$77:$E$77, Q$2)&gt;0, _xlfn.IFS(COUNTIF($B$77:$C$77, Q$2)&gt;0, VLOOKUP($J608,'Gear Values'!$A$2:$E$13, IF(COUNTBLANK('Attributes &amp; Prefixes'!$B$77:$C$77)&gt;0, "2", "3"), 0), COUNTIF($D$77:$E$77, Q$2)&gt;0, VLOOKUP($J608,'Gear Values'!$A$2:$E$13, IF(COUNTBLANK('Attributes &amp; Prefixes'!$B$77:$C$77)&gt;0, "4", "5"), 0)), "")</f>
        <v/>
      </c>
      <c r="R608" s="142" t="str" cm="1">
        <f t="array" ref="R608">IF(COUNTIF($B$77:$E$77, R$2)&gt;0, _xlfn.IFS(COUNTIF($B$77:$C$77, R$2)&gt;0, VLOOKUP($J608,'Gear Values'!$A$2:$E$13, IF(COUNTBLANK('Attributes &amp; Prefixes'!$B$77:$C$77)&gt;0, "2", "3"), 0), COUNTIF($D$77:$E$77, R$2)&gt;0, VLOOKUP($J608,'Gear Values'!$A$2:$E$13, IF(COUNTBLANK('Attributes &amp; Prefixes'!$B$77:$C$77)&gt;0, "4", "5"), 0)), "")</f>
        <v/>
      </c>
      <c r="S608" s="143" cm="1">
        <f t="array" ref="S608">IF(COUNTIF($B$77:$E$77, S$2)&gt;0, _xlfn.IFS(COUNTIF($B$77:$C$77, S$2)&gt;0, VLOOKUP($J608,'Gear Values'!$A$2:$E$13, IF(COUNTBLANK('Attributes &amp; Prefixes'!$B$77:$C$77)&gt;0, "2", "3"), 0), COUNTIF($D$77:$E$77, S$2)&gt;0, VLOOKUP($J608,'Gear Values'!$A$2:$E$13, IF(COUNTBLANK('Attributes &amp; Prefixes'!$B$77:$C$77)&gt;0, "4", "5"), 0)), "")</f>
        <v>85</v>
      </c>
      <c r="V608" s="112"/>
      <c r="W608" s="113"/>
    </row>
    <row r="609" spans="22:23">
      <c r="V609" s="112"/>
      <c r="W609" s="113"/>
    </row>
    <row r="610" spans="22:23">
      <c r="V610" s="112"/>
      <c r="W610" s="113"/>
    </row>
    <row r="611" spans="22:23">
      <c r="V611" s="112"/>
      <c r="W611" s="112"/>
    </row>
    <row r="612" spans="22:23">
      <c r="V612" s="112"/>
      <c r="W612" s="112"/>
    </row>
  </sheetData>
  <sheetProtection sheet="1" objects="1" scenarios="1"/>
  <mergeCells count="56">
    <mergeCell ref="I327:I338"/>
    <mergeCell ref="I519:I530"/>
    <mergeCell ref="I531:I542"/>
    <mergeCell ref="I543:I554"/>
    <mergeCell ref="I339:I350"/>
    <mergeCell ref="I351:I362"/>
    <mergeCell ref="I363:I374"/>
    <mergeCell ref="I375:I386"/>
    <mergeCell ref="I387:I398"/>
    <mergeCell ref="I459:I470"/>
    <mergeCell ref="I471:I482"/>
    <mergeCell ref="I483:I494"/>
    <mergeCell ref="I495:I506"/>
    <mergeCell ref="I507:I518"/>
    <mergeCell ref="I267:I278"/>
    <mergeCell ref="I279:I290"/>
    <mergeCell ref="I291:I302"/>
    <mergeCell ref="I303:I314"/>
    <mergeCell ref="I315:I326"/>
    <mergeCell ref="I207:I218"/>
    <mergeCell ref="I219:I230"/>
    <mergeCell ref="I231:I242"/>
    <mergeCell ref="I243:I254"/>
    <mergeCell ref="I255:I266"/>
    <mergeCell ref="I147:I158"/>
    <mergeCell ref="I159:I170"/>
    <mergeCell ref="I171:I182"/>
    <mergeCell ref="I183:I194"/>
    <mergeCell ref="I195:I206"/>
    <mergeCell ref="B62:E62"/>
    <mergeCell ref="I99:I110"/>
    <mergeCell ref="I111:I122"/>
    <mergeCell ref="I123:I134"/>
    <mergeCell ref="I135:I146"/>
    <mergeCell ref="A1:F1"/>
    <mergeCell ref="I3:I14"/>
    <mergeCell ref="I15:I26"/>
    <mergeCell ref="I27:I38"/>
    <mergeCell ref="I39:I50"/>
    <mergeCell ref="B13:E13"/>
    <mergeCell ref="I606:I608"/>
    <mergeCell ref="H1:S1"/>
    <mergeCell ref="I555:I566"/>
    <mergeCell ref="I567:I578"/>
    <mergeCell ref="I579:I590"/>
    <mergeCell ref="I591:I602"/>
    <mergeCell ref="I603:I605"/>
    <mergeCell ref="I399:I410"/>
    <mergeCell ref="I411:I422"/>
    <mergeCell ref="I423:I434"/>
    <mergeCell ref="I435:I446"/>
    <mergeCell ref="I447:I458"/>
    <mergeCell ref="I51:I62"/>
    <mergeCell ref="I63:I74"/>
    <mergeCell ref="I75:I86"/>
    <mergeCell ref="I87:I98"/>
  </mergeCells>
  <conditionalFormatting sqref="K3:S14">
    <cfRule type="beginsWith" dxfId="25" priority="3" operator="beginsWith" text="0">
      <formula>LEFT(K3,LEN("0"))="0"</formula>
    </cfRule>
  </conditionalFormatting>
  <conditionalFormatting sqref="K39:S122">
    <cfRule type="beginsWith" dxfId="24" priority="1" operator="beginsWith" text="0">
      <formula>LEFT(K39,LEN("0"))="0"</formula>
    </cfRule>
  </conditionalFormatting>
  <dataValidations count="2">
    <dataValidation allowBlank="1" showInputMessage="1" showErrorMessage="1" promptTitle="Source Reference" prompt="Gear Prefixes and their assigned Attribute enhancements." sqref="A1:F1" xr:uid="{0F6E6229-4A00-4E79-9A84-796B2BB6B546}"/>
    <dataValidation allowBlank="1" showInputMessage="1" showErrorMessage="1" promptTitle="Resolution Table" prompt="Attribute enhancement values." sqref="H1:S1" xr:uid="{4232CDAE-588B-48C0-AEAB-69342C0D1F04}"/>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A594-65EB-437F-90FA-61F6162478DC}">
  <dimension ref="A1:N101"/>
  <sheetViews>
    <sheetView workbookViewId="0">
      <selection activeCell="M2" sqref="M2"/>
    </sheetView>
  </sheetViews>
  <sheetFormatPr defaultRowHeight="14.25"/>
  <cols>
    <col min="1" max="1" width="31.42578125" style="207" bestFit="1" customWidth="1"/>
    <col min="2" max="2" width="7.5703125" style="194" bestFit="1" customWidth="1"/>
    <col min="3" max="3" width="16.7109375" style="195" bestFit="1" customWidth="1"/>
    <col min="4" max="4" width="7.5703125" style="195" bestFit="1" customWidth="1"/>
    <col min="5" max="5" width="25.85546875" style="195" bestFit="1" customWidth="1"/>
    <col min="6" max="6" width="7.5703125" style="195" bestFit="1" customWidth="1"/>
    <col min="7" max="7" width="16.7109375" style="195" bestFit="1" customWidth="1"/>
    <col min="8" max="8" width="7.5703125" style="195" bestFit="1" customWidth="1"/>
    <col min="9" max="9" width="31.28515625" style="195" bestFit="1" customWidth="1"/>
    <col min="10" max="10" width="7.5703125" style="195" bestFit="1" customWidth="1"/>
    <col min="11" max="11" width="16.7109375" style="195" bestFit="1" customWidth="1"/>
    <col min="12" max="12" width="7.5703125" style="195" bestFit="1" customWidth="1"/>
    <col min="13" max="13" width="25.42578125" style="299" bestFit="1" customWidth="1"/>
    <col min="14" max="14" width="32.85546875" style="28" bestFit="1" customWidth="1"/>
    <col min="15" max="16384" width="9.140625" style="28"/>
  </cols>
  <sheetData>
    <row r="1" spans="1:14">
      <c r="A1" s="508" t="s">
        <v>90</v>
      </c>
      <c r="B1" s="571" t="s">
        <v>2502</v>
      </c>
      <c r="C1" s="569"/>
      <c r="D1" s="569" t="s">
        <v>2503</v>
      </c>
      <c r="E1" s="569"/>
      <c r="F1" s="569" t="s">
        <v>2504</v>
      </c>
      <c r="G1" s="569"/>
      <c r="H1" s="569" t="s">
        <v>2505</v>
      </c>
      <c r="I1" s="569"/>
      <c r="J1" s="569" t="s">
        <v>2506</v>
      </c>
      <c r="K1" s="569"/>
      <c r="L1" s="569" t="s">
        <v>2507</v>
      </c>
      <c r="M1" s="570"/>
      <c r="N1" s="451" t="s">
        <v>107</v>
      </c>
    </row>
    <row r="2" spans="1:14" s="217" customFormat="1" ht="11.25">
      <c r="A2" s="237" t="s">
        <v>4</v>
      </c>
      <c r="B2" s="341" t="s">
        <v>2163</v>
      </c>
      <c r="C2" s="342" t="s">
        <v>2162</v>
      </c>
      <c r="D2" s="342" t="s">
        <v>2163</v>
      </c>
      <c r="E2" s="342" t="s">
        <v>2162</v>
      </c>
      <c r="F2" s="342" t="s">
        <v>2163</v>
      </c>
      <c r="G2" s="342" t="s">
        <v>2162</v>
      </c>
      <c r="H2" s="342" t="s">
        <v>2163</v>
      </c>
      <c r="I2" s="342" t="s">
        <v>2162</v>
      </c>
      <c r="J2" s="342" t="s">
        <v>2163</v>
      </c>
      <c r="K2" s="342" t="s">
        <v>2162</v>
      </c>
      <c r="L2" s="342" t="s">
        <v>2163</v>
      </c>
      <c r="M2" s="343" t="s">
        <v>2162</v>
      </c>
      <c r="N2" s="453" t="s">
        <v>4</v>
      </c>
    </row>
    <row r="3" spans="1:14">
      <c r="A3" s="344" t="s">
        <v>2508</v>
      </c>
      <c r="B3" s="337">
        <v>25</v>
      </c>
      <c r="C3" s="338" t="s">
        <v>6</v>
      </c>
      <c r="D3" s="339">
        <v>0.05</v>
      </c>
      <c r="E3" s="338" t="s">
        <v>84</v>
      </c>
      <c r="F3" s="338">
        <v>50</v>
      </c>
      <c r="G3" s="338" t="s">
        <v>6</v>
      </c>
      <c r="H3" s="339">
        <v>0.1</v>
      </c>
      <c r="I3" s="338" t="s">
        <v>84</v>
      </c>
      <c r="J3" s="338">
        <v>100</v>
      </c>
      <c r="K3" s="338" t="s">
        <v>6</v>
      </c>
      <c r="L3" s="339">
        <v>0.1</v>
      </c>
      <c r="M3" s="338" t="s">
        <v>84</v>
      </c>
      <c r="N3" s="452" t="str">
        <f>IF(OR(COUNTBLANK(AttributeFilter)=1,AttributeFilter="(Select)"),A3,IF(COUNTIF(C3:M3,AttributeFilter)&gt;0,A3,""))</f>
        <v>Superior Rune of Fireworks</v>
      </c>
    </row>
    <row r="4" spans="1:14">
      <c r="A4" s="207" t="s">
        <v>2509</v>
      </c>
      <c r="B4" s="194">
        <v>25</v>
      </c>
      <c r="C4" s="195" t="s">
        <v>6</v>
      </c>
      <c r="D4" s="301">
        <v>0.05</v>
      </c>
      <c r="E4" s="195" t="s">
        <v>84</v>
      </c>
      <c r="F4" s="195">
        <v>50</v>
      </c>
      <c r="G4" s="195" t="s">
        <v>6</v>
      </c>
      <c r="H4" s="301">
        <v>0.1</v>
      </c>
      <c r="I4" s="195" t="s">
        <v>84</v>
      </c>
      <c r="J4" s="195">
        <v>100</v>
      </c>
      <c r="K4" s="195" t="s">
        <v>6</v>
      </c>
      <c r="L4" s="301">
        <v>0.25</v>
      </c>
      <c r="M4" s="195" t="s">
        <v>2510</v>
      </c>
      <c r="N4" s="452" t="str">
        <f>IF(OR(COUNTBLANK(AttributeFilter)=1,AttributeFilter="(Select)"),A4,IF(COUNTIF(C4:M4,AttributeFilter)&gt;0,A4,""))</f>
        <v>Superior Rune of Surging</v>
      </c>
    </row>
    <row r="5" spans="1:14">
      <c r="A5" s="207" t="s">
        <v>55</v>
      </c>
      <c r="B5" s="194">
        <v>25</v>
      </c>
      <c r="C5" s="195" t="s">
        <v>6</v>
      </c>
      <c r="D5" s="301">
        <v>0.05</v>
      </c>
      <c r="E5" s="195" t="s">
        <v>84</v>
      </c>
      <c r="F5" s="195">
        <v>50</v>
      </c>
      <c r="G5" s="195" t="s">
        <v>6</v>
      </c>
      <c r="H5" s="301">
        <v>0.1</v>
      </c>
      <c r="I5" s="195" t="s">
        <v>84</v>
      </c>
      <c r="J5" s="195">
        <v>100</v>
      </c>
      <c r="K5" s="195" t="s">
        <v>6</v>
      </c>
      <c r="L5" s="195">
        <v>125</v>
      </c>
      <c r="M5" s="195" t="s">
        <v>7</v>
      </c>
      <c r="N5" s="452" t="str">
        <f>IF(OR(COUNTBLANK(AttributeFilter)=1,AttributeFilter="(Select)"),A5,IF(COUNTIF(C5:M5,AttributeFilter)&gt;0,A5,""))</f>
        <v>Superior Rune of the Pack</v>
      </c>
    </row>
    <row r="6" spans="1:14">
      <c r="A6" s="207" t="s">
        <v>2511</v>
      </c>
      <c r="B6" s="194">
        <v>25</v>
      </c>
      <c r="C6" s="195" t="s">
        <v>6</v>
      </c>
      <c r="D6" s="301">
        <v>0.1</v>
      </c>
      <c r="E6" s="195" t="s">
        <v>2512</v>
      </c>
      <c r="F6" s="195">
        <v>50</v>
      </c>
      <c r="G6" s="195" t="s">
        <v>6</v>
      </c>
      <c r="H6" s="301">
        <v>0.2</v>
      </c>
      <c r="I6" s="195" t="s">
        <v>2512</v>
      </c>
      <c r="J6" s="195">
        <v>100</v>
      </c>
      <c r="K6" s="195" t="s">
        <v>6</v>
      </c>
      <c r="L6" s="301">
        <v>0.2</v>
      </c>
      <c r="M6" s="195" t="s">
        <v>2512</v>
      </c>
      <c r="N6" s="452" t="str">
        <f>IF(OR(COUNTBLANK(AttributeFilter)=1,AttributeFilter="(Select)"),A6,IF(COUNTIF(C6:M6,AttributeFilter)&gt;0,A6,""))</f>
        <v>Superior Rune of the Citadel</v>
      </c>
    </row>
    <row r="7" spans="1:14">
      <c r="A7" s="207" t="s">
        <v>56</v>
      </c>
      <c r="B7" s="194">
        <v>25</v>
      </c>
      <c r="C7" s="195" t="s">
        <v>6</v>
      </c>
      <c r="D7" s="301">
        <v>0.1</v>
      </c>
      <c r="E7" s="195" t="s">
        <v>2513</v>
      </c>
      <c r="F7" s="195">
        <v>50</v>
      </c>
      <c r="G7" s="195" t="s">
        <v>6</v>
      </c>
      <c r="H7" s="301">
        <v>0.2</v>
      </c>
      <c r="I7" s="195" t="s">
        <v>2513</v>
      </c>
      <c r="J7" s="195">
        <v>100</v>
      </c>
      <c r="K7" s="195" t="s">
        <v>6</v>
      </c>
      <c r="L7" s="301">
        <v>0.2</v>
      </c>
      <c r="M7" s="195" t="s">
        <v>2513</v>
      </c>
      <c r="N7" s="452" t="str">
        <f>IF(OR(COUNTBLANK(AttributeFilter)=1,AttributeFilter="(Select)"),A7,IF(COUNTIF(C7:M7,AttributeFilter)&gt;0,A7,""))</f>
        <v>Superior Rune of Strength</v>
      </c>
    </row>
    <row r="8" spans="1:14">
      <c r="A8" s="207" t="s">
        <v>2514</v>
      </c>
      <c r="B8" s="194">
        <v>25</v>
      </c>
      <c r="C8" s="195" t="s">
        <v>6</v>
      </c>
      <c r="D8" s="301">
        <v>0.1</v>
      </c>
      <c r="E8" s="195" t="s">
        <v>2513</v>
      </c>
      <c r="F8" s="195">
        <v>50</v>
      </c>
      <c r="G8" s="195" t="s">
        <v>6</v>
      </c>
      <c r="H8" s="301">
        <v>0.2</v>
      </c>
      <c r="I8" s="195" t="s">
        <v>2513</v>
      </c>
      <c r="J8" s="195">
        <v>100</v>
      </c>
      <c r="K8" s="195" t="s">
        <v>6</v>
      </c>
      <c r="L8" s="195">
        <v>125</v>
      </c>
      <c r="M8" s="195" t="s">
        <v>7</v>
      </c>
      <c r="N8" s="452" t="str">
        <f>IF(OR(COUNTBLANK(AttributeFilter)=1,AttributeFilter="(Select)"),A8,IF(COUNTIF(C8:M8,AttributeFilter)&gt;0,A8,""))</f>
        <v>Superior Rune of the Privateer</v>
      </c>
    </row>
    <row r="9" spans="1:14">
      <c r="A9" s="207" t="s">
        <v>2515</v>
      </c>
      <c r="B9" s="194">
        <v>25</v>
      </c>
      <c r="C9" s="195" t="s">
        <v>6</v>
      </c>
      <c r="D9" s="301">
        <v>0.1</v>
      </c>
      <c r="E9" s="195" t="s">
        <v>2513</v>
      </c>
      <c r="F9" s="195">
        <v>50</v>
      </c>
      <c r="G9" s="195" t="s">
        <v>6</v>
      </c>
      <c r="H9" s="301">
        <v>-0.1</v>
      </c>
      <c r="I9" s="195" t="s">
        <v>2516</v>
      </c>
      <c r="J9" s="195">
        <v>100</v>
      </c>
      <c r="K9" s="195" t="s">
        <v>6</v>
      </c>
      <c r="L9" s="301">
        <v>0.1</v>
      </c>
      <c r="M9" s="195" t="s">
        <v>84</v>
      </c>
      <c r="N9" s="452" t="str">
        <f>IF(OR(COUNTBLANK(AttributeFilter)=1,AttributeFilter="(Select)"),A9,IF(COUNTIF(C9:M9,AttributeFilter)&gt;0,A9,""))</f>
        <v>Superior Rune of Hoelbrak</v>
      </c>
    </row>
    <row r="10" spans="1:14">
      <c r="A10" s="207" t="s">
        <v>2517</v>
      </c>
      <c r="B10" s="194">
        <v>25</v>
      </c>
      <c r="C10" s="195" t="s">
        <v>6</v>
      </c>
      <c r="D10" s="301">
        <v>0.1</v>
      </c>
      <c r="E10" s="195" t="s">
        <v>2513</v>
      </c>
      <c r="F10" s="195">
        <v>50</v>
      </c>
      <c r="G10" s="195" t="s">
        <v>6</v>
      </c>
      <c r="H10" s="301">
        <v>0.2</v>
      </c>
      <c r="I10" s="195" t="s">
        <v>2513</v>
      </c>
      <c r="J10" s="195">
        <v>100</v>
      </c>
      <c r="K10" s="195" t="s">
        <v>6</v>
      </c>
      <c r="L10" s="301">
        <v>0.2</v>
      </c>
      <c r="M10" s="195" t="s">
        <v>2518</v>
      </c>
      <c r="N10" s="452" t="str">
        <f>IF(OR(COUNTBLANK(AttributeFilter)=1,AttributeFilter="(Select)"),A10,IF(COUNTIF(C10:M10,AttributeFilter)&gt;0,A10,""))</f>
        <v>Superior Rune of the Fire</v>
      </c>
    </row>
    <row r="11" spans="1:14">
      <c r="A11" s="207" t="s">
        <v>2519</v>
      </c>
      <c r="B11" s="194">
        <v>25</v>
      </c>
      <c r="C11" s="195" t="s">
        <v>6</v>
      </c>
      <c r="D11" s="301">
        <v>0.1</v>
      </c>
      <c r="E11" s="195" t="s">
        <v>2520</v>
      </c>
      <c r="F11" s="195">
        <v>50</v>
      </c>
      <c r="G11" s="195" t="s">
        <v>6</v>
      </c>
      <c r="H11" s="301">
        <v>0.2</v>
      </c>
      <c r="I11" s="195" t="s">
        <v>2520</v>
      </c>
      <c r="J11" s="195">
        <v>100</v>
      </c>
      <c r="K11" s="195" t="s">
        <v>6</v>
      </c>
      <c r="L11" s="301">
        <v>0.2</v>
      </c>
      <c r="M11" s="195" t="s">
        <v>2520</v>
      </c>
      <c r="N11" s="452" t="str">
        <f>IF(OR(COUNTBLANK(AttributeFilter)=1,AttributeFilter="(Select)"),A11,IF(COUNTIF(C11:M11,AttributeFilter)&gt;0,A11,""))</f>
        <v>Superior Rune of the Centaur</v>
      </c>
    </row>
    <row r="12" spans="1:14">
      <c r="A12" s="207" t="s">
        <v>2521</v>
      </c>
      <c r="B12" s="194">
        <v>25</v>
      </c>
      <c r="C12" s="195" t="s">
        <v>6</v>
      </c>
      <c r="D12" s="301">
        <v>0.05</v>
      </c>
      <c r="E12" s="195" t="s">
        <v>86</v>
      </c>
      <c r="F12" s="195">
        <v>50</v>
      </c>
      <c r="G12" s="195" t="s">
        <v>6</v>
      </c>
      <c r="H12" s="301">
        <v>0.2</v>
      </c>
      <c r="I12" s="195" t="s">
        <v>2522</v>
      </c>
      <c r="J12" s="195">
        <v>100</v>
      </c>
      <c r="K12" s="195" t="s">
        <v>6</v>
      </c>
      <c r="L12" s="301">
        <v>0.2</v>
      </c>
      <c r="M12" s="195" t="s">
        <v>2522</v>
      </c>
      <c r="N12" s="452" t="str">
        <f>IF(OR(COUNTBLANK(AttributeFilter)=1,AttributeFilter="(Select)"),A12,IF(COUNTIF(C12:M12,AttributeFilter)&gt;0,A12,""))</f>
        <v>Superior Rune of the Mad King</v>
      </c>
    </row>
    <row r="13" spans="1:14">
      <c r="A13" s="207" t="s">
        <v>2523</v>
      </c>
      <c r="B13" s="194">
        <v>25</v>
      </c>
      <c r="C13" s="195" t="s">
        <v>6</v>
      </c>
      <c r="D13" s="301">
        <v>0.1</v>
      </c>
      <c r="E13" s="195" t="s">
        <v>2518</v>
      </c>
      <c r="F13" s="195">
        <v>50</v>
      </c>
      <c r="G13" s="195" t="s">
        <v>6</v>
      </c>
      <c r="H13" s="301">
        <v>0.2</v>
      </c>
      <c r="I13" s="195" t="s">
        <v>2518</v>
      </c>
      <c r="J13" s="195">
        <v>100</v>
      </c>
      <c r="K13" s="195" t="s">
        <v>6</v>
      </c>
      <c r="L13" s="301">
        <v>0.2</v>
      </c>
      <c r="M13" s="195" t="s">
        <v>2518</v>
      </c>
      <c r="N13" s="452" t="str">
        <f>IF(OR(COUNTBLANK(AttributeFilter)=1,AttributeFilter="(Select)"),A13,IF(COUNTIF(C13:M13,AttributeFilter)&gt;0,A13,""))</f>
        <v>Superior Rune of the Flame Legion</v>
      </c>
    </row>
    <row r="14" spans="1:14">
      <c r="A14" s="207" t="s">
        <v>2524</v>
      </c>
      <c r="B14" s="194">
        <v>25</v>
      </c>
      <c r="C14" s="195" t="s">
        <v>6</v>
      </c>
      <c r="D14" s="301">
        <v>0.1</v>
      </c>
      <c r="E14" s="195" t="s">
        <v>2518</v>
      </c>
      <c r="F14" s="195">
        <v>50</v>
      </c>
      <c r="G14" s="195" t="s">
        <v>6</v>
      </c>
      <c r="H14" s="301">
        <v>0.1</v>
      </c>
      <c r="I14" s="195" t="s">
        <v>86</v>
      </c>
      <c r="J14" s="195">
        <v>100</v>
      </c>
      <c r="K14" s="195" t="s">
        <v>6</v>
      </c>
      <c r="L14" s="301">
        <v>0.2</v>
      </c>
      <c r="M14" s="195" t="s">
        <v>2518</v>
      </c>
      <c r="N14" s="452" t="str">
        <f>IF(OR(COUNTBLANK(AttributeFilter)=1,AttributeFilter="(Select)"),A14,IF(COUNTIF(C14:M14,AttributeFilter)&gt;0,A14,""))</f>
        <v>Superior Rune of the Baelfire</v>
      </c>
    </row>
    <row r="15" spans="1:14">
      <c r="A15" s="207" t="s">
        <v>2525</v>
      </c>
      <c r="B15" s="194">
        <v>25</v>
      </c>
      <c r="C15" s="195" t="s">
        <v>6</v>
      </c>
      <c r="D15" s="195">
        <v>35</v>
      </c>
      <c r="E15" s="195" t="s">
        <v>11</v>
      </c>
      <c r="F15" s="195">
        <v>50</v>
      </c>
      <c r="G15" s="195" t="s">
        <v>6</v>
      </c>
      <c r="H15" s="195">
        <v>65</v>
      </c>
      <c r="I15" s="195" t="s">
        <v>11</v>
      </c>
      <c r="J15" s="195">
        <v>100</v>
      </c>
      <c r="K15" s="195" t="s">
        <v>6</v>
      </c>
      <c r="L15" s="195">
        <v>125</v>
      </c>
      <c r="M15" s="195" t="s">
        <v>11</v>
      </c>
      <c r="N15" s="452" t="str">
        <f>IF(OR(COUNTBLANK(AttributeFilter)=1,AttributeFilter="(Select)"),A15,IF(COUNTIF(C15:M15,AttributeFilter)&gt;0,A15,""))</f>
        <v>Superior Rune of the Elementalist</v>
      </c>
    </row>
    <row r="16" spans="1:14">
      <c r="A16" s="207" t="s">
        <v>2526</v>
      </c>
      <c r="B16" s="194">
        <v>25</v>
      </c>
      <c r="C16" s="195" t="s">
        <v>6</v>
      </c>
      <c r="D16" s="195">
        <v>35</v>
      </c>
      <c r="E16" s="195" t="s">
        <v>13</v>
      </c>
      <c r="F16" s="195">
        <v>50</v>
      </c>
      <c r="G16" s="195" t="s">
        <v>6</v>
      </c>
      <c r="H16" s="195">
        <v>65</v>
      </c>
      <c r="I16" s="195" t="s">
        <v>13</v>
      </c>
      <c r="J16" s="195">
        <v>100</v>
      </c>
      <c r="K16" s="195" t="s">
        <v>6</v>
      </c>
      <c r="L16" s="195">
        <v>125</v>
      </c>
      <c r="M16" s="195" t="s">
        <v>13</v>
      </c>
      <c r="N16" s="452" t="str">
        <f>IF(OR(COUNTBLANK(AttributeFilter)=1,AttributeFilter="(Select)"),A16,IF(COUNTIF(C16:M16,AttributeFilter)&gt;0,A16,""))</f>
        <v>Superior Rune of the Scholar</v>
      </c>
    </row>
    <row r="17" spans="1:14">
      <c r="A17" s="207" t="s">
        <v>2527</v>
      </c>
      <c r="B17" s="194">
        <v>25</v>
      </c>
      <c r="C17" s="195" t="s">
        <v>6</v>
      </c>
      <c r="D17" s="195">
        <v>35</v>
      </c>
      <c r="E17" s="195" t="s">
        <v>13</v>
      </c>
      <c r="F17" s="195">
        <v>50</v>
      </c>
      <c r="G17" s="195" t="s">
        <v>6</v>
      </c>
      <c r="H17" s="195">
        <v>65</v>
      </c>
      <c r="I17" s="195" t="s">
        <v>13</v>
      </c>
      <c r="J17" s="195">
        <v>100</v>
      </c>
      <c r="K17" s="195" t="s">
        <v>6</v>
      </c>
      <c r="L17" s="195">
        <v>125</v>
      </c>
      <c r="M17" s="195" t="s">
        <v>7</v>
      </c>
      <c r="N17" s="452" t="str">
        <f>IF(OR(COUNTBLANK(AttributeFilter)=1,AttributeFilter="(Select)"),A17,IF(COUNTIF(C17:M17,AttributeFilter)&gt;0,A17,""))</f>
        <v>Superior Rune of the Deadeye</v>
      </c>
    </row>
    <row r="18" spans="1:14">
      <c r="A18" s="207" t="s">
        <v>2528</v>
      </c>
      <c r="B18" s="194">
        <v>25</v>
      </c>
      <c r="C18" s="195" t="s">
        <v>6</v>
      </c>
      <c r="D18" s="195">
        <v>35</v>
      </c>
      <c r="E18" s="195" t="s">
        <v>13</v>
      </c>
      <c r="F18" s="195">
        <v>50</v>
      </c>
      <c r="G18" s="195" t="s">
        <v>6</v>
      </c>
      <c r="H18" s="195">
        <v>65</v>
      </c>
      <c r="I18" s="195" t="s">
        <v>13</v>
      </c>
      <c r="J18" s="195">
        <v>100</v>
      </c>
      <c r="K18" s="195" t="s">
        <v>6</v>
      </c>
      <c r="L18" s="195">
        <v>125</v>
      </c>
      <c r="M18" s="195" t="s">
        <v>9</v>
      </c>
      <c r="N18" s="452" t="str">
        <f>IF(OR(COUNTBLANK(AttributeFilter)=1,AttributeFilter="(Select)"),A18,IF(COUNTIF(C18:M18,AttributeFilter)&gt;0,A18,""))</f>
        <v>Superior Rune of the Ogre</v>
      </c>
    </row>
    <row r="19" spans="1:14">
      <c r="A19" s="207" t="s">
        <v>2529</v>
      </c>
      <c r="B19" s="194">
        <v>25</v>
      </c>
      <c r="C19" s="195" t="s">
        <v>6</v>
      </c>
      <c r="D19" s="195">
        <v>35</v>
      </c>
      <c r="E19" s="195" t="s">
        <v>7</v>
      </c>
      <c r="F19" s="195">
        <v>50</v>
      </c>
      <c r="G19" s="195" t="s">
        <v>6</v>
      </c>
      <c r="H19" s="195">
        <v>65</v>
      </c>
      <c r="I19" s="195" t="s">
        <v>7</v>
      </c>
      <c r="J19" s="195">
        <v>100</v>
      </c>
      <c r="K19" s="195" t="s">
        <v>6</v>
      </c>
      <c r="L19" s="195">
        <v>125</v>
      </c>
      <c r="M19" s="195" t="s">
        <v>7</v>
      </c>
      <c r="N19" s="452" t="str">
        <f>IF(OR(COUNTBLANK(AttributeFilter)=1,AttributeFilter="(Select)"),A19,IF(COUNTIF(C19:M19,AttributeFilter)&gt;0,A19,""))</f>
        <v>Superior Rune of Infiltration</v>
      </c>
    </row>
    <row r="20" spans="1:14">
      <c r="A20" s="207" t="s">
        <v>2530</v>
      </c>
      <c r="B20" s="194">
        <v>25</v>
      </c>
      <c r="C20" s="195" t="s">
        <v>6</v>
      </c>
      <c r="D20" s="195">
        <v>35</v>
      </c>
      <c r="E20" s="195" t="s">
        <v>7</v>
      </c>
      <c r="F20" s="195">
        <v>50</v>
      </c>
      <c r="G20" s="195" t="s">
        <v>6</v>
      </c>
      <c r="H20" s="195">
        <v>65</v>
      </c>
      <c r="I20" s="195" t="s">
        <v>7</v>
      </c>
      <c r="J20" s="195">
        <v>100</v>
      </c>
      <c r="K20" s="195" t="s">
        <v>6</v>
      </c>
      <c r="L20" s="195">
        <v>125</v>
      </c>
      <c r="M20" s="195" t="s">
        <v>9</v>
      </c>
      <c r="N20" s="452" t="str">
        <f>IF(OR(COUNTBLANK(AttributeFilter)=1,AttributeFilter="(Select)"),A20,IF(COUNTIF(C20:M20,AttributeFilter)&gt;0,A20,""))</f>
        <v>Superior Rune of the Spellbreaker</v>
      </c>
    </row>
    <row r="21" spans="1:14">
      <c r="A21" s="207" t="s">
        <v>2531</v>
      </c>
      <c r="B21" s="194">
        <v>25</v>
      </c>
      <c r="C21" s="195" t="s">
        <v>6</v>
      </c>
      <c r="D21" s="195">
        <v>35</v>
      </c>
      <c r="E21" s="195" t="s">
        <v>7</v>
      </c>
      <c r="F21" s="195">
        <v>50</v>
      </c>
      <c r="G21" s="195" t="s">
        <v>6</v>
      </c>
      <c r="H21" s="195">
        <v>65</v>
      </c>
      <c r="I21" s="195" t="s">
        <v>7</v>
      </c>
      <c r="J21" s="195">
        <v>100</v>
      </c>
      <c r="K21" s="195" t="s">
        <v>6</v>
      </c>
      <c r="L21" s="301">
        <v>0.33</v>
      </c>
      <c r="M21" s="195" t="s">
        <v>2532</v>
      </c>
      <c r="N21" s="452" t="str">
        <f>IF(OR(COUNTBLANK(AttributeFilter)=1,AttributeFilter="(Select)"),A21,IF(COUNTIF(C21:M21,AttributeFilter)&gt;0,A21,""))</f>
        <v>Superior Rune of the Mesmer</v>
      </c>
    </row>
    <row r="22" spans="1:14">
      <c r="A22" s="207" t="s">
        <v>2533</v>
      </c>
      <c r="B22" s="194">
        <v>25</v>
      </c>
      <c r="C22" s="195" t="s">
        <v>6</v>
      </c>
      <c r="D22" s="195">
        <v>35</v>
      </c>
      <c r="E22" s="195" t="s">
        <v>7</v>
      </c>
      <c r="F22" s="195">
        <v>50</v>
      </c>
      <c r="G22" s="195" t="s">
        <v>6</v>
      </c>
      <c r="H22" s="195">
        <v>65</v>
      </c>
      <c r="I22" s="195" t="s">
        <v>7</v>
      </c>
      <c r="J22" s="195">
        <v>100</v>
      </c>
      <c r="K22" s="195" t="s">
        <v>6</v>
      </c>
      <c r="L22" s="301">
        <v>0.1</v>
      </c>
      <c r="M22" s="195" t="s">
        <v>84</v>
      </c>
      <c r="N22" s="452" t="str">
        <f>IF(OR(COUNTBLANK(AttributeFilter)=1,AttributeFilter="(Select)"),A22,IF(COUNTIF(C22:M22,AttributeFilter)&gt;0,A22,""))</f>
        <v>Superior Rune of the Chronomancer</v>
      </c>
    </row>
    <row r="23" spans="1:14">
      <c r="A23" s="207" t="s">
        <v>2534</v>
      </c>
      <c r="B23" s="194">
        <v>25</v>
      </c>
      <c r="C23" s="195" t="s">
        <v>6</v>
      </c>
      <c r="D23" s="195">
        <v>35</v>
      </c>
      <c r="E23" s="195" t="s">
        <v>8</v>
      </c>
      <c r="F23" s="195">
        <v>50</v>
      </c>
      <c r="G23" s="195" t="s">
        <v>6</v>
      </c>
      <c r="H23" s="195">
        <v>65</v>
      </c>
      <c r="I23" s="195" t="s">
        <v>8</v>
      </c>
      <c r="J23" s="195">
        <v>100</v>
      </c>
      <c r="K23" s="195" t="s">
        <v>6</v>
      </c>
      <c r="L23" s="195">
        <v>125</v>
      </c>
      <c r="M23" s="195" t="s">
        <v>7</v>
      </c>
      <c r="N23" s="452" t="str">
        <f>IF(OR(COUNTBLANK(AttributeFilter)=1,AttributeFilter="(Select)"),A23,IF(COUNTIF(C23:M23,AttributeFilter)&gt;0,A23,""))</f>
        <v>Superior Rune of the Reaper</v>
      </c>
    </row>
    <row r="24" spans="1:14">
      <c r="A24" s="207" t="s">
        <v>2535</v>
      </c>
      <c r="B24" s="194">
        <v>25</v>
      </c>
      <c r="C24" s="195" t="s">
        <v>6</v>
      </c>
      <c r="D24" s="195">
        <v>35</v>
      </c>
      <c r="E24" s="195" t="s">
        <v>8</v>
      </c>
      <c r="F24" s="195">
        <v>50</v>
      </c>
      <c r="G24" s="195" t="s">
        <v>6</v>
      </c>
      <c r="H24" s="195">
        <v>65</v>
      </c>
      <c r="I24" s="195" t="s">
        <v>8</v>
      </c>
      <c r="J24" s="195">
        <v>100</v>
      </c>
      <c r="K24" s="195" t="s">
        <v>6</v>
      </c>
      <c r="L24" s="195">
        <v>125</v>
      </c>
      <c r="M24" s="195" t="s">
        <v>11</v>
      </c>
      <c r="N24" s="452" t="str">
        <f>IF(OR(COUNTBLANK(AttributeFilter)=1,AttributeFilter="(Select)"),A24,IF(COUNTIF(C24:M24,AttributeFilter)&gt;0,A24,""))</f>
        <v>Superior Rune of the Daredevil</v>
      </c>
    </row>
    <row r="25" spans="1:14">
      <c r="A25" s="207" t="s">
        <v>2536</v>
      </c>
      <c r="B25" s="194">
        <v>25</v>
      </c>
      <c r="C25" s="195" t="s">
        <v>6</v>
      </c>
      <c r="D25" s="195">
        <v>35</v>
      </c>
      <c r="E25" s="195" t="s">
        <v>8</v>
      </c>
      <c r="F25" s="195">
        <v>50</v>
      </c>
      <c r="G25" s="195" t="s">
        <v>6</v>
      </c>
      <c r="H25" s="195">
        <v>65</v>
      </c>
      <c r="I25" s="195" t="s">
        <v>8</v>
      </c>
      <c r="J25" s="195">
        <v>100</v>
      </c>
      <c r="K25" s="195" t="s">
        <v>6</v>
      </c>
      <c r="L25" s="195">
        <v>125</v>
      </c>
      <c r="M25" s="195" t="s">
        <v>9</v>
      </c>
      <c r="N25" s="452" t="str">
        <f>IF(OR(COUNTBLANK(AttributeFilter)=1,AttributeFilter="(Select)"),A25,IF(COUNTIF(C25:M25,AttributeFilter)&gt;0,A25,""))</f>
        <v>Superior Rune of the Scrapper</v>
      </c>
    </row>
    <row r="26" spans="1:14">
      <c r="A26" s="207" t="s">
        <v>2537</v>
      </c>
      <c r="B26" s="194">
        <v>25</v>
      </c>
      <c r="C26" s="195" t="s">
        <v>6</v>
      </c>
      <c r="D26" s="195">
        <v>35</v>
      </c>
      <c r="E26" s="195" t="s">
        <v>8</v>
      </c>
      <c r="F26" s="195">
        <v>50</v>
      </c>
      <c r="G26" s="195" t="s">
        <v>6</v>
      </c>
      <c r="H26" s="195">
        <v>65</v>
      </c>
      <c r="I26" s="195" t="s">
        <v>8</v>
      </c>
      <c r="J26" s="195">
        <v>100</v>
      </c>
      <c r="K26" s="195" t="s">
        <v>6</v>
      </c>
      <c r="L26" s="195">
        <v>125</v>
      </c>
      <c r="M26" s="195" t="s">
        <v>8</v>
      </c>
      <c r="N26" s="452" t="str">
        <f>IF(OR(COUNTBLANK(AttributeFilter)=1,AttributeFilter="(Select)"),A26,IF(COUNTIF(C26:M26,AttributeFilter)&gt;0,A26,""))</f>
        <v>Superior Rune of the Brawler</v>
      </c>
    </row>
    <row r="27" spans="1:14">
      <c r="A27" s="207" t="s">
        <v>2538</v>
      </c>
      <c r="B27" s="194">
        <v>25</v>
      </c>
      <c r="C27" s="195" t="s">
        <v>6</v>
      </c>
      <c r="D27" s="195">
        <v>35</v>
      </c>
      <c r="E27" s="195" t="s">
        <v>8</v>
      </c>
      <c r="F27" s="195">
        <v>50</v>
      </c>
      <c r="G27" s="195" t="s">
        <v>6</v>
      </c>
      <c r="H27" s="195">
        <v>65</v>
      </c>
      <c r="I27" s="195" t="s">
        <v>8</v>
      </c>
      <c r="J27" s="195">
        <v>100</v>
      </c>
      <c r="K27" s="195" t="s">
        <v>6</v>
      </c>
      <c r="L27" s="301">
        <v>0.25</v>
      </c>
      <c r="M27" s="195" t="s">
        <v>2510</v>
      </c>
      <c r="N27" s="452" t="str">
        <f>IF(OR(COUNTBLANK(AttributeFilter)=1,AttributeFilter="(Select)"),A27,IF(COUNTIF(C27:M27,AttributeFilter)&gt;0,A27,""))</f>
        <v>Superior Rune of the Cavalier</v>
      </c>
    </row>
    <row r="28" spans="1:14">
      <c r="A28" s="207" t="s">
        <v>2539</v>
      </c>
      <c r="B28" s="194">
        <v>25</v>
      </c>
      <c r="C28" s="195" t="s">
        <v>6</v>
      </c>
      <c r="D28" s="195">
        <v>35</v>
      </c>
      <c r="E28" s="195" t="s">
        <v>9</v>
      </c>
      <c r="F28" s="195">
        <v>50</v>
      </c>
      <c r="G28" s="195" t="s">
        <v>6</v>
      </c>
      <c r="H28" s="195">
        <v>65</v>
      </c>
      <c r="I28" s="195" t="s">
        <v>9</v>
      </c>
      <c r="J28" s="195">
        <v>100</v>
      </c>
      <c r="K28" s="195" t="s">
        <v>6</v>
      </c>
      <c r="L28" s="195">
        <v>125</v>
      </c>
      <c r="M28" s="195" t="s">
        <v>9</v>
      </c>
      <c r="N28" s="452" t="str">
        <f>IF(OR(COUNTBLANK(AttributeFilter)=1,AttributeFilter="(Select)"),A28,IF(COUNTIF(C28:M28,AttributeFilter)&gt;0,A28,""))</f>
        <v>Superior Rune of Vampirism</v>
      </c>
    </row>
    <row r="29" spans="1:14">
      <c r="A29" s="207" t="s">
        <v>2540</v>
      </c>
      <c r="B29" s="194">
        <v>25</v>
      </c>
      <c r="C29" s="195" t="s">
        <v>6</v>
      </c>
      <c r="D29" s="195">
        <v>35</v>
      </c>
      <c r="E29" s="195" t="s">
        <v>9</v>
      </c>
      <c r="F29" s="195">
        <v>50</v>
      </c>
      <c r="G29" s="195" t="s">
        <v>6</v>
      </c>
      <c r="H29" s="195">
        <v>65</v>
      </c>
      <c r="I29" s="195" t="s">
        <v>9</v>
      </c>
      <c r="J29" s="195">
        <v>100</v>
      </c>
      <c r="K29" s="195" t="s">
        <v>6</v>
      </c>
      <c r="L29" s="195">
        <v>125</v>
      </c>
      <c r="M29" s="195" t="s">
        <v>7</v>
      </c>
      <c r="N29" s="452" t="str">
        <f>IF(OR(COUNTBLANK(AttributeFilter)=1,AttributeFilter="(Select)"),A29,IF(COUNTIF(C29:M29,AttributeFilter)&gt;0,A29,""))</f>
        <v>Superior Rune of the Holosmith</v>
      </c>
    </row>
    <row r="30" spans="1:14">
      <c r="A30" s="207" t="s">
        <v>2541</v>
      </c>
      <c r="B30" s="194">
        <v>25</v>
      </c>
      <c r="C30" s="195" t="s">
        <v>7</v>
      </c>
      <c r="D30" s="301">
        <v>0.05</v>
      </c>
      <c r="E30" s="195" t="s">
        <v>86</v>
      </c>
      <c r="F30" s="195">
        <v>50</v>
      </c>
      <c r="G30" s="195" t="s">
        <v>7</v>
      </c>
      <c r="H30" s="301">
        <v>0.1</v>
      </c>
      <c r="I30" s="195" t="s">
        <v>84</v>
      </c>
      <c r="J30" s="195">
        <v>100</v>
      </c>
      <c r="K30" s="195" t="s">
        <v>7</v>
      </c>
      <c r="L30" s="301">
        <v>0.1</v>
      </c>
      <c r="M30" s="195" t="s">
        <v>86</v>
      </c>
      <c r="N30" s="452" t="str">
        <f>IF(OR(COUNTBLANK(AttributeFilter)=1,AttributeFilter="(Select)"),A30,IF(COUNTIF(C30:M30,AttributeFilter)&gt;0,A30,""))</f>
        <v>Superior Rune of Lyssa</v>
      </c>
    </row>
    <row r="31" spans="1:14">
      <c r="A31" s="207" t="s">
        <v>2542</v>
      </c>
      <c r="B31" s="194">
        <v>25</v>
      </c>
      <c r="C31" s="195" t="s">
        <v>7</v>
      </c>
      <c r="D31" s="301">
        <v>0.1</v>
      </c>
      <c r="E31" s="195" t="s">
        <v>2543</v>
      </c>
      <c r="F31" s="195">
        <v>50</v>
      </c>
      <c r="G31" s="195" t="s">
        <v>7</v>
      </c>
      <c r="H31" s="301">
        <v>0.2</v>
      </c>
      <c r="I31" s="195" t="s">
        <v>2544</v>
      </c>
      <c r="J31" s="195">
        <v>100</v>
      </c>
      <c r="K31" s="195" t="s">
        <v>7</v>
      </c>
      <c r="L31" s="301">
        <v>0.1</v>
      </c>
      <c r="M31" s="195" t="s">
        <v>86</v>
      </c>
      <c r="N31" s="452" t="str">
        <f>IF(OR(COUNTBLANK(AttributeFilter)=1,AttributeFilter="(Select)"),A31,IF(COUNTIF(C31:M31,AttributeFilter)&gt;0,A31,""))</f>
        <v>Superior Rune of Rata Sum</v>
      </c>
    </row>
    <row r="32" spans="1:14">
      <c r="A32" s="207" t="s">
        <v>2545</v>
      </c>
      <c r="B32" s="194">
        <v>25</v>
      </c>
      <c r="C32" s="195" t="s">
        <v>7</v>
      </c>
      <c r="D32" s="195">
        <v>35</v>
      </c>
      <c r="E32" s="195" t="s">
        <v>11</v>
      </c>
      <c r="F32" s="195">
        <v>50</v>
      </c>
      <c r="G32" s="195" t="s">
        <v>7</v>
      </c>
      <c r="H32" s="195">
        <v>65</v>
      </c>
      <c r="I32" s="195" t="s">
        <v>11</v>
      </c>
      <c r="J32" s="195">
        <v>100</v>
      </c>
      <c r="K32" s="195" t="s">
        <v>7</v>
      </c>
      <c r="L32" s="195">
        <v>125</v>
      </c>
      <c r="M32" s="195" t="s">
        <v>7</v>
      </c>
      <c r="N32" s="452" t="str">
        <f>IF(OR(COUNTBLANK(AttributeFilter)=1,AttributeFilter="(Select)"),A32,IF(COUNTIF(C32:M32,AttributeFilter)&gt;0,A32,""))</f>
        <v>Superior Rune of the Thief</v>
      </c>
    </row>
    <row r="33" spans="1:14">
      <c r="A33" s="207" t="s">
        <v>2546</v>
      </c>
      <c r="B33" s="194">
        <v>25</v>
      </c>
      <c r="C33" s="195" t="s">
        <v>7</v>
      </c>
      <c r="D33" s="195">
        <v>35</v>
      </c>
      <c r="E33" s="195" t="s">
        <v>13</v>
      </c>
      <c r="F33" s="195">
        <v>50</v>
      </c>
      <c r="G33" s="195" t="s">
        <v>7</v>
      </c>
      <c r="H33" s="195">
        <v>65</v>
      </c>
      <c r="I33" s="195" t="s">
        <v>13</v>
      </c>
      <c r="J33" s="195">
        <v>100</v>
      </c>
      <c r="K33" s="195" t="s">
        <v>7</v>
      </c>
      <c r="L33" s="195">
        <v>125</v>
      </c>
      <c r="M33" s="195" t="s">
        <v>13</v>
      </c>
      <c r="N33" s="452" t="str">
        <f>IF(OR(COUNTBLANK(AttributeFilter)=1,AttributeFilter="(Select)"),A33,IF(COUNTIF(C33:M33,AttributeFilter)&gt;0,A33,""))</f>
        <v>Superior Rune of the Eagle</v>
      </c>
    </row>
    <row r="34" spans="1:14">
      <c r="A34" s="207" t="s">
        <v>2547</v>
      </c>
      <c r="B34" s="194">
        <v>25</v>
      </c>
      <c r="C34" s="195" t="s">
        <v>7</v>
      </c>
      <c r="D34" s="195">
        <v>35</v>
      </c>
      <c r="E34" s="195" t="s">
        <v>13</v>
      </c>
      <c r="F34" s="195">
        <v>50</v>
      </c>
      <c r="G34" s="195" t="s">
        <v>7</v>
      </c>
      <c r="H34" s="195">
        <v>65</v>
      </c>
      <c r="I34" s="195" t="s">
        <v>13</v>
      </c>
      <c r="J34" s="195">
        <v>100</v>
      </c>
      <c r="K34" s="195" t="s">
        <v>7</v>
      </c>
      <c r="L34" s="195">
        <v>125</v>
      </c>
      <c r="M34" s="195" t="s">
        <v>7</v>
      </c>
      <c r="N34" s="452" t="str">
        <f>IF(OR(COUNTBLANK(AttributeFilter)=1,AttributeFilter="(Select)"),A34,IF(COUNTIF(C34:M34,AttributeFilter)&gt;0,A34,""))</f>
        <v>Superior Rune of the Ranger</v>
      </c>
    </row>
    <row r="35" spans="1:14">
      <c r="A35" s="207" t="s">
        <v>2548</v>
      </c>
      <c r="B35" s="194">
        <v>25</v>
      </c>
      <c r="C35" s="195" t="s">
        <v>8</v>
      </c>
      <c r="D35" s="301">
        <v>0.05</v>
      </c>
      <c r="E35" s="195" t="s">
        <v>84</v>
      </c>
      <c r="F35" s="195">
        <v>50</v>
      </c>
      <c r="G35" s="195" t="s">
        <v>8</v>
      </c>
      <c r="H35" s="301">
        <v>0.1</v>
      </c>
      <c r="I35" s="195" t="s">
        <v>84</v>
      </c>
      <c r="J35" s="195">
        <v>100</v>
      </c>
      <c r="K35" s="195" t="s">
        <v>8</v>
      </c>
      <c r="L35" s="301">
        <v>0.1</v>
      </c>
      <c r="M35" s="195" t="s">
        <v>84</v>
      </c>
      <c r="N35" s="452" t="str">
        <f>IF(OR(COUNTBLANK(AttributeFilter)=1,AttributeFilter="(Select)"),A35,IF(COUNTIF(C35:M35,AttributeFilter)&gt;0,A35,""))</f>
        <v>Superior Rune of the Herald</v>
      </c>
    </row>
    <row r="36" spans="1:14">
      <c r="A36" s="207" t="s">
        <v>2549</v>
      </c>
      <c r="B36" s="194">
        <v>25</v>
      </c>
      <c r="C36" s="195" t="s">
        <v>8</v>
      </c>
      <c r="D36" s="301">
        <v>0.05</v>
      </c>
      <c r="E36" s="195" t="s">
        <v>84</v>
      </c>
      <c r="F36" s="195">
        <v>50</v>
      </c>
      <c r="G36" s="195" t="s">
        <v>8</v>
      </c>
      <c r="H36" s="301">
        <v>0.1</v>
      </c>
      <c r="I36" s="195" t="s">
        <v>84</v>
      </c>
      <c r="J36" s="195">
        <v>100</v>
      </c>
      <c r="K36" s="195" t="s">
        <v>8</v>
      </c>
      <c r="L36" s="195">
        <v>125</v>
      </c>
      <c r="M36" s="195" t="s">
        <v>9</v>
      </c>
      <c r="N36" s="452" t="str">
        <f>IF(OR(COUNTBLANK(AttributeFilter)=1,AttributeFilter="(Select)"),A36,IF(COUNTIF(C36:M36,AttributeFilter)&gt;0,A36,""))</f>
        <v>Superior Rune of Durability</v>
      </c>
    </row>
    <row r="37" spans="1:14">
      <c r="A37" s="207" t="s">
        <v>2550</v>
      </c>
      <c r="B37" s="194">
        <v>25</v>
      </c>
      <c r="C37" s="195" t="s">
        <v>8</v>
      </c>
      <c r="D37" s="301">
        <v>0.1</v>
      </c>
      <c r="E37" s="195" t="s">
        <v>2551</v>
      </c>
      <c r="F37" s="195">
        <v>50</v>
      </c>
      <c r="G37" s="195" t="s">
        <v>8</v>
      </c>
      <c r="H37" s="301">
        <v>0.2</v>
      </c>
      <c r="I37" s="195" t="s">
        <v>2551</v>
      </c>
      <c r="J37" s="195">
        <v>100</v>
      </c>
      <c r="K37" s="195" t="s">
        <v>8</v>
      </c>
      <c r="L37" s="195">
        <v>125</v>
      </c>
      <c r="M37" s="195" t="s">
        <v>14</v>
      </c>
      <c r="N37" s="452" t="str">
        <f>IF(OR(COUNTBLANK(AttributeFilter)=1,AttributeFilter="(Select)"),A37,IF(COUNTIF(C37:M37,AttributeFilter)&gt;0,A37,""))</f>
        <v>Superior Rune of the Earth</v>
      </c>
    </row>
    <row r="38" spans="1:14">
      <c r="A38" s="207" t="s">
        <v>2552</v>
      </c>
      <c r="B38" s="194">
        <v>25</v>
      </c>
      <c r="C38" s="195" t="s">
        <v>8</v>
      </c>
      <c r="D38" s="301">
        <v>0.1</v>
      </c>
      <c r="E38" s="195" t="s">
        <v>2553</v>
      </c>
      <c r="F38" s="195">
        <v>50</v>
      </c>
      <c r="G38" s="195" t="s">
        <v>8</v>
      </c>
      <c r="H38" s="301">
        <v>0.2</v>
      </c>
      <c r="I38" s="195" t="s">
        <v>2553</v>
      </c>
      <c r="J38" s="195">
        <v>100</v>
      </c>
      <c r="K38" s="195" t="s">
        <v>8</v>
      </c>
      <c r="L38" s="301">
        <v>-0.66</v>
      </c>
      <c r="M38" s="195" t="s">
        <v>2554</v>
      </c>
      <c r="N38" s="452" t="str">
        <f>IF(OR(COUNTBLANK(AttributeFilter)=1,AttributeFilter="(Select)"),A38,IF(COUNTIF(C38:M38,AttributeFilter)&gt;0,A38,""))</f>
        <v>Superior Rune of Svanir</v>
      </c>
    </row>
    <row r="39" spans="1:14">
      <c r="A39" s="207" t="s">
        <v>2555</v>
      </c>
      <c r="B39" s="194">
        <v>25</v>
      </c>
      <c r="C39" s="195" t="s">
        <v>8</v>
      </c>
      <c r="D39" s="301">
        <v>0.1</v>
      </c>
      <c r="E39" s="195" t="s">
        <v>2518</v>
      </c>
      <c r="F39" s="195">
        <v>50</v>
      </c>
      <c r="G39" s="195" t="s">
        <v>8</v>
      </c>
      <c r="H39" s="301">
        <v>0.2</v>
      </c>
      <c r="I39" s="195" t="s">
        <v>2518</v>
      </c>
      <c r="J39" s="195">
        <v>100</v>
      </c>
      <c r="K39" s="195" t="s">
        <v>8</v>
      </c>
      <c r="L39" s="301">
        <v>0.2</v>
      </c>
      <c r="M39" s="195" t="s">
        <v>2518</v>
      </c>
      <c r="N39" s="452" t="str">
        <f>IF(OR(COUNTBLANK(AttributeFilter)=1,AttributeFilter="(Select)"),A39,IF(COUNTIF(C39:M39,AttributeFilter)&gt;0,A39,""))</f>
        <v>Superior Rune of the Forgeman</v>
      </c>
    </row>
    <row r="40" spans="1:14">
      <c r="A40" s="207" t="s">
        <v>2556</v>
      </c>
      <c r="B40" s="194">
        <v>25</v>
      </c>
      <c r="C40" s="195" t="s">
        <v>8</v>
      </c>
      <c r="D40" s="195">
        <v>35</v>
      </c>
      <c r="E40" s="195" t="s">
        <v>11</v>
      </c>
      <c r="F40" s="195">
        <v>50</v>
      </c>
      <c r="G40" s="195" t="s">
        <v>8</v>
      </c>
      <c r="H40" s="195">
        <v>65</v>
      </c>
      <c r="I40" s="195" t="s">
        <v>11</v>
      </c>
      <c r="J40" s="195">
        <v>100</v>
      </c>
      <c r="K40" s="195" t="s">
        <v>8</v>
      </c>
      <c r="L40" s="195">
        <v>125</v>
      </c>
      <c r="M40" s="195" t="s">
        <v>11</v>
      </c>
      <c r="N40" s="452" t="str">
        <f>IF(OR(COUNTBLANK(AttributeFilter)=1,AttributeFilter="(Select)"),A40,IF(COUNTIF(C40:M40,AttributeFilter)&gt;0,A40,""))</f>
        <v>Superior Rune of the Engineer</v>
      </c>
    </row>
    <row r="41" spans="1:14">
      <c r="A41" s="207" t="s">
        <v>2557</v>
      </c>
      <c r="B41" s="194">
        <v>25</v>
      </c>
      <c r="C41" s="195" t="s">
        <v>8</v>
      </c>
      <c r="D41" s="195">
        <v>35</v>
      </c>
      <c r="E41" s="195" t="s">
        <v>9</v>
      </c>
      <c r="F41" s="195">
        <v>50</v>
      </c>
      <c r="G41" s="195" t="s">
        <v>8</v>
      </c>
      <c r="H41" s="301">
        <v>-0.1</v>
      </c>
      <c r="I41" s="195" t="s">
        <v>2516</v>
      </c>
      <c r="J41" s="195">
        <v>100</v>
      </c>
      <c r="K41" s="195" t="s">
        <v>8</v>
      </c>
      <c r="L41" s="301">
        <v>-0.1</v>
      </c>
      <c r="M41" s="195" t="s">
        <v>2516</v>
      </c>
      <c r="N41" s="452" t="str">
        <f>IF(OR(COUNTBLANK(AttributeFilter)=1,AttributeFilter="(Select)"),A41,IF(COUNTIF(C41:M41,AttributeFilter)&gt;0,A41,""))</f>
        <v>Superior Rune of Melandru</v>
      </c>
    </row>
    <row r="42" spans="1:14">
      <c r="A42" s="207" t="s">
        <v>2558</v>
      </c>
      <c r="B42" s="194">
        <v>25</v>
      </c>
      <c r="C42" s="195" t="s">
        <v>8</v>
      </c>
      <c r="D42" s="195">
        <v>35</v>
      </c>
      <c r="E42" s="195" t="s">
        <v>9</v>
      </c>
      <c r="F42" s="195">
        <v>50</v>
      </c>
      <c r="G42" s="195" t="s">
        <v>8</v>
      </c>
      <c r="H42" s="195">
        <v>65</v>
      </c>
      <c r="I42" s="195" t="s">
        <v>9</v>
      </c>
      <c r="J42" s="195">
        <v>100</v>
      </c>
      <c r="K42" s="195" t="s">
        <v>8</v>
      </c>
      <c r="L42" s="195">
        <v>125</v>
      </c>
      <c r="M42" s="195" t="s">
        <v>8</v>
      </c>
      <c r="N42" s="452" t="str">
        <f>IF(OR(COUNTBLANK(AttributeFilter)=1,AttributeFilter="(Select)"),A42,IF(COUNTIF(C42:M42,AttributeFilter)&gt;0,A42,""))</f>
        <v>Superior Rune of the Dolyak</v>
      </c>
    </row>
    <row r="43" spans="1:14">
      <c r="A43" s="207" t="s">
        <v>2559</v>
      </c>
      <c r="B43" s="194">
        <v>25</v>
      </c>
      <c r="C43" s="195" t="s">
        <v>8</v>
      </c>
      <c r="D43" s="195">
        <v>35</v>
      </c>
      <c r="E43" s="195" t="s">
        <v>14</v>
      </c>
      <c r="F43" s="195">
        <v>50</v>
      </c>
      <c r="G43" s="195" t="s">
        <v>8</v>
      </c>
      <c r="H43" s="195">
        <v>65</v>
      </c>
      <c r="I43" s="195" t="s">
        <v>14</v>
      </c>
      <c r="J43" s="195">
        <v>100</v>
      </c>
      <c r="K43" s="195" t="s">
        <v>8</v>
      </c>
      <c r="L43" s="195">
        <v>125</v>
      </c>
      <c r="M43" s="195" t="s">
        <v>14</v>
      </c>
      <c r="N43" s="452" t="str">
        <f>IF(OR(COUNTBLANK(AttributeFilter)=1,AttributeFilter="(Select)"),A43,IF(COUNTIF(C43:M43,AttributeFilter)&gt;0,A43,""))</f>
        <v>Superior Rune of Mercy</v>
      </c>
    </row>
    <row r="44" spans="1:14">
      <c r="A44" s="207" t="s">
        <v>2560</v>
      </c>
      <c r="B44" s="194">
        <v>25</v>
      </c>
      <c r="C44" s="195" t="s">
        <v>8</v>
      </c>
      <c r="D44" s="195">
        <v>35</v>
      </c>
      <c r="E44" s="195" t="s">
        <v>14</v>
      </c>
      <c r="F44" s="195">
        <v>50</v>
      </c>
      <c r="G44" s="195" t="s">
        <v>8</v>
      </c>
      <c r="H44" s="195">
        <v>65</v>
      </c>
      <c r="I44" s="195" t="s">
        <v>14</v>
      </c>
      <c r="J44" s="195">
        <v>100</v>
      </c>
      <c r="K44" s="195" t="s">
        <v>8</v>
      </c>
      <c r="L44" s="195">
        <v>125</v>
      </c>
      <c r="M44" s="195" t="s">
        <v>9</v>
      </c>
      <c r="N44" s="452" t="str">
        <f>IF(OR(COUNTBLANK(AttributeFilter)=1,AttributeFilter="(Select)"),A44,IF(COUNTIF(C44:M44,AttributeFilter)&gt;0,A44,""))</f>
        <v>Superior Rune of the Defender</v>
      </c>
    </row>
    <row r="45" spans="1:14">
      <c r="A45" s="207" t="s">
        <v>2561</v>
      </c>
      <c r="B45" s="194">
        <v>25</v>
      </c>
      <c r="C45" s="195" t="s">
        <v>8</v>
      </c>
      <c r="D45" s="195">
        <v>35</v>
      </c>
      <c r="E45" s="195" t="s">
        <v>14</v>
      </c>
      <c r="F45" s="195">
        <v>50</v>
      </c>
      <c r="G45" s="195" t="s">
        <v>8</v>
      </c>
      <c r="H45" s="195">
        <v>65</v>
      </c>
      <c r="I45" s="195" t="s">
        <v>14</v>
      </c>
      <c r="J45" s="195">
        <v>100</v>
      </c>
      <c r="K45" s="195" t="s">
        <v>8</v>
      </c>
      <c r="L45" s="195">
        <v>125</v>
      </c>
      <c r="M45" s="195" t="s">
        <v>8</v>
      </c>
      <c r="N45" s="452" t="str">
        <f>IF(OR(COUNTBLANK(AttributeFilter)=1,AttributeFilter="(Select)"),A45,IF(COUNTIF(C45:M45,AttributeFilter)&gt;0,A45,""))</f>
        <v>Superior Rune of the Guardian</v>
      </c>
    </row>
    <row r="46" spans="1:14">
      <c r="A46" s="207" t="s">
        <v>2562</v>
      </c>
      <c r="B46" s="194">
        <v>25</v>
      </c>
      <c r="C46" s="195" t="s">
        <v>8</v>
      </c>
      <c r="D46" s="301">
        <v>-0.05</v>
      </c>
      <c r="E46" s="195" t="s">
        <v>2516</v>
      </c>
      <c r="F46" s="195">
        <v>50</v>
      </c>
      <c r="G46" s="195" t="s">
        <v>8</v>
      </c>
      <c r="H46" s="301">
        <v>-0.1</v>
      </c>
      <c r="I46" s="195" t="s">
        <v>2516</v>
      </c>
      <c r="J46" s="195">
        <v>100</v>
      </c>
      <c r="K46" s="195" t="s">
        <v>8</v>
      </c>
      <c r="L46" s="301">
        <v>-0.1</v>
      </c>
      <c r="M46" s="195" t="s">
        <v>2516</v>
      </c>
      <c r="N46" s="452" t="str">
        <f>IF(OR(COUNTBLANK(AttributeFilter)=1,AttributeFilter="(Select)"),A46,IF(COUNTIF(C46:M46,AttributeFilter)&gt;0,A46,""))</f>
        <v>Superior Rune of Resistance</v>
      </c>
    </row>
    <row r="47" spans="1:14">
      <c r="A47" s="207" t="s">
        <v>2563</v>
      </c>
      <c r="B47" s="194">
        <v>25</v>
      </c>
      <c r="C47" s="195" t="s">
        <v>8</v>
      </c>
      <c r="D47" s="195">
        <v>35</v>
      </c>
      <c r="E47" s="195" t="s">
        <v>14</v>
      </c>
      <c r="F47" s="195">
        <v>50</v>
      </c>
      <c r="G47" s="195" t="s">
        <v>8</v>
      </c>
      <c r="H47" s="195">
        <v>65</v>
      </c>
      <c r="I47" s="195" t="s">
        <v>14</v>
      </c>
      <c r="J47" s="195">
        <v>100</v>
      </c>
      <c r="K47" s="195" t="s">
        <v>8</v>
      </c>
      <c r="L47" s="301">
        <v>0.25</v>
      </c>
      <c r="M47" s="195" t="s">
        <v>2510</v>
      </c>
      <c r="N47" s="452" t="str">
        <f>IF(OR(COUNTBLANK(AttributeFilter)=1,AttributeFilter="(Select)"),A47,IF(COUNTIF(C47:M47,AttributeFilter)&gt;0,A47,""))</f>
        <v>Superior Rune of Snowfall</v>
      </c>
    </row>
    <row r="48" spans="1:14">
      <c r="A48" s="207" t="s">
        <v>2564</v>
      </c>
      <c r="B48" s="194">
        <v>25</v>
      </c>
      <c r="C48" s="195" t="s">
        <v>9</v>
      </c>
      <c r="D48" s="301">
        <v>0.05</v>
      </c>
      <c r="E48" s="195" t="s">
        <v>84</v>
      </c>
      <c r="F48" s="195">
        <v>50</v>
      </c>
      <c r="G48" s="195" t="s">
        <v>9</v>
      </c>
      <c r="H48" s="301">
        <v>0.1</v>
      </c>
      <c r="I48" s="195" t="s">
        <v>84</v>
      </c>
      <c r="J48" s="195">
        <v>100</v>
      </c>
      <c r="K48" s="195" t="s">
        <v>9</v>
      </c>
      <c r="L48" s="195">
        <v>125</v>
      </c>
      <c r="M48" s="195" t="s">
        <v>9</v>
      </c>
      <c r="N48" s="452" t="str">
        <f>IF(OR(COUNTBLANK(AttributeFilter)=1,AttributeFilter="(Select)"),A48,IF(COUNTIF(C48:M48,AttributeFilter)&gt;0,A48,""))</f>
        <v>Superior Rune of Sanctuary</v>
      </c>
    </row>
    <row r="49" spans="1:14">
      <c r="A49" s="207" t="s">
        <v>2565</v>
      </c>
      <c r="B49" s="194">
        <v>25</v>
      </c>
      <c r="C49" s="195" t="s">
        <v>9</v>
      </c>
      <c r="D49" s="301">
        <v>0.05</v>
      </c>
      <c r="E49" s="195" t="s">
        <v>84</v>
      </c>
      <c r="F49" s="195">
        <v>50</v>
      </c>
      <c r="G49" s="195" t="s">
        <v>9</v>
      </c>
      <c r="H49" s="301">
        <v>0.1</v>
      </c>
      <c r="I49" s="195" t="s">
        <v>84</v>
      </c>
      <c r="J49" s="195">
        <v>100</v>
      </c>
      <c r="K49" s="195" t="s">
        <v>9</v>
      </c>
      <c r="L49" s="301">
        <v>0.1</v>
      </c>
      <c r="M49" s="195" t="s">
        <v>84</v>
      </c>
      <c r="N49" s="452" t="str">
        <f>IF(OR(COUNTBLANK(AttributeFilter)=1,AttributeFilter="(Select)"),A49,IF(COUNTIF(C49:M49,AttributeFilter)&gt;0,A49,""))</f>
        <v>Superior Rune of Radiance</v>
      </c>
    </row>
    <row r="50" spans="1:14">
      <c r="A50" s="207" t="s">
        <v>2566</v>
      </c>
      <c r="B50" s="194">
        <v>25</v>
      </c>
      <c r="C50" s="195" t="s">
        <v>9</v>
      </c>
      <c r="D50" s="301">
        <v>0.1</v>
      </c>
      <c r="E50" s="195" t="s">
        <v>2520</v>
      </c>
      <c r="F50" s="195">
        <v>50</v>
      </c>
      <c r="G50" s="195" t="s">
        <v>9</v>
      </c>
      <c r="H50" s="301">
        <v>0.2</v>
      </c>
      <c r="I50" s="195" t="s">
        <v>2520</v>
      </c>
      <c r="J50" s="195">
        <v>100</v>
      </c>
      <c r="K50" s="195" t="s">
        <v>9</v>
      </c>
      <c r="L50" s="301">
        <v>0.2</v>
      </c>
      <c r="M50" s="195" t="s">
        <v>2520</v>
      </c>
      <c r="N50" s="452" t="str">
        <f>IF(OR(COUNTBLANK(AttributeFilter)=1,AttributeFilter="(Select)"),A50,IF(COUNTIF(C50:M50,AttributeFilter)&gt;0,A50,""))</f>
        <v>Superior Rune of Speed</v>
      </c>
    </row>
    <row r="51" spans="1:14">
      <c r="A51" s="207" t="s">
        <v>2567</v>
      </c>
      <c r="B51" s="194">
        <v>25</v>
      </c>
      <c r="C51" s="195" t="s">
        <v>9</v>
      </c>
      <c r="D51" s="301">
        <v>0.05</v>
      </c>
      <c r="E51" s="195" t="s">
        <v>86</v>
      </c>
      <c r="F51" s="195">
        <v>50</v>
      </c>
      <c r="G51" s="195" t="s">
        <v>9</v>
      </c>
      <c r="H51" s="301">
        <v>0.1</v>
      </c>
      <c r="I51" s="195" t="s">
        <v>86</v>
      </c>
      <c r="J51" s="195">
        <v>100</v>
      </c>
      <c r="K51" s="195" t="s">
        <v>9</v>
      </c>
      <c r="L51" s="301">
        <v>0.1</v>
      </c>
      <c r="M51" s="195" t="s">
        <v>86</v>
      </c>
      <c r="N51" s="452" t="str">
        <f>IF(OR(COUNTBLANK(AttributeFilter)=1,AttributeFilter="(Select)"),A51,IF(COUNTIF(C51:M51,AttributeFilter)&gt;0,A51,""))</f>
        <v>Superior Rune of the Lich</v>
      </c>
    </row>
    <row r="52" spans="1:14">
      <c r="A52" s="207" t="s">
        <v>2568</v>
      </c>
      <c r="B52" s="194">
        <v>25</v>
      </c>
      <c r="C52" s="195" t="s">
        <v>9</v>
      </c>
      <c r="D52" s="301">
        <v>0.1</v>
      </c>
      <c r="E52" s="195" t="s">
        <v>2553</v>
      </c>
      <c r="F52" s="195">
        <v>50</v>
      </c>
      <c r="G52" s="195" t="s">
        <v>9</v>
      </c>
      <c r="H52" s="301">
        <v>0.2</v>
      </c>
      <c r="I52" s="195" t="s">
        <v>2553</v>
      </c>
      <c r="J52" s="195">
        <v>100</v>
      </c>
      <c r="K52" s="195" t="s">
        <v>9</v>
      </c>
      <c r="L52" s="195">
        <v>125</v>
      </c>
      <c r="M52" s="195" t="s">
        <v>9</v>
      </c>
      <c r="N52" s="452" t="str">
        <f>IF(OR(COUNTBLANK(AttributeFilter)=1,AttributeFilter="(Select)"),A52,IF(COUNTIF(C52:M52,AttributeFilter)&gt;0,A52,""))</f>
        <v>Superior Rune of the Ice</v>
      </c>
    </row>
    <row r="53" spans="1:14">
      <c r="A53" s="207" t="s">
        <v>2569</v>
      </c>
      <c r="B53" s="194">
        <v>25</v>
      </c>
      <c r="C53" s="195" t="s">
        <v>9</v>
      </c>
      <c r="D53" s="195">
        <v>35</v>
      </c>
      <c r="E53" s="195" t="s">
        <v>13</v>
      </c>
      <c r="F53" s="195">
        <v>50</v>
      </c>
      <c r="G53" s="195" t="s">
        <v>9</v>
      </c>
      <c r="H53" s="195">
        <v>65</v>
      </c>
      <c r="I53" s="195" t="s">
        <v>13</v>
      </c>
      <c r="J53" s="195">
        <v>100</v>
      </c>
      <c r="K53" s="195" t="s">
        <v>9</v>
      </c>
      <c r="L53" s="195">
        <v>125</v>
      </c>
      <c r="M53" s="195" t="s">
        <v>13</v>
      </c>
      <c r="N53" s="452" t="str">
        <f>IF(OR(COUNTBLANK(AttributeFilter)=1,AttributeFilter="(Select)"),A53,IF(COUNTIF(C53:M53,AttributeFilter)&gt;0,A53,""))</f>
        <v>Superior Rune of the Wurm</v>
      </c>
    </row>
    <row r="54" spans="1:14">
      <c r="A54" s="207" t="s">
        <v>2570</v>
      </c>
      <c r="B54" s="194">
        <v>25</v>
      </c>
      <c r="C54" s="195" t="s">
        <v>9</v>
      </c>
      <c r="D54" s="195">
        <v>35</v>
      </c>
      <c r="E54" s="195" t="s">
        <v>6</v>
      </c>
      <c r="F54" s="195">
        <v>50</v>
      </c>
      <c r="G54" s="195" t="s">
        <v>9</v>
      </c>
      <c r="H54" s="195">
        <v>65</v>
      </c>
      <c r="I54" s="195" t="s">
        <v>6</v>
      </c>
      <c r="J54" s="195">
        <v>100</v>
      </c>
      <c r="K54" s="195" t="s">
        <v>9</v>
      </c>
      <c r="L54" s="195">
        <v>125</v>
      </c>
      <c r="M54" s="195" t="s">
        <v>9</v>
      </c>
      <c r="N54" s="452" t="str">
        <f>IF(OR(COUNTBLANK(AttributeFilter)=1,AttributeFilter="(Select)"),A54,IF(COUNTIF(C54:M54,AttributeFilter)&gt;0,A54,""))</f>
        <v>Superior Rune of the Warrior</v>
      </c>
    </row>
    <row r="55" spans="1:14">
      <c r="A55" s="207" t="s">
        <v>2571</v>
      </c>
      <c r="B55" s="194">
        <v>25</v>
      </c>
      <c r="C55" s="195" t="s">
        <v>9</v>
      </c>
      <c r="D55" s="195">
        <v>35</v>
      </c>
      <c r="E55" s="195" t="s">
        <v>8</v>
      </c>
      <c r="F55" s="195">
        <v>50</v>
      </c>
      <c r="G55" s="195" t="s">
        <v>9</v>
      </c>
      <c r="H55" s="195">
        <v>65</v>
      </c>
      <c r="I55" s="195" t="s">
        <v>8</v>
      </c>
      <c r="J55" s="195">
        <v>100</v>
      </c>
      <c r="K55" s="195" t="s">
        <v>9</v>
      </c>
      <c r="L55" s="195">
        <v>125</v>
      </c>
      <c r="M55" s="195" t="s">
        <v>8</v>
      </c>
      <c r="N55" s="452" t="str">
        <f>IF(OR(COUNTBLANK(AttributeFilter)=1,AttributeFilter="(Select)"),A55,IF(COUNTIF(C55:M55,AttributeFilter)&gt;0,A55,""))</f>
        <v>Superior Rune of the Trooper</v>
      </c>
    </row>
    <row r="56" spans="1:14">
      <c r="A56" s="207" t="s">
        <v>2572</v>
      </c>
      <c r="B56" s="194">
        <v>25</v>
      </c>
      <c r="C56" s="195" t="s">
        <v>9</v>
      </c>
      <c r="D56" s="195">
        <v>35</v>
      </c>
      <c r="E56" s="195" t="s">
        <v>14</v>
      </c>
      <c r="F56" s="195">
        <v>50</v>
      </c>
      <c r="G56" s="195" t="s">
        <v>9</v>
      </c>
      <c r="H56" s="195">
        <v>65</v>
      </c>
      <c r="I56" s="195" t="s">
        <v>7</v>
      </c>
      <c r="J56" s="195">
        <v>100</v>
      </c>
      <c r="K56" s="195" t="s">
        <v>9</v>
      </c>
      <c r="L56" s="195">
        <v>125</v>
      </c>
      <c r="M56" s="195" t="s">
        <v>6</v>
      </c>
      <c r="N56" s="452" t="str">
        <f>IF(OR(COUNTBLANK(AttributeFilter)=1,AttributeFilter="(Select)"),A56,IF(COUNTIF(C56:M56,AttributeFilter)&gt;0,A56,""))</f>
        <v>Superior Rune of Exuberance</v>
      </c>
    </row>
    <row r="57" spans="1:14">
      <c r="A57" s="207" t="s">
        <v>2573</v>
      </c>
      <c r="B57" s="194">
        <v>25</v>
      </c>
      <c r="C57" s="195" t="s">
        <v>11</v>
      </c>
      <c r="D57" s="301">
        <v>0.1</v>
      </c>
      <c r="E57" s="195" t="s">
        <v>2513</v>
      </c>
      <c r="F57" s="195">
        <v>50</v>
      </c>
      <c r="G57" s="195" t="s">
        <v>11</v>
      </c>
      <c r="H57" s="301">
        <v>0.2</v>
      </c>
      <c r="I57" s="195" t="s">
        <v>2513</v>
      </c>
      <c r="J57" s="195">
        <v>100</v>
      </c>
      <c r="K57" s="195" t="s">
        <v>11</v>
      </c>
      <c r="L57" s="301">
        <v>0.2</v>
      </c>
      <c r="M57" s="195" t="s">
        <v>2513</v>
      </c>
      <c r="N57" s="452" t="str">
        <f>IF(OR(COUNTBLANK(AttributeFilter)=1,AttributeFilter="(Select)"),A57,IF(COUNTIF(C57:M57,AttributeFilter)&gt;0,A57,""))</f>
        <v>Superior Rune of the Aristocracy</v>
      </c>
    </row>
    <row r="58" spans="1:14">
      <c r="A58" s="207" t="s">
        <v>2574</v>
      </c>
      <c r="B58" s="194">
        <v>25</v>
      </c>
      <c r="C58" s="195" t="s">
        <v>11</v>
      </c>
      <c r="D58" s="301">
        <v>0.1</v>
      </c>
      <c r="E58" s="195" t="s">
        <v>2575</v>
      </c>
      <c r="F58" s="195">
        <v>50</v>
      </c>
      <c r="G58" s="195" t="s">
        <v>11</v>
      </c>
      <c r="H58" s="301">
        <v>0.1</v>
      </c>
      <c r="I58" s="195" t="s">
        <v>84</v>
      </c>
      <c r="J58" s="195">
        <v>100</v>
      </c>
      <c r="K58" s="195" t="s">
        <v>11</v>
      </c>
      <c r="L58" s="301">
        <v>0.2</v>
      </c>
      <c r="M58" s="195" t="s">
        <v>2575</v>
      </c>
      <c r="N58" s="452" t="str">
        <f>IF(OR(COUNTBLANK(AttributeFilter)=1,AttributeFilter="(Select)"),A58,IF(COUNTIF(C58:M58,AttributeFilter)&gt;0,A58,""))</f>
        <v>Superior Rune of the Firebrand</v>
      </c>
    </row>
    <row r="59" spans="1:14">
      <c r="A59" s="207" t="s">
        <v>2576</v>
      </c>
      <c r="B59" s="194">
        <v>25</v>
      </c>
      <c r="C59" s="195" t="s">
        <v>11</v>
      </c>
      <c r="D59" s="301">
        <v>0.05</v>
      </c>
      <c r="E59" s="195" t="s">
        <v>86</v>
      </c>
      <c r="F59" s="195">
        <v>50</v>
      </c>
      <c r="G59" s="195" t="s">
        <v>11</v>
      </c>
      <c r="H59" s="301">
        <v>0.1</v>
      </c>
      <c r="I59" s="195" t="s">
        <v>86</v>
      </c>
      <c r="J59" s="195">
        <v>100</v>
      </c>
      <c r="K59" s="195" t="s">
        <v>11</v>
      </c>
      <c r="L59" s="195">
        <v>125</v>
      </c>
      <c r="M59" s="195" t="s">
        <v>11</v>
      </c>
      <c r="N59" s="452" t="str">
        <f>IF(OR(COUNTBLANK(AttributeFilter)=1,AttributeFilter="(Select)"),A59,IF(COUNTIF(C59:M59,AttributeFilter)&gt;0,A59,""))</f>
        <v>Superior Rune of the Trapper</v>
      </c>
    </row>
    <row r="60" spans="1:14">
      <c r="A60" s="207" t="s">
        <v>2577</v>
      </c>
      <c r="B60" s="194">
        <v>25</v>
      </c>
      <c r="C60" s="195" t="s">
        <v>11</v>
      </c>
      <c r="D60" s="301">
        <v>0.1</v>
      </c>
      <c r="E60" s="195" t="s">
        <v>2578</v>
      </c>
      <c r="F60" s="195">
        <v>50</v>
      </c>
      <c r="G60" s="195" t="s">
        <v>11</v>
      </c>
      <c r="H60" s="301">
        <v>0.1</v>
      </c>
      <c r="I60" s="195" t="s">
        <v>86</v>
      </c>
      <c r="J60" s="195">
        <v>100</v>
      </c>
      <c r="K60" s="195" t="s">
        <v>11</v>
      </c>
      <c r="L60" s="301">
        <v>0.1</v>
      </c>
      <c r="M60" s="195" t="s">
        <v>86</v>
      </c>
      <c r="N60" s="452" t="str">
        <f>IF(OR(COUNTBLANK(AttributeFilter)=1,AttributeFilter="(Select)"),A60,IF(COUNTIF(C60:M60,AttributeFilter)&gt;0,A60,""))</f>
        <v>Superior Rune of the Nightmare</v>
      </c>
    </row>
    <row r="61" spans="1:14">
      <c r="A61" s="207" t="s">
        <v>2579</v>
      </c>
      <c r="B61" s="194">
        <v>25</v>
      </c>
      <c r="C61" s="195" t="s">
        <v>11</v>
      </c>
      <c r="D61" s="301">
        <v>0.1</v>
      </c>
      <c r="E61" s="195" t="s">
        <v>2522</v>
      </c>
      <c r="F61" s="195">
        <v>50</v>
      </c>
      <c r="G61" s="195" t="s">
        <v>11</v>
      </c>
      <c r="H61" s="301">
        <v>0.2</v>
      </c>
      <c r="I61" s="195" t="s">
        <v>2522</v>
      </c>
      <c r="J61" s="195">
        <v>100</v>
      </c>
      <c r="K61" s="195" t="s">
        <v>11</v>
      </c>
      <c r="L61" s="301">
        <v>0.2</v>
      </c>
      <c r="M61" s="195" t="s">
        <v>2522</v>
      </c>
      <c r="N61" s="452" t="str">
        <f>IF(OR(COUNTBLANK(AttributeFilter)=1,AttributeFilter="(Select)"),A61,IF(COUNTIF(C61:M61,AttributeFilter)&gt;0,A61,""))</f>
        <v>Superior Rune of the Krait</v>
      </c>
    </row>
    <row r="62" spans="1:14">
      <c r="A62" s="207" t="s">
        <v>2580</v>
      </c>
      <c r="B62" s="194">
        <v>25</v>
      </c>
      <c r="C62" s="195" t="s">
        <v>11</v>
      </c>
      <c r="D62" s="301">
        <v>0.1</v>
      </c>
      <c r="E62" s="195" t="s">
        <v>2518</v>
      </c>
      <c r="F62" s="195">
        <v>50</v>
      </c>
      <c r="G62" s="195" t="s">
        <v>11</v>
      </c>
      <c r="H62" s="301">
        <v>0.2</v>
      </c>
      <c r="I62" s="195" t="s">
        <v>2518</v>
      </c>
      <c r="J62" s="195">
        <v>100</v>
      </c>
      <c r="K62" s="195" t="s">
        <v>11</v>
      </c>
      <c r="L62" s="301">
        <v>0.2</v>
      </c>
      <c r="M62" s="195" t="s">
        <v>2518</v>
      </c>
      <c r="N62" s="452" t="str">
        <f>IF(OR(COUNTBLANK(AttributeFilter)=1,AttributeFilter="(Select)"),A62,IF(COUNTIF(C62:M62,AttributeFilter)&gt;0,A62,""))</f>
        <v>Superior Rune of Balthazar</v>
      </c>
    </row>
    <row r="63" spans="1:14">
      <c r="A63" s="207" t="s">
        <v>2581</v>
      </c>
      <c r="B63" s="194">
        <v>25</v>
      </c>
      <c r="C63" s="195" t="s">
        <v>11</v>
      </c>
      <c r="D63" s="301">
        <v>0.1</v>
      </c>
      <c r="E63" s="195" t="s">
        <v>2553</v>
      </c>
      <c r="F63" s="195">
        <v>50</v>
      </c>
      <c r="G63" s="195" t="s">
        <v>11</v>
      </c>
      <c r="H63" s="301">
        <v>0.2</v>
      </c>
      <c r="I63" s="195" t="s">
        <v>2553</v>
      </c>
      <c r="J63" s="195">
        <v>100</v>
      </c>
      <c r="K63" s="195" t="s">
        <v>11</v>
      </c>
      <c r="L63" s="301">
        <v>0.2</v>
      </c>
      <c r="M63" s="195" t="s">
        <v>2553</v>
      </c>
      <c r="N63" s="452" t="str">
        <f>IF(OR(COUNTBLANK(AttributeFilter)=1,AttributeFilter="(Select)"),A63,IF(COUNTIF(C63:M63,AttributeFilter)&gt;0,A63,""))</f>
        <v>Superior Rune of Grenth</v>
      </c>
    </row>
    <row r="64" spans="1:14">
      <c r="A64" s="207" t="s">
        <v>2582</v>
      </c>
      <c r="B64" s="194">
        <v>25</v>
      </c>
      <c r="C64" s="195" t="s">
        <v>11</v>
      </c>
      <c r="D64" s="301">
        <v>0.1</v>
      </c>
      <c r="E64" s="195" t="s">
        <v>2583</v>
      </c>
      <c r="F64" s="195">
        <v>50</v>
      </c>
      <c r="G64" s="195" t="s">
        <v>11</v>
      </c>
      <c r="H64" s="301">
        <v>0.2</v>
      </c>
      <c r="I64" s="195" t="s">
        <v>2583</v>
      </c>
      <c r="J64" s="195">
        <v>100</v>
      </c>
      <c r="K64" s="195" t="s">
        <v>11</v>
      </c>
      <c r="L64" s="301">
        <v>0.2</v>
      </c>
      <c r="M64" s="195" t="s">
        <v>2583</v>
      </c>
      <c r="N64" s="452" t="str">
        <f>IF(OR(COUNTBLANK(AttributeFilter)=1,AttributeFilter="(Select)"),A64,IF(COUNTIF(C64:M64,AttributeFilter)&gt;0,A64,""))</f>
        <v>Superior Rune of Perplexity</v>
      </c>
    </row>
    <row r="65" spans="1:14">
      <c r="A65" s="207" t="s">
        <v>2584</v>
      </c>
      <c r="B65" s="194">
        <v>25</v>
      </c>
      <c r="C65" s="195" t="s">
        <v>11</v>
      </c>
      <c r="D65" s="301">
        <v>0.1</v>
      </c>
      <c r="E65" s="195" t="s">
        <v>2543</v>
      </c>
      <c r="F65" s="195">
        <v>50</v>
      </c>
      <c r="G65" s="195" t="s">
        <v>11</v>
      </c>
      <c r="H65" s="301">
        <v>0.2</v>
      </c>
      <c r="I65" s="195" t="s">
        <v>2543</v>
      </c>
      <c r="J65" s="195">
        <v>100</v>
      </c>
      <c r="K65" s="195" t="s">
        <v>11</v>
      </c>
      <c r="L65" s="301">
        <v>0.2</v>
      </c>
      <c r="M65" s="195" t="s">
        <v>2543</v>
      </c>
      <c r="N65" s="452" t="str">
        <f>IF(OR(COUNTBLANK(AttributeFilter)=1,AttributeFilter="(Select)"),A65,IF(COUNTIF(C65:M65,AttributeFilter)&gt;0,A65,""))</f>
        <v>Superior Rune of Thorns</v>
      </c>
    </row>
    <row r="66" spans="1:14">
      <c r="A66" s="207" t="s">
        <v>2585</v>
      </c>
      <c r="B66" s="194">
        <v>25</v>
      </c>
      <c r="C66" s="195" t="s">
        <v>11</v>
      </c>
      <c r="D66" s="301">
        <v>0.1</v>
      </c>
      <c r="E66" s="195" t="s">
        <v>2543</v>
      </c>
      <c r="F66" s="195">
        <v>50</v>
      </c>
      <c r="G66" s="195" t="s">
        <v>11</v>
      </c>
      <c r="H66" s="301">
        <v>0.2</v>
      </c>
      <c r="I66" s="195" t="s">
        <v>2522</v>
      </c>
      <c r="J66" s="195">
        <v>100</v>
      </c>
      <c r="K66" s="195" t="s">
        <v>11</v>
      </c>
      <c r="L66" s="301">
        <v>0.1</v>
      </c>
      <c r="M66" s="195" t="s">
        <v>86</v>
      </c>
      <c r="N66" s="452" t="str">
        <f>IF(OR(COUNTBLANK(AttributeFilter)=1,AttributeFilter="(Select)"),A66,IF(COUNTIF(C66:M66,AttributeFilter)&gt;0,A66,""))</f>
        <v>Superior Rune of the Afflicted</v>
      </c>
    </row>
    <row r="67" spans="1:14">
      <c r="A67" s="207" t="s">
        <v>2586</v>
      </c>
      <c r="B67" s="194">
        <v>25</v>
      </c>
      <c r="C67" s="195" t="s">
        <v>11</v>
      </c>
      <c r="D67" s="301">
        <v>0.1</v>
      </c>
      <c r="E67" s="195" t="s">
        <v>2587</v>
      </c>
      <c r="F67" s="195">
        <v>50</v>
      </c>
      <c r="G67" s="195" t="s">
        <v>11</v>
      </c>
      <c r="H67" s="301">
        <v>0.2</v>
      </c>
      <c r="I67" s="195" t="s">
        <v>2587</v>
      </c>
      <c r="J67" s="195">
        <v>100</v>
      </c>
      <c r="K67" s="195" t="s">
        <v>11</v>
      </c>
      <c r="L67" s="301">
        <v>0.2</v>
      </c>
      <c r="M67" s="195" t="s">
        <v>2588</v>
      </c>
      <c r="N67" s="452" t="str">
        <f>IF(OR(COUNTBLANK(AttributeFilter)=1,AttributeFilter="(Select)"),A67,IF(COUNTIF(C67:M67,AttributeFilter)&gt;0,A67,""))</f>
        <v>Superior Rune of Tormenting</v>
      </c>
    </row>
    <row r="68" spans="1:14">
      <c r="A68" s="207" t="s">
        <v>2589</v>
      </c>
      <c r="B68" s="194">
        <v>25</v>
      </c>
      <c r="C68" s="195" t="s">
        <v>11</v>
      </c>
      <c r="D68" s="195">
        <v>35</v>
      </c>
      <c r="E68" s="195" t="s">
        <v>13</v>
      </c>
      <c r="F68" s="195">
        <v>50</v>
      </c>
      <c r="G68" s="195" t="s">
        <v>11</v>
      </c>
      <c r="H68" s="195">
        <v>65</v>
      </c>
      <c r="I68" s="195" t="s">
        <v>13</v>
      </c>
      <c r="J68" s="195">
        <v>100</v>
      </c>
      <c r="K68" s="195" t="s">
        <v>11</v>
      </c>
      <c r="L68" s="195">
        <v>125</v>
      </c>
      <c r="M68" s="195" t="s">
        <v>11</v>
      </c>
      <c r="N68" s="452" t="str">
        <f>IF(OR(COUNTBLANK(AttributeFilter)=1,AttributeFilter="(Select)"),A68,IF(COUNTIF(C68:M68,AttributeFilter)&gt;0,A68,""))</f>
        <v>Superior Rune of the Renegade</v>
      </c>
    </row>
    <row r="69" spans="1:14">
      <c r="A69" s="207" t="s">
        <v>2590</v>
      </c>
      <c r="B69" s="194">
        <v>25</v>
      </c>
      <c r="C69" s="195" t="s">
        <v>11</v>
      </c>
      <c r="D69" s="195">
        <v>35</v>
      </c>
      <c r="E69" s="195" t="s">
        <v>6</v>
      </c>
      <c r="F69" s="195">
        <v>50</v>
      </c>
      <c r="G69" s="195" t="s">
        <v>11</v>
      </c>
      <c r="H69" s="195">
        <v>65</v>
      </c>
      <c r="I69" s="195" t="s">
        <v>6</v>
      </c>
      <c r="J69" s="195">
        <v>100</v>
      </c>
      <c r="K69" s="195" t="s">
        <v>11</v>
      </c>
      <c r="L69" s="195">
        <v>125</v>
      </c>
      <c r="M69" s="195" t="s">
        <v>11</v>
      </c>
      <c r="N69" s="452" t="str">
        <f>IF(OR(COUNTBLANK(AttributeFilter)=1,AttributeFilter="(Select)"),A69,IF(COUNTIF(C69:M69,AttributeFilter)&gt;0,A69,""))</f>
        <v>Superior Rune of the Berserker</v>
      </c>
    </row>
    <row r="70" spans="1:14">
      <c r="A70" s="207" t="s">
        <v>2591</v>
      </c>
      <c r="B70" s="194">
        <v>25</v>
      </c>
      <c r="C70" s="195" t="s">
        <v>11</v>
      </c>
      <c r="D70" s="195">
        <v>35</v>
      </c>
      <c r="E70" s="195" t="s">
        <v>6</v>
      </c>
      <c r="F70" s="195">
        <v>50</v>
      </c>
      <c r="G70" s="195" t="s">
        <v>11</v>
      </c>
      <c r="H70" s="195">
        <v>65</v>
      </c>
      <c r="I70" s="195" t="s">
        <v>6</v>
      </c>
      <c r="J70" s="195">
        <v>100</v>
      </c>
      <c r="K70" s="195" t="s">
        <v>11</v>
      </c>
      <c r="L70" s="195">
        <v>125</v>
      </c>
      <c r="M70" s="195" t="s">
        <v>9</v>
      </c>
      <c r="N70" s="452" t="str">
        <f>IF(OR(COUNTBLANK(AttributeFilter)=1,AttributeFilter="(Select)"),A70,IF(COUNTIF(C70:M70,AttributeFilter)&gt;0,A70,""))</f>
        <v>Superior Rune of the Soulbeast</v>
      </c>
    </row>
    <row r="71" spans="1:14">
      <c r="A71" s="207" t="s">
        <v>2592</v>
      </c>
      <c r="B71" s="194">
        <v>25</v>
      </c>
      <c r="C71" s="195" t="s">
        <v>11</v>
      </c>
      <c r="D71" s="195">
        <v>35</v>
      </c>
      <c r="E71" s="195" t="s">
        <v>6</v>
      </c>
      <c r="F71" s="195">
        <v>50</v>
      </c>
      <c r="G71" s="195" t="s">
        <v>11</v>
      </c>
      <c r="H71" s="195">
        <v>65</v>
      </c>
      <c r="I71" s="195" t="s">
        <v>6</v>
      </c>
      <c r="J71" s="195">
        <v>100</v>
      </c>
      <c r="K71" s="195" t="s">
        <v>11</v>
      </c>
      <c r="L71" s="195">
        <v>125</v>
      </c>
      <c r="M71" s="195" t="s">
        <v>6</v>
      </c>
      <c r="N71" s="452" t="str">
        <f>IF(OR(COUNTBLANK(AttributeFilter)=1,AttributeFilter="(Select)"),A71,IF(COUNTIF(C71:M71,AttributeFilter)&gt;0,A71,""))</f>
        <v>Superior Rune of the Adventurer</v>
      </c>
    </row>
    <row r="72" spans="1:14">
      <c r="A72" s="207" t="s">
        <v>2593</v>
      </c>
      <c r="B72" s="194">
        <v>25</v>
      </c>
      <c r="C72" s="195" t="s">
        <v>11</v>
      </c>
      <c r="D72" s="195">
        <v>35</v>
      </c>
      <c r="E72" s="195" t="s">
        <v>8</v>
      </c>
      <c r="F72" s="195">
        <v>50</v>
      </c>
      <c r="G72" s="195" t="s">
        <v>11</v>
      </c>
      <c r="H72" s="195">
        <v>65</v>
      </c>
      <c r="I72" s="195" t="s">
        <v>8</v>
      </c>
      <c r="J72" s="195">
        <v>100</v>
      </c>
      <c r="K72" s="195" t="s">
        <v>11</v>
      </c>
      <c r="L72" s="195">
        <v>125</v>
      </c>
      <c r="M72" s="195" t="s">
        <v>8</v>
      </c>
      <c r="N72" s="452" t="str">
        <f>IF(OR(COUNTBLANK(AttributeFilter)=1,AttributeFilter="(Select)"),A72,IF(COUNTIF(C72:M72,AttributeFilter)&gt;0,A72,""))</f>
        <v>Superior Rune of the Undead</v>
      </c>
    </row>
    <row r="73" spans="1:14">
      <c r="A73" s="207" t="s">
        <v>2594</v>
      </c>
      <c r="B73" s="194">
        <v>25</v>
      </c>
      <c r="C73" s="195" t="s">
        <v>11</v>
      </c>
      <c r="D73" s="195">
        <v>35</v>
      </c>
      <c r="E73" s="195" t="s">
        <v>8</v>
      </c>
      <c r="F73" s="195">
        <v>50</v>
      </c>
      <c r="G73" s="195" t="s">
        <v>11</v>
      </c>
      <c r="H73" s="195">
        <v>65</v>
      </c>
      <c r="I73" s="195" t="s">
        <v>8</v>
      </c>
      <c r="J73" s="195">
        <v>100</v>
      </c>
      <c r="K73" s="195" t="s">
        <v>11</v>
      </c>
      <c r="L73" s="195">
        <v>125</v>
      </c>
      <c r="M73" s="195" t="s">
        <v>9</v>
      </c>
      <c r="N73" s="452" t="str">
        <f>IF(OR(COUNTBLANK(AttributeFilter)=1,AttributeFilter="(Select)"),A73,IF(COUNTIF(C73:M73,AttributeFilter)&gt;0,A73,""))</f>
        <v>Superior Rune of the Mirage</v>
      </c>
    </row>
    <row r="74" spans="1:14">
      <c r="A74" s="207" t="s">
        <v>2595</v>
      </c>
      <c r="B74" s="194">
        <v>25</v>
      </c>
      <c r="C74" s="195" t="s">
        <v>11</v>
      </c>
      <c r="D74" s="195">
        <v>35</v>
      </c>
      <c r="E74" s="195" t="s">
        <v>9</v>
      </c>
      <c r="F74" s="195">
        <v>50</v>
      </c>
      <c r="G74" s="195" t="s">
        <v>11</v>
      </c>
      <c r="H74" s="195">
        <v>65</v>
      </c>
      <c r="I74" s="195" t="s">
        <v>9</v>
      </c>
      <c r="J74" s="195">
        <v>100</v>
      </c>
      <c r="K74" s="195" t="s">
        <v>11</v>
      </c>
      <c r="L74" s="195">
        <v>125</v>
      </c>
      <c r="M74" s="195" t="s">
        <v>11</v>
      </c>
      <c r="N74" s="452" t="str">
        <f>IF(OR(COUNTBLANK(AttributeFilter)=1,AttributeFilter="(Select)"),A74,IF(COUNTIF(C74:M74,AttributeFilter)&gt;0,A74,""))</f>
        <v>Superior Rune of the Necromancer</v>
      </c>
    </row>
    <row r="75" spans="1:14">
      <c r="A75" s="207" t="s">
        <v>2596</v>
      </c>
      <c r="B75" s="194">
        <v>25</v>
      </c>
      <c r="C75" s="195" t="s">
        <v>11</v>
      </c>
      <c r="D75" s="195">
        <v>35</v>
      </c>
      <c r="E75" s="195" t="s">
        <v>9</v>
      </c>
      <c r="F75" s="195">
        <v>50</v>
      </c>
      <c r="G75" s="195" t="s">
        <v>11</v>
      </c>
      <c r="H75" s="195">
        <v>65</v>
      </c>
      <c r="I75" s="195" t="s">
        <v>9</v>
      </c>
      <c r="J75" s="195">
        <v>100</v>
      </c>
      <c r="K75" s="195" t="s">
        <v>11</v>
      </c>
      <c r="L75" s="301">
        <v>0.2</v>
      </c>
      <c r="M75" s="195" t="s">
        <v>2543</v>
      </c>
      <c r="N75" s="452" t="str">
        <f>IF(OR(COUNTBLANK(AttributeFilter)=1,AttributeFilter="(Select)"),A75,IF(COUNTIF(C75:M75,AttributeFilter)&gt;0,A75,""))</f>
        <v>Superior Rune of Scavenging</v>
      </c>
    </row>
    <row r="76" spans="1:14">
      <c r="A76" s="207" t="s">
        <v>2597</v>
      </c>
      <c r="B76" s="194">
        <v>25</v>
      </c>
      <c r="C76" s="195" t="s">
        <v>11</v>
      </c>
      <c r="D76" s="301">
        <v>-0.05</v>
      </c>
      <c r="E76" s="195" t="s">
        <v>2516</v>
      </c>
      <c r="F76" s="195">
        <v>50</v>
      </c>
      <c r="G76" s="195" t="s">
        <v>11</v>
      </c>
      <c r="H76" s="301">
        <v>-0.1</v>
      </c>
      <c r="I76" s="195" t="s">
        <v>2516</v>
      </c>
      <c r="J76" s="195">
        <v>100</v>
      </c>
      <c r="K76" s="195" t="s">
        <v>11</v>
      </c>
      <c r="L76" s="195">
        <v>125</v>
      </c>
      <c r="M76" s="195" t="s">
        <v>9</v>
      </c>
      <c r="N76" s="452" t="str">
        <f>IF(OR(COUNTBLANK(AttributeFilter)=1,AttributeFilter="(Select)"),A76,IF(COUNTIF(C76:M76,AttributeFilter)&gt;0,A76,""))</f>
        <v>Superior Rune of Antitoxin</v>
      </c>
    </row>
    <row r="77" spans="1:14">
      <c r="A77" s="207" t="s">
        <v>2598</v>
      </c>
      <c r="B77" s="194">
        <v>25</v>
      </c>
      <c r="C77" s="195" t="s">
        <v>11</v>
      </c>
      <c r="D77" s="301">
        <v>-0.05</v>
      </c>
      <c r="E77" s="195" t="s">
        <v>2516</v>
      </c>
      <c r="F77" s="195">
        <v>50</v>
      </c>
      <c r="G77" s="195" t="s">
        <v>11</v>
      </c>
      <c r="H77" s="301">
        <v>-0.1</v>
      </c>
      <c r="I77" s="195" t="s">
        <v>2516</v>
      </c>
      <c r="J77" s="195">
        <v>100</v>
      </c>
      <c r="K77" s="195" t="s">
        <v>11</v>
      </c>
      <c r="L77" s="195">
        <v>125</v>
      </c>
      <c r="M77" s="195" t="s">
        <v>11</v>
      </c>
      <c r="N77" s="452" t="str">
        <f>IF(OR(COUNTBLANK(AttributeFilter)=1,AttributeFilter="(Select)"),A77,IF(COUNTIF(C77:M77,AttributeFilter)&gt;0,A77,""))</f>
        <v>Superior Rune of the Sunless</v>
      </c>
    </row>
    <row r="78" spans="1:14">
      <c r="A78" s="207" t="s">
        <v>2599</v>
      </c>
      <c r="B78" s="194">
        <v>25</v>
      </c>
      <c r="C78" s="195" t="s">
        <v>11</v>
      </c>
      <c r="D78" s="301">
        <v>-0.05</v>
      </c>
      <c r="E78" s="195" t="s">
        <v>2516</v>
      </c>
      <c r="F78" s="195">
        <v>50</v>
      </c>
      <c r="G78" s="195" t="s">
        <v>11</v>
      </c>
      <c r="H78" s="301">
        <v>-0.1</v>
      </c>
      <c r="I78" s="195" t="s">
        <v>2516</v>
      </c>
      <c r="J78" s="195">
        <v>100</v>
      </c>
      <c r="K78" s="195" t="s">
        <v>11</v>
      </c>
      <c r="L78" s="301">
        <v>-0.1</v>
      </c>
      <c r="M78" s="195" t="s">
        <v>2516</v>
      </c>
      <c r="N78" s="452" t="str">
        <f>IF(OR(COUNTBLANK(AttributeFilter)=1,AttributeFilter="(Select)"),A78,IF(COUNTIF(C78:M78,AttributeFilter)&gt;0,A78,""))</f>
        <v>Superior Rune of Orr</v>
      </c>
    </row>
    <row r="79" spans="1:14">
      <c r="A79" s="207" t="s">
        <v>2600</v>
      </c>
      <c r="B79" s="194">
        <v>25</v>
      </c>
      <c r="C79" s="195" t="s">
        <v>13</v>
      </c>
      <c r="D79" s="301">
        <v>0.1</v>
      </c>
      <c r="E79" s="195" t="s">
        <v>2512</v>
      </c>
      <c r="F79" s="195">
        <v>50</v>
      </c>
      <c r="G79" s="195" t="s">
        <v>13</v>
      </c>
      <c r="H79" s="301">
        <v>0.2</v>
      </c>
      <c r="I79" s="195" t="s">
        <v>2512</v>
      </c>
      <c r="J79" s="195">
        <v>100</v>
      </c>
      <c r="K79" s="195" t="s">
        <v>13</v>
      </c>
      <c r="L79" s="195">
        <v>125</v>
      </c>
      <c r="M79" s="195" t="s">
        <v>13</v>
      </c>
      <c r="N79" s="452" t="str">
        <f>IF(OR(COUNTBLANK(AttributeFilter)=1,AttributeFilter="(Select)"),A79,IF(COUNTIF(C79:M79,AttributeFilter)&gt;0,A79,""))</f>
        <v>Superior Rune of Rage</v>
      </c>
    </row>
    <row r="80" spans="1:14">
      <c r="A80" s="207" t="s">
        <v>2601</v>
      </c>
      <c r="B80" s="194">
        <v>25</v>
      </c>
      <c r="C80" s="195" t="s">
        <v>13</v>
      </c>
      <c r="D80" s="301">
        <v>0.1</v>
      </c>
      <c r="E80" s="195" t="s">
        <v>2520</v>
      </c>
      <c r="F80" s="195">
        <v>50</v>
      </c>
      <c r="G80" s="195" t="s">
        <v>13</v>
      </c>
      <c r="H80" s="301">
        <v>0.2</v>
      </c>
      <c r="I80" s="195" t="s">
        <v>2520</v>
      </c>
      <c r="J80" s="195">
        <v>100</v>
      </c>
      <c r="K80" s="195" t="s">
        <v>13</v>
      </c>
      <c r="L80" s="301">
        <v>0.2</v>
      </c>
      <c r="M80" s="195" t="s">
        <v>2520</v>
      </c>
      <c r="N80" s="452" t="str">
        <f>IF(OR(COUNTBLANK(AttributeFilter)=1,AttributeFilter="(Select)"),A80,IF(COUNTIF(C80:M80,AttributeFilter)&gt;0,A80,""))</f>
        <v>Superior Rune of the Air</v>
      </c>
    </row>
    <row r="81" spans="1:14">
      <c r="A81" s="207" t="s">
        <v>2602</v>
      </c>
      <c r="B81" s="194">
        <v>25</v>
      </c>
      <c r="C81" s="195" t="s">
        <v>13</v>
      </c>
      <c r="D81" s="301">
        <v>0.1</v>
      </c>
      <c r="E81" s="195" t="s">
        <v>2520</v>
      </c>
      <c r="F81" s="195">
        <v>50</v>
      </c>
      <c r="G81" s="195" t="s">
        <v>13</v>
      </c>
      <c r="H81" s="301">
        <v>0.2</v>
      </c>
      <c r="I81" s="195" t="s">
        <v>2520</v>
      </c>
      <c r="J81" s="195">
        <v>100</v>
      </c>
      <c r="K81" s="195" t="s">
        <v>13</v>
      </c>
      <c r="L81" s="195">
        <v>125</v>
      </c>
      <c r="M81" s="195" t="s">
        <v>13</v>
      </c>
      <c r="N81" s="452" t="str">
        <f>IF(OR(COUNTBLANK(AttributeFilter)=1,AttributeFilter="(Select)"),A81,IF(COUNTIF(C81:M81,AttributeFilter)&gt;0,A81,""))</f>
        <v>Superior Rune of Evasion</v>
      </c>
    </row>
    <row r="82" spans="1:14">
      <c r="A82" s="207" t="s">
        <v>2603</v>
      </c>
      <c r="B82" s="194">
        <v>25</v>
      </c>
      <c r="C82" s="195" t="s">
        <v>13</v>
      </c>
      <c r="D82" s="195">
        <v>35</v>
      </c>
      <c r="E82" s="195" t="s">
        <v>6</v>
      </c>
      <c r="F82" s="195">
        <v>50</v>
      </c>
      <c r="G82" s="195" t="s">
        <v>13</v>
      </c>
      <c r="H82" s="195">
        <v>65</v>
      </c>
      <c r="I82" s="195" t="s">
        <v>6</v>
      </c>
      <c r="J82" s="195">
        <v>100</v>
      </c>
      <c r="K82" s="195" t="s">
        <v>13</v>
      </c>
      <c r="L82" s="195">
        <v>125</v>
      </c>
      <c r="M82" s="195" t="s">
        <v>13</v>
      </c>
      <c r="N82" s="452" t="str">
        <f>IF(OR(COUNTBLANK(AttributeFilter)=1,AttributeFilter="(Select)"),A82,IF(COUNTIF(C82:M82,AttributeFilter)&gt;0,A82,""))</f>
        <v>Superior Rune of the Dragonhunter</v>
      </c>
    </row>
    <row r="83" spans="1:14">
      <c r="A83" s="207" t="s">
        <v>2604</v>
      </c>
      <c r="B83" s="194">
        <v>25</v>
      </c>
      <c r="C83" s="195" t="s">
        <v>13</v>
      </c>
      <c r="D83" s="195">
        <v>35</v>
      </c>
      <c r="E83" s="195" t="s">
        <v>7</v>
      </c>
      <c r="F83" s="195">
        <v>50</v>
      </c>
      <c r="G83" s="195" t="s">
        <v>13</v>
      </c>
      <c r="H83" s="195">
        <v>65</v>
      </c>
      <c r="I83" s="195" t="s">
        <v>7</v>
      </c>
      <c r="J83" s="195">
        <v>100</v>
      </c>
      <c r="K83" s="195" t="s">
        <v>13</v>
      </c>
      <c r="L83" s="195">
        <v>125</v>
      </c>
      <c r="M83" s="195" t="s">
        <v>13</v>
      </c>
      <c r="N83" s="452" t="str">
        <f>IF(OR(COUNTBLANK(AttributeFilter)=1,AttributeFilter="(Select)"),A83,IF(COUNTIF(C83:M83,AttributeFilter)&gt;0,A83,""))</f>
        <v>Superior Rune of the Golemancer</v>
      </c>
    </row>
    <row r="84" spans="1:14">
      <c r="A84" s="207" t="s">
        <v>2605</v>
      </c>
      <c r="B84" s="194">
        <v>25</v>
      </c>
      <c r="C84" s="195" t="s">
        <v>14</v>
      </c>
      <c r="D84" s="301">
        <v>0.05</v>
      </c>
      <c r="E84" s="195" t="s">
        <v>84</v>
      </c>
      <c r="F84" s="195">
        <v>50</v>
      </c>
      <c r="G84" s="195" t="s">
        <v>14</v>
      </c>
      <c r="H84" s="301">
        <v>0.1</v>
      </c>
      <c r="I84" s="195" t="s">
        <v>84</v>
      </c>
      <c r="J84" s="195">
        <v>100</v>
      </c>
      <c r="K84" s="195" t="s">
        <v>14</v>
      </c>
      <c r="L84" s="195">
        <v>125</v>
      </c>
      <c r="M84" s="195" t="s">
        <v>8</v>
      </c>
      <c r="N84" s="452" t="str">
        <f>IF(OR(COUNTBLANK(AttributeFilter)=1,AttributeFilter="(Select)"),A84,IF(COUNTIF(C84:M84,AttributeFilter)&gt;0,A84,""))</f>
        <v>Superior Rune of the Rebirth</v>
      </c>
    </row>
    <row r="85" spans="1:14">
      <c r="A85" s="207" t="s">
        <v>2606</v>
      </c>
      <c r="B85" s="194">
        <v>25</v>
      </c>
      <c r="C85" s="195" t="s">
        <v>14</v>
      </c>
      <c r="D85" s="301">
        <v>0.05</v>
      </c>
      <c r="E85" s="195" t="s">
        <v>84</v>
      </c>
      <c r="F85" s="195">
        <v>50</v>
      </c>
      <c r="G85" s="195" t="s">
        <v>14</v>
      </c>
      <c r="H85" s="301">
        <v>0.1</v>
      </c>
      <c r="I85" s="195" t="s">
        <v>84</v>
      </c>
      <c r="J85" s="195">
        <v>100</v>
      </c>
      <c r="K85" s="195" t="s">
        <v>14</v>
      </c>
      <c r="L85" s="195">
        <v>125</v>
      </c>
      <c r="M85" s="195" t="s">
        <v>9</v>
      </c>
      <c r="N85" s="452" t="str">
        <f>IF(OR(COUNTBLANK(AttributeFilter)=1,AttributeFilter="(Select)"),A85,IF(COUNTIF(C85:M85,AttributeFilter)&gt;0,A85,""))</f>
        <v>Superior Rune of Altruism</v>
      </c>
    </row>
    <row r="86" spans="1:14">
      <c r="A86" s="207" t="s">
        <v>2607</v>
      </c>
      <c r="B86" s="194">
        <v>25</v>
      </c>
      <c r="C86" s="195" t="s">
        <v>14</v>
      </c>
      <c r="D86" s="301">
        <v>0.05</v>
      </c>
      <c r="E86" s="195" t="s">
        <v>84</v>
      </c>
      <c r="F86" s="195">
        <v>50</v>
      </c>
      <c r="G86" s="195" t="s">
        <v>14</v>
      </c>
      <c r="H86" s="301">
        <v>0.1</v>
      </c>
      <c r="I86" s="195" t="s">
        <v>84</v>
      </c>
      <c r="J86" s="195">
        <v>100</v>
      </c>
      <c r="K86" s="195" t="s">
        <v>14</v>
      </c>
      <c r="L86" s="195">
        <v>125</v>
      </c>
      <c r="M86" s="195" t="s">
        <v>14</v>
      </c>
      <c r="N86" s="452" t="str">
        <f>IF(OR(COUNTBLANK(AttributeFilter)=1,AttributeFilter="(Select)"),A86,IF(COUNTIF(C86:M86,AttributeFilter)&gt;0,A86,""))</f>
        <v>Superior Rune of the Monk</v>
      </c>
    </row>
    <row r="87" spans="1:14">
      <c r="A87" s="207" t="s">
        <v>2608</v>
      </c>
      <c r="B87" s="194">
        <v>25</v>
      </c>
      <c r="C87" s="195" t="s">
        <v>14</v>
      </c>
      <c r="D87" s="301">
        <v>0.05</v>
      </c>
      <c r="E87" s="195" t="s">
        <v>84</v>
      </c>
      <c r="F87" s="195">
        <v>50</v>
      </c>
      <c r="G87" s="195" t="s">
        <v>14</v>
      </c>
      <c r="H87" s="301">
        <v>0.1</v>
      </c>
      <c r="I87" s="195" t="s">
        <v>84</v>
      </c>
      <c r="J87" s="195">
        <v>100</v>
      </c>
      <c r="K87" s="195" t="s">
        <v>14</v>
      </c>
      <c r="L87" s="301">
        <v>0.1</v>
      </c>
      <c r="M87" s="195" t="s">
        <v>84</v>
      </c>
      <c r="N87" s="452" t="str">
        <f>IF(OR(COUNTBLANK(AttributeFilter)=1,AttributeFilter="(Select)"),A87,IF(COUNTIF(C87:M87,AttributeFilter)&gt;0,A87,""))</f>
        <v>Superior Rune of the Water</v>
      </c>
    </row>
    <row r="88" spans="1:14">
      <c r="A88" s="207" t="s">
        <v>2609</v>
      </c>
      <c r="B88" s="194">
        <v>25</v>
      </c>
      <c r="C88" s="195" t="s">
        <v>14</v>
      </c>
      <c r="D88" s="301">
        <v>0.1</v>
      </c>
      <c r="E88" s="195" t="s">
        <v>2551</v>
      </c>
      <c r="F88" s="195">
        <v>50</v>
      </c>
      <c r="G88" s="195" t="s">
        <v>14</v>
      </c>
      <c r="H88" s="301">
        <v>0.2</v>
      </c>
      <c r="I88" s="195" t="s">
        <v>2551</v>
      </c>
      <c r="J88" s="195">
        <v>100</v>
      </c>
      <c r="K88" s="195" t="s">
        <v>14</v>
      </c>
      <c r="L88" s="301">
        <v>0.2</v>
      </c>
      <c r="M88" s="195" t="s">
        <v>2551</v>
      </c>
      <c r="N88" s="452" t="str">
        <f>IF(OR(COUNTBLANK(AttributeFilter)=1,AttributeFilter="(Select)"),A88,IF(COUNTIF(C88:M88,AttributeFilter)&gt;0,A88,""))</f>
        <v>Superior Rune of the Grove</v>
      </c>
    </row>
    <row r="89" spans="1:14">
      <c r="A89" s="207" t="s">
        <v>2610</v>
      </c>
      <c r="B89" s="194">
        <v>25</v>
      </c>
      <c r="C89" s="195" t="s">
        <v>14</v>
      </c>
      <c r="D89" s="301">
        <v>0.1</v>
      </c>
      <c r="E89" s="195" t="s">
        <v>2611</v>
      </c>
      <c r="F89" s="195">
        <v>50</v>
      </c>
      <c r="G89" s="195" t="s">
        <v>14</v>
      </c>
      <c r="H89" s="301">
        <v>0.2</v>
      </c>
      <c r="I89" s="195" t="s">
        <v>2611</v>
      </c>
      <c r="J89" s="195">
        <v>100</v>
      </c>
      <c r="K89" s="195" t="s">
        <v>14</v>
      </c>
      <c r="L89" s="195">
        <v>125</v>
      </c>
      <c r="M89" s="195" t="s">
        <v>9</v>
      </c>
      <c r="N89" s="452" t="str">
        <f>IF(OR(COUNTBLANK(AttributeFilter)=1,AttributeFilter="(Select)"),A89,IF(COUNTIF(C89:M89,AttributeFilter)&gt;0,A89,""))</f>
        <v>Superior Rune of Dwayna</v>
      </c>
    </row>
    <row r="90" spans="1:14">
      <c r="A90" s="207" t="s">
        <v>2612</v>
      </c>
      <c r="B90" s="194">
        <v>25</v>
      </c>
      <c r="C90" s="195" t="s">
        <v>14</v>
      </c>
      <c r="D90" s="195">
        <v>35</v>
      </c>
      <c r="E90" s="195" t="s">
        <v>11</v>
      </c>
      <c r="F90" s="195">
        <v>50</v>
      </c>
      <c r="G90" s="195" t="s">
        <v>14</v>
      </c>
      <c r="H90" s="195">
        <v>65</v>
      </c>
      <c r="I90" s="195" t="s">
        <v>11</v>
      </c>
      <c r="J90" s="195">
        <v>100</v>
      </c>
      <c r="K90" s="195" t="s">
        <v>14</v>
      </c>
      <c r="L90" s="195">
        <v>125</v>
      </c>
      <c r="M90" s="195" t="s">
        <v>14</v>
      </c>
      <c r="N90" s="452" t="str">
        <f>IF(OR(COUNTBLANK(AttributeFilter)=1,AttributeFilter="(Select)"),A90,IF(COUNTIF(C90:M90,AttributeFilter)&gt;0,A90,""))</f>
        <v>Superior Rune of the Scourge</v>
      </c>
    </row>
    <row r="91" spans="1:14">
      <c r="A91" s="207" t="s">
        <v>2613</v>
      </c>
      <c r="B91" s="194">
        <v>25</v>
      </c>
      <c r="C91" s="195" t="s">
        <v>14</v>
      </c>
      <c r="D91" s="195">
        <v>35</v>
      </c>
      <c r="E91" s="195" t="s">
        <v>9</v>
      </c>
      <c r="F91" s="195">
        <v>50</v>
      </c>
      <c r="G91" s="195" t="s">
        <v>14</v>
      </c>
      <c r="H91" s="195">
        <v>65</v>
      </c>
      <c r="I91" s="195" t="s">
        <v>9</v>
      </c>
      <c r="J91" s="195">
        <v>100</v>
      </c>
      <c r="K91" s="195" t="s">
        <v>14</v>
      </c>
      <c r="L91" s="195">
        <v>125</v>
      </c>
      <c r="M91" s="195" t="s">
        <v>14</v>
      </c>
      <c r="N91" s="452" t="str">
        <f>IF(OR(COUNTBLANK(AttributeFilter)=1,AttributeFilter="(Select)"),A91,IF(COUNTIF(C91:M91,AttributeFilter)&gt;0,A91,""))</f>
        <v>Superior Rune of the Druid</v>
      </c>
    </row>
    <row r="92" spans="1:14">
      <c r="A92" s="207" t="s">
        <v>2614</v>
      </c>
      <c r="B92" s="194">
        <v>25</v>
      </c>
      <c r="C92" s="195" t="s">
        <v>14</v>
      </c>
      <c r="D92" s="195">
        <v>35</v>
      </c>
      <c r="E92" s="195" t="s">
        <v>9</v>
      </c>
      <c r="F92" s="195">
        <v>50</v>
      </c>
      <c r="G92" s="195" t="s">
        <v>14</v>
      </c>
      <c r="H92" s="195">
        <v>65</v>
      </c>
      <c r="I92" s="195" t="s">
        <v>9</v>
      </c>
      <c r="J92" s="195">
        <v>100</v>
      </c>
      <c r="K92" s="195" t="s">
        <v>14</v>
      </c>
      <c r="L92" s="195">
        <v>125</v>
      </c>
      <c r="M92" s="195" t="s">
        <v>9</v>
      </c>
      <c r="N92" s="452" t="str">
        <f>IF(OR(COUNTBLANK(AttributeFilter)=1,AttributeFilter="(Select)"),A92,IF(COUNTIF(C92:M92,AttributeFilter)&gt;0,A92,""))</f>
        <v>Superior Rune of the Flock</v>
      </c>
    </row>
    <row r="93" spans="1:14">
      <c r="A93" s="207" t="s">
        <v>2615</v>
      </c>
      <c r="B93" s="194">
        <v>25</v>
      </c>
      <c r="C93" s="195" t="s">
        <v>14</v>
      </c>
      <c r="D93" s="301">
        <v>-0.05</v>
      </c>
      <c r="E93" s="195" t="s">
        <v>2516</v>
      </c>
      <c r="F93" s="195">
        <v>50</v>
      </c>
      <c r="G93" s="195" t="s">
        <v>14</v>
      </c>
      <c r="H93" s="301">
        <v>-0.1</v>
      </c>
      <c r="I93" s="195" t="s">
        <v>2516</v>
      </c>
      <c r="J93" s="195">
        <v>100</v>
      </c>
      <c r="K93" s="195" t="s">
        <v>14</v>
      </c>
      <c r="L93" s="301">
        <v>-0.1</v>
      </c>
      <c r="M93" s="195" t="s">
        <v>2516</v>
      </c>
      <c r="N93" s="452" t="str">
        <f>IF(OR(COUNTBLANK(AttributeFilter)=1,AttributeFilter="(Select)"),A93,IF(COUNTIF(C93:M93,AttributeFilter)&gt;0,A93,""))</f>
        <v>Superior Rune of Nature's Bounty</v>
      </c>
    </row>
    <row r="94" spans="1:14">
      <c r="A94" s="207" t="s">
        <v>2616</v>
      </c>
      <c r="B94" s="194">
        <v>8</v>
      </c>
      <c r="C94" s="195" t="s">
        <v>2617</v>
      </c>
      <c r="D94" s="301">
        <v>0.05</v>
      </c>
      <c r="E94" s="195" t="s">
        <v>84</v>
      </c>
      <c r="F94" s="195">
        <v>12</v>
      </c>
      <c r="G94" s="195" t="s">
        <v>2617</v>
      </c>
      <c r="H94" s="301">
        <v>0.1</v>
      </c>
      <c r="I94" s="195" t="s">
        <v>84</v>
      </c>
      <c r="J94" s="195">
        <v>16</v>
      </c>
      <c r="K94" s="195" t="s">
        <v>2617</v>
      </c>
      <c r="L94" s="301">
        <v>0.25</v>
      </c>
      <c r="M94" s="195" t="s">
        <v>2510</v>
      </c>
      <c r="N94" s="452" t="str">
        <f>IF(OR(COUNTBLANK(AttributeFilter)=1,AttributeFilter="(Select)"),A94,IF(COUNTIF(C94:M94,AttributeFilter)&gt;0,A94,""))</f>
        <v>Superior Rune of the Traveler</v>
      </c>
    </row>
    <row r="95" spans="1:14">
      <c r="A95" s="207" t="s">
        <v>2618</v>
      </c>
      <c r="B95" s="194">
        <v>8</v>
      </c>
      <c r="C95" s="195" t="s">
        <v>2617</v>
      </c>
      <c r="D95" s="301">
        <v>0.05</v>
      </c>
      <c r="E95" s="195" t="s">
        <v>84</v>
      </c>
      <c r="F95" s="195">
        <v>12</v>
      </c>
      <c r="G95" s="195" t="s">
        <v>2617</v>
      </c>
      <c r="H95" s="301">
        <v>0.1</v>
      </c>
      <c r="I95" s="195" t="s">
        <v>84</v>
      </c>
      <c r="J95" s="195">
        <v>16</v>
      </c>
      <c r="K95" s="195" t="s">
        <v>2617</v>
      </c>
      <c r="L95" s="301">
        <v>0.1</v>
      </c>
      <c r="M95" s="195" t="s">
        <v>84</v>
      </c>
      <c r="N95" s="452" t="str">
        <f>IF(OR(COUNTBLANK(AttributeFilter)=1,AttributeFilter="(Select)"),A95,IF(COUNTIF(C95:M95,AttributeFilter)&gt;0,A95,""))</f>
        <v>Superior Rune of Leadership</v>
      </c>
    </row>
    <row r="96" spans="1:14">
      <c r="A96" s="207" t="s">
        <v>2619</v>
      </c>
      <c r="B96" s="194">
        <v>8</v>
      </c>
      <c r="C96" s="195" t="s">
        <v>2617</v>
      </c>
      <c r="D96" s="301">
        <v>0.05</v>
      </c>
      <c r="E96" s="195" t="s">
        <v>86</v>
      </c>
      <c r="F96" s="195">
        <v>12</v>
      </c>
      <c r="G96" s="195" t="s">
        <v>2617</v>
      </c>
      <c r="H96" s="301">
        <v>0.1</v>
      </c>
      <c r="I96" s="195" t="s">
        <v>86</v>
      </c>
      <c r="J96" s="195">
        <v>16</v>
      </c>
      <c r="K96" s="195" t="s">
        <v>2617</v>
      </c>
      <c r="L96" s="301">
        <v>0.1</v>
      </c>
      <c r="M96" s="195" t="s">
        <v>86</v>
      </c>
      <c r="N96" s="452" t="str">
        <f>IF(OR(COUNTBLANK(AttributeFilter)=1,AttributeFilter="(Select)"),A96,IF(COUNTIF(C96:M96,AttributeFilter)&gt;0,A96,""))</f>
        <v>Superior Rune of the Tempest</v>
      </c>
    </row>
    <row r="97" spans="1:14">
      <c r="A97" s="207" t="s">
        <v>2620</v>
      </c>
      <c r="B97" s="194">
        <v>8</v>
      </c>
      <c r="C97" s="195" t="s">
        <v>2617</v>
      </c>
      <c r="D97" s="301">
        <v>0.1</v>
      </c>
      <c r="E97" s="195" t="s">
        <v>2518</v>
      </c>
      <c r="F97" s="195">
        <v>12</v>
      </c>
      <c r="G97" s="195" t="s">
        <v>2617</v>
      </c>
      <c r="H97" s="301">
        <v>0.2</v>
      </c>
      <c r="I97" s="195" t="s">
        <v>2553</v>
      </c>
      <c r="J97" s="195">
        <v>16</v>
      </c>
      <c r="K97" s="195" t="s">
        <v>2617</v>
      </c>
      <c r="L97" s="301">
        <v>0.1</v>
      </c>
      <c r="M97" s="195" t="s">
        <v>86</v>
      </c>
      <c r="N97" s="452" t="str">
        <f>IF(OR(COUNTBLANK(AttributeFilter)=1,AttributeFilter="(Select)"),A97,IF(COUNTIF(C97:M97,AttributeFilter)&gt;0,A97,""))</f>
        <v>Superior Rune of the Weaver</v>
      </c>
    </row>
    <row r="98" spans="1:14">
      <c r="A98" s="207" t="s">
        <v>2621</v>
      </c>
      <c r="B98" s="194">
        <v>8</v>
      </c>
      <c r="C98" s="195" t="s">
        <v>2617</v>
      </c>
      <c r="D98" s="195">
        <v>10</v>
      </c>
      <c r="E98" s="195" t="s">
        <v>2617</v>
      </c>
      <c r="F98" s="195">
        <v>12</v>
      </c>
      <c r="G98" s="195" t="s">
        <v>2617</v>
      </c>
      <c r="H98" s="195">
        <v>14</v>
      </c>
      <c r="I98" s="195" t="s">
        <v>2617</v>
      </c>
      <c r="J98" s="195">
        <v>16</v>
      </c>
      <c r="K98" s="195" t="s">
        <v>2617</v>
      </c>
      <c r="L98" s="195">
        <v>18</v>
      </c>
      <c r="M98" s="195" t="s">
        <v>2617</v>
      </c>
      <c r="N98" s="452" t="str">
        <f>IF(OR(COUNTBLANK(AttributeFilter)=1,AttributeFilter="(Select)"),A98,IF(COUNTIF(C98:M98,AttributeFilter)&gt;0,A98,""))</f>
        <v>Superior Rune of Divinity</v>
      </c>
    </row>
    <row r="99" spans="1:14">
      <c r="A99" s="207" t="s">
        <v>2622</v>
      </c>
      <c r="B99" s="194">
        <v>8</v>
      </c>
      <c r="C99" s="195" t="s">
        <v>2617</v>
      </c>
      <c r="D99" s="195">
        <v>10</v>
      </c>
      <c r="E99" s="195" t="s">
        <v>2617</v>
      </c>
      <c r="F99" s="195">
        <v>12</v>
      </c>
      <c r="G99" s="195" t="s">
        <v>2617</v>
      </c>
      <c r="H99" s="195">
        <v>14</v>
      </c>
      <c r="I99" s="195" t="s">
        <v>2617</v>
      </c>
      <c r="J99" s="195">
        <v>16</v>
      </c>
      <c r="K99" s="195" t="s">
        <v>2617</v>
      </c>
      <c r="L99" s="195">
        <v>125</v>
      </c>
      <c r="M99" s="195" t="s">
        <v>9</v>
      </c>
      <c r="N99" s="452" t="str">
        <f>IF(OR(COUNTBLANK(AttributeFilter)=1,AttributeFilter="(Select)"),A99,IF(COUNTIF(C99:M99,AttributeFilter)&gt;0,A99,""))</f>
        <v>Superior Rune of the Revenant</v>
      </c>
    </row>
    <row r="100" spans="1:14">
      <c r="A100" s="207" t="s">
        <v>2623</v>
      </c>
      <c r="B100" s="194">
        <v>8</v>
      </c>
      <c r="C100" s="195" t="s">
        <v>2617</v>
      </c>
      <c r="D100" s="195">
        <v>10</v>
      </c>
      <c r="E100" s="195" t="s">
        <v>2617</v>
      </c>
      <c r="F100" s="195">
        <v>12</v>
      </c>
      <c r="G100" s="195" t="s">
        <v>2617</v>
      </c>
      <c r="H100" s="195">
        <v>14</v>
      </c>
      <c r="I100" s="195" t="s">
        <v>2617</v>
      </c>
      <c r="J100" s="195">
        <v>16</v>
      </c>
      <c r="K100" s="195" t="s">
        <v>2617</v>
      </c>
      <c r="L100" s="301">
        <v>0.1</v>
      </c>
      <c r="M100" s="195" t="s">
        <v>84</v>
      </c>
      <c r="N100" s="452" t="str">
        <f>IF(OR(COUNTBLANK(AttributeFilter)=1,AttributeFilter="(Select)"),A100,IF(COUNTIF(C100:M100,AttributeFilter)&gt;0,A100,""))</f>
        <v>Superior Rune of the Zephyrite</v>
      </c>
    </row>
    <row r="101" spans="1:14">
      <c r="A101" s="207" t="s">
        <v>2624</v>
      </c>
      <c r="B101" s="194">
        <v>8</v>
      </c>
      <c r="C101" s="195" t="s">
        <v>2617</v>
      </c>
      <c r="D101" s="301">
        <v>-0.3</v>
      </c>
      <c r="E101" s="195" t="s">
        <v>2625</v>
      </c>
      <c r="F101" s="195">
        <v>12</v>
      </c>
      <c r="G101" s="195" t="s">
        <v>2617</v>
      </c>
      <c r="H101" s="301">
        <v>-0.3</v>
      </c>
      <c r="I101" s="195" t="s">
        <v>2626</v>
      </c>
      <c r="J101" s="195">
        <v>16</v>
      </c>
      <c r="K101" s="195" t="s">
        <v>2617</v>
      </c>
      <c r="L101" s="301">
        <v>-0.1</v>
      </c>
      <c r="M101" s="195" t="s">
        <v>2516</v>
      </c>
      <c r="N101" s="452" t="str">
        <f>IF(OR(COUNTBLANK(AttributeFilter)=1,AttributeFilter="(Select)"),A101,IF(COUNTIF(C101:M101,AttributeFilter)&gt;0,A101,""))</f>
        <v>Superior Rune of the Stars</v>
      </c>
    </row>
  </sheetData>
  <sheetProtection sheet="1" objects="1" scenarios="1"/>
  <mergeCells count="6">
    <mergeCell ref="L1:M1"/>
    <mergeCell ref="B1:C1"/>
    <mergeCell ref="D1:E1"/>
    <mergeCell ref="F1:G1"/>
    <mergeCell ref="H1:I1"/>
    <mergeCell ref="J1:K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68" id="{50037B08-AA4F-4B1F-8496-D3CF64430062}">
            <xm:f>$A3 = 'Build &amp; Totals'!$A$38</xm:f>
            <x14:dxf>
              <fill>
                <patternFill patternType="solid">
                  <bgColor rgb="FFFFFAD1"/>
                </patternFill>
              </fill>
              <border>
                <top style="thin">
                  <color rgb="FF000000"/>
                </top>
                <bottom style="thin">
                  <color rgb="FF000000"/>
                </bottom>
              </border>
            </x14:dxf>
          </x14:cfRule>
          <x14:cfRule type="expression" priority="469" id="{63A7E176-0060-49E7-9AD0-AC68A70F6A2E}">
            <xm:f>$A3 = 'Build &amp; Totals'!$A$37</xm:f>
            <x14:dxf>
              <fill>
                <patternFill patternType="solid">
                  <bgColor rgb="FFFFFAD1"/>
                </patternFill>
              </fill>
              <border>
                <top style="thin">
                  <color rgb="FF000000"/>
                </top>
                <bottom style="thin">
                  <color rgb="FF000000"/>
                </bottom>
              </border>
            </x14:dxf>
          </x14:cfRule>
          <x14:cfRule type="expression" priority="470" id="{91DAFC57-DC0E-4EBD-81FC-EAE650B99469}">
            <xm:f>$A3 = 'Build &amp; Totals'!$A$36</xm:f>
            <x14:dxf>
              <fill>
                <patternFill patternType="solid">
                  <bgColor rgb="FFFFFAD1"/>
                </patternFill>
              </fill>
              <border>
                <top style="thin">
                  <color rgb="FF000000"/>
                </top>
                <bottom style="thin">
                  <color rgb="FF000000"/>
                </bottom>
              </border>
            </x14:dxf>
          </x14:cfRule>
          <x14:cfRule type="expression" priority="471" id="{94833799-80E3-44CB-9E1E-1EB1D6F9CEEE}">
            <xm:f>$A3 = 'Build &amp; Totals'!$A$35</xm:f>
            <x14:dxf>
              <fill>
                <patternFill patternType="solid">
                  <bgColor rgb="FFFFFAD1"/>
                </patternFill>
              </fill>
              <border>
                <top style="thin">
                  <color rgb="FF000000"/>
                </top>
                <bottom style="thin">
                  <color rgb="FF000000"/>
                </bottom>
              </border>
            </x14:dxf>
          </x14:cfRule>
          <x14:cfRule type="expression" priority="472" id="{818F5FC7-23DA-4244-8F8D-B91906EE2C80}">
            <xm:f>$A3 = 'Build &amp; Totals'!$A$34</xm:f>
            <x14:dxf>
              <fill>
                <patternFill patternType="solid">
                  <bgColor rgb="FFFFFAD1"/>
                </patternFill>
              </fill>
              <border>
                <top style="thin">
                  <color rgb="FF000000"/>
                </top>
                <bottom style="thin">
                  <color rgb="FF000000"/>
                </bottom>
              </border>
            </x14:dxf>
          </x14:cfRule>
          <x14:cfRule type="expression" priority="473" id="{40DA0B4B-CA3E-470E-9235-BA4BB411E61C}">
            <xm:f>$A3 = 'Build &amp; Totals'!$A$33</xm:f>
            <x14:dxf>
              <fill>
                <patternFill patternType="solid">
                  <bgColor rgb="FFFFFAD1"/>
                </patternFill>
              </fill>
              <border>
                <top style="thin">
                  <color rgb="FF000000"/>
                </top>
                <bottom style="thin">
                  <color rgb="FF000000"/>
                </bottom>
              </border>
            </x14:dxf>
          </x14:cfRule>
          <xm:sqref>A3:M101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FA459-D086-4DAB-AAFA-E351F40BCE6F}">
  <dimension ref="A1:O27"/>
  <sheetViews>
    <sheetView topLeftCell="F1" workbookViewId="0">
      <selection activeCell="O3" sqref="O3"/>
    </sheetView>
  </sheetViews>
  <sheetFormatPr defaultRowHeight="15"/>
  <cols>
    <col min="1" max="1" width="30" bestFit="1" customWidth="1"/>
    <col min="2" max="2" width="17" bestFit="1" customWidth="1"/>
    <col min="3" max="3" width="16.7109375" bestFit="1" customWidth="1"/>
    <col min="4" max="4" width="13.140625" bestFit="1" customWidth="1"/>
    <col min="5" max="5" width="16.7109375" bestFit="1" customWidth="1"/>
    <col min="6" max="13" width="12.7109375" customWidth="1"/>
    <col min="14" max="14" width="14.42578125" bestFit="1" customWidth="1"/>
    <col min="15" max="15" width="30" bestFit="1" customWidth="1"/>
    <col min="16" max="16" width="15.7109375" customWidth="1"/>
  </cols>
  <sheetData>
    <row r="1" spans="1:15" ht="15.75" customHeight="1">
      <c r="A1" s="572" t="s">
        <v>90</v>
      </c>
      <c r="B1" s="574" t="s">
        <v>2627</v>
      </c>
      <c r="C1" s="574" t="s">
        <v>2427</v>
      </c>
      <c r="D1" s="574" t="s">
        <v>2628</v>
      </c>
      <c r="E1" s="574" t="s">
        <v>2429</v>
      </c>
      <c r="F1" s="574" t="s">
        <v>6</v>
      </c>
      <c r="G1" s="574" t="s">
        <v>7</v>
      </c>
      <c r="H1" s="574" t="s">
        <v>8</v>
      </c>
      <c r="I1" s="574" t="s">
        <v>9</v>
      </c>
      <c r="J1" s="574" t="s">
        <v>10</v>
      </c>
      <c r="K1" s="610" t="s">
        <v>11</v>
      </c>
      <c r="L1" s="574" t="s">
        <v>12</v>
      </c>
      <c r="M1" s="574" t="s">
        <v>13</v>
      </c>
      <c r="N1" s="576" t="s">
        <v>14</v>
      </c>
      <c r="O1" s="321" t="s">
        <v>107</v>
      </c>
    </row>
    <row r="2" spans="1:15">
      <c r="A2" s="607"/>
      <c r="B2" s="608"/>
      <c r="C2" s="608"/>
      <c r="D2" s="608"/>
      <c r="E2" s="608"/>
      <c r="F2" s="608"/>
      <c r="G2" s="608"/>
      <c r="H2" s="608"/>
      <c r="I2" s="608"/>
      <c r="J2" s="608"/>
      <c r="K2" s="611"/>
      <c r="L2" s="608"/>
      <c r="M2" s="608"/>
      <c r="N2" s="609"/>
      <c r="O2" s="306" t="s">
        <v>4</v>
      </c>
    </row>
    <row r="3" spans="1:15">
      <c r="A3" s="297" t="str">
        <f>_xlfn.CONCAT("Exquisite ",'Attributes &amp; Prefixes'!A55," Jewel")</f>
        <v>Exquisite Agate Jewel</v>
      </c>
      <c r="B3" s="298" t="str" cm="1">
        <f t="array" ref="B3">_xlfn.LET(_xlpm.stat,'Attributes &amp; Prefixes'!B55, IF(_xlpm.stat=0,"",_xlpm.stat))</f>
        <v>Power</v>
      </c>
      <c r="C3" s="298" t="str" cm="1">
        <f t="array" ref="C3">_xlfn.LET(_xlpm.stat,'Attributes &amp; Prefixes'!C55, IF(_xlpm.stat=0,"",_xlpm.stat))</f>
        <v>Toughness</v>
      </c>
      <c r="D3" s="298" t="str" cm="1">
        <f t="array" ref="D3">_xlfn.LET(_xlpm.stat,'Attributes &amp; Prefixes'!D55, IF(_xlpm.stat=0,"",_xlpm.stat))</f>
        <v>Ferocity</v>
      </c>
      <c r="E3" s="298" t="str" cm="1">
        <f t="array" ref="E3">_xlfn.LET(_xlpm.stat,'Attributes &amp; Prefixes'!E55, IF(_xlpm.stat=0,"",_xlpm.stat))</f>
        <v>Healing Power</v>
      </c>
      <c r="F3" s="203" cm="1">
        <f t="array" ref="F3">IF(COUNTIF($B3:$E3, F$1)&gt;0, _xlfn.IFS(COUNTIF($B3:$C3, F$1)&gt;0, VLOOKUP("Jewel",'Gear Values'!$A$2:$E$14, IF(COUNTBLANK($B3:$C3)&gt;0, "2", "3"), 0), COUNTIF($D3:$E3, F$1)&gt;0, VLOOKUP("Jewel",'Gear Values'!$A$2:$E$14, IF(COUNTBLANK($B3:$C3)&gt;0, "4", "5"), 0)), "")</f>
        <v>20</v>
      </c>
      <c r="G3" s="203" t="str" cm="1">
        <f t="array" ref="G3">IF(COUNTIF($B3:$E3, G$1)&gt;0, _xlfn.IFS(COUNTIF($B3:$C3, G$1)&gt;0, VLOOKUP("Jewel",'Gear Values'!$A$2:$E$14, IF(COUNTBLANK($B3:$C3)&gt;0, "2", "3"), 0), COUNTIF($D3:$E3, G$1)&gt;0, VLOOKUP("Jewel",'Gear Values'!$A$2:$E$14, IF(COUNTBLANK($B3:$C3)&gt;0, "4", "5"), 0)), "")</f>
        <v/>
      </c>
      <c r="H3" s="203" cm="1">
        <f t="array" ref="H3">IF(COUNTIF($B3:$E3, H$1)&gt;0, _xlfn.IFS(COUNTIF($B3:$C3, H$1)&gt;0, VLOOKUP("Jewel",'Gear Values'!$A$2:$E$14, IF(COUNTBLANK($B3:$C3)&gt;0, "2", "3"), 0), COUNTIF($D3:$E3, H$1)&gt;0, VLOOKUP("Jewel",'Gear Values'!$A$2:$E$14, IF(COUNTBLANK($B3:$C3)&gt;0, "4", "5"), 0)), "")</f>
        <v>20</v>
      </c>
      <c r="I3" s="203" t="str" cm="1">
        <f t="array" ref="I3">IF(COUNTIF($B3:$E3, I$1)&gt;0, _xlfn.IFS(COUNTIF($B3:$C3, I$1)&gt;0, VLOOKUP("Jewel",'Gear Values'!$A$2:$E$14, IF(COUNTBLANK($B3:$C3)&gt;0, "2", "3"), 0), COUNTIF($D3:$E3, I$1)&gt;0, VLOOKUP("Jewel",'Gear Values'!$A$2:$E$14, IF(COUNTBLANK($B3:$C3)&gt;0, "4", "5"), 0)), "")</f>
        <v/>
      </c>
      <c r="J3" s="203" t="str" cm="1">
        <f t="array" ref="J3">IF(COUNTIF($B3:$E3, J$1)&gt;0, _xlfn.IFS(COUNTIF($B3:$C3, J$1)&gt;0, VLOOKUP("Jewel",'Gear Values'!$A$2:$E$14, IF(COUNTBLANK($B3:$C3)&gt;0, "2", "3"), 0), COUNTIF($D3:$E3, J$1)&gt;0, VLOOKUP("Jewel",'Gear Values'!$A$2:$E$14, IF(COUNTBLANK($B3:$C3)&gt;0, "4", "5"), 0)), "")</f>
        <v/>
      </c>
      <c r="K3" s="203" t="str" cm="1">
        <f t="array" ref="K3">IF(COUNTIF($B3:$E3, K$1)&gt;0, _xlfn.IFS(COUNTIF($B3:$C3, K$1)&gt;0, VLOOKUP("Jewel",'Gear Values'!$A$2:$E$14, IF(COUNTBLANK($B3:$C3)&gt;0, "2", "3"), 0), COUNTIF($D3:$E3, K$1)&gt;0, VLOOKUP("Jewel",'Gear Values'!$A$2:$E$14, IF(COUNTBLANK($B3:$C3)&gt;0, "4", "5"), 0)), "")</f>
        <v/>
      </c>
      <c r="L3" s="203" t="str" cm="1">
        <f t="array" ref="L3">IF(COUNTIF($B3:$E3, L$1)&gt;0, _xlfn.IFS(COUNTIF($B3:$C3, L$1)&gt;0, VLOOKUP("Jewel",'Gear Values'!$A$2:$E$14, IF(COUNTBLANK($B3:$C3)&gt;0, "2", "3"), 0), COUNTIF($D3:$E3, L$1)&gt;0, VLOOKUP("Jewel",'Gear Values'!$A$2:$E$14, IF(COUNTBLANK($B3:$C3)&gt;0, "4", "5"), 0)), "")</f>
        <v/>
      </c>
      <c r="M3" s="203" cm="1">
        <f t="array" ref="M3">IF(COUNTIF($B3:$E3, M$1)&gt;0, _xlfn.IFS(COUNTIF($B3:$C3, M$1)&gt;0, VLOOKUP("Jewel",'Gear Values'!$A$2:$E$14, IF(COUNTBLANK($B3:$C3)&gt;0, "2", "3"), 0), COUNTIF($D3:$E3, M$1)&gt;0, VLOOKUP("Jewel",'Gear Values'!$A$2:$E$14, IF(COUNTBLANK($B3:$C3)&gt;0, "4", "5"), 0)), "")</f>
        <v>10</v>
      </c>
      <c r="N3" s="203" cm="1">
        <f t="array" ref="N3">IF(COUNTIF($B3:$E3, N$1)&gt;0, _xlfn.IFS(COUNTIF($B3:$C3, N$1)&gt;0, VLOOKUP("Jewel",'Gear Values'!$A$2:$E$14, IF(COUNTBLANK($B3:$C3)&gt;0, "2", "3"), 0), COUNTIF($D3:$E3, N$1)&gt;0, VLOOKUP("Jewel",'Gear Values'!$A$2:$E$14, IF(COUNTBLANK($B3:$C3)&gt;0, "4", "5"), 0)), "")</f>
        <v>10</v>
      </c>
      <c r="O3" s="299" t="str">
        <f>IF(OR(COUNTBLANK(AttributeFilter) = 1,AttributeFilter="(Select)"), A3, IF(COUNTIF(B3:E3, AttributeFilter)&gt;0, A3, ""))</f>
        <v>Exquisite Agate Jewel</v>
      </c>
    </row>
    <row r="4" spans="1:15">
      <c r="A4" s="300" t="str">
        <f>_xlfn.CONCAT("Exquisite ",'Attributes &amp; Prefixes'!A56," Jewel")</f>
        <v>Exquisite Ambrite Jewel</v>
      </c>
      <c r="B4" s="208" t="str" cm="1">
        <f t="array" ref="B4">_xlfn.LET(_xlpm.stat,'Attributes &amp; Prefixes'!B56, IF(_xlpm.stat=0,"",_xlpm.stat))</f>
        <v>Toughness</v>
      </c>
      <c r="C4" s="208" t="str" cm="1">
        <f t="array" ref="C4">_xlfn.LET(_xlpm.stat,'Attributes &amp; Prefixes'!C56, IF(_xlpm.stat=0,"",_xlpm.stat))</f>
        <v/>
      </c>
      <c r="D4" s="208" t="str" cm="1">
        <f t="array" ref="D4">_xlfn.LET(_xlpm.stat,'Attributes &amp; Prefixes'!D56, IF(_xlpm.stat=0,"",_xlpm.stat))</f>
        <v>Vitality</v>
      </c>
      <c r="E4" s="208" t="str" cm="1">
        <f t="array" ref="E4">_xlfn.LET(_xlpm.stat,'Attributes &amp; Prefixes'!E56, IF(_xlpm.stat=0,"",_xlpm.stat))</f>
        <v>Healing Power</v>
      </c>
      <c r="F4" s="195" t="str" cm="1">
        <f t="array" ref="F4">IF(COUNTIF($B4:$E4, F$1)&gt;0, _xlfn.IFS(COUNTIF($B4:$C4, F$1)&gt;0, VLOOKUP("Jewel",'Gear Values'!$A$2:$E$14, IF(COUNTBLANK($B4:$C4)&gt;0, "2", "3"), 0), COUNTIF($D4:$E4, F$1)&gt;0, VLOOKUP("Jewel",'Gear Values'!$A$2:$E$14, IF(COUNTBLANK($B4:$C4)&gt;0, "4", "5"), 0)), "")</f>
        <v/>
      </c>
      <c r="G4" s="195" t="str" cm="1">
        <f t="array" ref="G4">IF(COUNTIF($B4:$E4, G$1)&gt;0, _xlfn.IFS(COUNTIF($B4:$C4, G$1)&gt;0, VLOOKUP("Jewel",'Gear Values'!$A$2:$E$14, IF(COUNTBLANK($B4:$C4)&gt;0, "2", "3"), 0), COUNTIF($D4:$E4, G$1)&gt;0, VLOOKUP("Jewel",'Gear Values'!$A$2:$E$14, IF(COUNTBLANK($B4:$C4)&gt;0, "4", "5"), 0)), "")</f>
        <v/>
      </c>
      <c r="H4" s="195" cm="1">
        <f t="array" ref="H4">IF(COUNTIF($B4:$E4, H$1)&gt;0, _xlfn.IFS(COUNTIF($B4:$C4, H$1)&gt;0, VLOOKUP("Jewel",'Gear Values'!$A$2:$E$14, IF(COUNTBLANK($B4:$C4)&gt;0, "2", "3"), 0), COUNTIF($D4:$E4, H$1)&gt;0, VLOOKUP("Jewel",'Gear Values'!$A$2:$E$14, IF(COUNTBLANK($B4:$C4)&gt;0, "4", "5"), 0)), "")</f>
        <v>25</v>
      </c>
      <c r="I4" s="195" cm="1">
        <f t="array" ref="I4">IF(COUNTIF($B4:$E4, I$1)&gt;0, _xlfn.IFS(COUNTIF($B4:$C4, I$1)&gt;0, VLOOKUP("Jewel",'Gear Values'!$A$2:$E$14, IF(COUNTBLANK($B4:$C4)&gt;0, "2", "3"), 0), COUNTIF($D4:$E4, I$1)&gt;0, VLOOKUP("Jewel",'Gear Values'!$A$2:$E$14, IF(COUNTBLANK($B4:$C4)&gt;0, "4", "5"), 0)), "")</f>
        <v>15</v>
      </c>
      <c r="J4" s="195" t="str" cm="1">
        <f t="array" ref="J4">IF(COUNTIF($B4:$E4, J$1)&gt;0, _xlfn.IFS(COUNTIF($B4:$C4, J$1)&gt;0, VLOOKUP("Jewel",'Gear Values'!$A$2:$E$14, IF(COUNTBLANK($B4:$C4)&gt;0, "2", "3"), 0), COUNTIF($D4:$E4, J$1)&gt;0, VLOOKUP("Jewel",'Gear Values'!$A$2:$E$14, IF(COUNTBLANK($B4:$C4)&gt;0, "4", "5"), 0)), "")</f>
        <v/>
      </c>
      <c r="K4" s="195" t="str" cm="1">
        <f t="array" ref="K4">IF(COUNTIF($B4:$E4, K$1)&gt;0, _xlfn.IFS(COUNTIF($B4:$C4, K$1)&gt;0, VLOOKUP("Jewel",'Gear Values'!$A$2:$E$14, IF(COUNTBLANK($B4:$C4)&gt;0, "2", "3"), 0), COUNTIF($D4:$E4, K$1)&gt;0, VLOOKUP("Jewel",'Gear Values'!$A$2:$E$14, IF(COUNTBLANK($B4:$C4)&gt;0, "4", "5"), 0)), "")</f>
        <v/>
      </c>
      <c r="L4" s="195" t="str" cm="1">
        <f t="array" ref="L4">IF(COUNTIF($B4:$E4, L$1)&gt;0, _xlfn.IFS(COUNTIF($B4:$C4, L$1)&gt;0, VLOOKUP("Jewel",'Gear Values'!$A$2:$E$14, IF(COUNTBLANK($B4:$C4)&gt;0, "2", "3"), 0), COUNTIF($D4:$E4, L$1)&gt;0, VLOOKUP("Jewel",'Gear Values'!$A$2:$E$14, IF(COUNTBLANK($B4:$C4)&gt;0, "4", "5"), 0)), "")</f>
        <v/>
      </c>
      <c r="M4" s="195" t="str" cm="1">
        <f t="array" ref="M4">IF(COUNTIF($B4:$E4, M$1)&gt;0, _xlfn.IFS(COUNTIF($B4:$C4, M$1)&gt;0, VLOOKUP("Jewel",'Gear Values'!$A$2:$E$14, IF(COUNTBLANK($B4:$C4)&gt;0, "2", "3"), 0), COUNTIF($D4:$E4, M$1)&gt;0, VLOOKUP("Jewel",'Gear Values'!$A$2:$E$14, IF(COUNTBLANK($B4:$C4)&gt;0, "4", "5"), 0)), "")</f>
        <v/>
      </c>
      <c r="N4" s="195" cm="1">
        <f t="array" ref="N4">IF(COUNTIF($B4:$E4, N$1)&gt;0, _xlfn.IFS(COUNTIF($B4:$C4, N$1)&gt;0, VLOOKUP("Jewel",'Gear Values'!$A$2:$E$14, IF(COUNTBLANK($B4:$C4)&gt;0, "2", "3"), 0), COUNTIF($D4:$E4, N$1)&gt;0, VLOOKUP("Jewel",'Gear Values'!$A$2:$E$14, IF(COUNTBLANK($B4:$C4)&gt;0, "4", "5"), 0)), "")</f>
        <v>15</v>
      </c>
      <c r="O4" s="299" t="str">
        <f>IF(OR(COUNTBLANK(AttributeFilter) = 1,AttributeFilter="(Select)"), A4, IF(COUNTIF(B4:E4, AttributeFilter)&gt;0, A4, ""))</f>
        <v>Exquisite Ambrite Jewel</v>
      </c>
    </row>
    <row r="5" spans="1:15">
      <c r="A5" s="300" t="str">
        <f>_xlfn.CONCAT("Exquisite ",'Attributes &amp; Prefixes'!A57," Jewel")</f>
        <v>Exquisite Azurite Jewel</v>
      </c>
      <c r="B5" s="208" t="str" cm="1">
        <f t="array" ref="B5">_xlfn.LET(_xlpm.stat,'Attributes &amp; Prefixes'!B57, IF(_xlpm.stat=0,"",_xlpm.stat))</f>
        <v>Vitality</v>
      </c>
      <c r="C5" s="208" t="str" cm="1">
        <f t="array" ref="C5">_xlfn.LET(_xlpm.stat,'Attributes &amp; Prefixes'!C57, IF(_xlpm.stat=0,"",_xlpm.stat))</f>
        <v/>
      </c>
      <c r="D5" s="208" t="str" cm="1">
        <f t="array" ref="D5">_xlfn.LET(_xlpm.stat,'Attributes &amp; Prefixes'!D57, IF(_xlpm.stat=0,"",_xlpm.stat))</f>
        <v>Power</v>
      </c>
      <c r="E5" s="208" t="str" cm="1">
        <f t="array" ref="E5">_xlfn.LET(_xlpm.stat,'Attributes &amp; Prefixes'!E57, IF(_xlpm.stat=0,"",_xlpm.stat))</f>
        <v>Toughness</v>
      </c>
      <c r="F5" s="195" cm="1">
        <f t="array" ref="F5">IF(COUNTIF($B5:$E5, F$1)&gt;0, _xlfn.IFS(COUNTIF($B5:$C5, F$1)&gt;0, VLOOKUP("Jewel",'Gear Values'!$A$2:$E$14, IF(COUNTBLANK($B5:$C5)&gt;0, "2", "3"), 0), COUNTIF($D5:$E5, F$1)&gt;0, VLOOKUP("Jewel",'Gear Values'!$A$2:$E$14, IF(COUNTBLANK($B5:$C5)&gt;0, "4", "5"), 0)), "")</f>
        <v>15</v>
      </c>
      <c r="G5" s="195" t="str" cm="1">
        <f t="array" ref="G5">IF(COUNTIF($B5:$E5, G$1)&gt;0, _xlfn.IFS(COUNTIF($B5:$C5, G$1)&gt;0, VLOOKUP("Jewel",'Gear Values'!$A$2:$E$14, IF(COUNTBLANK($B5:$C5)&gt;0, "2", "3"), 0), COUNTIF($D5:$E5, G$1)&gt;0, VLOOKUP("Jewel",'Gear Values'!$A$2:$E$14, IF(COUNTBLANK($B5:$C5)&gt;0, "4", "5"), 0)), "")</f>
        <v/>
      </c>
      <c r="H5" s="195" cm="1">
        <f t="array" ref="H5">IF(COUNTIF($B5:$E5, H$1)&gt;0, _xlfn.IFS(COUNTIF($B5:$C5, H$1)&gt;0, VLOOKUP("Jewel",'Gear Values'!$A$2:$E$14, IF(COUNTBLANK($B5:$C5)&gt;0, "2", "3"), 0), COUNTIF($D5:$E5, H$1)&gt;0, VLOOKUP("Jewel",'Gear Values'!$A$2:$E$14, IF(COUNTBLANK($B5:$C5)&gt;0, "4", "5"), 0)), "")</f>
        <v>15</v>
      </c>
      <c r="I5" s="195" cm="1">
        <f t="array" ref="I5">IF(COUNTIF($B5:$E5, I$1)&gt;0, _xlfn.IFS(COUNTIF($B5:$C5, I$1)&gt;0, VLOOKUP("Jewel",'Gear Values'!$A$2:$E$14, IF(COUNTBLANK($B5:$C5)&gt;0, "2", "3"), 0), COUNTIF($D5:$E5, I$1)&gt;0, VLOOKUP("Jewel",'Gear Values'!$A$2:$E$14, IF(COUNTBLANK($B5:$C5)&gt;0, "4", "5"), 0)), "")</f>
        <v>25</v>
      </c>
      <c r="J5" s="195" t="str" cm="1">
        <f t="array" ref="J5">IF(COUNTIF($B5:$E5, J$1)&gt;0, _xlfn.IFS(COUNTIF($B5:$C5, J$1)&gt;0, VLOOKUP("Jewel",'Gear Values'!$A$2:$E$14, IF(COUNTBLANK($B5:$C5)&gt;0, "2", "3"), 0), COUNTIF($D5:$E5, J$1)&gt;0, VLOOKUP("Jewel",'Gear Values'!$A$2:$E$14, IF(COUNTBLANK($B5:$C5)&gt;0, "4", "5"), 0)), "")</f>
        <v/>
      </c>
      <c r="K5" s="195" t="str" cm="1">
        <f t="array" ref="K5">IF(COUNTIF($B5:$E5, K$1)&gt;0, _xlfn.IFS(COUNTIF($B5:$C5, K$1)&gt;0, VLOOKUP("Jewel",'Gear Values'!$A$2:$E$14, IF(COUNTBLANK($B5:$C5)&gt;0, "2", "3"), 0), COUNTIF($D5:$E5, K$1)&gt;0, VLOOKUP("Jewel",'Gear Values'!$A$2:$E$14, IF(COUNTBLANK($B5:$C5)&gt;0, "4", "5"), 0)), "")</f>
        <v/>
      </c>
      <c r="L5" s="195" t="str" cm="1">
        <f t="array" ref="L5">IF(COUNTIF($B5:$E5, L$1)&gt;0, _xlfn.IFS(COUNTIF($B5:$C5, L$1)&gt;0, VLOOKUP("Jewel",'Gear Values'!$A$2:$E$14, IF(COUNTBLANK($B5:$C5)&gt;0, "2", "3"), 0), COUNTIF($D5:$E5, L$1)&gt;0, VLOOKUP("Jewel",'Gear Values'!$A$2:$E$14, IF(COUNTBLANK($B5:$C5)&gt;0, "4", "5"), 0)), "")</f>
        <v/>
      </c>
      <c r="M5" s="195" t="str" cm="1">
        <f t="array" ref="M5">IF(COUNTIF($B5:$E5, M$1)&gt;0, _xlfn.IFS(COUNTIF($B5:$C5, M$1)&gt;0, VLOOKUP("Jewel",'Gear Values'!$A$2:$E$14, IF(COUNTBLANK($B5:$C5)&gt;0, "2", "3"), 0), COUNTIF($D5:$E5, M$1)&gt;0, VLOOKUP("Jewel",'Gear Values'!$A$2:$E$14, IF(COUNTBLANK($B5:$C5)&gt;0, "4", "5"), 0)), "")</f>
        <v/>
      </c>
      <c r="N5" s="195" t="str" cm="1">
        <f t="array" ref="N5">IF(COUNTIF($B5:$E5, N$1)&gt;0, _xlfn.IFS(COUNTIF($B5:$C5, N$1)&gt;0, VLOOKUP("Jewel",'Gear Values'!$A$2:$E$14, IF(COUNTBLANK($B5:$C5)&gt;0, "2", "3"), 0), COUNTIF($D5:$E5, N$1)&gt;0, VLOOKUP("Jewel",'Gear Values'!$A$2:$E$14, IF(COUNTBLANK($B5:$C5)&gt;0, "4", "5"), 0)), "")</f>
        <v/>
      </c>
      <c r="O5" s="299" t="str">
        <f>IF(OR(COUNTBLANK(AttributeFilter) = 1,AttributeFilter="(Select)"), A5, IF(COUNTIF(B5:E5, AttributeFilter)&gt;0, A5, ""))</f>
        <v>Exquisite Azurite Jewel</v>
      </c>
    </row>
    <row r="6" spans="1:15">
      <c r="A6" s="300" t="str">
        <f>_xlfn.CONCAT("Exquisite ",'Attributes &amp; Prefixes'!A58," Jewel")</f>
        <v>Exquisite Beryl Jewel</v>
      </c>
      <c r="B6" s="208" t="str" cm="1">
        <f t="array" ref="B6">_xlfn.LET(_xlpm.stat,'Attributes &amp; Prefixes'!B58, IF(_xlpm.stat=0,"",_xlpm.stat))</f>
        <v>Power</v>
      </c>
      <c r="C6" s="208" t="str" cm="1">
        <f t="array" ref="C6">_xlfn.LET(_xlpm.stat,'Attributes &amp; Prefixes'!C58, IF(_xlpm.stat=0,"",_xlpm.stat))</f>
        <v/>
      </c>
      <c r="D6" s="208" t="str" cm="1">
        <f t="array" ref="D6">_xlfn.LET(_xlpm.stat,'Attributes &amp; Prefixes'!D58, IF(_xlpm.stat=0,"",_xlpm.stat))</f>
        <v>Vitality</v>
      </c>
      <c r="E6" s="208" t="str" cm="1">
        <f t="array" ref="E6">_xlfn.LET(_xlpm.stat,'Attributes &amp; Prefixes'!E58, IF(_xlpm.stat=0,"",_xlpm.stat))</f>
        <v>Ferocity</v>
      </c>
      <c r="F6" s="195" cm="1">
        <f t="array" ref="F6">IF(COUNTIF($B6:$E6, F$1)&gt;0, _xlfn.IFS(COUNTIF($B6:$C6, F$1)&gt;0, VLOOKUP("Jewel",'Gear Values'!$A$2:$E$14, IF(COUNTBLANK($B6:$C6)&gt;0, "2", "3"), 0), COUNTIF($D6:$E6, F$1)&gt;0, VLOOKUP("Jewel",'Gear Values'!$A$2:$E$14, IF(COUNTBLANK($B6:$C6)&gt;0, "4", "5"), 0)), "")</f>
        <v>25</v>
      </c>
      <c r="G6" s="195" t="str" cm="1">
        <f t="array" ref="G6">IF(COUNTIF($B6:$E6, G$1)&gt;0, _xlfn.IFS(COUNTIF($B6:$C6, G$1)&gt;0, VLOOKUP("Jewel",'Gear Values'!$A$2:$E$14, IF(COUNTBLANK($B6:$C6)&gt;0, "2", "3"), 0), COUNTIF($D6:$E6, G$1)&gt;0, VLOOKUP("Jewel",'Gear Values'!$A$2:$E$14, IF(COUNTBLANK($B6:$C6)&gt;0, "4", "5"), 0)), "")</f>
        <v/>
      </c>
      <c r="H6" s="195" t="str" cm="1">
        <f t="array" ref="H6">IF(COUNTIF($B6:$E6, H$1)&gt;0, _xlfn.IFS(COUNTIF($B6:$C6, H$1)&gt;0, VLOOKUP("Jewel",'Gear Values'!$A$2:$E$14, IF(COUNTBLANK($B6:$C6)&gt;0, "2", "3"), 0), COUNTIF($D6:$E6, H$1)&gt;0, VLOOKUP("Jewel",'Gear Values'!$A$2:$E$14, IF(COUNTBLANK($B6:$C6)&gt;0, "4", "5"), 0)), "")</f>
        <v/>
      </c>
      <c r="I6" s="195" cm="1">
        <f t="array" ref="I6">IF(COUNTIF($B6:$E6, I$1)&gt;0, _xlfn.IFS(COUNTIF($B6:$C6, I$1)&gt;0, VLOOKUP("Jewel",'Gear Values'!$A$2:$E$14, IF(COUNTBLANK($B6:$C6)&gt;0, "2", "3"), 0), COUNTIF($D6:$E6, I$1)&gt;0, VLOOKUP("Jewel",'Gear Values'!$A$2:$E$14, IF(COUNTBLANK($B6:$C6)&gt;0, "4", "5"), 0)), "")</f>
        <v>15</v>
      </c>
      <c r="J6" s="195" t="str" cm="1">
        <f t="array" ref="J6">IF(COUNTIF($B6:$E6, J$1)&gt;0, _xlfn.IFS(COUNTIF($B6:$C6, J$1)&gt;0, VLOOKUP("Jewel",'Gear Values'!$A$2:$E$14, IF(COUNTBLANK($B6:$C6)&gt;0, "2", "3"), 0), COUNTIF($D6:$E6, J$1)&gt;0, VLOOKUP("Jewel",'Gear Values'!$A$2:$E$14, IF(COUNTBLANK($B6:$C6)&gt;0, "4", "5"), 0)), "")</f>
        <v/>
      </c>
      <c r="K6" s="195" t="str" cm="1">
        <f t="array" ref="K6">IF(COUNTIF($B6:$E6, K$1)&gt;0, _xlfn.IFS(COUNTIF($B6:$C6, K$1)&gt;0, VLOOKUP("Jewel",'Gear Values'!$A$2:$E$14, IF(COUNTBLANK($B6:$C6)&gt;0, "2", "3"), 0), COUNTIF($D6:$E6, K$1)&gt;0, VLOOKUP("Jewel",'Gear Values'!$A$2:$E$14, IF(COUNTBLANK($B6:$C6)&gt;0, "4", "5"), 0)), "")</f>
        <v/>
      </c>
      <c r="L6" s="195" t="str" cm="1">
        <f t="array" ref="L6">IF(COUNTIF($B6:$E6, L$1)&gt;0, _xlfn.IFS(COUNTIF($B6:$C6, L$1)&gt;0, VLOOKUP("Jewel",'Gear Values'!$A$2:$E$14, IF(COUNTBLANK($B6:$C6)&gt;0, "2", "3"), 0), COUNTIF($D6:$E6, L$1)&gt;0, VLOOKUP("Jewel",'Gear Values'!$A$2:$E$14, IF(COUNTBLANK($B6:$C6)&gt;0, "4", "5"), 0)), "")</f>
        <v/>
      </c>
      <c r="M6" s="195" cm="1">
        <f t="array" ref="M6">IF(COUNTIF($B6:$E6, M$1)&gt;0, _xlfn.IFS(COUNTIF($B6:$C6, M$1)&gt;0, VLOOKUP("Jewel",'Gear Values'!$A$2:$E$14, IF(COUNTBLANK($B6:$C6)&gt;0, "2", "3"), 0), COUNTIF($D6:$E6, M$1)&gt;0, VLOOKUP("Jewel",'Gear Values'!$A$2:$E$14, IF(COUNTBLANK($B6:$C6)&gt;0, "4", "5"), 0)), "")</f>
        <v>15</v>
      </c>
      <c r="N6" s="195" t="str" cm="1">
        <f t="array" ref="N6">IF(COUNTIF($B6:$E6, N$1)&gt;0, _xlfn.IFS(COUNTIF($B6:$C6, N$1)&gt;0, VLOOKUP("Jewel",'Gear Values'!$A$2:$E$14, IF(COUNTBLANK($B6:$C6)&gt;0, "2", "3"), 0), COUNTIF($D6:$E6, N$1)&gt;0, VLOOKUP("Jewel",'Gear Values'!$A$2:$E$14, IF(COUNTBLANK($B6:$C6)&gt;0, "4", "5"), 0)), "")</f>
        <v/>
      </c>
      <c r="O6" s="299" t="str">
        <f>IF(OR(COUNTBLANK(AttributeFilter) = 1,AttributeFilter="(Select)"), A6, IF(COUNTIF(B6:E6, AttributeFilter)&gt;0, A6, ""))</f>
        <v>Exquisite Beryl Jewel</v>
      </c>
    </row>
    <row r="7" spans="1:15">
      <c r="A7" s="300" t="str">
        <f>_xlfn.CONCAT("Exquisite ",'Attributes &amp; Prefixes'!A59," Jewel")</f>
        <v>Exquisite Black Diamond Jewel</v>
      </c>
      <c r="B7" s="208" t="str" cm="1">
        <f t="array" ref="B7">_xlfn.LET(_xlpm.stat,'Attributes &amp; Prefixes'!B59, IF(_xlpm.stat=0,"",_xlpm.stat))</f>
        <v>Power</v>
      </c>
      <c r="C7" s="208" t="str" cm="1">
        <f t="array" ref="C7">_xlfn.LET(_xlpm.stat,'Attributes &amp; Prefixes'!C59, IF(_xlpm.stat=0,"",_xlpm.stat))</f>
        <v>Condition Damage</v>
      </c>
      <c r="D7" s="208" t="str" cm="1">
        <f t="array" ref="D7">_xlfn.LET(_xlpm.stat,'Attributes &amp; Prefixes'!D59, IF(_xlpm.stat=0,"",_xlpm.stat))</f>
        <v>Precision</v>
      </c>
      <c r="E7" s="208" t="str" cm="1">
        <f t="array" ref="E7">_xlfn.LET(_xlpm.stat,'Attributes &amp; Prefixes'!E59, IF(_xlpm.stat=0,"",_xlpm.stat))</f>
        <v>Expertise</v>
      </c>
      <c r="F7" s="195" cm="1">
        <f t="array" ref="F7">IF(COUNTIF($B7:$E7, F$1)&gt;0, _xlfn.IFS(COUNTIF($B7:$C7, F$1)&gt;0, VLOOKUP("Jewel",'Gear Values'!$A$2:$E$14, IF(COUNTBLANK($B7:$C7)&gt;0, "2", "3"), 0), COUNTIF($D7:$E7, F$1)&gt;0, VLOOKUP("Jewel",'Gear Values'!$A$2:$E$14, IF(COUNTBLANK($B7:$C7)&gt;0, "4", "5"), 0)), "")</f>
        <v>20</v>
      </c>
      <c r="G7" s="195" cm="1">
        <f t="array" ref="G7">IF(COUNTIF($B7:$E7, G$1)&gt;0, _xlfn.IFS(COUNTIF($B7:$C7, G$1)&gt;0, VLOOKUP("Jewel",'Gear Values'!$A$2:$E$14, IF(COUNTBLANK($B7:$C7)&gt;0, "2", "3"), 0), COUNTIF($D7:$E7, G$1)&gt;0, VLOOKUP("Jewel",'Gear Values'!$A$2:$E$14, IF(COUNTBLANK($B7:$C7)&gt;0, "4", "5"), 0)), "")</f>
        <v>10</v>
      </c>
      <c r="H7" s="195" t="str" cm="1">
        <f t="array" ref="H7">IF(COUNTIF($B7:$E7, H$1)&gt;0, _xlfn.IFS(COUNTIF($B7:$C7, H$1)&gt;0, VLOOKUP("Jewel",'Gear Values'!$A$2:$E$14, IF(COUNTBLANK($B7:$C7)&gt;0, "2", "3"), 0), COUNTIF($D7:$E7, H$1)&gt;0, VLOOKUP("Jewel",'Gear Values'!$A$2:$E$14, IF(COUNTBLANK($B7:$C7)&gt;0, "4", "5"), 0)), "")</f>
        <v/>
      </c>
      <c r="I7" s="195" t="str" cm="1">
        <f t="array" ref="I7">IF(COUNTIF($B7:$E7, I$1)&gt;0, _xlfn.IFS(COUNTIF($B7:$C7, I$1)&gt;0, VLOOKUP("Jewel",'Gear Values'!$A$2:$E$14, IF(COUNTBLANK($B7:$C7)&gt;0, "2", "3"), 0), COUNTIF($D7:$E7, I$1)&gt;0, VLOOKUP("Jewel",'Gear Values'!$A$2:$E$14, IF(COUNTBLANK($B7:$C7)&gt;0, "4", "5"), 0)), "")</f>
        <v/>
      </c>
      <c r="J7" s="195" t="str" cm="1">
        <f t="array" ref="J7">IF(COUNTIF($B7:$E7, J$1)&gt;0, _xlfn.IFS(COUNTIF($B7:$C7, J$1)&gt;0, VLOOKUP("Jewel",'Gear Values'!$A$2:$E$14, IF(COUNTBLANK($B7:$C7)&gt;0, "2", "3"), 0), COUNTIF($D7:$E7, J$1)&gt;0, VLOOKUP("Jewel",'Gear Values'!$A$2:$E$14, IF(COUNTBLANK($B7:$C7)&gt;0, "4", "5"), 0)), "")</f>
        <v/>
      </c>
      <c r="K7" s="195" cm="1">
        <f t="array" ref="K7">IF(COUNTIF($B7:$E7, K$1)&gt;0, _xlfn.IFS(COUNTIF($B7:$C7, K$1)&gt;0, VLOOKUP("Jewel",'Gear Values'!$A$2:$E$14, IF(COUNTBLANK($B7:$C7)&gt;0, "2", "3"), 0), COUNTIF($D7:$E7, K$1)&gt;0, VLOOKUP("Jewel",'Gear Values'!$A$2:$E$14, IF(COUNTBLANK($B7:$C7)&gt;0, "4", "5"), 0)), "")</f>
        <v>20</v>
      </c>
      <c r="L7" s="195" cm="1">
        <f t="array" ref="L7">IF(COUNTIF($B7:$E7, L$1)&gt;0, _xlfn.IFS(COUNTIF($B7:$C7, L$1)&gt;0, VLOOKUP("Jewel",'Gear Values'!$A$2:$E$14, IF(COUNTBLANK($B7:$C7)&gt;0, "2", "3"), 0), COUNTIF($D7:$E7, L$1)&gt;0, VLOOKUP("Jewel",'Gear Values'!$A$2:$E$14, IF(COUNTBLANK($B7:$C7)&gt;0, "4", "5"), 0)), "")</f>
        <v>10</v>
      </c>
      <c r="M7" s="195" t="str" cm="1">
        <f t="array" ref="M7">IF(COUNTIF($B7:$E7, M$1)&gt;0, _xlfn.IFS(COUNTIF($B7:$C7, M$1)&gt;0, VLOOKUP("Jewel",'Gear Values'!$A$2:$E$14, IF(COUNTBLANK($B7:$C7)&gt;0, "2", "3"), 0), COUNTIF($D7:$E7, M$1)&gt;0, VLOOKUP("Jewel",'Gear Values'!$A$2:$E$14, IF(COUNTBLANK($B7:$C7)&gt;0, "4", "5"), 0)), "")</f>
        <v/>
      </c>
      <c r="N7" s="195" t="str" cm="1">
        <f t="array" ref="N7">IF(COUNTIF($B7:$E7, N$1)&gt;0, _xlfn.IFS(COUNTIF($B7:$C7, N$1)&gt;0, VLOOKUP("Jewel",'Gear Values'!$A$2:$E$14, IF(COUNTBLANK($B7:$C7)&gt;0, "2", "3"), 0), COUNTIF($D7:$E7, N$1)&gt;0, VLOOKUP("Jewel",'Gear Values'!$A$2:$E$14, IF(COUNTBLANK($B7:$C7)&gt;0, "4", "5"), 0)), "")</f>
        <v/>
      </c>
      <c r="O7" s="299" t="str">
        <f>IF(OR(COUNTBLANK(AttributeFilter) = 1,AttributeFilter="(Select)"), A7, IF(COUNTIF(B7:E7, AttributeFilter)&gt;0, A7, ""))</f>
        <v>Exquisite Black Diamond Jewel</v>
      </c>
    </row>
    <row r="8" spans="1:15">
      <c r="A8" s="300" t="str">
        <f>_xlfn.CONCAT("Exquisite ",'Attributes &amp; Prefixes'!A60," Jewel")</f>
        <v>Exquisite Burl Jewel</v>
      </c>
      <c r="B8" s="208" t="str" cm="1">
        <f t="array" ref="B8">_xlfn.LET(_xlpm.stat,'Attributes &amp; Prefixes'!B60, IF(_xlpm.stat=0,"",_xlpm.stat))</f>
        <v>Power</v>
      </c>
      <c r="C8" s="208" t="str" cm="1">
        <f t="array" ref="C8">_xlfn.LET(_xlpm.stat,'Attributes &amp; Prefixes'!C60, IF(_xlpm.stat=0,"",_xlpm.stat))</f>
        <v>Precision</v>
      </c>
      <c r="D8" s="208" t="str" cm="1">
        <f t="array" ref="D8">_xlfn.LET(_xlpm.stat,'Attributes &amp; Prefixes'!D60, IF(_xlpm.stat=0,"",_xlpm.stat))</f>
        <v>Toughness</v>
      </c>
      <c r="E8" s="208" t="str" cm="1">
        <f t="array" ref="E8">_xlfn.LET(_xlpm.stat,'Attributes &amp; Prefixes'!E60, IF(_xlpm.stat=0,"",_xlpm.stat))</f>
        <v>Concentration</v>
      </c>
      <c r="F8" s="195" cm="1">
        <f t="array" ref="F8">IF(COUNTIF($B8:$E8, F$1)&gt;0, _xlfn.IFS(COUNTIF($B8:$C8, F$1)&gt;0, VLOOKUP("Jewel",'Gear Values'!$A$2:$E$14, IF(COUNTBLANK($B8:$C8)&gt;0, "2", "3"), 0), COUNTIF($D8:$E8, F$1)&gt;0, VLOOKUP("Jewel",'Gear Values'!$A$2:$E$14, IF(COUNTBLANK($B8:$C8)&gt;0, "4", "5"), 0)), "")</f>
        <v>20</v>
      </c>
      <c r="G8" s="195" cm="1">
        <f t="array" ref="G8">IF(COUNTIF($B8:$E8, G$1)&gt;0, _xlfn.IFS(COUNTIF($B8:$C8, G$1)&gt;0, VLOOKUP("Jewel",'Gear Values'!$A$2:$E$14, IF(COUNTBLANK($B8:$C8)&gt;0, "2", "3"), 0), COUNTIF($D8:$E8, G$1)&gt;0, VLOOKUP("Jewel",'Gear Values'!$A$2:$E$14, IF(COUNTBLANK($B8:$C8)&gt;0, "4", "5"), 0)), "")</f>
        <v>20</v>
      </c>
      <c r="H8" s="195" cm="1">
        <f t="array" ref="H8">IF(COUNTIF($B8:$E8, H$1)&gt;0, _xlfn.IFS(COUNTIF($B8:$C8, H$1)&gt;0, VLOOKUP("Jewel",'Gear Values'!$A$2:$E$14, IF(COUNTBLANK($B8:$C8)&gt;0, "2", "3"), 0), COUNTIF($D8:$E8, H$1)&gt;0, VLOOKUP("Jewel",'Gear Values'!$A$2:$E$14, IF(COUNTBLANK($B8:$C8)&gt;0, "4", "5"), 0)), "")</f>
        <v>10</v>
      </c>
      <c r="I8" s="195" t="str" cm="1">
        <f t="array" ref="I8">IF(COUNTIF($B8:$E8, I$1)&gt;0, _xlfn.IFS(COUNTIF($B8:$C8, I$1)&gt;0, VLOOKUP("Jewel",'Gear Values'!$A$2:$E$14, IF(COUNTBLANK($B8:$C8)&gt;0, "2", "3"), 0), COUNTIF($D8:$E8, I$1)&gt;0, VLOOKUP("Jewel",'Gear Values'!$A$2:$E$14, IF(COUNTBLANK($B8:$C8)&gt;0, "4", "5"), 0)), "")</f>
        <v/>
      </c>
      <c r="J8" s="195" cm="1">
        <f t="array" ref="J8">IF(COUNTIF($B8:$E8, J$1)&gt;0, _xlfn.IFS(COUNTIF($B8:$C8, J$1)&gt;0, VLOOKUP("Jewel",'Gear Values'!$A$2:$E$14, IF(COUNTBLANK($B8:$C8)&gt;0, "2", "3"), 0), COUNTIF($D8:$E8, J$1)&gt;0, VLOOKUP("Jewel",'Gear Values'!$A$2:$E$14, IF(COUNTBLANK($B8:$C8)&gt;0, "4", "5"), 0)), "")</f>
        <v>10</v>
      </c>
      <c r="K8" s="195" t="str" cm="1">
        <f t="array" ref="K8">IF(COUNTIF($B8:$E8, K$1)&gt;0, _xlfn.IFS(COUNTIF($B8:$C8, K$1)&gt;0, VLOOKUP("Jewel",'Gear Values'!$A$2:$E$14, IF(COUNTBLANK($B8:$C8)&gt;0, "2", "3"), 0), COUNTIF($D8:$E8, K$1)&gt;0, VLOOKUP("Jewel",'Gear Values'!$A$2:$E$14, IF(COUNTBLANK($B8:$C8)&gt;0, "4", "5"), 0)), "")</f>
        <v/>
      </c>
      <c r="L8" s="195" t="str" cm="1">
        <f t="array" ref="L8">IF(COUNTIF($B8:$E8, L$1)&gt;0, _xlfn.IFS(COUNTIF($B8:$C8, L$1)&gt;0, VLOOKUP("Jewel",'Gear Values'!$A$2:$E$14, IF(COUNTBLANK($B8:$C8)&gt;0, "2", "3"), 0), COUNTIF($D8:$E8, L$1)&gt;0, VLOOKUP("Jewel",'Gear Values'!$A$2:$E$14, IF(COUNTBLANK($B8:$C8)&gt;0, "4", "5"), 0)), "")</f>
        <v/>
      </c>
      <c r="M8" s="195" t="str" cm="1">
        <f t="array" ref="M8">IF(COUNTIF($B8:$E8, M$1)&gt;0, _xlfn.IFS(COUNTIF($B8:$C8, M$1)&gt;0, VLOOKUP("Jewel",'Gear Values'!$A$2:$E$14, IF(COUNTBLANK($B8:$C8)&gt;0, "2", "3"), 0), COUNTIF($D8:$E8, M$1)&gt;0, VLOOKUP("Jewel",'Gear Values'!$A$2:$E$14, IF(COUNTBLANK($B8:$C8)&gt;0, "4", "5"), 0)), "")</f>
        <v/>
      </c>
      <c r="N8" s="195" t="str" cm="1">
        <f t="array" ref="N8">IF(COUNTIF($B8:$E8, N$1)&gt;0, _xlfn.IFS(COUNTIF($B8:$C8, N$1)&gt;0, VLOOKUP("Jewel",'Gear Values'!$A$2:$E$14, IF(COUNTBLANK($B8:$C8)&gt;0, "2", "3"), 0), COUNTIF($D8:$E8, N$1)&gt;0, VLOOKUP("Jewel",'Gear Values'!$A$2:$E$14, IF(COUNTBLANK($B8:$C8)&gt;0, "4", "5"), 0)), "")</f>
        <v/>
      </c>
      <c r="O8" s="299" t="str">
        <f>IF(OR(COUNTBLANK(AttributeFilter) = 1,AttributeFilter="(Select)"), A8, IF(COUNTIF(B8:E8, AttributeFilter)&gt;0, A8, ""))</f>
        <v>Exquisite Burl Jewel</v>
      </c>
    </row>
    <row r="9" spans="1:15">
      <c r="A9" s="300" t="str">
        <f>_xlfn.CONCAT("Exquisite ",'Attributes &amp; Prefixes'!A61," Jewel")</f>
        <v>Exquisite Charged Ambrite Jewel</v>
      </c>
      <c r="B9" s="208" t="str" cm="1">
        <f t="array" ref="B9">_xlfn.LET(_xlpm.stat,'Attributes &amp; Prefixes'!B61, IF(_xlpm.stat=0,"",_xlpm.stat))</f>
        <v>Condition Damage</v>
      </c>
      <c r="C9" s="208" t="str" cm="1">
        <f t="array" ref="C9">_xlfn.LET(_xlpm.stat,'Attributes &amp; Prefixes'!C61, IF(_xlpm.stat=0,"",_xlpm.stat))</f>
        <v/>
      </c>
      <c r="D9" s="208" t="str" cm="1">
        <f t="array" ref="D9">_xlfn.LET(_xlpm.stat,'Attributes &amp; Prefixes'!D61, IF(_xlpm.stat=0,"",_xlpm.stat))</f>
        <v>Power</v>
      </c>
      <c r="E9" s="208" t="str" cm="1">
        <f t="array" ref="E9">_xlfn.LET(_xlpm.stat,'Attributes &amp; Prefixes'!E61, IF(_xlpm.stat=0,"",_xlpm.stat))</f>
        <v>Precision</v>
      </c>
      <c r="F9" s="195" cm="1">
        <f t="array" ref="F9">IF(COUNTIF($B9:$E9, F$1)&gt;0, _xlfn.IFS(COUNTIF($B9:$C9, F$1)&gt;0, VLOOKUP("Jewel",'Gear Values'!$A$2:$E$14, IF(COUNTBLANK($B9:$C9)&gt;0, "2", "3"), 0), COUNTIF($D9:$E9, F$1)&gt;0, VLOOKUP("Jewel",'Gear Values'!$A$2:$E$14, IF(COUNTBLANK($B9:$C9)&gt;0, "4", "5"), 0)), "")</f>
        <v>15</v>
      </c>
      <c r="G9" s="195" cm="1">
        <f t="array" ref="G9">IF(COUNTIF($B9:$E9, G$1)&gt;0, _xlfn.IFS(COUNTIF($B9:$C9, G$1)&gt;0, VLOOKUP("Jewel",'Gear Values'!$A$2:$E$14, IF(COUNTBLANK($B9:$C9)&gt;0, "2", "3"), 0), COUNTIF($D9:$E9, G$1)&gt;0, VLOOKUP("Jewel",'Gear Values'!$A$2:$E$14, IF(COUNTBLANK($B9:$C9)&gt;0, "4", "5"), 0)), "")</f>
        <v>15</v>
      </c>
      <c r="H9" s="195" t="str" cm="1">
        <f t="array" ref="H9">IF(COUNTIF($B9:$E9, H$1)&gt;0, _xlfn.IFS(COUNTIF($B9:$C9, H$1)&gt;0, VLOOKUP("Jewel",'Gear Values'!$A$2:$E$14, IF(COUNTBLANK($B9:$C9)&gt;0, "2", "3"), 0), COUNTIF($D9:$E9, H$1)&gt;0, VLOOKUP("Jewel",'Gear Values'!$A$2:$E$14, IF(COUNTBLANK($B9:$C9)&gt;0, "4", "5"), 0)), "")</f>
        <v/>
      </c>
      <c r="I9" s="195" t="str" cm="1">
        <f t="array" ref="I9">IF(COUNTIF($B9:$E9, I$1)&gt;0, _xlfn.IFS(COUNTIF($B9:$C9, I$1)&gt;0, VLOOKUP("Jewel",'Gear Values'!$A$2:$E$14, IF(COUNTBLANK($B9:$C9)&gt;0, "2", "3"), 0), COUNTIF($D9:$E9, I$1)&gt;0, VLOOKUP("Jewel",'Gear Values'!$A$2:$E$14, IF(COUNTBLANK($B9:$C9)&gt;0, "4", "5"), 0)), "")</f>
        <v/>
      </c>
      <c r="J9" s="195" t="str" cm="1">
        <f t="array" ref="J9">IF(COUNTIF($B9:$E9, J$1)&gt;0, _xlfn.IFS(COUNTIF($B9:$C9, J$1)&gt;0, VLOOKUP("Jewel",'Gear Values'!$A$2:$E$14, IF(COUNTBLANK($B9:$C9)&gt;0, "2", "3"), 0), COUNTIF($D9:$E9, J$1)&gt;0, VLOOKUP("Jewel",'Gear Values'!$A$2:$E$14, IF(COUNTBLANK($B9:$C9)&gt;0, "4", "5"), 0)), "")</f>
        <v/>
      </c>
      <c r="K9" s="195" cm="1">
        <f t="array" ref="K9">IF(COUNTIF($B9:$E9, K$1)&gt;0, _xlfn.IFS(COUNTIF($B9:$C9, K$1)&gt;0, VLOOKUP("Jewel",'Gear Values'!$A$2:$E$14, IF(COUNTBLANK($B9:$C9)&gt;0, "2", "3"), 0), COUNTIF($D9:$E9, K$1)&gt;0, VLOOKUP("Jewel",'Gear Values'!$A$2:$E$14, IF(COUNTBLANK($B9:$C9)&gt;0, "4", "5"), 0)), "")</f>
        <v>25</v>
      </c>
      <c r="L9" s="195" t="str" cm="1">
        <f t="array" ref="L9">IF(COUNTIF($B9:$E9, L$1)&gt;0, _xlfn.IFS(COUNTIF($B9:$C9, L$1)&gt;0, VLOOKUP("Jewel",'Gear Values'!$A$2:$E$14, IF(COUNTBLANK($B9:$C9)&gt;0, "2", "3"), 0), COUNTIF($D9:$E9, L$1)&gt;0, VLOOKUP("Jewel",'Gear Values'!$A$2:$E$14, IF(COUNTBLANK($B9:$C9)&gt;0, "4", "5"), 0)), "")</f>
        <v/>
      </c>
      <c r="M9" s="195" t="str" cm="1">
        <f t="array" ref="M9">IF(COUNTIF($B9:$E9, M$1)&gt;0, _xlfn.IFS(COUNTIF($B9:$C9, M$1)&gt;0, VLOOKUP("Jewel",'Gear Values'!$A$2:$E$14, IF(COUNTBLANK($B9:$C9)&gt;0, "2", "3"), 0), COUNTIF($D9:$E9, M$1)&gt;0, VLOOKUP("Jewel",'Gear Values'!$A$2:$E$14, IF(COUNTBLANK($B9:$C9)&gt;0, "4", "5"), 0)), "")</f>
        <v/>
      </c>
      <c r="N9" s="195" t="str" cm="1">
        <f t="array" ref="N9">IF(COUNTIF($B9:$E9, N$1)&gt;0, _xlfn.IFS(COUNTIF($B9:$C9, N$1)&gt;0, VLOOKUP("Jewel",'Gear Values'!$A$2:$E$14, IF(COUNTBLANK($B9:$C9)&gt;0, "2", "3"), 0), COUNTIF($D9:$E9, N$1)&gt;0, VLOOKUP("Jewel",'Gear Values'!$A$2:$E$14, IF(COUNTBLANK($B9:$C9)&gt;0, "4", "5"), 0)), "")</f>
        <v/>
      </c>
      <c r="O9" s="299" t="str">
        <f>IF(OR(COUNTBLANK(AttributeFilter) = 1,AttributeFilter="(Select)"), A9, IF(COUNTIF(B9:E9, AttributeFilter)&gt;0, A9, ""))</f>
        <v>Exquisite Charged Ambrite Jewel</v>
      </c>
    </row>
    <row r="10" spans="1:15">
      <c r="A10" s="300" t="str">
        <f>_xlfn.CONCAT("Exquisite ",'Attributes &amp; Prefixes'!A62," Jewel")</f>
        <v>Exquisite Charged Quartz Jewel</v>
      </c>
      <c r="B10" s="606" t="str" cm="1">
        <f t="array" ref="B10">_xlfn.LET(_xlpm.stat,'Attributes &amp; Prefixes'!B62, IF(_xlpm.stat=0,"",_xlpm.stat))</f>
        <v>All attributes Minor</v>
      </c>
      <c r="C10" s="606"/>
      <c r="D10" s="606"/>
      <c r="E10" s="606"/>
      <c r="F10" s="195">
        <f>VLOOKUP("Jewel",'Gear Values'!$A$2:$F$14,6,0)</f>
        <v>12</v>
      </c>
      <c r="G10" s="195">
        <f>VLOOKUP("Jewel",'Gear Values'!$A$2:$F$14,6,0)</f>
        <v>12</v>
      </c>
      <c r="H10" s="195">
        <f>VLOOKUP("Jewel",'Gear Values'!$A$2:$F$14,6,0)</f>
        <v>12</v>
      </c>
      <c r="I10" s="195">
        <f>VLOOKUP("Jewel",'Gear Values'!$A$2:$F$14,6,0)</f>
        <v>12</v>
      </c>
      <c r="J10" s="195">
        <f>VLOOKUP("Jewel",'Gear Values'!$A$2:$F$14,6,0)</f>
        <v>12</v>
      </c>
      <c r="K10" s="195">
        <f>VLOOKUP("Jewel",'Gear Values'!$A$2:$F$14,6,0)</f>
        <v>12</v>
      </c>
      <c r="L10" s="195">
        <f>VLOOKUP("Jewel",'Gear Values'!$A$2:$F$14,6,0)</f>
        <v>12</v>
      </c>
      <c r="M10" s="195">
        <f>VLOOKUP("Jewel",'Gear Values'!$A$2:$F$14,6,0)</f>
        <v>12</v>
      </c>
      <c r="N10" s="195">
        <f>VLOOKUP("Jewel",'Gear Values'!$A$2:$F$14,6,0)</f>
        <v>12</v>
      </c>
      <c r="O10" s="299" t="str">
        <f>IF(OR(COUNTBLANK(AttributeFilter) = 1,AttributeFilter="(Select)"), A10, IF(COUNTIF(B10:E10, AttributeFilter)&gt;0, A10, ""))</f>
        <v>Exquisite Charged Quartz Jewel</v>
      </c>
    </row>
    <row r="11" spans="1:15">
      <c r="A11" s="300" t="str">
        <f>_xlfn.CONCAT("Exquisite ",'Attributes &amp; Prefixes'!A63," Jewel")</f>
        <v>Exquisite Chrysocola Jewel</v>
      </c>
      <c r="B11" s="208" t="str" cm="1">
        <f t="array" ref="B11">_xlfn.LET(_xlpm.stat,'Attributes &amp; Prefixes'!B63, IF(_xlpm.stat=0,"",_xlpm.stat))</f>
        <v>Condition Damage</v>
      </c>
      <c r="C11" s="208" t="str" cm="1">
        <f t="array" ref="C11">_xlfn.LET(_xlpm.stat,'Attributes &amp; Prefixes'!C63, IF(_xlpm.stat=0,"",_xlpm.stat))</f>
        <v/>
      </c>
      <c r="D11" s="208" t="str" cm="1">
        <f t="array" ref="D11">_xlfn.LET(_xlpm.stat,'Attributes &amp; Prefixes'!D63, IF(_xlpm.stat=0,"",_xlpm.stat))</f>
        <v>Power</v>
      </c>
      <c r="E11" s="208" t="str" cm="1">
        <f t="array" ref="E11">_xlfn.LET(_xlpm.stat,'Attributes &amp; Prefixes'!E63, IF(_xlpm.stat=0,"",_xlpm.stat))</f>
        <v>Vitality</v>
      </c>
      <c r="F11" s="195" cm="1">
        <f t="array" ref="F11">IF(COUNTIF($B11:$E11, F$1)&gt;0, _xlfn.IFS(COUNTIF($B11:$C11, F$1)&gt;0, VLOOKUP("Jewel",'Gear Values'!$A$2:$E$14, IF(COUNTBLANK($B11:$C11)&gt;0, "2", "3"), 0), COUNTIF($D11:$E11, F$1)&gt;0, VLOOKUP("Jewel",'Gear Values'!$A$2:$E$14, IF(COUNTBLANK($B11:$C11)&gt;0, "4", "5"), 0)), "")</f>
        <v>15</v>
      </c>
      <c r="G11" s="195" t="str" cm="1">
        <f t="array" ref="G11">IF(COUNTIF($B11:$E11, G$1)&gt;0, _xlfn.IFS(COUNTIF($B11:$C11, G$1)&gt;0, VLOOKUP("Jewel",'Gear Values'!$A$2:$E$14, IF(COUNTBLANK($B11:$C11)&gt;0, "2", "3"), 0), COUNTIF($D11:$E11, G$1)&gt;0, VLOOKUP("Jewel",'Gear Values'!$A$2:$E$14, IF(COUNTBLANK($B11:$C11)&gt;0, "4", "5"), 0)), "")</f>
        <v/>
      </c>
      <c r="H11" s="195" t="str" cm="1">
        <f t="array" ref="H11">IF(COUNTIF($B11:$E11, H$1)&gt;0, _xlfn.IFS(COUNTIF($B11:$C11, H$1)&gt;0, VLOOKUP("Jewel",'Gear Values'!$A$2:$E$14, IF(COUNTBLANK($B11:$C11)&gt;0, "2", "3"), 0), COUNTIF($D11:$E11, H$1)&gt;0, VLOOKUP("Jewel",'Gear Values'!$A$2:$E$14, IF(COUNTBLANK($B11:$C11)&gt;0, "4", "5"), 0)), "")</f>
        <v/>
      </c>
      <c r="I11" s="195" cm="1">
        <f t="array" ref="I11">IF(COUNTIF($B11:$E11, I$1)&gt;0, _xlfn.IFS(COUNTIF($B11:$C11, I$1)&gt;0, VLOOKUP("Jewel",'Gear Values'!$A$2:$E$14, IF(COUNTBLANK($B11:$C11)&gt;0, "2", "3"), 0), COUNTIF($D11:$E11, I$1)&gt;0, VLOOKUP("Jewel",'Gear Values'!$A$2:$E$14, IF(COUNTBLANK($B11:$C11)&gt;0, "4", "5"), 0)), "")</f>
        <v>15</v>
      </c>
      <c r="J11" s="195" t="str" cm="1">
        <f t="array" ref="J11">IF(COUNTIF($B11:$E11, J$1)&gt;0, _xlfn.IFS(COUNTIF($B11:$C11, J$1)&gt;0, VLOOKUP("Jewel",'Gear Values'!$A$2:$E$14, IF(COUNTBLANK($B11:$C11)&gt;0, "2", "3"), 0), COUNTIF($D11:$E11, J$1)&gt;0, VLOOKUP("Jewel",'Gear Values'!$A$2:$E$14, IF(COUNTBLANK($B11:$C11)&gt;0, "4", "5"), 0)), "")</f>
        <v/>
      </c>
      <c r="K11" s="195" cm="1">
        <f t="array" ref="K11">IF(COUNTIF($B11:$E11, K$1)&gt;0, _xlfn.IFS(COUNTIF($B11:$C11, K$1)&gt;0, VLOOKUP("Jewel",'Gear Values'!$A$2:$E$14, IF(COUNTBLANK($B11:$C11)&gt;0, "2", "3"), 0), COUNTIF($D11:$E11, K$1)&gt;0, VLOOKUP("Jewel",'Gear Values'!$A$2:$E$14, IF(COUNTBLANK($B11:$C11)&gt;0, "4", "5"), 0)), "")</f>
        <v>25</v>
      </c>
      <c r="L11" s="195" t="str" cm="1">
        <f t="array" ref="L11">IF(COUNTIF($B11:$E11, L$1)&gt;0, _xlfn.IFS(COUNTIF($B11:$C11, L$1)&gt;0, VLOOKUP("Jewel",'Gear Values'!$A$2:$E$14, IF(COUNTBLANK($B11:$C11)&gt;0, "2", "3"), 0), COUNTIF($D11:$E11, L$1)&gt;0, VLOOKUP("Jewel",'Gear Values'!$A$2:$E$14, IF(COUNTBLANK($B11:$C11)&gt;0, "4", "5"), 0)), "")</f>
        <v/>
      </c>
      <c r="M11" s="195" t="str" cm="1">
        <f t="array" ref="M11">IF(COUNTIF($B11:$E11, M$1)&gt;0, _xlfn.IFS(COUNTIF($B11:$C11, M$1)&gt;0, VLOOKUP("Jewel",'Gear Values'!$A$2:$E$14, IF(COUNTBLANK($B11:$C11)&gt;0, "2", "3"), 0), COUNTIF($D11:$E11, M$1)&gt;0, VLOOKUP("Jewel",'Gear Values'!$A$2:$E$14, IF(COUNTBLANK($B11:$C11)&gt;0, "4", "5"), 0)), "")</f>
        <v/>
      </c>
      <c r="N11" s="195" t="str" cm="1">
        <f t="array" ref="N11">IF(COUNTIF($B11:$E11, N$1)&gt;0, _xlfn.IFS(COUNTIF($B11:$C11, N$1)&gt;0, VLOOKUP("Jewel",'Gear Values'!$A$2:$E$14, IF(COUNTBLANK($B11:$C11)&gt;0, "2", "3"), 0), COUNTIF($D11:$E11, N$1)&gt;0, VLOOKUP("Jewel",'Gear Values'!$A$2:$E$14, IF(COUNTBLANK($B11:$C11)&gt;0, "4", "5"), 0)), "")</f>
        <v/>
      </c>
      <c r="O11" s="299" t="str">
        <f>IF(OR(COUNTBLANK(AttributeFilter) = 1,AttributeFilter="(Select)"), A11, IF(COUNTIF(B11:E11, AttributeFilter)&gt;0, A11, ""))</f>
        <v>Exquisite Chrysocola Jewel</v>
      </c>
    </row>
    <row r="12" spans="1:15">
      <c r="A12" s="300" t="str">
        <f>_xlfn.CONCAT("Exquisite ",'Attributes &amp; Prefixes'!A64," Jewel")</f>
        <v>Exquisite Coral Jewel</v>
      </c>
      <c r="B12" s="208" t="str" cm="1">
        <f t="array" ref="B12">_xlfn.LET(_xlpm.stat,'Attributes &amp; Prefixes'!B64, IF(_xlpm.stat=0,"",_xlpm.stat))</f>
        <v>Precision</v>
      </c>
      <c r="C12" s="208" t="str" cm="1">
        <f t="array" ref="C12">_xlfn.LET(_xlpm.stat,'Attributes &amp; Prefixes'!C64, IF(_xlpm.stat=0,"",_xlpm.stat))</f>
        <v/>
      </c>
      <c r="D12" s="208" t="str" cm="1">
        <f t="array" ref="D12">_xlfn.LET(_xlpm.stat,'Attributes &amp; Prefixes'!D64, IF(_xlpm.stat=0,"",_xlpm.stat))</f>
        <v>Power</v>
      </c>
      <c r="E12" s="208" t="str" cm="1">
        <f t="array" ref="E12">_xlfn.LET(_xlpm.stat,'Attributes &amp; Prefixes'!E64, IF(_xlpm.stat=0,"",_xlpm.stat))</f>
        <v>Condition Damage</v>
      </c>
      <c r="F12" s="195" cm="1">
        <f t="array" ref="F12">IF(COUNTIF($B12:$E12, F$1)&gt;0, _xlfn.IFS(COUNTIF($B12:$C12, F$1)&gt;0, VLOOKUP("Jewel",'Gear Values'!$A$2:$E$14, IF(COUNTBLANK($B12:$C12)&gt;0, "2", "3"), 0), COUNTIF($D12:$E12, F$1)&gt;0, VLOOKUP("Jewel",'Gear Values'!$A$2:$E$14, IF(COUNTBLANK($B12:$C12)&gt;0, "4", "5"), 0)), "")</f>
        <v>15</v>
      </c>
      <c r="G12" s="195" cm="1">
        <f t="array" ref="G12">IF(COUNTIF($B12:$E12, G$1)&gt;0, _xlfn.IFS(COUNTIF($B12:$C12, G$1)&gt;0, VLOOKUP("Jewel",'Gear Values'!$A$2:$E$14, IF(COUNTBLANK($B12:$C12)&gt;0, "2", "3"), 0), COUNTIF($D12:$E12, G$1)&gt;0, VLOOKUP("Jewel",'Gear Values'!$A$2:$E$14, IF(COUNTBLANK($B12:$C12)&gt;0, "4", "5"), 0)), "")</f>
        <v>25</v>
      </c>
      <c r="H12" s="195" t="str" cm="1">
        <f t="array" ref="H12">IF(COUNTIF($B12:$E12, H$1)&gt;0, _xlfn.IFS(COUNTIF($B12:$C12, H$1)&gt;0, VLOOKUP("Jewel",'Gear Values'!$A$2:$E$14, IF(COUNTBLANK($B12:$C12)&gt;0, "2", "3"), 0), COUNTIF($D12:$E12, H$1)&gt;0, VLOOKUP("Jewel",'Gear Values'!$A$2:$E$14, IF(COUNTBLANK($B12:$C12)&gt;0, "4", "5"), 0)), "")</f>
        <v/>
      </c>
      <c r="I12" s="195" t="str" cm="1">
        <f t="array" ref="I12">IF(COUNTIF($B12:$E12, I$1)&gt;0, _xlfn.IFS(COUNTIF($B12:$C12, I$1)&gt;0, VLOOKUP("Jewel",'Gear Values'!$A$2:$E$14, IF(COUNTBLANK($B12:$C12)&gt;0, "2", "3"), 0), COUNTIF($D12:$E12, I$1)&gt;0, VLOOKUP("Jewel",'Gear Values'!$A$2:$E$14, IF(COUNTBLANK($B12:$C12)&gt;0, "4", "5"), 0)), "")</f>
        <v/>
      </c>
      <c r="J12" s="195" t="str" cm="1">
        <f t="array" ref="J12">IF(COUNTIF($B12:$E12, J$1)&gt;0, _xlfn.IFS(COUNTIF($B12:$C12, J$1)&gt;0, VLOOKUP("Jewel",'Gear Values'!$A$2:$E$14, IF(COUNTBLANK($B12:$C12)&gt;0, "2", "3"), 0), COUNTIF($D12:$E12, J$1)&gt;0, VLOOKUP("Jewel",'Gear Values'!$A$2:$E$14, IF(COUNTBLANK($B12:$C12)&gt;0, "4", "5"), 0)), "")</f>
        <v/>
      </c>
      <c r="K12" s="195" cm="1">
        <f t="array" ref="K12">IF(COUNTIF($B12:$E12, K$1)&gt;0, _xlfn.IFS(COUNTIF($B12:$C12, K$1)&gt;0, VLOOKUP("Jewel",'Gear Values'!$A$2:$E$14, IF(COUNTBLANK($B12:$C12)&gt;0, "2", "3"), 0), COUNTIF($D12:$E12, K$1)&gt;0, VLOOKUP("Jewel",'Gear Values'!$A$2:$E$14, IF(COUNTBLANK($B12:$C12)&gt;0, "4", "5"), 0)), "")</f>
        <v>15</v>
      </c>
      <c r="L12" s="195" t="str" cm="1">
        <f t="array" ref="L12">IF(COUNTIF($B12:$E12, L$1)&gt;0, _xlfn.IFS(COUNTIF($B12:$C12, L$1)&gt;0, VLOOKUP("Jewel",'Gear Values'!$A$2:$E$14, IF(COUNTBLANK($B12:$C12)&gt;0, "2", "3"), 0), COUNTIF($D12:$E12, L$1)&gt;0, VLOOKUP("Jewel",'Gear Values'!$A$2:$E$14, IF(COUNTBLANK($B12:$C12)&gt;0, "4", "5"), 0)), "")</f>
        <v/>
      </c>
      <c r="M12" s="195" t="str" cm="1">
        <f t="array" ref="M12">IF(COUNTIF($B12:$E12, M$1)&gt;0, _xlfn.IFS(COUNTIF($B12:$C12, M$1)&gt;0, VLOOKUP("Jewel",'Gear Values'!$A$2:$E$14, IF(COUNTBLANK($B12:$C12)&gt;0, "2", "3"), 0), COUNTIF($D12:$E12, M$1)&gt;0, VLOOKUP("Jewel",'Gear Values'!$A$2:$E$14, IF(COUNTBLANK($B12:$C12)&gt;0, "4", "5"), 0)), "")</f>
        <v/>
      </c>
      <c r="N12" s="195" t="str" cm="1">
        <f t="array" ref="N12">IF(COUNTIF($B12:$E12, N$1)&gt;0, _xlfn.IFS(COUNTIF($B12:$C12, N$1)&gt;0, VLOOKUP("Jewel",'Gear Values'!$A$2:$E$14, IF(COUNTBLANK($B12:$C12)&gt;0, "2", "3"), 0), COUNTIF($D12:$E12, N$1)&gt;0, VLOOKUP("Jewel",'Gear Values'!$A$2:$E$14, IF(COUNTBLANK($B12:$C12)&gt;0, "4", "5"), 0)), "")</f>
        <v/>
      </c>
      <c r="O12" s="299" t="str">
        <f>IF(OR(COUNTBLANK(AttributeFilter) = 1,AttributeFilter="(Select)"), A12, IF(COUNTIF(B12:E12, AttributeFilter)&gt;0, A12, ""))</f>
        <v>Exquisite Coral Jewel</v>
      </c>
    </row>
    <row r="13" spans="1:15">
      <c r="A13" s="300" t="str">
        <f>_xlfn.CONCAT("Exquisite ",'Attributes &amp; Prefixes'!A65," Jewel")</f>
        <v>Exquisite Ebony Jewel</v>
      </c>
      <c r="B13" s="208" t="str" cm="1">
        <f t="array" ref="B13">_xlfn.LET(_xlpm.stat,'Attributes &amp; Prefixes'!B65, IF(_xlpm.stat=0,"",_xlpm.stat))</f>
        <v>Power</v>
      </c>
      <c r="C13" s="208" t="str" cm="1">
        <f t="array" ref="C13">_xlfn.LET(_xlpm.stat,'Attributes &amp; Prefixes'!C65, IF(_xlpm.stat=0,"",_xlpm.stat))</f>
        <v>Precision</v>
      </c>
      <c r="D13" s="208" t="str" cm="1">
        <f t="array" ref="D13">_xlfn.LET(_xlpm.stat,'Attributes &amp; Prefixes'!D65, IF(_xlpm.stat=0,"",_xlpm.stat))</f>
        <v>Vitality</v>
      </c>
      <c r="E13" s="208" t="str" cm="1">
        <f t="array" ref="E13">_xlfn.LET(_xlpm.stat,'Attributes &amp; Prefixes'!E65, IF(_xlpm.stat=0,"",_xlpm.stat))</f>
        <v>Ferocity</v>
      </c>
      <c r="F13" s="195" cm="1">
        <f t="array" ref="F13">IF(COUNTIF($B13:$E13, F$1)&gt;0, _xlfn.IFS(COUNTIF($B13:$C13, F$1)&gt;0, VLOOKUP("Jewel",'Gear Values'!$A$2:$E$14, IF(COUNTBLANK($B13:$C13)&gt;0, "2", "3"), 0), COUNTIF($D13:$E13, F$1)&gt;0, VLOOKUP("Jewel",'Gear Values'!$A$2:$E$14, IF(COUNTBLANK($B13:$C13)&gt;0, "4", "5"), 0)), "")</f>
        <v>20</v>
      </c>
      <c r="G13" s="195" cm="1">
        <f t="array" ref="G13">IF(COUNTIF($B13:$E13, G$1)&gt;0, _xlfn.IFS(COUNTIF($B13:$C13, G$1)&gt;0, VLOOKUP("Jewel",'Gear Values'!$A$2:$E$14, IF(COUNTBLANK($B13:$C13)&gt;0, "2", "3"), 0), COUNTIF($D13:$E13, G$1)&gt;0, VLOOKUP("Jewel",'Gear Values'!$A$2:$E$14, IF(COUNTBLANK($B13:$C13)&gt;0, "4", "5"), 0)), "")</f>
        <v>20</v>
      </c>
      <c r="H13" s="195" t="str" cm="1">
        <f t="array" ref="H13">IF(COUNTIF($B13:$E13, H$1)&gt;0, _xlfn.IFS(COUNTIF($B13:$C13, H$1)&gt;0, VLOOKUP("Jewel",'Gear Values'!$A$2:$E$14, IF(COUNTBLANK($B13:$C13)&gt;0, "2", "3"), 0), COUNTIF($D13:$E13, H$1)&gt;0, VLOOKUP("Jewel",'Gear Values'!$A$2:$E$14, IF(COUNTBLANK($B13:$C13)&gt;0, "4", "5"), 0)), "")</f>
        <v/>
      </c>
      <c r="I13" s="195" cm="1">
        <f t="array" ref="I13">IF(COUNTIF($B13:$E13, I$1)&gt;0, _xlfn.IFS(COUNTIF($B13:$C13, I$1)&gt;0, VLOOKUP("Jewel",'Gear Values'!$A$2:$E$14, IF(COUNTBLANK($B13:$C13)&gt;0, "2", "3"), 0), COUNTIF($D13:$E13, I$1)&gt;0, VLOOKUP("Jewel",'Gear Values'!$A$2:$E$14, IF(COUNTBLANK($B13:$C13)&gt;0, "4", "5"), 0)), "")</f>
        <v>10</v>
      </c>
      <c r="J13" s="195" t="str" cm="1">
        <f t="array" ref="J13">IF(COUNTIF($B13:$E13, J$1)&gt;0, _xlfn.IFS(COUNTIF($B13:$C13, J$1)&gt;0, VLOOKUP("Jewel",'Gear Values'!$A$2:$E$14, IF(COUNTBLANK($B13:$C13)&gt;0, "2", "3"), 0), COUNTIF($D13:$E13, J$1)&gt;0, VLOOKUP("Jewel",'Gear Values'!$A$2:$E$14, IF(COUNTBLANK($B13:$C13)&gt;0, "4", "5"), 0)), "")</f>
        <v/>
      </c>
      <c r="K13" s="195" t="str" cm="1">
        <f t="array" ref="K13">IF(COUNTIF($B13:$E13, K$1)&gt;0, _xlfn.IFS(COUNTIF($B13:$C13, K$1)&gt;0, VLOOKUP("Jewel",'Gear Values'!$A$2:$E$14, IF(COUNTBLANK($B13:$C13)&gt;0, "2", "3"), 0), COUNTIF($D13:$E13, K$1)&gt;0, VLOOKUP("Jewel",'Gear Values'!$A$2:$E$14, IF(COUNTBLANK($B13:$C13)&gt;0, "4", "5"), 0)), "")</f>
        <v/>
      </c>
      <c r="L13" s="195" t="str" cm="1">
        <f t="array" ref="L13">IF(COUNTIF($B13:$E13, L$1)&gt;0, _xlfn.IFS(COUNTIF($B13:$C13, L$1)&gt;0, VLOOKUP("Jewel",'Gear Values'!$A$2:$E$14, IF(COUNTBLANK($B13:$C13)&gt;0, "2", "3"), 0), COUNTIF($D13:$E13, L$1)&gt;0, VLOOKUP("Jewel",'Gear Values'!$A$2:$E$14, IF(COUNTBLANK($B13:$C13)&gt;0, "4", "5"), 0)), "")</f>
        <v/>
      </c>
      <c r="M13" s="195" cm="1">
        <f t="array" ref="M13">IF(COUNTIF($B13:$E13, M$1)&gt;0, _xlfn.IFS(COUNTIF($B13:$C13, M$1)&gt;0, VLOOKUP("Jewel",'Gear Values'!$A$2:$E$14, IF(COUNTBLANK($B13:$C13)&gt;0, "2", "3"), 0), COUNTIF($D13:$E13, M$1)&gt;0, VLOOKUP("Jewel",'Gear Values'!$A$2:$E$14, IF(COUNTBLANK($B13:$C13)&gt;0, "4", "5"), 0)), "")</f>
        <v>10</v>
      </c>
      <c r="N13" s="195" t="str" cm="1">
        <f t="array" ref="N13">IF(COUNTIF($B13:$E13, N$1)&gt;0, _xlfn.IFS(COUNTIF($B13:$C13, N$1)&gt;0, VLOOKUP("Jewel",'Gear Values'!$A$2:$E$14, IF(COUNTBLANK($B13:$C13)&gt;0, "2", "3"), 0), COUNTIF($D13:$E13, N$1)&gt;0, VLOOKUP("Jewel",'Gear Values'!$A$2:$E$14, IF(COUNTBLANK($B13:$C13)&gt;0, "4", "5"), 0)), "")</f>
        <v/>
      </c>
      <c r="O13" s="299" t="str">
        <f>IF(OR(COUNTBLANK(AttributeFilter) = 1,AttributeFilter="(Select)"), A13, IF(COUNTIF(B13:E13, AttributeFilter)&gt;0, A13, ""))</f>
        <v>Exquisite Ebony Jewel</v>
      </c>
    </row>
    <row r="14" spans="1:15">
      <c r="A14" s="300" t="str">
        <f>_xlfn.CONCAT("Exquisite ",'Attributes &amp; Prefixes'!A66," Jewel")</f>
        <v>Exquisite Emerald Jewel</v>
      </c>
      <c r="B14" s="208" t="str" cm="1">
        <f t="array" ref="B14">_xlfn.LET(_xlpm.stat,'Attributes &amp; Prefixes'!B66, IF(_xlpm.stat=0,"",_xlpm.stat))</f>
        <v>Toughness</v>
      </c>
      <c r="C14" s="208" t="str" cm="1">
        <f t="array" ref="C14">_xlfn.LET(_xlpm.stat,'Attributes &amp; Prefixes'!C66, IF(_xlpm.stat=0,"",_xlpm.stat))</f>
        <v/>
      </c>
      <c r="D14" s="208" t="str" cm="1">
        <f t="array" ref="D14">_xlfn.LET(_xlpm.stat,'Attributes &amp; Prefixes'!D66, IF(_xlpm.stat=0,"",_xlpm.stat))</f>
        <v>Power</v>
      </c>
      <c r="E14" s="208" t="str" cm="1">
        <f t="array" ref="E14">_xlfn.LET(_xlpm.stat,'Attributes &amp; Prefixes'!E66, IF(_xlpm.stat=0,"",_xlpm.stat))</f>
        <v>Precision</v>
      </c>
      <c r="F14" s="195" cm="1">
        <f t="array" ref="F14">IF(COUNTIF($B14:$E14, F$1)&gt;0, _xlfn.IFS(COUNTIF($B14:$C14, F$1)&gt;0, VLOOKUP("Jewel",'Gear Values'!$A$2:$E$14, IF(COUNTBLANK($B14:$C14)&gt;0, "2", "3"), 0), COUNTIF($D14:$E14, F$1)&gt;0, VLOOKUP("Jewel",'Gear Values'!$A$2:$E$14, IF(COUNTBLANK($B14:$C14)&gt;0, "4", "5"), 0)), "")</f>
        <v>15</v>
      </c>
      <c r="G14" s="195" cm="1">
        <f t="array" ref="G14">IF(COUNTIF($B14:$E14, G$1)&gt;0, _xlfn.IFS(COUNTIF($B14:$C14, G$1)&gt;0, VLOOKUP("Jewel",'Gear Values'!$A$2:$E$14, IF(COUNTBLANK($B14:$C14)&gt;0, "2", "3"), 0), COUNTIF($D14:$E14, G$1)&gt;0, VLOOKUP("Jewel",'Gear Values'!$A$2:$E$14, IF(COUNTBLANK($B14:$C14)&gt;0, "4", "5"), 0)), "")</f>
        <v>15</v>
      </c>
      <c r="H14" s="195" cm="1">
        <f t="array" ref="H14">IF(COUNTIF($B14:$E14, H$1)&gt;0, _xlfn.IFS(COUNTIF($B14:$C14, H$1)&gt;0, VLOOKUP("Jewel",'Gear Values'!$A$2:$E$14, IF(COUNTBLANK($B14:$C14)&gt;0, "2", "3"), 0), COUNTIF($D14:$E14, H$1)&gt;0, VLOOKUP("Jewel",'Gear Values'!$A$2:$E$14, IF(COUNTBLANK($B14:$C14)&gt;0, "4", "5"), 0)), "")</f>
        <v>25</v>
      </c>
      <c r="I14" s="195" t="str" cm="1">
        <f t="array" ref="I14">IF(COUNTIF($B14:$E14, I$1)&gt;0, _xlfn.IFS(COUNTIF($B14:$C14, I$1)&gt;0, VLOOKUP("Jewel",'Gear Values'!$A$2:$E$14, IF(COUNTBLANK($B14:$C14)&gt;0, "2", "3"), 0), COUNTIF($D14:$E14, I$1)&gt;0, VLOOKUP("Jewel",'Gear Values'!$A$2:$E$14, IF(COUNTBLANK($B14:$C14)&gt;0, "4", "5"), 0)), "")</f>
        <v/>
      </c>
      <c r="J14" s="195" t="str" cm="1">
        <f t="array" ref="J14">IF(COUNTIF($B14:$E14, J$1)&gt;0, _xlfn.IFS(COUNTIF($B14:$C14, J$1)&gt;0, VLOOKUP("Jewel",'Gear Values'!$A$2:$E$14, IF(COUNTBLANK($B14:$C14)&gt;0, "2", "3"), 0), COUNTIF($D14:$E14, J$1)&gt;0, VLOOKUP("Jewel",'Gear Values'!$A$2:$E$14, IF(COUNTBLANK($B14:$C14)&gt;0, "4", "5"), 0)), "")</f>
        <v/>
      </c>
      <c r="K14" s="195" t="str" cm="1">
        <f t="array" ref="K14">IF(COUNTIF($B14:$E14, K$1)&gt;0, _xlfn.IFS(COUNTIF($B14:$C14, K$1)&gt;0, VLOOKUP("Jewel",'Gear Values'!$A$2:$E$14, IF(COUNTBLANK($B14:$C14)&gt;0, "2", "3"), 0), COUNTIF($D14:$E14, K$1)&gt;0, VLOOKUP("Jewel",'Gear Values'!$A$2:$E$14, IF(COUNTBLANK($B14:$C14)&gt;0, "4", "5"), 0)), "")</f>
        <v/>
      </c>
      <c r="L14" s="195" t="str" cm="1">
        <f t="array" ref="L14">IF(COUNTIF($B14:$E14, L$1)&gt;0, _xlfn.IFS(COUNTIF($B14:$C14, L$1)&gt;0, VLOOKUP("Jewel",'Gear Values'!$A$2:$E$14, IF(COUNTBLANK($B14:$C14)&gt;0, "2", "3"), 0), COUNTIF($D14:$E14, L$1)&gt;0, VLOOKUP("Jewel",'Gear Values'!$A$2:$E$14, IF(COUNTBLANK($B14:$C14)&gt;0, "4", "5"), 0)), "")</f>
        <v/>
      </c>
      <c r="M14" s="195" t="str" cm="1">
        <f t="array" ref="M14">IF(COUNTIF($B14:$E14, M$1)&gt;0, _xlfn.IFS(COUNTIF($B14:$C14, M$1)&gt;0, VLOOKUP("Jewel",'Gear Values'!$A$2:$E$14, IF(COUNTBLANK($B14:$C14)&gt;0, "2", "3"), 0), COUNTIF($D14:$E14, M$1)&gt;0, VLOOKUP("Jewel",'Gear Values'!$A$2:$E$14, IF(COUNTBLANK($B14:$C14)&gt;0, "4", "5"), 0)), "")</f>
        <v/>
      </c>
      <c r="N14" s="195" t="str" cm="1">
        <f t="array" ref="N14">IF(COUNTIF($B14:$E14, N$1)&gt;0, _xlfn.IFS(COUNTIF($B14:$C14, N$1)&gt;0, VLOOKUP("Jewel",'Gear Values'!$A$2:$E$14, IF(COUNTBLANK($B14:$C14)&gt;0, "2", "3"), 0), COUNTIF($D14:$E14, N$1)&gt;0, VLOOKUP("Jewel",'Gear Values'!$A$2:$E$14, IF(COUNTBLANK($B14:$C14)&gt;0, "4", "5"), 0)), "")</f>
        <v/>
      </c>
      <c r="O14" s="299" t="str">
        <f>IF(OR(COUNTBLANK(AttributeFilter) = 1,AttributeFilter="(Select)"), A14, IF(COUNTIF(B14:E14, AttributeFilter)&gt;0, A14, ""))</f>
        <v>Exquisite Emerald Jewel</v>
      </c>
    </row>
    <row r="15" spans="1:15">
      <c r="A15" s="300" t="str">
        <f>_xlfn.CONCAT("Exquisite ",'Attributes &amp; Prefixes'!A67," Jewel")</f>
        <v>Exquisite Flax Blossom Jewel</v>
      </c>
      <c r="B15" s="208" t="str" cm="1">
        <f t="array" ref="B15">_xlfn.LET(_xlpm.stat,'Attributes &amp; Prefixes'!B67, IF(_xlpm.stat=0,"",_xlpm.stat))</f>
        <v>Power</v>
      </c>
      <c r="C15" s="208" t="str" cm="1">
        <f t="array" ref="C15">_xlfn.LET(_xlpm.stat,'Attributes &amp; Prefixes'!C67, IF(_xlpm.stat=0,"",_xlpm.stat))</f>
        <v>Toughness</v>
      </c>
      <c r="D15" s="208" t="str" cm="1">
        <f t="array" ref="D15">_xlfn.LET(_xlpm.stat,'Attributes &amp; Prefixes'!D67, IF(_xlpm.stat=0,"",_xlpm.stat))</f>
        <v>Concentration</v>
      </c>
      <c r="E15" s="208" t="str" cm="1">
        <f t="array" ref="E15">_xlfn.LET(_xlpm.stat,'Attributes &amp; Prefixes'!E67, IF(_xlpm.stat=0,"",_xlpm.stat))</f>
        <v>Expertise</v>
      </c>
      <c r="F15" s="195" cm="1">
        <f t="array" ref="F15">IF(COUNTIF($B15:$E15, F$1)&gt;0, _xlfn.IFS(COUNTIF($B15:$C15, F$1)&gt;0, VLOOKUP("Jewel",'Gear Values'!$A$2:$E$14, IF(COUNTBLANK($B15:$C15)&gt;0, "2", "3"), 0), COUNTIF($D15:$E15, F$1)&gt;0, VLOOKUP("Jewel",'Gear Values'!$A$2:$E$14, IF(COUNTBLANK($B15:$C15)&gt;0, "4", "5"), 0)), "")</f>
        <v>20</v>
      </c>
      <c r="G15" s="195" t="str" cm="1">
        <f t="array" ref="G15">IF(COUNTIF($B15:$E15, G$1)&gt;0, _xlfn.IFS(COUNTIF($B15:$C15, G$1)&gt;0, VLOOKUP("Jewel",'Gear Values'!$A$2:$E$14, IF(COUNTBLANK($B15:$C15)&gt;0, "2", "3"), 0), COUNTIF($D15:$E15, G$1)&gt;0, VLOOKUP("Jewel",'Gear Values'!$A$2:$E$14, IF(COUNTBLANK($B15:$C15)&gt;0, "4", "5"), 0)), "")</f>
        <v/>
      </c>
      <c r="H15" s="195" cm="1">
        <f t="array" ref="H15">IF(COUNTIF($B15:$E15, H$1)&gt;0, _xlfn.IFS(COUNTIF($B15:$C15, H$1)&gt;0, VLOOKUP("Jewel",'Gear Values'!$A$2:$E$14, IF(COUNTBLANK($B15:$C15)&gt;0, "2", "3"), 0), COUNTIF($D15:$E15, H$1)&gt;0, VLOOKUP("Jewel",'Gear Values'!$A$2:$E$14, IF(COUNTBLANK($B15:$C15)&gt;0, "4", "5"), 0)), "")</f>
        <v>20</v>
      </c>
      <c r="I15" s="195" t="str" cm="1">
        <f t="array" ref="I15">IF(COUNTIF($B15:$E15, I$1)&gt;0, _xlfn.IFS(COUNTIF($B15:$C15, I$1)&gt;0, VLOOKUP("Jewel",'Gear Values'!$A$2:$E$14, IF(COUNTBLANK($B15:$C15)&gt;0, "2", "3"), 0), COUNTIF($D15:$E15, I$1)&gt;0, VLOOKUP("Jewel",'Gear Values'!$A$2:$E$14, IF(COUNTBLANK($B15:$C15)&gt;0, "4", "5"), 0)), "")</f>
        <v/>
      </c>
      <c r="J15" s="195" cm="1">
        <f t="array" ref="J15">IF(COUNTIF($B15:$E15, J$1)&gt;0, _xlfn.IFS(COUNTIF($B15:$C15, J$1)&gt;0, VLOOKUP("Jewel",'Gear Values'!$A$2:$E$14, IF(COUNTBLANK($B15:$C15)&gt;0, "2", "3"), 0), COUNTIF($D15:$E15, J$1)&gt;0, VLOOKUP("Jewel",'Gear Values'!$A$2:$E$14, IF(COUNTBLANK($B15:$C15)&gt;0, "4", "5"), 0)), "")</f>
        <v>10</v>
      </c>
      <c r="K15" s="195" t="str" cm="1">
        <f t="array" ref="K15">IF(COUNTIF($B15:$E15, K$1)&gt;0, _xlfn.IFS(COUNTIF($B15:$C15, K$1)&gt;0, VLOOKUP("Jewel",'Gear Values'!$A$2:$E$14, IF(COUNTBLANK($B15:$C15)&gt;0, "2", "3"), 0), COUNTIF($D15:$E15, K$1)&gt;0, VLOOKUP("Jewel",'Gear Values'!$A$2:$E$14, IF(COUNTBLANK($B15:$C15)&gt;0, "4", "5"), 0)), "")</f>
        <v/>
      </c>
      <c r="L15" s="195" cm="1">
        <f t="array" ref="L15">IF(COUNTIF($B15:$E15, L$1)&gt;0, _xlfn.IFS(COUNTIF($B15:$C15, L$1)&gt;0, VLOOKUP("Jewel",'Gear Values'!$A$2:$E$14, IF(COUNTBLANK($B15:$C15)&gt;0, "2", "3"), 0), COUNTIF($D15:$E15, L$1)&gt;0, VLOOKUP("Jewel",'Gear Values'!$A$2:$E$14, IF(COUNTBLANK($B15:$C15)&gt;0, "4", "5"), 0)), "")</f>
        <v>10</v>
      </c>
      <c r="M15" s="195" t="str" cm="1">
        <f t="array" ref="M15">IF(COUNTIF($B15:$E15, M$1)&gt;0, _xlfn.IFS(COUNTIF($B15:$C15, M$1)&gt;0, VLOOKUP("Jewel",'Gear Values'!$A$2:$E$14, IF(COUNTBLANK($B15:$C15)&gt;0, "2", "3"), 0), COUNTIF($D15:$E15, M$1)&gt;0, VLOOKUP("Jewel",'Gear Values'!$A$2:$E$14, IF(COUNTBLANK($B15:$C15)&gt;0, "4", "5"), 0)), "")</f>
        <v/>
      </c>
      <c r="N15" s="195" t="str" cm="1">
        <f t="array" ref="N15">IF(COUNTIF($B15:$E15, N$1)&gt;0, _xlfn.IFS(COUNTIF($B15:$C15, N$1)&gt;0, VLOOKUP("Jewel",'Gear Values'!$A$2:$E$14, IF(COUNTBLANK($B15:$C15)&gt;0, "2", "3"), 0), COUNTIF($D15:$E15, N$1)&gt;0, VLOOKUP("Jewel",'Gear Values'!$A$2:$E$14, IF(COUNTBLANK($B15:$C15)&gt;0, "4", "5"), 0)), "")</f>
        <v/>
      </c>
      <c r="O15" s="299" t="str">
        <f>IF(OR(COUNTBLANK(AttributeFilter) = 1,AttributeFilter="(Select)"), A15, IF(COUNTIF(B15:E15, AttributeFilter)&gt;0, A15, ""))</f>
        <v>Exquisite Flax Blossom Jewel</v>
      </c>
    </row>
    <row r="16" spans="1:15">
      <c r="A16" s="300" t="str">
        <f>_xlfn.CONCAT("Exquisite ",'Attributes &amp; Prefixes'!A68," Jewel")</f>
        <v>Exquisite Freshwater Pearl Jewel</v>
      </c>
      <c r="B16" s="208" t="str" cm="1">
        <f t="array" ref="B16">_xlfn.LET(_xlpm.stat,'Attributes &amp; Prefixes'!B68, IF(_xlpm.stat=0,"",_xlpm.stat))</f>
        <v>Toughness</v>
      </c>
      <c r="C16" s="208" t="str" cm="1">
        <f t="array" ref="C16">_xlfn.LET(_xlpm.stat,'Attributes &amp; Prefixes'!C68, IF(_xlpm.stat=0,"",_xlpm.stat))</f>
        <v>Healing Power</v>
      </c>
      <c r="D16" s="208" t="str" cm="1">
        <f t="array" ref="D16">_xlfn.LET(_xlpm.stat,'Attributes &amp; Prefixes'!D68, IF(_xlpm.stat=0,"",_xlpm.stat))</f>
        <v>Vitality</v>
      </c>
      <c r="E16" s="208" t="str" cm="1">
        <f t="array" ref="E16">_xlfn.LET(_xlpm.stat,'Attributes &amp; Prefixes'!E68, IF(_xlpm.stat=0,"",_xlpm.stat))</f>
        <v>Concentration</v>
      </c>
      <c r="F16" s="195" t="str" cm="1">
        <f t="array" ref="F16">IF(COUNTIF($B16:$E16, F$1)&gt;0, _xlfn.IFS(COUNTIF($B16:$C16, F$1)&gt;0, VLOOKUP("Jewel",'Gear Values'!$A$2:$E$14, IF(COUNTBLANK($B16:$C16)&gt;0, "2", "3"), 0), COUNTIF($D16:$E16, F$1)&gt;0, VLOOKUP("Jewel",'Gear Values'!$A$2:$E$14, IF(COUNTBLANK($B16:$C16)&gt;0, "4", "5"), 0)), "")</f>
        <v/>
      </c>
      <c r="G16" s="195" t="str" cm="1">
        <f t="array" ref="G16">IF(COUNTIF($B16:$E16, G$1)&gt;0, _xlfn.IFS(COUNTIF($B16:$C16, G$1)&gt;0, VLOOKUP("Jewel",'Gear Values'!$A$2:$E$14, IF(COUNTBLANK($B16:$C16)&gt;0, "2", "3"), 0), COUNTIF($D16:$E16, G$1)&gt;0, VLOOKUP("Jewel",'Gear Values'!$A$2:$E$14, IF(COUNTBLANK($B16:$C16)&gt;0, "4", "5"), 0)), "")</f>
        <v/>
      </c>
      <c r="H16" s="195" cm="1">
        <f t="array" ref="H16">IF(COUNTIF($B16:$E16, H$1)&gt;0, _xlfn.IFS(COUNTIF($B16:$C16, H$1)&gt;0, VLOOKUP("Jewel",'Gear Values'!$A$2:$E$14, IF(COUNTBLANK($B16:$C16)&gt;0, "2", "3"), 0), COUNTIF($D16:$E16, H$1)&gt;0, VLOOKUP("Jewel",'Gear Values'!$A$2:$E$14, IF(COUNTBLANK($B16:$C16)&gt;0, "4", "5"), 0)), "")</f>
        <v>20</v>
      </c>
      <c r="I16" s="195" cm="1">
        <f t="array" ref="I16">IF(COUNTIF($B16:$E16, I$1)&gt;0, _xlfn.IFS(COUNTIF($B16:$C16, I$1)&gt;0, VLOOKUP("Jewel",'Gear Values'!$A$2:$E$14, IF(COUNTBLANK($B16:$C16)&gt;0, "2", "3"), 0), COUNTIF($D16:$E16, I$1)&gt;0, VLOOKUP("Jewel",'Gear Values'!$A$2:$E$14, IF(COUNTBLANK($B16:$C16)&gt;0, "4", "5"), 0)), "")</f>
        <v>10</v>
      </c>
      <c r="J16" s="195" cm="1">
        <f t="array" ref="J16">IF(COUNTIF($B16:$E16, J$1)&gt;0, _xlfn.IFS(COUNTIF($B16:$C16, J$1)&gt;0, VLOOKUP("Jewel",'Gear Values'!$A$2:$E$14, IF(COUNTBLANK($B16:$C16)&gt;0, "2", "3"), 0), COUNTIF($D16:$E16, J$1)&gt;0, VLOOKUP("Jewel",'Gear Values'!$A$2:$E$14, IF(COUNTBLANK($B16:$C16)&gt;0, "4", "5"), 0)), "")</f>
        <v>10</v>
      </c>
      <c r="K16" s="195" t="str" cm="1">
        <f t="array" ref="K16">IF(COUNTIF($B16:$E16, K$1)&gt;0, _xlfn.IFS(COUNTIF($B16:$C16, K$1)&gt;0, VLOOKUP("Jewel",'Gear Values'!$A$2:$E$14, IF(COUNTBLANK($B16:$C16)&gt;0, "2", "3"), 0), COUNTIF($D16:$E16, K$1)&gt;0, VLOOKUP("Jewel",'Gear Values'!$A$2:$E$14, IF(COUNTBLANK($B16:$C16)&gt;0, "4", "5"), 0)), "")</f>
        <v/>
      </c>
      <c r="L16" s="195" t="str" cm="1">
        <f t="array" ref="L16">IF(COUNTIF($B16:$E16, L$1)&gt;0, _xlfn.IFS(COUNTIF($B16:$C16, L$1)&gt;0, VLOOKUP("Jewel",'Gear Values'!$A$2:$E$14, IF(COUNTBLANK($B16:$C16)&gt;0, "2", "3"), 0), COUNTIF($D16:$E16, L$1)&gt;0, VLOOKUP("Jewel",'Gear Values'!$A$2:$E$14, IF(COUNTBLANK($B16:$C16)&gt;0, "4", "5"), 0)), "")</f>
        <v/>
      </c>
      <c r="M16" s="195" t="str" cm="1">
        <f t="array" ref="M16">IF(COUNTIF($B16:$E16, M$1)&gt;0, _xlfn.IFS(COUNTIF($B16:$C16, M$1)&gt;0, VLOOKUP("Jewel",'Gear Values'!$A$2:$E$14, IF(COUNTBLANK($B16:$C16)&gt;0, "2", "3"), 0), COUNTIF($D16:$E16, M$1)&gt;0, VLOOKUP("Jewel",'Gear Values'!$A$2:$E$14, IF(COUNTBLANK($B16:$C16)&gt;0, "4", "5"), 0)), "")</f>
        <v/>
      </c>
      <c r="N16" s="195" cm="1">
        <f t="array" ref="N16">IF(COUNTIF($B16:$E16, N$1)&gt;0, _xlfn.IFS(COUNTIF($B16:$C16, N$1)&gt;0, VLOOKUP("Jewel",'Gear Values'!$A$2:$E$14, IF(COUNTBLANK($B16:$C16)&gt;0, "2", "3"), 0), COUNTIF($D16:$E16, N$1)&gt;0, VLOOKUP("Jewel",'Gear Values'!$A$2:$E$14, IF(COUNTBLANK($B16:$C16)&gt;0, "4", "5"), 0)), "")</f>
        <v>20</v>
      </c>
      <c r="O16" s="299" t="str">
        <f>IF(OR(COUNTBLANK(AttributeFilter) = 1,AttributeFilter="(Select)"), A16, IF(COUNTIF(B16:E16, AttributeFilter)&gt;0, A16, ""))</f>
        <v>Exquisite Freshwater Pearl Jewel</v>
      </c>
    </row>
    <row r="17" spans="1:15">
      <c r="A17" s="300" t="str">
        <f>_xlfn.CONCAT("Exquisite ",'Attributes &amp; Prefixes'!A69," Jewel")</f>
        <v>Exquisite Jade Jewel</v>
      </c>
      <c r="B17" s="208" t="str" cm="1">
        <f t="array" ref="B17">_xlfn.LET(_xlpm.stat,'Attributes &amp; Prefixes'!B69, IF(_xlpm.stat=0,"",_xlpm.stat))</f>
        <v>Power</v>
      </c>
      <c r="C17" s="208" t="str" cm="1">
        <f t="array" ref="C17">_xlfn.LET(_xlpm.stat,'Attributes &amp; Prefixes'!C69, IF(_xlpm.stat=0,"",_xlpm.stat))</f>
        <v>Ferocity</v>
      </c>
      <c r="D17" s="208" t="str" cm="1">
        <f t="array" ref="D17">_xlfn.LET(_xlpm.stat,'Attributes &amp; Prefixes'!D69, IF(_xlpm.stat=0,"",_xlpm.stat))</f>
        <v>Precision</v>
      </c>
      <c r="E17" s="208" t="str" cm="1">
        <f t="array" ref="E17">_xlfn.LET(_xlpm.stat,'Attributes &amp; Prefixes'!E69, IF(_xlpm.stat=0,"",_xlpm.stat))</f>
        <v>Vitality</v>
      </c>
      <c r="F17" s="195" cm="1">
        <f t="array" ref="F17">IF(COUNTIF($B17:$E17, F$1)&gt;0, _xlfn.IFS(COUNTIF($B17:$C17, F$1)&gt;0, VLOOKUP("Jewel",'Gear Values'!$A$2:$E$14, IF(COUNTBLANK($B17:$C17)&gt;0, "2", "3"), 0), COUNTIF($D17:$E17, F$1)&gt;0, VLOOKUP("Jewel",'Gear Values'!$A$2:$E$14, IF(COUNTBLANK($B17:$C17)&gt;0, "4", "5"), 0)), "")</f>
        <v>20</v>
      </c>
      <c r="G17" s="195" cm="1">
        <f t="array" ref="G17">IF(COUNTIF($B17:$E17, G$1)&gt;0, _xlfn.IFS(COUNTIF($B17:$C17, G$1)&gt;0, VLOOKUP("Jewel",'Gear Values'!$A$2:$E$14, IF(COUNTBLANK($B17:$C17)&gt;0, "2", "3"), 0), COUNTIF($D17:$E17, G$1)&gt;0, VLOOKUP("Jewel",'Gear Values'!$A$2:$E$14, IF(COUNTBLANK($B17:$C17)&gt;0, "4", "5"), 0)), "")</f>
        <v>10</v>
      </c>
      <c r="H17" s="195" t="str" cm="1">
        <f t="array" ref="H17">IF(COUNTIF($B17:$E17, H$1)&gt;0, _xlfn.IFS(COUNTIF($B17:$C17, H$1)&gt;0, VLOOKUP("Jewel",'Gear Values'!$A$2:$E$14, IF(COUNTBLANK($B17:$C17)&gt;0, "2", "3"), 0), COUNTIF($D17:$E17, H$1)&gt;0, VLOOKUP("Jewel",'Gear Values'!$A$2:$E$14, IF(COUNTBLANK($B17:$C17)&gt;0, "4", "5"), 0)), "")</f>
        <v/>
      </c>
      <c r="I17" s="195" cm="1">
        <f t="array" ref="I17">IF(COUNTIF($B17:$E17, I$1)&gt;0, _xlfn.IFS(COUNTIF($B17:$C17, I$1)&gt;0, VLOOKUP("Jewel",'Gear Values'!$A$2:$E$14, IF(COUNTBLANK($B17:$C17)&gt;0, "2", "3"), 0), COUNTIF($D17:$E17, I$1)&gt;0, VLOOKUP("Jewel",'Gear Values'!$A$2:$E$14, IF(COUNTBLANK($B17:$C17)&gt;0, "4", "5"), 0)), "")</f>
        <v>10</v>
      </c>
      <c r="J17" s="195" t="str" cm="1">
        <f t="array" ref="J17">IF(COUNTIF($B17:$E17, J$1)&gt;0, _xlfn.IFS(COUNTIF($B17:$C17, J$1)&gt;0, VLOOKUP("Jewel",'Gear Values'!$A$2:$E$14, IF(COUNTBLANK($B17:$C17)&gt;0, "2", "3"), 0), COUNTIF($D17:$E17, J$1)&gt;0, VLOOKUP("Jewel",'Gear Values'!$A$2:$E$14, IF(COUNTBLANK($B17:$C17)&gt;0, "4", "5"), 0)), "")</f>
        <v/>
      </c>
      <c r="K17" s="195" t="str" cm="1">
        <f t="array" ref="K17">IF(COUNTIF($B17:$E17, K$1)&gt;0, _xlfn.IFS(COUNTIF($B17:$C17, K$1)&gt;0, VLOOKUP("Jewel",'Gear Values'!$A$2:$E$14, IF(COUNTBLANK($B17:$C17)&gt;0, "2", "3"), 0), COUNTIF($D17:$E17, K$1)&gt;0, VLOOKUP("Jewel",'Gear Values'!$A$2:$E$14, IF(COUNTBLANK($B17:$C17)&gt;0, "4", "5"), 0)), "")</f>
        <v/>
      </c>
      <c r="L17" s="195" t="str" cm="1">
        <f t="array" ref="L17">IF(COUNTIF($B17:$E17, L$1)&gt;0, _xlfn.IFS(COUNTIF($B17:$C17, L$1)&gt;0, VLOOKUP("Jewel",'Gear Values'!$A$2:$E$14, IF(COUNTBLANK($B17:$C17)&gt;0, "2", "3"), 0), COUNTIF($D17:$E17, L$1)&gt;0, VLOOKUP("Jewel",'Gear Values'!$A$2:$E$14, IF(COUNTBLANK($B17:$C17)&gt;0, "4", "5"), 0)), "")</f>
        <v/>
      </c>
      <c r="M17" s="195" cm="1">
        <f t="array" ref="M17">IF(COUNTIF($B17:$E17, M$1)&gt;0, _xlfn.IFS(COUNTIF($B17:$C17, M$1)&gt;0, VLOOKUP("Jewel",'Gear Values'!$A$2:$E$14, IF(COUNTBLANK($B17:$C17)&gt;0, "2", "3"), 0), COUNTIF($D17:$E17, M$1)&gt;0, VLOOKUP("Jewel",'Gear Values'!$A$2:$E$14, IF(COUNTBLANK($B17:$C17)&gt;0, "4", "5"), 0)), "")</f>
        <v>20</v>
      </c>
      <c r="N17" s="195" t="str" cm="1">
        <f t="array" ref="N17">IF(COUNTIF($B17:$E17, N$1)&gt;0, _xlfn.IFS(COUNTIF($B17:$C17, N$1)&gt;0, VLOOKUP("Jewel",'Gear Values'!$A$2:$E$14, IF(COUNTBLANK($B17:$C17)&gt;0, "2", "3"), 0), COUNTIF($D17:$E17, N$1)&gt;0, VLOOKUP("Jewel",'Gear Values'!$A$2:$E$14, IF(COUNTBLANK($B17:$C17)&gt;0, "4", "5"), 0)), "")</f>
        <v/>
      </c>
      <c r="O17" s="299" t="str">
        <f>IF(OR(COUNTBLANK(AttributeFilter) = 1,AttributeFilter="(Select)"), A17, IF(COUNTIF(B17:E17, AttributeFilter)&gt;0, A17, ""))</f>
        <v>Exquisite Jade Jewel</v>
      </c>
    </row>
    <row r="18" spans="1:15">
      <c r="A18" s="300" t="str">
        <f>_xlfn.CONCAT("Exquisite ",'Attributes &amp; Prefixes'!A70," Jewel")</f>
        <v>Exquisite Maguuma Lily Jewel</v>
      </c>
      <c r="B18" s="208" t="str" cm="1">
        <f t="array" ref="B18">_xlfn.LET(_xlpm.stat,'Attributes &amp; Prefixes'!B70, IF(_xlpm.stat=0,"",_xlpm.stat))</f>
        <v>Toughness</v>
      </c>
      <c r="C18" s="208" t="str" cm="1">
        <f t="array" ref="C18">_xlfn.LET(_xlpm.stat,'Attributes &amp; Prefixes'!C70, IF(_xlpm.stat=0,"",_xlpm.stat))</f>
        <v>Condition Damage</v>
      </c>
      <c r="D18" s="208" t="str" cm="1">
        <f t="array" ref="D18">_xlfn.LET(_xlpm.stat,'Attributes &amp; Prefixes'!D70, IF(_xlpm.stat=0,"",_xlpm.stat))</f>
        <v>Vitality</v>
      </c>
      <c r="E18" s="208" t="str" cm="1">
        <f t="array" ref="E18">_xlfn.LET(_xlpm.stat,'Attributes &amp; Prefixes'!E70, IF(_xlpm.stat=0,"",_xlpm.stat))</f>
        <v>Expertise</v>
      </c>
      <c r="F18" s="195" t="str" cm="1">
        <f t="array" ref="F18">IF(COUNTIF($B18:$E18, F$1)&gt;0, _xlfn.IFS(COUNTIF($B18:$C18, F$1)&gt;0, VLOOKUP("Jewel",'Gear Values'!$A$2:$E$14, IF(COUNTBLANK($B18:$C18)&gt;0, "2", "3"), 0), COUNTIF($D18:$E18, F$1)&gt;0, VLOOKUP("Jewel",'Gear Values'!$A$2:$E$14, IF(COUNTBLANK($B18:$C18)&gt;0, "4", "5"), 0)), "")</f>
        <v/>
      </c>
      <c r="G18" s="195" t="str" cm="1">
        <f t="array" ref="G18">IF(COUNTIF($B18:$E18, G$1)&gt;0, _xlfn.IFS(COUNTIF($B18:$C18, G$1)&gt;0, VLOOKUP("Jewel",'Gear Values'!$A$2:$E$14, IF(COUNTBLANK($B18:$C18)&gt;0, "2", "3"), 0), COUNTIF($D18:$E18, G$1)&gt;0, VLOOKUP("Jewel",'Gear Values'!$A$2:$E$14, IF(COUNTBLANK($B18:$C18)&gt;0, "4", "5"), 0)), "")</f>
        <v/>
      </c>
      <c r="H18" s="195" cm="1">
        <f t="array" ref="H18">IF(COUNTIF($B18:$E18, H$1)&gt;0, _xlfn.IFS(COUNTIF($B18:$C18, H$1)&gt;0, VLOOKUP("Jewel",'Gear Values'!$A$2:$E$14, IF(COUNTBLANK($B18:$C18)&gt;0, "2", "3"), 0), COUNTIF($D18:$E18, H$1)&gt;0, VLOOKUP("Jewel",'Gear Values'!$A$2:$E$14, IF(COUNTBLANK($B18:$C18)&gt;0, "4", "5"), 0)), "")</f>
        <v>20</v>
      </c>
      <c r="I18" s="195" cm="1">
        <f t="array" ref="I18">IF(COUNTIF($B18:$E18, I$1)&gt;0, _xlfn.IFS(COUNTIF($B18:$C18, I$1)&gt;0, VLOOKUP("Jewel",'Gear Values'!$A$2:$E$14, IF(COUNTBLANK($B18:$C18)&gt;0, "2", "3"), 0), COUNTIF($D18:$E18, I$1)&gt;0, VLOOKUP("Jewel",'Gear Values'!$A$2:$E$14, IF(COUNTBLANK($B18:$C18)&gt;0, "4", "5"), 0)), "")</f>
        <v>10</v>
      </c>
      <c r="J18" s="195" t="str" cm="1">
        <f t="array" ref="J18">IF(COUNTIF($B18:$E18, J$1)&gt;0, _xlfn.IFS(COUNTIF($B18:$C18, J$1)&gt;0, VLOOKUP("Jewel",'Gear Values'!$A$2:$E$14, IF(COUNTBLANK($B18:$C18)&gt;0, "2", "3"), 0), COUNTIF($D18:$E18, J$1)&gt;0, VLOOKUP("Jewel",'Gear Values'!$A$2:$E$14, IF(COUNTBLANK($B18:$C18)&gt;0, "4", "5"), 0)), "")</f>
        <v/>
      </c>
      <c r="K18" s="195" cm="1">
        <f t="array" ref="K18">IF(COUNTIF($B18:$E18, K$1)&gt;0, _xlfn.IFS(COUNTIF($B18:$C18, K$1)&gt;0, VLOOKUP("Jewel",'Gear Values'!$A$2:$E$14, IF(COUNTBLANK($B18:$C18)&gt;0, "2", "3"), 0), COUNTIF($D18:$E18, K$1)&gt;0, VLOOKUP("Jewel",'Gear Values'!$A$2:$E$14, IF(COUNTBLANK($B18:$C18)&gt;0, "4", "5"), 0)), "")</f>
        <v>20</v>
      </c>
      <c r="L18" s="195" cm="1">
        <f t="array" ref="L18">IF(COUNTIF($B18:$E18, L$1)&gt;0, _xlfn.IFS(COUNTIF($B18:$C18, L$1)&gt;0, VLOOKUP("Jewel",'Gear Values'!$A$2:$E$14, IF(COUNTBLANK($B18:$C18)&gt;0, "2", "3"), 0), COUNTIF($D18:$E18, L$1)&gt;0, VLOOKUP("Jewel",'Gear Values'!$A$2:$E$14, IF(COUNTBLANK($B18:$C18)&gt;0, "4", "5"), 0)), "")</f>
        <v>10</v>
      </c>
      <c r="M18" s="195" t="str" cm="1">
        <f t="array" ref="M18">IF(COUNTIF($B18:$E18, M$1)&gt;0, _xlfn.IFS(COUNTIF($B18:$C18, M$1)&gt;0, VLOOKUP("Jewel",'Gear Values'!$A$2:$E$14, IF(COUNTBLANK($B18:$C18)&gt;0, "2", "3"), 0), COUNTIF($D18:$E18, M$1)&gt;0, VLOOKUP("Jewel",'Gear Values'!$A$2:$E$14, IF(COUNTBLANK($B18:$C18)&gt;0, "4", "5"), 0)), "")</f>
        <v/>
      </c>
      <c r="N18" s="195" t="str" cm="1">
        <f t="array" ref="N18">IF(COUNTIF($B18:$E18, N$1)&gt;0, _xlfn.IFS(COUNTIF($B18:$C18, N$1)&gt;0, VLOOKUP("Jewel",'Gear Values'!$A$2:$E$14, IF(COUNTBLANK($B18:$C18)&gt;0, "2", "3"), 0), COUNTIF($D18:$E18, N$1)&gt;0, VLOOKUP("Jewel",'Gear Values'!$A$2:$E$14, IF(COUNTBLANK($B18:$C18)&gt;0, "4", "5"), 0)), "")</f>
        <v/>
      </c>
      <c r="O18" s="299" t="str">
        <f>IF(OR(COUNTBLANK(AttributeFilter) = 1,AttributeFilter="(Select)"), A18, IF(COUNTIF(B18:E18, AttributeFilter)&gt;0, A18, ""))</f>
        <v>Exquisite Maguuma Lily Jewel</v>
      </c>
    </row>
    <row r="19" spans="1:15">
      <c r="A19" s="300" t="str">
        <f>_xlfn.CONCAT("Exquisite ",'Attributes &amp; Prefixes'!A71," Jewel")</f>
        <v>Exquisite Moonstone Jewel</v>
      </c>
      <c r="B19" s="208" t="str" cm="1">
        <f t="array" ref="B19">_xlfn.LET(_xlpm.stat,'Attributes &amp; Prefixes'!B71, IF(_xlpm.stat=0,"",_xlpm.stat))</f>
        <v>Power</v>
      </c>
      <c r="C19" s="208" t="str" cm="1">
        <f t="array" ref="C19">_xlfn.LET(_xlpm.stat,'Attributes &amp; Prefixes'!C71, IF(_xlpm.stat=0,"",_xlpm.stat))</f>
        <v>Vitality</v>
      </c>
      <c r="D19" s="208" t="str" cm="1">
        <f t="array" ref="D19">_xlfn.LET(_xlpm.stat,'Attributes &amp; Prefixes'!D71, IF(_xlpm.stat=0,"",_xlpm.stat))</f>
        <v>Toughness</v>
      </c>
      <c r="E19" s="208" t="str" cm="1">
        <f t="array" ref="E19">_xlfn.LET(_xlpm.stat,'Attributes &amp; Prefixes'!E71, IF(_xlpm.stat=0,"",_xlpm.stat))</f>
        <v>Concentration</v>
      </c>
      <c r="F19" s="195" cm="1">
        <f t="array" ref="F19">IF(COUNTIF($B19:$E19, F$1)&gt;0, _xlfn.IFS(COUNTIF($B19:$C19, F$1)&gt;0, VLOOKUP("Jewel",'Gear Values'!$A$2:$E$14, IF(COUNTBLANK($B19:$C19)&gt;0, "2", "3"), 0), COUNTIF($D19:$E19, F$1)&gt;0, VLOOKUP("Jewel",'Gear Values'!$A$2:$E$14, IF(COUNTBLANK($B19:$C19)&gt;0, "4", "5"), 0)), "")</f>
        <v>20</v>
      </c>
      <c r="G19" s="195" t="str" cm="1">
        <f t="array" ref="G19">IF(COUNTIF($B19:$E19, G$1)&gt;0, _xlfn.IFS(COUNTIF($B19:$C19, G$1)&gt;0, VLOOKUP("Jewel",'Gear Values'!$A$2:$E$14, IF(COUNTBLANK($B19:$C19)&gt;0, "2", "3"), 0), COUNTIF($D19:$E19, G$1)&gt;0, VLOOKUP("Jewel",'Gear Values'!$A$2:$E$14, IF(COUNTBLANK($B19:$C19)&gt;0, "4", "5"), 0)), "")</f>
        <v/>
      </c>
      <c r="H19" s="195" cm="1">
        <f t="array" ref="H19">IF(COUNTIF($B19:$E19, H$1)&gt;0, _xlfn.IFS(COUNTIF($B19:$C19, H$1)&gt;0, VLOOKUP("Jewel",'Gear Values'!$A$2:$E$14, IF(COUNTBLANK($B19:$C19)&gt;0, "2", "3"), 0), COUNTIF($D19:$E19, H$1)&gt;0, VLOOKUP("Jewel",'Gear Values'!$A$2:$E$14, IF(COUNTBLANK($B19:$C19)&gt;0, "4", "5"), 0)), "")</f>
        <v>10</v>
      </c>
      <c r="I19" s="195" cm="1">
        <f t="array" ref="I19">IF(COUNTIF($B19:$E19, I$1)&gt;0, _xlfn.IFS(COUNTIF($B19:$C19, I$1)&gt;0, VLOOKUP("Jewel",'Gear Values'!$A$2:$E$14, IF(COUNTBLANK($B19:$C19)&gt;0, "2", "3"), 0), COUNTIF($D19:$E19, I$1)&gt;0, VLOOKUP("Jewel",'Gear Values'!$A$2:$E$14, IF(COUNTBLANK($B19:$C19)&gt;0, "4", "5"), 0)), "")</f>
        <v>20</v>
      </c>
      <c r="J19" s="195" cm="1">
        <f t="array" ref="J19">IF(COUNTIF($B19:$E19, J$1)&gt;0, _xlfn.IFS(COUNTIF($B19:$C19, J$1)&gt;0, VLOOKUP("Jewel",'Gear Values'!$A$2:$E$14, IF(COUNTBLANK($B19:$C19)&gt;0, "2", "3"), 0), COUNTIF($D19:$E19, J$1)&gt;0, VLOOKUP("Jewel",'Gear Values'!$A$2:$E$14, IF(COUNTBLANK($B19:$C19)&gt;0, "4", "5"), 0)), "")</f>
        <v>10</v>
      </c>
      <c r="K19" s="195" t="str" cm="1">
        <f t="array" ref="K19">IF(COUNTIF($B19:$E19, K$1)&gt;0, _xlfn.IFS(COUNTIF($B19:$C19, K$1)&gt;0, VLOOKUP("Jewel",'Gear Values'!$A$2:$E$14, IF(COUNTBLANK($B19:$C19)&gt;0, "2", "3"), 0), COUNTIF($D19:$E19, K$1)&gt;0, VLOOKUP("Jewel",'Gear Values'!$A$2:$E$14, IF(COUNTBLANK($B19:$C19)&gt;0, "4", "5"), 0)), "")</f>
        <v/>
      </c>
      <c r="L19" s="195" t="str" cm="1">
        <f t="array" ref="L19">IF(COUNTIF($B19:$E19, L$1)&gt;0, _xlfn.IFS(COUNTIF($B19:$C19, L$1)&gt;0, VLOOKUP("Jewel",'Gear Values'!$A$2:$E$14, IF(COUNTBLANK($B19:$C19)&gt;0, "2", "3"), 0), COUNTIF($D19:$E19, L$1)&gt;0, VLOOKUP("Jewel",'Gear Values'!$A$2:$E$14, IF(COUNTBLANK($B19:$C19)&gt;0, "4", "5"), 0)), "")</f>
        <v/>
      </c>
      <c r="M19" s="195" t="str" cm="1">
        <f t="array" ref="M19">IF(COUNTIF($B19:$E19, M$1)&gt;0, _xlfn.IFS(COUNTIF($B19:$C19, M$1)&gt;0, VLOOKUP("Jewel",'Gear Values'!$A$2:$E$14, IF(COUNTBLANK($B19:$C19)&gt;0, "2", "3"), 0), COUNTIF($D19:$E19, M$1)&gt;0, VLOOKUP("Jewel",'Gear Values'!$A$2:$E$14, IF(COUNTBLANK($B19:$C19)&gt;0, "4", "5"), 0)), "")</f>
        <v/>
      </c>
      <c r="N19" s="195" t="str" cm="1">
        <f t="array" ref="N19">IF(COUNTIF($B19:$E19, N$1)&gt;0, _xlfn.IFS(COUNTIF($B19:$C19, N$1)&gt;0, VLOOKUP("Jewel",'Gear Values'!$A$2:$E$14, IF(COUNTBLANK($B19:$C19)&gt;0, "2", "3"), 0), COUNTIF($D19:$E19, N$1)&gt;0, VLOOKUP("Jewel",'Gear Values'!$A$2:$E$14, IF(COUNTBLANK($B19:$C19)&gt;0, "4", "5"), 0)), "")</f>
        <v/>
      </c>
      <c r="O19" s="299" t="str">
        <f>IF(OR(COUNTBLANK(AttributeFilter) = 1,AttributeFilter="(Select)"), A19, IF(COUNTIF(B19:E19, AttributeFilter)&gt;0, A19, ""))</f>
        <v>Exquisite Moonstone Jewel</v>
      </c>
    </row>
    <row r="20" spans="1:15">
      <c r="A20" s="300" t="str">
        <f>_xlfn.CONCAT("Exquisite ",'Attributes &amp; Prefixes'!A72," Jewel")</f>
        <v>Exquisite Opal Jewel</v>
      </c>
      <c r="B20" s="208" t="str" cm="1">
        <f t="array" ref="B20">_xlfn.LET(_xlpm.stat,'Attributes &amp; Prefixes'!B72, IF(_xlpm.stat=0,"",_xlpm.stat))</f>
        <v>Precision</v>
      </c>
      <c r="C20" s="208" t="str" cm="1">
        <f t="array" ref="C20">_xlfn.LET(_xlpm.stat,'Attributes &amp; Prefixes'!C72, IF(_xlpm.stat=0,"",_xlpm.stat))</f>
        <v/>
      </c>
      <c r="D20" s="208" t="str" cm="1">
        <f t="array" ref="D20">_xlfn.LET(_xlpm.stat,'Attributes &amp; Prefixes'!D72, IF(_xlpm.stat=0,"",_xlpm.stat))</f>
        <v>Power</v>
      </c>
      <c r="E20" s="208" t="str" cm="1">
        <f t="array" ref="E20">_xlfn.LET(_xlpm.stat,'Attributes &amp; Prefixes'!E72, IF(_xlpm.stat=0,"",_xlpm.stat))</f>
        <v>Ferocity</v>
      </c>
      <c r="F20" s="195" cm="1">
        <f t="array" ref="F20">IF(COUNTIF($B20:$E20, F$1)&gt;0, _xlfn.IFS(COUNTIF($B20:$C20, F$1)&gt;0, VLOOKUP("Jewel",'Gear Values'!$A$2:$E$14, IF(COUNTBLANK($B20:$C20)&gt;0, "2", "3"), 0), COUNTIF($D20:$E20, F$1)&gt;0, VLOOKUP("Jewel",'Gear Values'!$A$2:$E$14, IF(COUNTBLANK($B20:$C20)&gt;0, "4", "5"), 0)), "")</f>
        <v>15</v>
      </c>
      <c r="G20" s="195" cm="1">
        <f t="array" ref="G20">IF(COUNTIF($B20:$E20, G$1)&gt;0, _xlfn.IFS(COUNTIF($B20:$C20, G$1)&gt;0, VLOOKUP("Jewel",'Gear Values'!$A$2:$E$14, IF(COUNTBLANK($B20:$C20)&gt;0, "2", "3"), 0), COUNTIF($D20:$E20, G$1)&gt;0, VLOOKUP("Jewel",'Gear Values'!$A$2:$E$14, IF(COUNTBLANK($B20:$C20)&gt;0, "4", "5"), 0)), "")</f>
        <v>25</v>
      </c>
      <c r="H20" s="195" t="str" cm="1">
        <f t="array" ref="H20">IF(COUNTIF($B20:$E20, H$1)&gt;0, _xlfn.IFS(COUNTIF($B20:$C20, H$1)&gt;0, VLOOKUP("Jewel",'Gear Values'!$A$2:$E$14, IF(COUNTBLANK($B20:$C20)&gt;0, "2", "3"), 0), COUNTIF($D20:$E20, H$1)&gt;0, VLOOKUP("Jewel",'Gear Values'!$A$2:$E$14, IF(COUNTBLANK($B20:$C20)&gt;0, "4", "5"), 0)), "")</f>
        <v/>
      </c>
      <c r="I20" s="195" t="str" cm="1">
        <f t="array" ref="I20">IF(COUNTIF($B20:$E20, I$1)&gt;0, _xlfn.IFS(COUNTIF($B20:$C20, I$1)&gt;0, VLOOKUP("Jewel",'Gear Values'!$A$2:$E$14, IF(COUNTBLANK($B20:$C20)&gt;0, "2", "3"), 0), COUNTIF($D20:$E20, I$1)&gt;0, VLOOKUP("Jewel",'Gear Values'!$A$2:$E$14, IF(COUNTBLANK($B20:$C20)&gt;0, "4", "5"), 0)), "")</f>
        <v/>
      </c>
      <c r="J20" s="195" t="str" cm="1">
        <f t="array" ref="J20">IF(COUNTIF($B20:$E20, J$1)&gt;0, _xlfn.IFS(COUNTIF($B20:$C20, J$1)&gt;0, VLOOKUP("Jewel",'Gear Values'!$A$2:$E$14, IF(COUNTBLANK($B20:$C20)&gt;0, "2", "3"), 0), COUNTIF($D20:$E20, J$1)&gt;0, VLOOKUP("Jewel",'Gear Values'!$A$2:$E$14, IF(COUNTBLANK($B20:$C20)&gt;0, "4", "5"), 0)), "")</f>
        <v/>
      </c>
      <c r="K20" s="195" t="str" cm="1">
        <f t="array" ref="K20">IF(COUNTIF($B20:$E20, K$1)&gt;0, _xlfn.IFS(COUNTIF($B20:$C20, K$1)&gt;0, VLOOKUP("Jewel",'Gear Values'!$A$2:$E$14, IF(COUNTBLANK($B20:$C20)&gt;0, "2", "3"), 0), COUNTIF($D20:$E20, K$1)&gt;0, VLOOKUP("Jewel",'Gear Values'!$A$2:$E$14, IF(COUNTBLANK($B20:$C20)&gt;0, "4", "5"), 0)), "")</f>
        <v/>
      </c>
      <c r="L20" s="195" t="str" cm="1">
        <f t="array" ref="L20">IF(COUNTIF($B20:$E20, L$1)&gt;0, _xlfn.IFS(COUNTIF($B20:$C20, L$1)&gt;0, VLOOKUP("Jewel",'Gear Values'!$A$2:$E$14, IF(COUNTBLANK($B20:$C20)&gt;0, "2", "3"), 0), COUNTIF($D20:$E20, L$1)&gt;0, VLOOKUP("Jewel",'Gear Values'!$A$2:$E$14, IF(COUNTBLANK($B20:$C20)&gt;0, "4", "5"), 0)), "")</f>
        <v/>
      </c>
      <c r="M20" s="195" cm="1">
        <f t="array" ref="M20">IF(COUNTIF($B20:$E20, M$1)&gt;0, _xlfn.IFS(COUNTIF($B20:$C20, M$1)&gt;0, VLOOKUP("Jewel",'Gear Values'!$A$2:$E$14, IF(COUNTBLANK($B20:$C20)&gt;0, "2", "3"), 0), COUNTIF($D20:$E20, M$1)&gt;0, VLOOKUP("Jewel",'Gear Values'!$A$2:$E$14, IF(COUNTBLANK($B20:$C20)&gt;0, "4", "5"), 0)), "")</f>
        <v>15</v>
      </c>
      <c r="N20" s="195" t="str" cm="1">
        <f t="array" ref="N20">IF(COUNTIF($B20:$E20, N$1)&gt;0, _xlfn.IFS(COUNTIF($B20:$C20, N$1)&gt;0, VLOOKUP("Jewel",'Gear Values'!$A$2:$E$14, IF(COUNTBLANK($B20:$C20)&gt;0, "2", "3"), 0), COUNTIF($D20:$E20, N$1)&gt;0, VLOOKUP("Jewel",'Gear Values'!$A$2:$E$14, IF(COUNTBLANK($B20:$C20)&gt;0, "4", "5"), 0)), "")</f>
        <v/>
      </c>
      <c r="O20" s="299" t="str">
        <f>IF(OR(COUNTBLANK(AttributeFilter) = 1,AttributeFilter="(Select)"), A20, IF(COUNTIF(B20:E20, AttributeFilter)&gt;0, A20, ""))</f>
        <v>Exquisite Opal Jewel</v>
      </c>
    </row>
    <row r="21" spans="1:15">
      <c r="A21" s="300" t="str">
        <f>_xlfn.CONCAT("Exquisite ",'Attributes &amp; Prefixes'!A73," Jewel")</f>
        <v>Exquisite Passiflora Jewel</v>
      </c>
      <c r="B21" s="208" t="str" cm="1">
        <f t="array" ref="B21">_xlfn.LET(_xlpm.stat,'Attributes &amp; Prefixes'!B73, IF(_xlpm.stat=0,"",_xlpm.stat))</f>
        <v>Healing Power</v>
      </c>
      <c r="C21" s="208" t="str" cm="1">
        <f t="array" ref="C21">_xlfn.LET(_xlpm.stat,'Attributes &amp; Prefixes'!C73, IF(_xlpm.stat=0,"",_xlpm.stat))</f>
        <v/>
      </c>
      <c r="D21" s="208" t="str" cm="1">
        <f t="array" ref="D21">_xlfn.LET(_xlpm.stat,'Attributes &amp; Prefixes'!D73, IF(_xlpm.stat=0,"",_xlpm.stat))</f>
        <v>Toughness</v>
      </c>
      <c r="E21" s="208" t="str" cm="1">
        <f t="array" ref="E21">_xlfn.LET(_xlpm.stat,'Attributes &amp; Prefixes'!E73, IF(_xlpm.stat=0,"",_xlpm.stat))</f>
        <v>Condition Damage</v>
      </c>
      <c r="F21" s="195" t="str" cm="1">
        <f t="array" ref="F21">IF(COUNTIF($B21:$E21, F$1)&gt;0, _xlfn.IFS(COUNTIF($B21:$C21, F$1)&gt;0, VLOOKUP("Jewel",'Gear Values'!$A$2:$E$14, IF(COUNTBLANK($B21:$C21)&gt;0, "2", "3"), 0), COUNTIF($D21:$E21, F$1)&gt;0, VLOOKUP("Jewel",'Gear Values'!$A$2:$E$14, IF(COUNTBLANK($B21:$C21)&gt;0, "4", "5"), 0)), "")</f>
        <v/>
      </c>
      <c r="G21" s="195" t="str" cm="1">
        <f t="array" ref="G21">IF(COUNTIF($B21:$E21, G$1)&gt;0, _xlfn.IFS(COUNTIF($B21:$C21, G$1)&gt;0, VLOOKUP("Jewel",'Gear Values'!$A$2:$E$14, IF(COUNTBLANK($B21:$C21)&gt;0, "2", "3"), 0), COUNTIF($D21:$E21, G$1)&gt;0, VLOOKUP("Jewel",'Gear Values'!$A$2:$E$14, IF(COUNTBLANK($B21:$C21)&gt;0, "4", "5"), 0)), "")</f>
        <v/>
      </c>
      <c r="H21" s="195" cm="1">
        <f t="array" ref="H21">IF(COUNTIF($B21:$E21, H$1)&gt;0, _xlfn.IFS(COUNTIF($B21:$C21, H$1)&gt;0, VLOOKUP("Jewel",'Gear Values'!$A$2:$E$14, IF(COUNTBLANK($B21:$C21)&gt;0, "2", "3"), 0), COUNTIF($D21:$E21, H$1)&gt;0, VLOOKUP("Jewel",'Gear Values'!$A$2:$E$14, IF(COUNTBLANK($B21:$C21)&gt;0, "4", "5"), 0)), "")</f>
        <v>15</v>
      </c>
      <c r="I21" s="195" t="str" cm="1">
        <f t="array" ref="I21">IF(COUNTIF($B21:$E21, I$1)&gt;0, _xlfn.IFS(COUNTIF($B21:$C21, I$1)&gt;0, VLOOKUP("Jewel",'Gear Values'!$A$2:$E$14, IF(COUNTBLANK($B21:$C21)&gt;0, "2", "3"), 0), COUNTIF($D21:$E21, I$1)&gt;0, VLOOKUP("Jewel",'Gear Values'!$A$2:$E$14, IF(COUNTBLANK($B21:$C21)&gt;0, "4", "5"), 0)), "")</f>
        <v/>
      </c>
      <c r="J21" s="195" t="str" cm="1">
        <f t="array" ref="J21">IF(COUNTIF($B21:$E21, J$1)&gt;0, _xlfn.IFS(COUNTIF($B21:$C21, J$1)&gt;0, VLOOKUP("Jewel",'Gear Values'!$A$2:$E$14, IF(COUNTBLANK($B21:$C21)&gt;0, "2", "3"), 0), COUNTIF($D21:$E21, J$1)&gt;0, VLOOKUP("Jewel",'Gear Values'!$A$2:$E$14, IF(COUNTBLANK($B21:$C21)&gt;0, "4", "5"), 0)), "")</f>
        <v/>
      </c>
      <c r="K21" s="195" cm="1">
        <f t="array" ref="K21">IF(COUNTIF($B21:$E21, K$1)&gt;0, _xlfn.IFS(COUNTIF($B21:$C21, K$1)&gt;0, VLOOKUP("Jewel",'Gear Values'!$A$2:$E$14, IF(COUNTBLANK($B21:$C21)&gt;0, "2", "3"), 0), COUNTIF($D21:$E21, K$1)&gt;0, VLOOKUP("Jewel",'Gear Values'!$A$2:$E$14, IF(COUNTBLANK($B21:$C21)&gt;0, "4", "5"), 0)), "")</f>
        <v>15</v>
      </c>
      <c r="L21" s="195" t="str" cm="1">
        <f t="array" ref="L21">IF(COUNTIF($B21:$E21, L$1)&gt;0, _xlfn.IFS(COUNTIF($B21:$C21, L$1)&gt;0, VLOOKUP("Jewel",'Gear Values'!$A$2:$E$14, IF(COUNTBLANK($B21:$C21)&gt;0, "2", "3"), 0), COUNTIF($D21:$E21, L$1)&gt;0, VLOOKUP("Jewel",'Gear Values'!$A$2:$E$14, IF(COUNTBLANK($B21:$C21)&gt;0, "4", "5"), 0)), "")</f>
        <v/>
      </c>
      <c r="M21" s="195" t="str" cm="1">
        <f t="array" ref="M21">IF(COUNTIF($B21:$E21, M$1)&gt;0, _xlfn.IFS(COUNTIF($B21:$C21, M$1)&gt;0, VLOOKUP("Jewel",'Gear Values'!$A$2:$E$14, IF(COUNTBLANK($B21:$C21)&gt;0, "2", "3"), 0), COUNTIF($D21:$E21, M$1)&gt;0, VLOOKUP("Jewel",'Gear Values'!$A$2:$E$14, IF(COUNTBLANK($B21:$C21)&gt;0, "4", "5"), 0)), "")</f>
        <v/>
      </c>
      <c r="N21" s="195" cm="1">
        <f t="array" ref="N21">IF(COUNTIF($B21:$E21, N$1)&gt;0, _xlfn.IFS(COUNTIF($B21:$C21, N$1)&gt;0, VLOOKUP("Jewel",'Gear Values'!$A$2:$E$14, IF(COUNTBLANK($B21:$C21)&gt;0, "2", "3"), 0), COUNTIF($D21:$E21, N$1)&gt;0, VLOOKUP("Jewel",'Gear Values'!$A$2:$E$14, IF(COUNTBLANK($B21:$C21)&gt;0, "4", "5"), 0)), "")</f>
        <v>25</v>
      </c>
      <c r="O21" s="299" t="str">
        <f>IF(OR(COUNTBLANK(AttributeFilter) = 1,AttributeFilter="(Select)"), A21, IF(COUNTIF(B21:E21, AttributeFilter)&gt;0, A21, ""))</f>
        <v>Exquisite Passiflora Jewel</v>
      </c>
    </row>
    <row r="22" spans="1:15">
      <c r="A22" s="300" t="str">
        <f>_xlfn.CONCAT("Exquisite ",'Attributes &amp; Prefixes'!A74," Jewel")</f>
        <v>Exquisite Polished-Resin Jewel</v>
      </c>
      <c r="B22" s="208" t="str" cm="1">
        <f t="array" ref="B22">_xlfn.LET(_xlpm.stat,'Attributes &amp; Prefixes'!B74, IF(_xlpm.stat=0,"",_xlpm.stat))</f>
        <v>Vitality</v>
      </c>
      <c r="C22" s="208" t="str" cm="1">
        <f t="array" ref="C22">_xlfn.LET(_xlpm.stat,'Attributes &amp; Prefixes'!C74, IF(_xlpm.stat=0,"",_xlpm.stat))</f>
        <v>Condition Damage</v>
      </c>
      <c r="D22" s="208" t="str" cm="1">
        <f t="array" ref="D22">_xlfn.LET(_xlpm.stat,'Attributes &amp; Prefixes'!D74, IF(_xlpm.stat=0,"",_xlpm.stat))</f>
        <v>Concentration</v>
      </c>
      <c r="E22" s="208" t="str" cm="1">
        <f t="array" ref="E22">_xlfn.LET(_xlpm.stat,'Attributes &amp; Prefixes'!E74, IF(_xlpm.stat=0,"",_xlpm.stat))</f>
        <v>Expertise</v>
      </c>
      <c r="F22" s="195" t="str" cm="1">
        <f t="array" ref="F22">IF(COUNTIF($B22:$E22, F$1)&gt;0, _xlfn.IFS(COUNTIF($B22:$C22, F$1)&gt;0, VLOOKUP("Jewel",'Gear Values'!$A$2:$E$14, IF(COUNTBLANK($B22:$C22)&gt;0, "2", "3"), 0), COUNTIF($D22:$E22, F$1)&gt;0, VLOOKUP("Jewel",'Gear Values'!$A$2:$E$14, IF(COUNTBLANK($B22:$C22)&gt;0, "4", "5"), 0)), "")</f>
        <v/>
      </c>
      <c r="G22" s="195" t="str" cm="1">
        <f t="array" ref="G22">IF(COUNTIF($B22:$E22, G$1)&gt;0, _xlfn.IFS(COUNTIF($B22:$C22, G$1)&gt;0, VLOOKUP("Jewel",'Gear Values'!$A$2:$E$14, IF(COUNTBLANK($B22:$C22)&gt;0, "2", "3"), 0), COUNTIF($D22:$E22, G$1)&gt;0, VLOOKUP("Jewel",'Gear Values'!$A$2:$E$14, IF(COUNTBLANK($B22:$C22)&gt;0, "4", "5"), 0)), "")</f>
        <v/>
      </c>
      <c r="H22" s="195" t="str" cm="1">
        <f t="array" ref="H22">IF(COUNTIF($B22:$E22, H$1)&gt;0, _xlfn.IFS(COUNTIF($B22:$C22, H$1)&gt;0, VLOOKUP("Jewel",'Gear Values'!$A$2:$E$14, IF(COUNTBLANK($B22:$C22)&gt;0, "2", "3"), 0), COUNTIF($D22:$E22, H$1)&gt;0, VLOOKUP("Jewel",'Gear Values'!$A$2:$E$14, IF(COUNTBLANK($B22:$C22)&gt;0, "4", "5"), 0)), "")</f>
        <v/>
      </c>
      <c r="I22" s="195" cm="1">
        <f t="array" ref="I22">IF(COUNTIF($B22:$E22, I$1)&gt;0, _xlfn.IFS(COUNTIF($B22:$C22, I$1)&gt;0, VLOOKUP("Jewel",'Gear Values'!$A$2:$E$14, IF(COUNTBLANK($B22:$C22)&gt;0, "2", "3"), 0), COUNTIF($D22:$E22, I$1)&gt;0, VLOOKUP("Jewel",'Gear Values'!$A$2:$E$14, IF(COUNTBLANK($B22:$C22)&gt;0, "4", "5"), 0)), "")</f>
        <v>20</v>
      </c>
      <c r="J22" s="195" cm="1">
        <f t="array" ref="J22">IF(COUNTIF($B22:$E22, J$1)&gt;0, _xlfn.IFS(COUNTIF($B22:$C22, J$1)&gt;0, VLOOKUP("Jewel",'Gear Values'!$A$2:$E$14, IF(COUNTBLANK($B22:$C22)&gt;0, "2", "3"), 0), COUNTIF($D22:$E22, J$1)&gt;0, VLOOKUP("Jewel",'Gear Values'!$A$2:$E$14, IF(COUNTBLANK($B22:$C22)&gt;0, "4", "5"), 0)), "")</f>
        <v>10</v>
      </c>
      <c r="K22" s="195" cm="1">
        <f t="array" ref="K22">IF(COUNTIF($B22:$E22, K$1)&gt;0, _xlfn.IFS(COUNTIF($B22:$C22, K$1)&gt;0, VLOOKUP("Jewel",'Gear Values'!$A$2:$E$14, IF(COUNTBLANK($B22:$C22)&gt;0, "2", "3"), 0), COUNTIF($D22:$E22, K$1)&gt;0, VLOOKUP("Jewel",'Gear Values'!$A$2:$E$14, IF(COUNTBLANK($B22:$C22)&gt;0, "4", "5"), 0)), "")</f>
        <v>20</v>
      </c>
      <c r="L22" s="195" cm="1">
        <f t="array" ref="L22">IF(COUNTIF($B22:$E22, L$1)&gt;0, _xlfn.IFS(COUNTIF($B22:$C22, L$1)&gt;0, VLOOKUP("Jewel",'Gear Values'!$A$2:$E$14, IF(COUNTBLANK($B22:$C22)&gt;0, "2", "3"), 0), COUNTIF($D22:$E22, L$1)&gt;0, VLOOKUP("Jewel",'Gear Values'!$A$2:$E$14, IF(COUNTBLANK($B22:$C22)&gt;0, "4", "5"), 0)), "")</f>
        <v>10</v>
      </c>
      <c r="M22" s="195" t="str" cm="1">
        <f t="array" ref="M22">IF(COUNTIF($B22:$E22, M$1)&gt;0, _xlfn.IFS(COUNTIF($B22:$C22, M$1)&gt;0, VLOOKUP("Jewel",'Gear Values'!$A$2:$E$14, IF(COUNTBLANK($B22:$C22)&gt;0, "2", "3"), 0), COUNTIF($D22:$E22, M$1)&gt;0, VLOOKUP("Jewel",'Gear Values'!$A$2:$E$14, IF(COUNTBLANK($B22:$C22)&gt;0, "4", "5"), 0)), "")</f>
        <v/>
      </c>
      <c r="N22" s="195" t="str" cm="1">
        <f t="array" ref="N22">IF(COUNTIF($B22:$E22, N$1)&gt;0, _xlfn.IFS(COUNTIF($B22:$C22, N$1)&gt;0, VLOOKUP("Jewel",'Gear Values'!$A$2:$E$14, IF(COUNTBLANK($B22:$C22)&gt;0, "2", "3"), 0), COUNTIF($D22:$E22, N$1)&gt;0, VLOOKUP("Jewel",'Gear Values'!$A$2:$E$14, IF(COUNTBLANK($B22:$C22)&gt;0, "4", "5"), 0)), "")</f>
        <v/>
      </c>
      <c r="O22" s="299" t="str">
        <f>IF(OR(COUNTBLANK(AttributeFilter) = 1,AttributeFilter="(Select)"), A22, IF(COUNTIF(B22:E22, AttributeFilter)&gt;0, A22, ""))</f>
        <v>Exquisite Polished-Resin Jewel</v>
      </c>
    </row>
    <row r="23" spans="1:15">
      <c r="A23" s="300" t="str">
        <f>_xlfn.CONCAT("Exquisite ",'Attributes &amp; Prefixes'!A75," Jewel")</f>
        <v>Exquisite Ruby Jewel</v>
      </c>
      <c r="B23" s="208" t="str" cm="1">
        <f t="array" ref="B23">_xlfn.LET(_xlpm.stat,'Attributes &amp; Prefixes'!B75, IF(_xlpm.stat=0,"",_xlpm.stat))</f>
        <v>Power</v>
      </c>
      <c r="C23" s="208" t="str" cm="1">
        <f t="array" ref="C23">_xlfn.LET(_xlpm.stat,'Attributes &amp; Prefixes'!C75, IF(_xlpm.stat=0,"",_xlpm.stat))</f>
        <v/>
      </c>
      <c r="D23" s="208" t="str" cm="1">
        <f t="array" ref="D23">_xlfn.LET(_xlpm.stat,'Attributes &amp; Prefixes'!D75, IF(_xlpm.stat=0,"",_xlpm.stat))</f>
        <v>Precision</v>
      </c>
      <c r="E23" s="208" t="str" cm="1">
        <f t="array" ref="E23">_xlfn.LET(_xlpm.stat,'Attributes &amp; Prefixes'!E75, IF(_xlpm.stat=0,"",_xlpm.stat))</f>
        <v>Ferocity</v>
      </c>
      <c r="F23" s="195" cm="1">
        <f t="array" ref="F23">IF(COUNTIF($B23:$E23, F$1)&gt;0, _xlfn.IFS(COUNTIF($B23:$C23, F$1)&gt;0, VLOOKUP("Jewel",'Gear Values'!$A$2:$E$14, IF(COUNTBLANK($B23:$C23)&gt;0, "2", "3"), 0), COUNTIF($D23:$E23, F$1)&gt;0, VLOOKUP("Jewel",'Gear Values'!$A$2:$E$14, IF(COUNTBLANK($B23:$C23)&gt;0, "4", "5"), 0)), "")</f>
        <v>25</v>
      </c>
      <c r="G23" s="195" cm="1">
        <f t="array" ref="G23">IF(COUNTIF($B23:$E23, G$1)&gt;0, _xlfn.IFS(COUNTIF($B23:$C23, G$1)&gt;0, VLOOKUP("Jewel",'Gear Values'!$A$2:$E$14, IF(COUNTBLANK($B23:$C23)&gt;0, "2", "3"), 0), COUNTIF($D23:$E23, G$1)&gt;0, VLOOKUP("Jewel",'Gear Values'!$A$2:$E$14, IF(COUNTBLANK($B23:$C23)&gt;0, "4", "5"), 0)), "")</f>
        <v>15</v>
      </c>
      <c r="H23" s="195" t="str" cm="1">
        <f t="array" ref="H23">IF(COUNTIF($B23:$E23, H$1)&gt;0, _xlfn.IFS(COUNTIF($B23:$C23, H$1)&gt;0, VLOOKUP("Jewel",'Gear Values'!$A$2:$E$14, IF(COUNTBLANK($B23:$C23)&gt;0, "2", "3"), 0), COUNTIF($D23:$E23, H$1)&gt;0, VLOOKUP("Jewel",'Gear Values'!$A$2:$E$14, IF(COUNTBLANK($B23:$C23)&gt;0, "4", "5"), 0)), "")</f>
        <v/>
      </c>
      <c r="I23" s="195" t="str" cm="1">
        <f t="array" ref="I23">IF(COUNTIF($B23:$E23, I$1)&gt;0, _xlfn.IFS(COUNTIF($B23:$C23, I$1)&gt;0, VLOOKUP("Jewel",'Gear Values'!$A$2:$E$14, IF(COUNTBLANK($B23:$C23)&gt;0, "2", "3"), 0), COUNTIF($D23:$E23, I$1)&gt;0, VLOOKUP("Jewel",'Gear Values'!$A$2:$E$14, IF(COUNTBLANK($B23:$C23)&gt;0, "4", "5"), 0)), "")</f>
        <v/>
      </c>
      <c r="J23" s="195" t="str" cm="1">
        <f t="array" ref="J23">IF(COUNTIF($B23:$E23, J$1)&gt;0, _xlfn.IFS(COUNTIF($B23:$C23, J$1)&gt;0, VLOOKUP("Jewel",'Gear Values'!$A$2:$E$14, IF(COUNTBLANK($B23:$C23)&gt;0, "2", "3"), 0), COUNTIF($D23:$E23, J$1)&gt;0, VLOOKUP("Jewel",'Gear Values'!$A$2:$E$14, IF(COUNTBLANK($B23:$C23)&gt;0, "4", "5"), 0)), "")</f>
        <v/>
      </c>
      <c r="K23" s="195" t="str" cm="1">
        <f t="array" ref="K23">IF(COUNTIF($B23:$E23, K$1)&gt;0, _xlfn.IFS(COUNTIF($B23:$C23, K$1)&gt;0, VLOOKUP("Jewel",'Gear Values'!$A$2:$E$14, IF(COUNTBLANK($B23:$C23)&gt;0, "2", "3"), 0), COUNTIF($D23:$E23, K$1)&gt;0, VLOOKUP("Jewel",'Gear Values'!$A$2:$E$14, IF(COUNTBLANK($B23:$C23)&gt;0, "4", "5"), 0)), "")</f>
        <v/>
      </c>
      <c r="L23" s="195" t="str" cm="1">
        <f t="array" ref="L23">IF(COUNTIF($B23:$E23, L$1)&gt;0, _xlfn.IFS(COUNTIF($B23:$C23, L$1)&gt;0, VLOOKUP("Jewel",'Gear Values'!$A$2:$E$14, IF(COUNTBLANK($B23:$C23)&gt;0, "2", "3"), 0), COUNTIF($D23:$E23, L$1)&gt;0, VLOOKUP("Jewel",'Gear Values'!$A$2:$E$14, IF(COUNTBLANK($B23:$C23)&gt;0, "4", "5"), 0)), "")</f>
        <v/>
      </c>
      <c r="M23" s="195" cm="1">
        <f t="array" ref="M23">IF(COUNTIF($B23:$E23, M$1)&gt;0, _xlfn.IFS(COUNTIF($B23:$C23, M$1)&gt;0, VLOOKUP("Jewel",'Gear Values'!$A$2:$E$14, IF(COUNTBLANK($B23:$C23)&gt;0, "2", "3"), 0), COUNTIF($D23:$E23, M$1)&gt;0, VLOOKUP("Jewel",'Gear Values'!$A$2:$E$14, IF(COUNTBLANK($B23:$C23)&gt;0, "4", "5"), 0)), "")</f>
        <v>15</v>
      </c>
      <c r="N23" s="195" t="str" cm="1">
        <f t="array" ref="N23">IF(COUNTIF($B23:$E23, N$1)&gt;0, _xlfn.IFS(COUNTIF($B23:$C23, N$1)&gt;0, VLOOKUP("Jewel",'Gear Values'!$A$2:$E$14, IF(COUNTBLANK($B23:$C23)&gt;0, "2", "3"), 0), COUNTIF($D23:$E23, N$1)&gt;0, VLOOKUP("Jewel",'Gear Values'!$A$2:$E$14, IF(COUNTBLANK($B23:$C23)&gt;0, "4", "5"), 0)), "")</f>
        <v/>
      </c>
      <c r="O23" s="299" t="str">
        <f>IF(OR(COUNTBLANK(AttributeFilter) = 1,AttributeFilter="(Select)"), A23, IF(COUNTIF(B23:E23, AttributeFilter)&gt;0, A23, ""))</f>
        <v>Exquisite Ruby Jewel</v>
      </c>
    </row>
    <row r="24" spans="1:15">
      <c r="A24" s="300" t="str">
        <f>_xlfn.CONCAT("Exquisite ",'Attributes &amp; Prefixes'!A76," Jewel")</f>
        <v>Exquisite Sapphire Jewel</v>
      </c>
      <c r="B24" s="208" t="str" cm="1">
        <f t="array" ref="B24">_xlfn.LET(_xlpm.stat,'Attributes &amp; Prefixes'!B76, IF(_xlpm.stat=0,"",_xlpm.stat))</f>
        <v>Healing Power</v>
      </c>
      <c r="C24" s="208" t="str" cm="1">
        <f t="array" ref="C24">_xlfn.LET(_xlpm.stat,'Attributes &amp; Prefixes'!C76, IF(_xlpm.stat=0,"",_xlpm.stat))</f>
        <v/>
      </c>
      <c r="D24" s="208" t="str" cm="1">
        <f t="array" ref="D24">_xlfn.LET(_xlpm.stat,'Attributes &amp; Prefixes'!D76, IF(_xlpm.stat=0,"",_xlpm.stat))</f>
        <v>Power</v>
      </c>
      <c r="E24" s="208" t="str" cm="1">
        <f t="array" ref="E24">_xlfn.LET(_xlpm.stat,'Attributes &amp; Prefixes'!E76, IF(_xlpm.stat=0,"",_xlpm.stat))</f>
        <v>Toughness</v>
      </c>
      <c r="F24" s="195" cm="1">
        <f t="array" ref="F24">IF(COUNTIF($B24:$E24, F$1)&gt;0, _xlfn.IFS(COUNTIF($B24:$C24, F$1)&gt;0, VLOOKUP("Jewel",'Gear Values'!$A$2:$E$14, IF(COUNTBLANK($B24:$C24)&gt;0, "2", "3"), 0), COUNTIF($D24:$E24, F$1)&gt;0, VLOOKUP("Jewel",'Gear Values'!$A$2:$E$14, IF(COUNTBLANK($B24:$C24)&gt;0, "4", "5"), 0)), "")</f>
        <v>15</v>
      </c>
      <c r="G24" s="195" t="str" cm="1">
        <f t="array" ref="G24">IF(COUNTIF($B24:$E24, G$1)&gt;0, _xlfn.IFS(COUNTIF($B24:$C24, G$1)&gt;0, VLOOKUP("Jewel",'Gear Values'!$A$2:$E$14, IF(COUNTBLANK($B24:$C24)&gt;0, "2", "3"), 0), COUNTIF($D24:$E24, G$1)&gt;0, VLOOKUP("Jewel",'Gear Values'!$A$2:$E$14, IF(COUNTBLANK($B24:$C24)&gt;0, "4", "5"), 0)), "")</f>
        <v/>
      </c>
      <c r="H24" s="195" cm="1">
        <f t="array" ref="H24">IF(COUNTIF($B24:$E24, H$1)&gt;0, _xlfn.IFS(COUNTIF($B24:$C24, H$1)&gt;0, VLOOKUP("Jewel",'Gear Values'!$A$2:$E$14, IF(COUNTBLANK($B24:$C24)&gt;0, "2", "3"), 0), COUNTIF($D24:$E24, H$1)&gt;0, VLOOKUP("Jewel",'Gear Values'!$A$2:$E$14, IF(COUNTBLANK($B24:$C24)&gt;0, "4", "5"), 0)), "")</f>
        <v>15</v>
      </c>
      <c r="I24" s="195" t="str" cm="1">
        <f t="array" ref="I24">IF(COUNTIF($B24:$E24, I$1)&gt;0, _xlfn.IFS(COUNTIF($B24:$C24, I$1)&gt;0, VLOOKUP("Jewel",'Gear Values'!$A$2:$E$14, IF(COUNTBLANK($B24:$C24)&gt;0, "2", "3"), 0), COUNTIF($D24:$E24, I$1)&gt;0, VLOOKUP("Jewel",'Gear Values'!$A$2:$E$14, IF(COUNTBLANK($B24:$C24)&gt;0, "4", "5"), 0)), "")</f>
        <v/>
      </c>
      <c r="J24" s="195" t="str" cm="1">
        <f t="array" ref="J24">IF(COUNTIF($B24:$E24, J$1)&gt;0, _xlfn.IFS(COUNTIF($B24:$C24, J$1)&gt;0, VLOOKUP("Jewel",'Gear Values'!$A$2:$E$14, IF(COUNTBLANK($B24:$C24)&gt;0, "2", "3"), 0), COUNTIF($D24:$E24, J$1)&gt;0, VLOOKUP("Jewel",'Gear Values'!$A$2:$E$14, IF(COUNTBLANK($B24:$C24)&gt;0, "4", "5"), 0)), "")</f>
        <v/>
      </c>
      <c r="K24" s="195" t="str" cm="1">
        <f t="array" ref="K24">IF(COUNTIF($B24:$E24, K$1)&gt;0, _xlfn.IFS(COUNTIF($B24:$C24, K$1)&gt;0, VLOOKUP("Jewel",'Gear Values'!$A$2:$E$14, IF(COUNTBLANK($B24:$C24)&gt;0, "2", "3"), 0), COUNTIF($D24:$E24, K$1)&gt;0, VLOOKUP("Jewel",'Gear Values'!$A$2:$E$14, IF(COUNTBLANK($B24:$C24)&gt;0, "4", "5"), 0)), "")</f>
        <v/>
      </c>
      <c r="L24" s="195" t="str" cm="1">
        <f t="array" ref="L24">IF(COUNTIF($B24:$E24, L$1)&gt;0, _xlfn.IFS(COUNTIF($B24:$C24, L$1)&gt;0, VLOOKUP("Jewel",'Gear Values'!$A$2:$E$14, IF(COUNTBLANK($B24:$C24)&gt;0, "2", "3"), 0), COUNTIF($D24:$E24, L$1)&gt;0, VLOOKUP("Jewel",'Gear Values'!$A$2:$E$14, IF(COUNTBLANK($B24:$C24)&gt;0, "4", "5"), 0)), "")</f>
        <v/>
      </c>
      <c r="M24" s="195" t="str" cm="1">
        <f t="array" ref="M24">IF(COUNTIF($B24:$E24, M$1)&gt;0, _xlfn.IFS(COUNTIF($B24:$C24, M$1)&gt;0, VLOOKUP("Jewel",'Gear Values'!$A$2:$E$14, IF(COUNTBLANK($B24:$C24)&gt;0, "2", "3"), 0), COUNTIF($D24:$E24, M$1)&gt;0, VLOOKUP("Jewel",'Gear Values'!$A$2:$E$14, IF(COUNTBLANK($B24:$C24)&gt;0, "4", "5"), 0)), "")</f>
        <v/>
      </c>
      <c r="N24" s="195" cm="1">
        <f t="array" ref="N24">IF(COUNTIF($B24:$E24, N$1)&gt;0, _xlfn.IFS(COUNTIF($B24:$C24, N$1)&gt;0, VLOOKUP("Jewel",'Gear Values'!$A$2:$E$14, IF(COUNTBLANK($B24:$C24)&gt;0, "2", "3"), 0), COUNTIF($D24:$E24, N$1)&gt;0, VLOOKUP("Jewel",'Gear Values'!$A$2:$E$14, IF(COUNTBLANK($B24:$C24)&gt;0, "4", "5"), 0)), "")</f>
        <v>25</v>
      </c>
      <c r="O24" s="299" t="str">
        <f>IF(OR(COUNTBLANK(AttributeFilter) = 1,AttributeFilter="(Select)"), A24, IF(COUNTIF(B24:E24, AttributeFilter)&gt;0, A24, ""))</f>
        <v>Exquisite Sapphire Jewel</v>
      </c>
    </row>
    <row r="25" spans="1:15">
      <c r="A25" s="300" t="str">
        <f>_xlfn.CONCAT("Exquisite ",'Attributes &amp; Prefixes'!A77," Jewel")</f>
        <v>Exquisite Snowflake Jewel</v>
      </c>
      <c r="B25" s="208" t="str" cm="1">
        <f t="array" ref="B25">_xlfn.LET(_xlpm.stat,'Attributes &amp; Prefixes'!B77, IF(_xlpm.stat=0,"",_xlpm.stat))</f>
        <v>Toughness</v>
      </c>
      <c r="C25" s="208" t="str" cm="1">
        <f t="array" ref="C25">_xlfn.LET(_xlpm.stat,'Attributes &amp; Prefixes'!C77, IF(_xlpm.stat=0,"",_xlpm.stat))</f>
        <v/>
      </c>
      <c r="D25" s="208" t="str" cm="1">
        <f t="array" ref="D25">_xlfn.LET(_xlpm.stat,'Attributes &amp; Prefixes'!D77, IF(_xlpm.stat=0,"",_xlpm.stat))</f>
        <v>Concentration</v>
      </c>
      <c r="E25" s="208" t="str" cm="1">
        <f t="array" ref="E25">_xlfn.LET(_xlpm.stat,'Attributes &amp; Prefixes'!E77, IF(_xlpm.stat=0,"",_xlpm.stat))</f>
        <v>Healing Power</v>
      </c>
      <c r="F25" s="195" t="str" cm="1">
        <f t="array" ref="F25">IF(COUNTIF($B25:$E25, F$1)&gt;0, _xlfn.IFS(COUNTIF($B25:$C25, F$1)&gt;0, VLOOKUP("Jewel",'Gear Values'!$A$2:$E$14, IF(COUNTBLANK($B25:$C25)&gt;0, "2", "3"), 0), COUNTIF($D25:$E25, F$1)&gt;0, VLOOKUP("Jewel",'Gear Values'!$A$2:$E$14, IF(COUNTBLANK($B25:$C25)&gt;0, "4", "5"), 0)), "")</f>
        <v/>
      </c>
      <c r="G25" s="195" t="str" cm="1">
        <f t="array" ref="G25">IF(COUNTIF($B25:$E25, G$1)&gt;0, _xlfn.IFS(COUNTIF($B25:$C25, G$1)&gt;0, VLOOKUP("Jewel",'Gear Values'!$A$2:$E$14, IF(COUNTBLANK($B25:$C25)&gt;0, "2", "3"), 0), COUNTIF($D25:$E25, G$1)&gt;0, VLOOKUP("Jewel",'Gear Values'!$A$2:$E$14, IF(COUNTBLANK($B25:$C25)&gt;0, "4", "5"), 0)), "")</f>
        <v/>
      </c>
      <c r="H25" s="195" cm="1">
        <f t="array" ref="H25">IF(COUNTIF($B25:$E25, H$1)&gt;0, _xlfn.IFS(COUNTIF($B25:$C25, H$1)&gt;0, VLOOKUP("Jewel",'Gear Values'!$A$2:$E$14, IF(COUNTBLANK($B25:$C25)&gt;0, "2", "3"), 0), COUNTIF($D25:$E25, H$1)&gt;0, VLOOKUP("Jewel",'Gear Values'!$A$2:$E$14, IF(COUNTBLANK($B25:$C25)&gt;0, "4", "5"), 0)), "")</f>
        <v>25</v>
      </c>
      <c r="I25" s="195" t="str" cm="1">
        <f t="array" ref="I25">IF(COUNTIF($B25:$E25, I$1)&gt;0, _xlfn.IFS(COUNTIF($B25:$C25, I$1)&gt;0, VLOOKUP("Jewel",'Gear Values'!$A$2:$E$14, IF(COUNTBLANK($B25:$C25)&gt;0, "2", "3"), 0), COUNTIF($D25:$E25, I$1)&gt;0, VLOOKUP("Jewel",'Gear Values'!$A$2:$E$14, IF(COUNTBLANK($B25:$C25)&gt;0, "4", "5"), 0)), "")</f>
        <v/>
      </c>
      <c r="J25" s="195" cm="1">
        <f t="array" ref="J25">IF(COUNTIF($B25:$E25, J$1)&gt;0, _xlfn.IFS(COUNTIF($B25:$C25, J$1)&gt;0, VLOOKUP("Jewel",'Gear Values'!$A$2:$E$14, IF(COUNTBLANK($B25:$C25)&gt;0, "2", "3"), 0), COUNTIF($D25:$E25, J$1)&gt;0, VLOOKUP("Jewel",'Gear Values'!$A$2:$E$14, IF(COUNTBLANK($B25:$C25)&gt;0, "4", "5"), 0)), "")</f>
        <v>15</v>
      </c>
      <c r="K25" s="195" t="str" cm="1">
        <f t="array" ref="K25">IF(COUNTIF($B25:$E25, K$1)&gt;0, _xlfn.IFS(COUNTIF($B25:$C25, K$1)&gt;0, VLOOKUP("Jewel",'Gear Values'!$A$2:$E$14, IF(COUNTBLANK($B25:$C25)&gt;0, "2", "3"), 0), COUNTIF($D25:$E25, K$1)&gt;0, VLOOKUP("Jewel",'Gear Values'!$A$2:$E$14, IF(COUNTBLANK($B25:$C25)&gt;0, "4", "5"), 0)), "")</f>
        <v/>
      </c>
      <c r="L25" s="195" t="str" cm="1">
        <f t="array" ref="L25">IF(COUNTIF($B25:$E25, L$1)&gt;0, _xlfn.IFS(COUNTIF($B25:$C25, L$1)&gt;0, VLOOKUP("Jewel",'Gear Values'!$A$2:$E$14, IF(COUNTBLANK($B25:$C25)&gt;0, "2", "3"), 0), COUNTIF($D25:$E25, L$1)&gt;0, VLOOKUP("Jewel",'Gear Values'!$A$2:$E$14, IF(COUNTBLANK($B25:$C25)&gt;0, "4", "5"), 0)), "")</f>
        <v/>
      </c>
      <c r="M25" s="195" t="str" cm="1">
        <f t="array" ref="M25">IF(COUNTIF($B25:$E25, M$1)&gt;0, _xlfn.IFS(COUNTIF($B25:$C25, M$1)&gt;0, VLOOKUP("Jewel",'Gear Values'!$A$2:$E$14, IF(COUNTBLANK($B25:$C25)&gt;0, "2", "3"), 0), COUNTIF($D25:$E25, M$1)&gt;0, VLOOKUP("Jewel",'Gear Values'!$A$2:$E$14, IF(COUNTBLANK($B25:$C25)&gt;0, "4", "5"), 0)), "")</f>
        <v/>
      </c>
      <c r="N25" s="195" cm="1">
        <f t="array" ref="N25">IF(COUNTIF($B25:$E25, N$1)&gt;0, _xlfn.IFS(COUNTIF($B25:$C25, N$1)&gt;0, VLOOKUP("Jewel",'Gear Values'!$A$2:$E$14, IF(COUNTBLANK($B25:$C25)&gt;0, "2", "3"), 0), COUNTIF($D25:$E25, N$1)&gt;0, VLOOKUP("Jewel",'Gear Values'!$A$2:$E$14, IF(COUNTBLANK($B25:$C25)&gt;0, "4", "5"), 0)), "")</f>
        <v>15</v>
      </c>
      <c r="O25" s="299" t="str">
        <f>IF(OR(COUNTBLANK(AttributeFilter) = 1,AttributeFilter="(Select)"), A25, IF(COUNTIF(B25:E25, AttributeFilter)&gt;0, A25, ""))</f>
        <v>Exquisite Snowflake Jewel</v>
      </c>
    </row>
    <row r="26" spans="1:15">
      <c r="A26" s="300" t="str">
        <f>_xlfn.CONCAT("Exquisite ",'Attributes &amp; Prefixes'!A78," Jewel")</f>
        <v>Exquisite Sprocket Jewel</v>
      </c>
      <c r="B26" s="208" t="str" cm="1">
        <f t="array" ref="B26">_xlfn.LET(_xlpm.stat,'Attributes &amp; Prefixes'!B78, IF(_xlpm.stat=0,"",_xlpm.stat))</f>
        <v>Power</v>
      </c>
      <c r="C26" s="208" t="str" cm="1">
        <f t="array" ref="C26">_xlfn.LET(_xlpm.stat,'Attributes &amp; Prefixes'!C78, IF(_xlpm.stat=0,"",_xlpm.stat))</f>
        <v/>
      </c>
      <c r="D26" s="208" t="str" cm="1">
        <f t="array" ref="D26">_xlfn.LET(_xlpm.stat,'Attributes &amp; Prefixes'!D78, IF(_xlpm.stat=0,"",_xlpm.stat))</f>
        <v>Precision</v>
      </c>
      <c r="E26" s="208" t="str" cm="1">
        <f t="array" ref="E26">_xlfn.LET(_xlpm.stat,'Attributes &amp; Prefixes'!E78, IF(_xlpm.stat=0,"",_xlpm.stat))</f>
        <v>Healing Power</v>
      </c>
      <c r="F26" s="195" cm="1">
        <f t="array" ref="F26">IF(COUNTIF($B26:$E26, F$1)&gt;0, _xlfn.IFS(COUNTIF($B26:$C26, F$1)&gt;0, VLOOKUP("Jewel",'Gear Values'!$A$2:$E$14, IF(COUNTBLANK($B26:$C26)&gt;0, "2", "3"), 0), COUNTIF($D26:$E26, F$1)&gt;0, VLOOKUP("Jewel",'Gear Values'!$A$2:$E$14, IF(COUNTBLANK($B26:$C26)&gt;0, "4", "5"), 0)), "")</f>
        <v>25</v>
      </c>
      <c r="G26" s="195" cm="1">
        <f t="array" ref="G26">IF(COUNTIF($B26:$E26, G$1)&gt;0, _xlfn.IFS(COUNTIF($B26:$C26, G$1)&gt;0, VLOOKUP("Jewel",'Gear Values'!$A$2:$E$14, IF(COUNTBLANK($B26:$C26)&gt;0, "2", "3"), 0), COUNTIF($D26:$E26, G$1)&gt;0, VLOOKUP("Jewel",'Gear Values'!$A$2:$E$14, IF(COUNTBLANK($B26:$C26)&gt;0, "4", "5"), 0)), "")</f>
        <v>15</v>
      </c>
      <c r="H26" s="195" t="str" cm="1">
        <f t="array" ref="H26">IF(COUNTIF($B26:$E26, H$1)&gt;0, _xlfn.IFS(COUNTIF($B26:$C26, H$1)&gt;0, VLOOKUP("Jewel",'Gear Values'!$A$2:$E$14, IF(COUNTBLANK($B26:$C26)&gt;0, "2", "3"), 0), COUNTIF($D26:$E26, H$1)&gt;0, VLOOKUP("Jewel",'Gear Values'!$A$2:$E$14, IF(COUNTBLANK($B26:$C26)&gt;0, "4", "5"), 0)), "")</f>
        <v/>
      </c>
      <c r="I26" s="195" t="str" cm="1">
        <f t="array" ref="I26">IF(COUNTIF($B26:$E26, I$1)&gt;0, _xlfn.IFS(COUNTIF($B26:$C26, I$1)&gt;0, VLOOKUP("Jewel",'Gear Values'!$A$2:$E$14, IF(COUNTBLANK($B26:$C26)&gt;0, "2", "3"), 0), COUNTIF($D26:$E26, I$1)&gt;0, VLOOKUP("Jewel",'Gear Values'!$A$2:$E$14, IF(COUNTBLANK($B26:$C26)&gt;0, "4", "5"), 0)), "")</f>
        <v/>
      </c>
      <c r="J26" s="195" t="str" cm="1">
        <f t="array" ref="J26">IF(COUNTIF($B26:$E26, J$1)&gt;0, _xlfn.IFS(COUNTIF($B26:$C26, J$1)&gt;0, VLOOKUP("Jewel",'Gear Values'!$A$2:$E$14, IF(COUNTBLANK($B26:$C26)&gt;0, "2", "3"), 0), COUNTIF($D26:$E26, J$1)&gt;0, VLOOKUP("Jewel",'Gear Values'!$A$2:$E$14, IF(COUNTBLANK($B26:$C26)&gt;0, "4", "5"), 0)), "")</f>
        <v/>
      </c>
      <c r="K26" s="195" t="str" cm="1">
        <f t="array" ref="K26">IF(COUNTIF($B26:$E26, K$1)&gt;0, _xlfn.IFS(COUNTIF($B26:$C26, K$1)&gt;0, VLOOKUP("Jewel",'Gear Values'!$A$2:$E$14, IF(COUNTBLANK($B26:$C26)&gt;0, "2", "3"), 0), COUNTIF($D26:$E26, K$1)&gt;0, VLOOKUP("Jewel",'Gear Values'!$A$2:$E$14, IF(COUNTBLANK($B26:$C26)&gt;0, "4", "5"), 0)), "")</f>
        <v/>
      </c>
      <c r="L26" s="195" t="str" cm="1">
        <f t="array" ref="L26">IF(COUNTIF($B26:$E26, L$1)&gt;0, _xlfn.IFS(COUNTIF($B26:$C26, L$1)&gt;0, VLOOKUP("Jewel",'Gear Values'!$A$2:$E$14, IF(COUNTBLANK($B26:$C26)&gt;0, "2", "3"), 0), COUNTIF($D26:$E26, L$1)&gt;0, VLOOKUP("Jewel",'Gear Values'!$A$2:$E$14, IF(COUNTBLANK($B26:$C26)&gt;0, "4", "5"), 0)), "")</f>
        <v/>
      </c>
      <c r="M26" s="195" t="str" cm="1">
        <f t="array" ref="M26">IF(COUNTIF($B26:$E26, M$1)&gt;0, _xlfn.IFS(COUNTIF($B26:$C26, M$1)&gt;0, VLOOKUP("Jewel",'Gear Values'!$A$2:$E$14, IF(COUNTBLANK($B26:$C26)&gt;0, "2", "3"), 0), COUNTIF($D26:$E26, M$1)&gt;0, VLOOKUP("Jewel",'Gear Values'!$A$2:$E$14, IF(COUNTBLANK($B26:$C26)&gt;0, "4", "5"), 0)), "")</f>
        <v/>
      </c>
      <c r="N26" s="195" cm="1">
        <f t="array" ref="N26">IF(COUNTIF($B26:$E26, N$1)&gt;0, _xlfn.IFS(COUNTIF($B26:$C26, N$1)&gt;0, VLOOKUP("Jewel",'Gear Values'!$A$2:$E$14, IF(COUNTBLANK($B26:$C26)&gt;0, "2", "3"), 0), COUNTIF($D26:$E26, N$1)&gt;0, VLOOKUP("Jewel",'Gear Values'!$A$2:$E$14, IF(COUNTBLANK($B26:$C26)&gt;0, "4", "5"), 0)), "")</f>
        <v>15</v>
      </c>
      <c r="O26" s="299" t="str">
        <f>IF(OR(COUNTBLANK(AttributeFilter) = 1,AttributeFilter="(Select)"), A26, IF(COUNTIF(B26:E26, AttributeFilter)&gt;0, A26, ""))</f>
        <v>Exquisite Sprocket Jewel</v>
      </c>
    </row>
    <row r="27" spans="1:15">
      <c r="A27" s="302" t="str">
        <f>_xlfn.CONCAT("Exquisite ",'Attributes &amp; Prefixes'!A79," Jewel")</f>
        <v>Exquisite Serpentite Jewel</v>
      </c>
      <c r="B27" s="303" t="str" cm="1">
        <f t="array" ref="B27">_xlfn.LET(_xlpm.stat,'Attributes &amp; Prefixes'!B79, IF(_xlpm.stat=0,"",_xlpm.stat))</f>
        <v>Power</v>
      </c>
      <c r="C27" s="303" t="str" cm="1">
        <f t="array" ref="C27">_xlfn.LET(_xlpm.stat,'Attributes &amp; Prefixes'!C79, IF(_xlpm.stat=0,"",_xlpm.stat))</f>
        <v>Concentration</v>
      </c>
      <c r="D27" s="303" t="str" cm="1">
        <f t="array" ref="D27">_xlfn.LET(_xlpm.stat,'Attributes &amp; Prefixes'!D79, IF(_xlpm.stat=0,"",_xlpm.stat))</f>
        <v>Precision</v>
      </c>
      <c r="E27" s="303" t="str" cm="1">
        <f t="array" ref="E27">_xlfn.LET(_xlpm.stat,'Attributes &amp; Prefixes'!E79, IF(_xlpm.stat=0,"",_xlpm.stat))</f>
        <v>Ferocity</v>
      </c>
      <c r="F27" s="322" cm="1">
        <f t="array" ref="F27">IF(COUNTIF($B27:$E27, F$1)&gt;0, _xlfn.IFS(COUNTIF($B27:$C27, F$1)&gt;0, VLOOKUP("Jewel",'Gear Values'!$A$2:$E$14, IF(COUNTBLANK($B27:$C27)&gt;0, "2", "3"), 0), COUNTIF($D27:$E27, F$1)&gt;0, VLOOKUP("Jewel",'Gear Values'!$A$2:$E$14, IF(COUNTBLANK($B27:$C27)&gt;0, "4", "5"), 0)), "")</f>
        <v>20</v>
      </c>
      <c r="G27" s="322" cm="1">
        <f t="array" ref="G27">IF(COUNTIF($B27:$E27, G$1)&gt;0, _xlfn.IFS(COUNTIF($B27:$C27, G$1)&gt;0, VLOOKUP("Jewel",'Gear Values'!$A$2:$E$14, IF(COUNTBLANK($B27:$C27)&gt;0, "2", "3"), 0), COUNTIF($D27:$E27, G$1)&gt;0, VLOOKUP("Jewel",'Gear Values'!$A$2:$E$14, IF(COUNTBLANK($B27:$C27)&gt;0, "4", "5"), 0)), "")</f>
        <v>10</v>
      </c>
      <c r="H27" s="322" t="str" cm="1">
        <f t="array" ref="H27">IF(COUNTIF($B27:$E27, H$1)&gt;0, _xlfn.IFS(COUNTIF($B27:$C27, H$1)&gt;0, VLOOKUP("Jewel",'Gear Values'!$A$2:$E$14, IF(COUNTBLANK($B27:$C27)&gt;0, "2", "3"), 0), COUNTIF($D27:$E27, H$1)&gt;0, VLOOKUP("Jewel",'Gear Values'!$A$2:$E$14, IF(COUNTBLANK($B27:$C27)&gt;0, "4", "5"), 0)), "")</f>
        <v/>
      </c>
      <c r="I27" s="322" t="str" cm="1">
        <f t="array" ref="I27">IF(COUNTIF($B27:$E27, I$1)&gt;0, _xlfn.IFS(COUNTIF($B27:$C27, I$1)&gt;0, VLOOKUP("Jewel",'Gear Values'!$A$2:$E$14, IF(COUNTBLANK($B27:$C27)&gt;0, "2", "3"), 0), COUNTIF($D27:$E27, I$1)&gt;0, VLOOKUP("Jewel",'Gear Values'!$A$2:$E$14, IF(COUNTBLANK($B27:$C27)&gt;0, "4", "5"), 0)), "")</f>
        <v/>
      </c>
      <c r="J27" s="322" cm="1">
        <f t="array" ref="J27">IF(COUNTIF($B27:$E27, J$1)&gt;0, _xlfn.IFS(COUNTIF($B27:$C27, J$1)&gt;0, VLOOKUP("Jewel",'Gear Values'!$A$2:$E$14, IF(COUNTBLANK($B27:$C27)&gt;0, "2", "3"), 0), COUNTIF($D27:$E27, J$1)&gt;0, VLOOKUP("Jewel",'Gear Values'!$A$2:$E$14, IF(COUNTBLANK($B27:$C27)&gt;0, "4", "5"), 0)), "")</f>
        <v>20</v>
      </c>
      <c r="K27" s="322" t="str" cm="1">
        <f t="array" ref="K27">IF(COUNTIF($B27:$E27, K$1)&gt;0, _xlfn.IFS(COUNTIF($B27:$C27, K$1)&gt;0, VLOOKUP("Jewel",'Gear Values'!$A$2:$E$14, IF(COUNTBLANK($B27:$C27)&gt;0, "2", "3"), 0), COUNTIF($D27:$E27, K$1)&gt;0, VLOOKUP("Jewel",'Gear Values'!$A$2:$E$14, IF(COUNTBLANK($B27:$C27)&gt;0, "4", "5"), 0)), "")</f>
        <v/>
      </c>
      <c r="L27" s="322" t="str" cm="1">
        <f t="array" ref="L27">IF(COUNTIF($B27:$E27, L$1)&gt;0, _xlfn.IFS(COUNTIF($B27:$C27, L$1)&gt;0, VLOOKUP("Jewel",'Gear Values'!$A$2:$E$14, IF(COUNTBLANK($B27:$C27)&gt;0, "2", "3"), 0), COUNTIF($D27:$E27, L$1)&gt;0, VLOOKUP("Jewel",'Gear Values'!$A$2:$E$14, IF(COUNTBLANK($B27:$C27)&gt;0, "4", "5"), 0)), "")</f>
        <v/>
      </c>
      <c r="M27" s="322" cm="1">
        <f t="array" ref="M27">IF(COUNTIF($B27:$E27, M$1)&gt;0, _xlfn.IFS(COUNTIF($B27:$C27, M$1)&gt;0, VLOOKUP("Jewel",'Gear Values'!$A$2:$E$14, IF(COUNTBLANK($B27:$C27)&gt;0, "2", "3"), 0), COUNTIF($D27:$E27, M$1)&gt;0, VLOOKUP("Jewel",'Gear Values'!$A$2:$E$14, IF(COUNTBLANK($B27:$C27)&gt;0, "4", "5"), 0)), "")</f>
        <v>10</v>
      </c>
      <c r="N27" s="322" t="str" cm="1">
        <f t="array" ref="N27">IF(COUNTIF($B27:$E27, N$1)&gt;0, _xlfn.IFS(COUNTIF($B27:$C27, N$1)&gt;0, VLOOKUP("Jewel",'Gear Values'!$A$2:$E$14, IF(COUNTBLANK($B27:$C27)&gt;0, "2", "3"), 0), COUNTIF($D27:$E27, N$1)&gt;0, VLOOKUP("Jewel",'Gear Values'!$A$2:$E$14, IF(COUNTBLANK($B27:$C27)&gt;0, "4", "5"), 0)), "")</f>
        <v/>
      </c>
      <c r="O27" s="299" t="str">
        <f>IF(OR(COUNTBLANK(AttributeFilter) = 1,AttributeFilter="(Select)"), A27, IF(COUNTIF(B27:E27, AttributeFilter)&gt;0, A27, ""))</f>
        <v>Exquisite Serpentite Jewel</v>
      </c>
    </row>
  </sheetData>
  <sheetProtection sheet="1" objects="1" scenarios="1"/>
  <mergeCells count="15">
    <mergeCell ref="B10:E10"/>
    <mergeCell ref="A1:A2"/>
    <mergeCell ref="B1:B2"/>
    <mergeCell ref="N1:N2"/>
    <mergeCell ref="M1:M2"/>
    <mergeCell ref="L1:L2"/>
    <mergeCell ref="K1:K2"/>
    <mergeCell ref="J1:J2"/>
    <mergeCell ref="I1:I2"/>
    <mergeCell ref="H1:H2"/>
    <mergeCell ref="G1:G2"/>
    <mergeCell ref="F1:F2"/>
    <mergeCell ref="E1:E2"/>
    <mergeCell ref="D1:D2"/>
    <mergeCell ref="C1:C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78" id="{0020AF99-72F0-4D8F-A5FC-EF2626493099}">
            <xm:f>$A3 = 'Build &amp; Totals'!$A$44</xm:f>
            <x14:dxf>
              <font>
                <color theme="2" tint="-0.89999084444715716"/>
              </font>
              <fill>
                <patternFill patternType="solid">
                  <bgColor rgb="FFFFFEE0"/>
                </patternFill>
              </fill>
              <border>
                <top style="thin">
                  <color rgb="FF161616"/>
                </top>
                <bottom style="thin">
                  <color rgb="FF161616"/>
                </bottom>
              </border>
            </x14:dxf>
          </x14:cfRule>
          <x14:cfRule type="expression" priority="479" id="{797969F5-F9A5-4273-920D-86A2BBE2879B}">
            <xm:f>$A3 = 'Build &amp; Totals'!$A$43</xm:f>
            <x14:dxf>
              <font>
                <color theme="2" tint="-0.89999084444715716"/>
              </font>
              <fill>
                <patternFill patternType="solid">
                  <bgColor rgb="FFFFFEE0"/>
                </patternFill>
              </fill>
              <border>
                <top style="thin">
                  <color rgb="FF161616"/>
                </top>
                <bottom style="thin">
                  <color rgb="FF161616"/>
                </bottom>
              </border>
            </x14:dxf>
          </x14:cfRule>
          <x14:cfRule type="expression" priority="480" id="{C1495E54-4928-40FD-9858-1138EB7C662A}">
            <xm:f>$A3 = 'Build &amp; Totals'!$A$42</xm:f>
            <x14:dxf>
              <font>
                <color theme="2" tint="-0.89999084444715716"/>
              </font>
              <fill>
                <patternFill patternType="solid">
                  <bgColor rgb="FFFFFEE0"/>
                </patternFill>
              </fill>
              <border>
                <top style="thin">
                  <color rgb="FF161616"/>
                </top>
                <bottom style="thin">
                  <color rgb="FF161616"/>
                </bottom>
              </border>
            </x14:dxf>
          </x14:cfRule>
          <x14:cfRule type="expression" priority="481" id="{9AE9DAE3-B00A-498A-A909-DB3D7A81F6BF}">
            <xm:f>$A3 = 'Build &amp; Totals'!$A$41</xm:f>
            <x14:dxf>
              <font>
                <color theme="2" tint="-0.89999084444715716"/>
              </font>
              <fill>
                <patternFill patternType="solid">
                  <bgColor rgb="FFFFFEE0"/>
                </patternFill>
              </fill>
              <border>
                <top style="thin">
                  <color rgb="FF161616"/>
                </top>
                <bottom style="thin">
                  <color rgb="FF161616"/>
                </bottom>
              </border>
            </x14:dxf>
          </x14:cfRule>
          <x14:cfRule type="expression" priority="482" id="{40FD3190-D4D0-4008-B0A9-C45D1E810407}">
            <xm:f>$A3 = 'Build &amp; Totals'!$A$40</xm:f>
            <x14:dxf>
              <font>
                <color theme="2" tint="-0.89999084444715716"/>
              </font>
              <fill>
                <patternFill patternType="solid">
                  <bgColor rgb="FFFFFEE0"/>
                </patternFill>
              </fill>
              <border>
                <top style="thin">
                  <color rgb="FF161616"/>
                </top>
                <bottom style="thin">
                  <color rgb="FF161616"/>
                </bottom>
              </border>
            </x14:dxf>
          </x14:cfRule>
          <xm:sqref>A3:O27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B1BCD-D4FE-432E-A10C-36994E778957}">
  <dimension ref="A1:O61"/>
  <sheetViews>
    <sheetView workbookViewId="0">
      <selection activeCell="A35" sqref="A35"/>
    </sheetView>
  </sheetViews>
  <sheetFormatPr defaultRowHeight="14.25"/>
  <cols>
    <col min="1" max="1" width="21.140625" style="28" bestFit="1" customWidth="1"/>
    <col min="2" max="2" width="18.85546875" style="28" bestFit="1" customWidth="1"/>
    <col min="3" max="3" width="59.5703125" style="28" bestFit="1" customWidth="1"/>
    <col min="4" max="4" width="70.28515625" style="28" bestFit="1" customWidth="1"/>
    <col min="5" max="5" width="20.5703125" style="28" bestFit="1" customWidth="1"/>
    <col min="6" max="6" width="12.5703125" style="28" bestFit="1" customWidth="1"/>
    <col min="7" max="7" width="15.42578125" style="28" bestFit="1" customWidth="1"/>
    <col min="8" max="8" width="5.7109375" style="28" customWidth="1"/>
    <col min="9" max="9" width="19.5703125" style="28" bestFit="1" customWidth="1"/>
    <col min="10" max="10" width="11.42578125" style="28" bestFit="1" customWidth="1"/>
    <col min="11" max="11" width="13.5703125" style="28" bestFit="1" customWidth="1"/>
    <col min="12" max="12" width="15.85546875" style="28" bestFit="1" customWidth="1"/>
    <col min="13" max="16384" width="9.140625" style="28"/>
  </cols>
  <sheetData>
    <row r="1" spans="1:15">
      <c r="A1" s="572" t="s">
        <v>2629</v>
      </c>
      <c r="B1" s="574" t="s">
        <v>103</v>
      </c>
      <c r="C1" s="574" t="s">
        <v>2162</v>
      </c>
      <c r="D1" s="576" t="s">
        <v>2163</v>
      </c>
      <c r="E1" s="305" t="s">
        <v>107</v>
      </c>
      <c r="F1" s="288"/>
      <c r="G1" s="287" t="s">
        <v>2630</v>
      </c>
      <c r="H1" s="288"/>
      <c r="I1" s="288"/>
      <c r="J1" s="288"/>
      <c r="K1" s="288"/>
      <c r="L1" s="288"/>
    </row>
    <row r="2" spans="1:15">
      <c r="A2" s="573"/>
      <c r="B2" s="575"/>
      <c r="C2" s="575"/>
      <c r="D2" s="577"/>
      <c r="E2" s="306" t="s">
        <v>4</v>
      </c>
      <c r="G2" s="289" t="str">
        <f>IF(Signet1=0,"(Select)",Signet1)</f>
        <v>Superconducting Signet</v>
      </c>
      <c r="H2" s="290" cm="1">
        <f t="array" ref="H2">_xlfn.LET(_xlpm.check,IF(VLOOKUP(Signet1,$A$3:$B$16,2,0)=Class,1,0),IF(ISNA(_xlpm.check),1,_xlpm.check))</f>
        <v>1</v>
      </c>
    </row>
    <row r="3" spans="1:15">
      <c r="A3" s="297" t="s">
        <v>2631</v>
      </c>
      <c r="B3" s="298" t="s">
        <v>109</v>
      </c>
      <c r="C3" s="203" t="s">
        <v>6</v>
      </c>
      <c r="D3" s="203">
        <v>180</v>
      </c>
      <c r="E3" s="299" t="str">
        <f>IF(AND(COUNTIF('Build &amp; Totals'!$A$46:$A$48,$A3)=0,Class=$B3),$A3,"")</f>
        <v/>
      </c>
      <c r="G3" s="291" t="str">
        <f>IF(Signet2=0,"(Select)",Signet2)</f>
        <v>Signet of Midnight</v>
      </c>
      <c r="H3" s="292" cm="1">
        <f t="array" ref="H3">_xlfn.LET(_xlpm.check,IF(VLOOKUP(Signet2,$A$3:$B$16,2,0)=Class,1,0),IF(ISNA(_xlpm.check),1,_xlpm.check))</f>
        <v>0</v>
      </c>
    </row>
    <row r="4" spans="1:15">
      <c r="A4" s="300" t="s">
        <v>2632</v>
      </c>
      <c r="B4" s="208" t="s">
        <v>109</v>
      </c>
      <c r="C4" s="195" t="s">
        <v>10</v>
      </c>
      <c r="D4" s="195">
        <v>120</v>
      </c>
      <c r="E4" s="299" t="str">
        <f>IF(AND(COUNTIF('Build &amp; Totals'!$A$46:$A$48,$A4)=0,Class=$B4),$A4,"")</f>
        <v/>
      </c>
      <c r="G4" s="293" t="str">
        <f>IF(Signet3=0,"(Select)",Signet3)</f>
        <v>(Select)</v>
      </c>
      <c r="H4" s="294" cm="1">
        <f t="array" ref="H4">_xlfn.LET(_xlpm.check,IF(VLOOKUP(Signet3,$A$3:$B$16,2,0)=Class,1,0),IF(ISNA(_xlpm.check),1,_xlpm.check))</f>
        <v>1</v>
      </c>
    </row>
    <row r="5" spans="1:15">
      <c r="A5" s="300" t="s">
        <v>2633</v>
      </c>
      <c r="B5" s="208" t="s">
        <v>109</v>
      </c>
      <c r="C5" s="195" t="s">
        <v>11</v>
      </c>
      <c r="D5" s="195">
        <v>180</v>
      </c>
      <c r="E5" s="299" t="str">
        <f>IF(AND(COUNTIF('Build &amp; Totals'!$A$46:$A$48,$A5)=0,Class=$B5),$A5,"")</f>
        <v/>
      </c>
    </row>
    <row r="6" spans="1:15">
      <c r="A6" s="300" t="s">
        <v>2634</v>
      </c>
      <c r="B6" s="208" t="s">
        <v>573</v>
      </c>
      <c r="C6" s="195" t="s">
        <v>7</v>
      </c>
      <c r="D6" s="195">
        <v>180</v>
      </c>
      <c r="E6" s="299" t="str">
        <f>IF(AND(COUNTIF('Build &amp; Totals'!$A$46:$A$48,$A6)=0,Class=$B6),$A6,"")</f>
        <v/>
      </c>
    </row>
    <row r="7" spans="1:15">
      <c r="A7" s="300" t="s">
        <v>2635</v>
      </c>
      <c r="B7" s="208" t="s">
        <v>573</v>
      </c>
      <c r="C7" s="195" t="s">
        <v>6</v>
      </c>
      <c r="D7" s="195">
        <v>180</v>
      </c>
      <c r="E7" s="299" t="str">
        <f>IF(AND(COUNTIF('Build &amp; Totals'!$A$46:$A$48,$A7)=0,Class=$B7),$A7,"")</f>
        <v/>
      </c>
      <c r="H7" s="295"/>
    </row>
    <row r="8" spans="1:15">
      <c r="A8" s="300" t="s">
        <v>64</v>
      </c>
      <c r="B8" s="208" t="s">
        <v>3</v>
      </c>
      <c r="C8" s="195" t="s">
        <v>11</v>
      </c>
      <c r="D8" s="301">
        <v>0.1</v>
      </c>
      <c r="E8" s="299" t="str">
        <f>IF(AND(COUNTIF('Build &amp; Totals'!$A$46:$A$48,$A8)=0,Class=$B8),$A8,"")</f>
        <v/>
      </c>
    </row>
    <row r="9" spans="1:15">
      <c r="A9" s="300" t="s">
        <v>2636</v>
      </c>
      <c r="B9" s="208" t="s">
        <v>1034</v>
      </c>
      <c r="C9" s="195" t="s">
        <v>8</v>
      </c>
      <c r="D9" s="195">
        <v>180</v>
      </c>
      <c r="E9" s="299" t="str">
        <f>IF(AND(COUNTIF('Build &amp; Totals'!$A$46:$A$48,$A9)=0,Class=$B9),$A9,"")</f>
        <v/>
      </c>
    </row>
    <row r="10" spans="1:15">
      <c r="A10" s="300" t="s">
        <v>2637</v>
      </c>
      <c r="B10" s="208" t="s">
        <v>1034</v>
      </c>
      <c r="C10" s="195" t="s">
        <v>13</v>
      </c>
      <c r="D10" s="195">
        <v>180</v>
      </c>
      <c r="E10" s="299" t="str">
        <f>IF(AND(COUNTIF('Build &amp; Totals'!$A$46:$A$48,$A10)=0,Class=$B10),$A10,"")</f>
        <v/>
      </c>
    </row>
    <row r="11" spans="1:15">
      <c r="A11" s="300" t="s">
        <v>2638</v>
      </c>
      <c r="B11" s="208" t="s">
        <v>1263</v>
      </c>
      <c r="C11" s="195" t="s">
        <v>6</v>
      </c>
      <c r="D11" s="195">
        <v>180</v>
      </c>
      <c r="E11" s="299" t="str">
        <f>IF(AND(COUNTIF('Build &amp; Totals'!$A$46:$A$48,$A11)=0,Class=$B11),$A11,"")</f>
        <v/>
      </c>
    </row>
    <row r="12" spans="1:15">
      <c r="A12" s="300" t="s">
        <v>2639</v>
      </c>
      <c r="B12" s="208" t="s">
        <v>1263</v>
      </c>
      <c r="C12" s="195" t="s">
        <v>7</v>
      </c>
      <c r="D12" s="195">
        <v>180</v>
      </c>
      <c r="E12" s="299" t="str">
        <f>IF(AND(COUNTIF('Build &amp; Totals'!$A$46:$A$48,$A12)=0,Class=$B12),$A12,"")</f>
        <v/>
      </c>
    </row>
    <row r="13" spans="1:15">
      <c r="A13" s="300" t="s">
        <v>2640</v>
      </c>
      <c r="B13" s="208" t="s">
        <v>1492</v>
      </c>
      <c r="C13" s="195" t="s">
        <v>7</v>
      </c>
      <c r="D13" s="195">
        <v>180</v>
      </c>
      <c r="E13" s="299" t="str">
        <f>IF(AND(COUNTIF('Build &amp; Totals'!$A$46:$A$48,$A13)=0,Class=$B13),$A13,"")</f>
        <v/>
      </c>
      <c r="O13" s="28" t="e">
        <f>IF(VLOOKUP(M13,Signets!A3:D16,4,0)&lt;1,"Percentage","Flat")</f>
        <v>#N/A</v>
      </c>
    </row>
    <row r="14" spans="1:15">
      <c r="A14" s="300" t="s">
        <v>2641</v>
      </c>
      <c r="B14" s="208" t="s">
        <v>1717</v>
      </c>
      <c r="C14" s="195" t="s">
        <v>11</v>
      </c>
      <c r="D14" s="195">
        <v>180</v>
      </c>
      <c r="E14" s="299" t="str">
        <f>IF(AND(COUNTIF('Build &amp; Totals'!$A$46:$A$48,$A14)=0,Class=$B14),$A14,"")</f>
        <v/>
      </c>
    </row>
    <row r="15" spans="1:15">
      <c r="A15" s="300" t="s">
        <v>65</v>
      </c>
      <c r="B15" s="208" t="s">
        <v>1717</v>
      </c>
      <c r="C15" s="195" t="s">
        <v>12</v>
      </c>
      <c r="D15" s="195">
        <v>180</v>
      </c>
      <c r="E15" s="299" t="str">
        <f>IF(AND(COUNTIF('Build &amp; Totals'!$A$46:$A$48,$A15)=0,Class=$B15),$A15,"")</f>
        <v/>
      </c>
    </row>
    <row r="16" spans="1:15">
      <c r="A16" s="302" t="s">
        <v>2642</v>
      </c>
      <c r="B16" s="303" t="s">
        <v>1937</v>
      </c>
      <c r="C16" s="262" t="s">
        <v>6</v>
      </c>
      <c r="D16" s="262">
        <v>180</v>
      </c>
      <c r="E16" s="304" t="str">
        <f>IF(AND(COUNTIF('Build &amp; Totals'!$A$46:$A$48,$A16)=0,Class=$B16),$A16,"")</f>
        <v/>
      </c>
    </row>
    <row r="18" spans="1:4" ht="15.75">
      <c r="A18" s="512" t="s">
        <v>90</v>
      </c>
      <c r="B18" s="512" t="s">
        <v>103</v>
      </c>
      <c r="C18" s="512" t="s">
        <v>2643</v>
      </c>
      <c r="D18" s="296" t="s">
        <v>2644</v>
      </c>
    </row>
    <row r="19" spans="1:4">
      <c r="A19" s="297" t="s">
        <v>2645</v>
      </c>
      <c r="B19" s="298" t="s">
        <v>109</v>
      </c>
      <c r="C19" s="203" t="s">
        <v>2646</v>
      </c>
      <c r="D19" s="307" t="s">
        <v>2647</v>
      </c>
    </row>
    <row r="20" spans="1:4">
      <c r="A20" s="300" t="s">
        <v>2631</v>
      </c>
      <c r="B20" s="208" t="s">
        <v>109</v>
      </c>
      <c r="C20" s="195" t="s">
        <v>2648</v>
      </c>
      <c r="D20" s="308" t="s">
        <v>2649</v>
      </c>
    </row>
    <row r="21" spans="1:4" ht="23.25">
      <c r="A21" s="300" t="s">
        <v>2650</v>
      </c>
      <c r="B21" s="208" t="s">
        <v>109</v>
      </c>
      <c r="C21" s="195" t="s">
        <v>2651</v>
      </c>
      <c r="D21" s="308" t="s">
        <v>2652</v>
      </c>
    </row>
    <row r="22" spans="1:4">
      <c r="A22" s="300" t="s">
        <v>2632</v>
      </c>
      <c r="B22" s="208" t="s">
        <v>109</v>
      </c>
      <c r="C22" s="195" t="s">
        <v>2653</v>
      </c>
      <c r="D22" s="308" t="s">
        <v>2654</v>
      </c>
    </row>
    <row r="23" spans="1:4">
      <c r="A23" s="300" t="s">
        <v>2633</v>
      </c>
      <c r="B23" s="208" t="s">
        <v>109</v>
      </c>
      <c r="C23" s="195" t="s">
        <v>2655</v>
      </c>
      <c r="D23" s="308" t="s">
        <v>2656</v>
      </c>
    </row>
    <row r="24" spans="1:4" ht="23.25">
      <c r="A24" s="300" t="s">
        <v>2657</v>
      </c>
      <c r="B24" s="208" t="s">
        <v>109</v>
      </c>
      <c r="C24" s="195" t="s">
        <v>2658</v>
      </c>
      <c r="D24" s="308" t="s">
        <v>2659</v>
      </c>
    </row>
    <row r="25" spans="1:4">
      <c r="A25" s="300" t="s">
        <v>2660</v>
      </c>
      <c r="B25" s="208" t="s">
        <v>573</v>
      </c>
      <c r="C25" s="195" t="s">
        <v>2661</v>
      </c>
      <c r="D25" s="308" t="s">
        <v>2662</v>
      </c>
    </row>
    <row r="26" spans="1:4">
      <c r="A26" s="300" t="s">
        <v>2663</v>
      </c>
      <c r="B26" s="208" t="s">
        <v>573</v>
      </c>
      <c r="C26" s="195" t="s">
        <v>2664</v>
      </c>
      <c r="D26" s="308" t="s">
        <v>2665</v>
      </c>
    </row>
    <row r="27" spans="1:4">
      <c r="A27" s="300" t="s">
        <v>2634</v>
      </c>
      <c r="B27" s="208" t="s">
        <v>573</v>
      </c>
      <c r="C27" s="195" t="s">
        <v>2666</v>
      </c>
      <c r="D27" s="308" t="s">
        <v>2667</v>
      </c>
    </row>
    <row r="28" spans="1:4">
      <c r="A28" s="300" t="s">
        <v>2635</v>
      </c>
      <c r="B28" s="208" t="s">
        <v>573</v>
      </c>
      <c r="C28" s="195" t="s">
        <v>2668</v>
      </c>
      <c r="D28" s="308" t="s">
        <v>2669</v>
      </c>
    </row>
    <row r="29" spans="1:4" ht="23.25">
      <c r="A29" s="300" t="s">
        <v>2670</v>
      </c>
      <c r="B29" s="208" t="s">
        <v>573</v>
      </c>
      <c r="C29" s="195" t="s">
        <v>2671</v>
      </c>
      <c r="D29" s="308" t="s">
        <v>2672</v>
      </c>
    </row>
    <row r="30" spans="1:4">
      <c r="A30" s="300" t="s">
        <v>2673</v>
      </c>
      <c r="B30" s="208" t="s">
        <v>573</v>
      </c>
      <c r="C30" s="195" t="s">
        <v>2674</v>
      </c>
      <c r="D30" s="308" t="s">
        <v>2675</v>
      </c>
    </row>
    <row r="31" spans="1:4">
      <c r="A31" s="300" t="s">
        <v>2676</v>
      </c>
      <c r="B31" s="208" t="s">
        <v>3</v>
      </c>
      <c r="C31" s="195" t="s">
        <v>2677</v>
      </c>
      <c r="D31" s="308" t="s">
        <v>2678</v>
      </c>
    </row>
    <row r="32" spans="1:4" ht="46.5">
      <c r="A32" s="300" t="s">
        <v>2679</v>
      </c>
      <c r="B32" s="208" t="s">
        <v>3</v>
      </c>
      <c r="C32" s="195" t="s">
        <v>2680</v>
      </c>
      <c r="D32" s="308" t="s">
        <v>2681</v>
      </c>
    </row>
    <row r="33" spans="1:4">
      <c r="A33" s="300" t="s">
        <v>2682</v>
      </c>
      <c r="B33" s="208" t="s">
        <v>3</v>
      </c>
      <c r="C33" s="195" t="s">
        <v>2683</v>
      </c>
      <c r="D33" s="308" t="s">
        <v>2684</v>
      </c>
    </row>
    <row r="34" spans="1:4" ht="23.25">
      <c r="A34" s="300" t="s">
        <v>2685</v>
      </c>
      <c r="B34" s="208" t="s">
        <v>3</v>
      </c>
      <c r="C34" s="195" t="s">
        <v>2686</v>
      </c>
      <c r="D34" s="308" t="s">
        <v>2687</v>
      </c>
    </row>
    <row r="35" spans="1:4" ht="23.25">
      <c r="A35" s="300" t="s">
        <v>64</v>
      </c>
      <c r="B35" s="208" t="s">
        <v>3</v>
      </c>
      <c r="C35" s="195" t="s">
        <v>2688</v>
      </c>
      <c r="D35" s="308" t="s">
        <v>2689</v>
      </c>
    </row>
    <row r="36" spans="1:4" ht="35.25">
      <c r="A36" s="300" t="s">
        <v>2690</v>
      </c>
      <c r="B36" s="208" t="s">
        <v>3</v>
      </c>
      <c r="C36" s="195" t="s">
        <v>2691</v>
      </c>
      <c r="D36" s="308" t="s">
        <v>2692</v>
      </c>
    </row>
    <row r="37" spans="1:4" ht="23.25">
      <c r="A37" s="300" t="s">
        <v>2693</v>
      </c>
      <c r="B37" s="208" t="s">
        <v>1034</v>
      </c>
      <c r="C37" s="195" t="s">
        <v>2694</v>
      </c>
      <c r="D37" s="308" t="s">
        <v>2695</v>
      </c>
    </row>
    <row r="38" spans="1:4" ht="23.25">
      <c r="A38" s="300" t="s">
        <v>2636</v>
      </c>
      <c r="B38" s="208" t="s">
        <v>1034</v>
      </c>
      <c r="C38" s="195" t="s">
        <v>2696</v>
      </c>
      <c r="D38" s="308" t="s">
        <v>2697</v>
      </c>
    </row>
    <row r="39" spans="1:4" ht="23.25">
      <c r="A39" s="300" t="s">
        <v>2698</v>
      </c>
      <c r="B39" s="208" t="s">
        <v>1034</v>
      </c>
      <c r="C39" s="195" t="s">
        <v>2699</v>
      </c>
      <c r="D39" s="308" t="s">
        <v>2700</v>
      </c>
    </row>
    <row r="40" spans="1:4">
      <c r="A40" s="300" t="s">
        <v>2637</v>
      </c>
      <c r="B40" s="208" t="s">
        <v>1034</v>
      </c>
      <c r="C40" s="195" t="s">
        <v>2701</v>
      </c>
      <c r="D40" s="308" t="s">
        <v>2702</v>
      </c>
    </row>
    <row r="41" spans="1:4">
      <c r="A41" s="300" t="s">
        <v>2703</v>
      </c>
      <c r="B41" s="208" t="s">
        <v>1263</v>
      </c>
      <c r="C41" s="195" t="s">
        <v>2704</v>
      </c>
      <c r="D41" s="308" t="s">
        <v>2705</v>
      </c>
    </row>
    <row r="42" spans="1:4">
      <c r="A42" s="300" t="s">
        <v>2638</v>
      </c>
      <c r="B42" s="208" t="s">
        <v>1263</v>
      </c>
      <c r="C42" s="195" t="s">
        <v>2706</v>
      </c>
      <c r="D42" s="308" t="s">
        <v>2707</v>
      </c>
    </row>
    <row r="43" spans="1:4">
      <c r="A43" s="300" t="s">
        <v>2708</v>
      </c>
      <c r="B43" s="208" t="s">
        <v>1263</v>
      </c>
      <c r="C43" s="195" t="s">
        <v>2709</v>
      </c>
      <c r="D43" s="308" t="s">
        <v>2710</v>
      </c>
    </row>
    <row r="44" spans="1:4">
      <c r="A44" s="300" t="s">
        <v>2639</v>
      </c>
      <c r="B44" s="208" t="s">
        <v>1263</v>
      </c>
      <c r="C44" s="195" t="s">
        <v>2711</v>
      </c>
      <c r="D44" s="308" t="s">
        <v>2712</v>
      </c>
    </row>
    <row r="45" spans="1:4">
      <c r="A45" s="300" t="s">
        <v>2713</v>
      </c>
      <c r="B45" s="208" t="s">
        <v>1263</v>
      </c>
      <c r="C45" s="195" t="s">
        <v>2714</v>
      </c>
      <c r="D45" s="308" t="s">
        <v>2715</v>
      </c>
    </row>
    <row r="46" spans="1:4">
      <c r="A46" s="300" t="s">
        <v>2716</v>
      </c>
      <c r="B46" s="208" t="s">
        <v>1492</v>
      </c>
      <c r="C46" s="195" t="s">
        <v>2717</v>
      </c>
      <c r="D46" s="308" t="s">
        <v>2718</v>
      </c>
    </row>
    <row r="47" spans="1:4">
      <c r="A47" s="300" t="s">
        <v>2719</v>
      </c>
      <c r="B47" s="208" t="s">
        <v>1492</v>
      </c>
      <c r="C47" s="195" t="s">
        <v>2714</v>
      </c>
      <c r="D47" s="308" t="s">
        <v>2720</v>
      </c>
    </row>
    <row r="48" spans="1:4">
      <c r="A48" s="300" t="s">
        <v>2721</v>
      </c>
      <c r="B48" s="208" t="s">
        <v>1492</v>
      </c>
      <c r="C48" s="195" t="s">
        <v>2722</v>
      </c>
      <c r="D48" s="308" t="s">
        <v>2723</v>
      </c>
    </row>
    <row r="49" spans="1:4">
      <c r="A49" s="300" t="s">
        <v>2640</v>
      </c>
      <c r="B49" s="208" t="s">
        <v>1492</v>
      </c>
      <c r="C49" s="195" t="s">
        <v>2724</v>
      </c>
      <c r="D49" s="308" t="s">
        <v>2725</v>
      </c>
    </row>
    <row r="50" spans="1:4">
      <c r="A50" s="300" t="s">
        <v>2726</v>
      </c>
      <c r="B50" s="208" t="s">
        <v>1492</v>
      </c>
      <c r="C50" s="195" t="s">
        <v>2727</v>
      </c>
      <c r="D50" s="308" t="s">
        <v>2728</v>
      </c>
    </row>
    <row r="51" spans="1:4" ht="23.25">
      <c r="A51" s="300" t="s">
        <v>2729</v>
      </c>
      <c r="B51" s="208" t="s">
        <v>1717</v>
      </c>
      <c r="C51" s="195" t="s">
        <v>2730</v>
      </c>
      <c r="D51" s="308" t="s">
        <v>2731</v>
      </c>
    </row>
    <row r="52" spans="1:4">
      <c r="A52" s="300" t="s">
        <v>2641</v>
      </c>
      <c r="B52" s="208" t="s">
        <v>1717</v>
      </c>
      <c r="C52" s="195" t="s">
        <v>2732</v>
      </c>
      <c r="D52" s="308" t="s">
        <v>2733</v>
      </c>
    </row>
    <row r="53" spans="1:4">
      <c r="A53" s="300" t="s">
        <v>2734</v>
      </c>
      <c r="B53" s="208" t="s">
        <v>1717</v>
      </c>
      <c r="C53" s="195" t="s">
        <v>2735</v>
      </c>
      <c r="D53" s="308" t="s">
        <v>2736</v>
      </c>
    </row>
    <row r="54" spans="1:4">
      <c r="A54" s="300" t="s">
        <v>2737</v>
      </c>
      <c r="B54" s="208" t="s">
        <v>1717</v>
      </c>
      <c r="C54" s="195" t="s">
        <v>2738</v>
      </c>
      <c r="D54" s="308" t="s">
        <v>2739</v>
      </c>
    </row>
    <row r="55" spans="1:4">
      <c r="A55" s="300" t="s">
        <v>65</v>
      </c>
      <c r="B55" s="208" t="s">
        <v>1717</v>
      </c>
      <c r="C55" s="195" t="s">
        <v>2740</v>
      </c>
      <c r="D55" s="308" t="s">
        <v>2741</v>
      </c>
    </row>
    <row r="56" spans="1:4" ht="23.25">
      <c r="A56" s="300" t="s">
        <v>2742</v>
      </c>
      <c r="B56" s="208" t="s">
        <v>1717</v>
      </c>
      <c r="C56" s="195" t="s">
        <v>2743</v>
      </c>
      <c r="D56" s="308" t="s">
        <v>2744</v>
      </c>
    </row>
    <row r="57" spans="1:4" ht="23.25">
      <c r="A57" s="300" t="s">
        <v>2745</v>
      </c>
      <c r="B57" s="208" t="s">
        <v>1937</v>
      </c>
      <c r="C57" s="195" t="s">
        <v>2746</v>
      </c>
      <c r="D57" s="308" t="s">
        <v>2747</v>
      </c>
    </row>
    <row r="58" spans="1:4">
      <c r="A58" s="300" t="s">
        <v>2748</v>
      </c>
      <c r="B58" s="208" t="s">
        <v>1937</v>
      </c>
      <c r="C58" s="195" t="s">
        <v>2749</v>
      </c>
      <c r="D58" s="308" t="s">
        <v>2750</v>
      </c>
    </row>
    <row r="59" spans="1:4" ht="23.25">
      <c r="A59" s="300" t="s">
        <v>2642</v>
      </c>
      <c r="B59" s="208" t="s">
        <v>1937</v>
      </c>
      <c r="C59" s="195" t="s">
        <v>2668</v>
      </c>
      <c r="D59" s="308" t="s">
        <v>2751</v>
      </c>
    </row>
    <row r="60" spans="1:4">
      <c r="A60" s="300" t="s">
        <v>2752</v>
      </c>
      <c r="B60" s="208" t="s">
        <v>1937</v>
      </c>
      <c r="C60" s="195" t="s">
        <v>2753</v>
      </c>
      <c r="D60" s="308" t="s">
        <v>2754</v>
      </c>
    </row>
    <row r="61" spans="1:4" ht="23.25">
      <c r="A61" s="302" t="s">
        <v>2755</v>
      </c>
      <c r="B61" s="303" t="s">
        <v>1937</v>
      </c>
      <c r="C61" s="262" t="s">
        <v>2756</v>
      </c>
      <c r="D61" s="309" t="s">
        <v>2757</v>
      </c>
    </row>
  </sheetData>
  <sheetProtection sheet="1" objects="1" scenarios="1"/>
  <mergeCells count="4">
    <mergeCell ref="A1:A2"/>
    <mergeCell ref="B1:B2"/>
    <mergeCell ref="C1:C2"/>
    <mergeCell ref="D1:D2"/>
  </mergeCells>
  <dataValidations count="1">
    <dataValidation allowBlank="1" showInputMessage="1" showErrorMessage="1" promptTitle="Conditional Formatting" prompt="Alerts for Signet and Class mismatches." sqref="G1" xr:uid="{29FF7FF0-75CD-4A9B-AFE3-2D4EFC187299}"/>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5E06-DCDE-460E-B146-D9C504AB3F11}">
  <dimension ref="A1:S611"/>
  <sheetViews>
    <sheetView topLeftCell="A41" workbookViewId="0">
      <selection activeCell="K8" sqref="K8"/>
    </sheetView>
  </sheetViews>
  <sheetFormatPr defaultRowHeight="14.25" outlineLevelRow="1"/>
  <cols>
    <col min="1" max="1" width="49.28515625" style="207" bestFit="1" customWidth="1"/>
    <col min="2" max="2" width="8.7109375" style="195" bestFit="1" customWidth="1"/>
    <col min="3" max="3" width="11.42578125" style="195" bestFit="1" customWidth="1"/>
    <col min="4" max="4" width="12.5703125" style="195" bestFit="1" customWidth="1"/>
    <col min="5" max="5" width="9.42578125" style="195" bestFit="1" customWidth="1"/>
    <col min="6" max="6" width="10.28515625" style="195" bestFit="1" customWidth="1"/>
    <col min="7" max="7" width="19.5703125" style="195" bestFit="1" customWidth="1"/>
    <col min="8" max="8" width="11.42578125" style="195" bestFit="1" customWidth="1"/>
    <col min="9" max="9" width="16" style="195" bestFit="1" customWidth="1"/>
    <col min="10" max="10" width="16.7109375" style="195" customWidth="1"/>
    <col min="11" max="11" width="41.85546875" style="299" bestFit="1" customWidth="1"/>
    <col min="12" max="18" width="9.140625" style="28"/>
    <col min="19" max="19" width="36.5703125" style="28" bestFit="1" customWidth="1"/>
    <col min="20" max="16384" width="9.140625" style="28"/>
  </cols>
  <sheetData>
    <row r="1" spans="1:14" s="345" customFormat="1">
      <c r="A1" s="604" t="s">
        <v>67</v>
      </c>
      <c r="B1" s="604" t="s">
        <v>6</v>
      </c>
      <c r="C1" s="604" t="s">
        <v>7</v>
      </c>
      <c r="D1" s="604" t="s">
        <v>8</v>
      </c>
      <c r="E1" s="604" t="s">
        <v>9</v>
      </c>
      <c r="F1" s="604" t="s">
        <v>13</v>
      </c>
      <c r="G1" s="604" t="s">
        <v>11</v>
      </c>
      <c r="H1" s="604" t="s">
        <v>12</v>
      </c>
      <c r="I1" s="604" t="s">
        <v>10</v>
      </c>
      <c r="J1" s="604" t="s">
        <v>14</v>
      </c>
      <c r="K1" s="347" t="s">
        <v>2430</v>
      </c>
    </row>
    <row r="2" spans="1:14">
      <c r="A2" s="605"/>
      <c r="B2" s="605"/>
      <c r="C2" s="605"/>
      <c r="D2" s="605"/>
      <c r="E2" s="605"/>
      <c r="F2" s="605"/>
      <c r="G2" s="605"/>
      <c r="H2" s="605"/>
      <c r="I2" s="605"/>
      <c r="J2" s="605"/>
      <c r="K2" s="340" t="s">
        <v>4</v>
      </c>
    </row>
    <row r="3" spans="1:14">
      <c r="A3" s="344" t="s">
        <v>2758</v>
      </c>
      <c r="B3" s="338">
        <v>20</v>
      </c>
      <c r="C3" s="338"/>
      <c r="D3" s="338"/>
      <c r="E3" s="338"/>
      <c r="F3" s="338"/>
      <c r="G3" s="338"/>
      <c r="H3" s="338"/>
      <c r="I3" s="338"/>
      <c r="J3" s="338"/>
      <c r="K3" s="308" t="str">
        <f>IF(OR(COUNTBLANK(AttributeFilter) = 1,AttributeFilter="(Select)"),A3, IF(INDEX(B3:J3, MATCH(AttributeFilter, B$1:J$1, 0)) &lt;&gt; 0, A3, ""))</f>
        <v>Rice Ball</v>
      </c>
      <c r="N3" s="346"/>
    </row>
    <row r="4" spans="1:14">
      <c r="A4" s="207" t="s">
        <v>2759</v>
      </c>
      <c r="B4" s="195">
        <v>20</v>
      </c>
      <c r="K4" s="308" t="str">
        <f>IF(OR(COUNTBLANK(AttributeFilter) = 1,AttributeFilter="(Select)"),A4, IF(INDEX(B4:J4, MATCH(AttributeFilter, B$1:J$1, 0)) &lt;&gt; 0, A4, ""))</f>
        <v>Grilled Steak</v>
      </c>
    </row>
    <row r="5" spans="1:14">
      <c r="A5" s="207" t="s">
        <v>2760</v>
      </c>
      <c r="B5" s="195">
        <v>20</v>
      </c>
      <c r="K5" s="308" t="str">
        <f>IF(OR(COUNTBLANK(AttributeFilter) = 1,AttributeFilter="(Select)"),A5, IF(INDEX(B5:J5, MATCH(AttributeFilter, B$1:J$1, 0)) &lt;&gt; 0, A5, ""))</f>
        <v>Eda's Apple Pie</v>
      </c>
    </row>
    <row r="6" spans="1:14" outlineLevel="1">
      <c r="A6" s="207" t="s">
        <v>2761</v>
      </c>
      <c r="B6" s="195">
        <v>20</v>
      </c>
      <c r="K6" s="308" t="str">
        <f>IF(OR(COUNTBLANK(AttributeFilter) = 1,AttributeFilter="(Select)"),A6, IF(INDEX(B6:J6, MATCH(AttributeFilter, B$1:J$1, 0)) &lt;&gt; 0, A6, ""))</f>
        <v>Pickled Wurm Egg</v>
      </c>
    </row>
    <row r="7" spans="1:14">
      <c r="A7" s="207" t="s">
        <v>2762</v>
      </c>
      <c r="B7" s="195">
        <v>12</v>
      </c>
      <c r="K7" s="308" t="str">
        <f>IF(OR(COUNTBLANK(AttributeFilter) = 1,AttributeFilter="(Select)"),A7, IF(INDEX(B7:J7, MATCH(AttributeFilter, B$1:J$1, 0)) &lt;&gt; 0, A7, ""))</f>
        <v>Bowl of Cold Wurm Stew</v>
      </c>
    </row>
    <row r="8" spans="1:14">
      <c r="A8" s="207" t="s">
        <v>2763</v>
      </c>
      <c r="B8" s="195">
        <v>20</v>
      </c>
      <c r="K8" s="308" t="str">
        <f>IF(OR(COUNTBLANK(AttributeFilter) = 1,AttributeFilter="(Select)"),A8, IF(INDEX(B8:J8, MATCH(AttributeFilter, B$1:J$1, 0)) &lt;&gt; 0, A8, ""))</f>
        <v>Spicy Flank Steak</v>
      </c>
    </row>
    <row r="9" spans="1:14">
      <c r="A9" s="207" t="s">
        <v>2764</v>
      </c>
      <c r="B9" s="195">
        <v>12</v>
      </c>
      <c r="K9" s="308" t="str">
        <f>IF(OR(COUNTBLANK(AttributeFilter) = 1,AttributeFilter="(Select)"),A9, IF(INDEX(B9:J9, MATCH(AttributeFilter, B$1:J$1, 0)) &lt;&gt; 0, A9, ""))</f>
        <v>Bowl of Sharkfin Soup</v>
      </c>
    </row>
    <row r="10" spans="1:14">
      <c r="A10" s="207" t="s">
        <v>2765</v>
      </c>
      <c r="B10" s="195">
        <v>20</v>
      </c>
      <c r="K10" s="308" t="str">
        <f>IF(OR(COUNTBLANK(AttributeFilter) = 1,AttributeFilter="(Select)"),A10, IF(INDEX(B10:J10, MATCH(AttributeFilter, B$1:J$1, 0)) &lt;&gt; 0, A10, ""))</f>
        <v>Bowl of Watery Mushroom Soup</v>
      </c>
    </row>
    <row r="11" spans="1:14">
      <c r="A11" s="207" t="s">
        <v>2766</v>
      </c>
      <c r="B11" s="195">
        <v>20</v>
      </c>
      <c r="K11" s="308" t="str">
        <f>IF(OR(COUNTBLANK(AttributeFilter) = 1,AttributeFilter="(Select)"),A11, IF(INDEX(B11:J11, MATCH(AttributeFilter, B$1:J$1, 0)) &lt;&gt; 0, A11, ""))</f>
        <v>Warden Ration</v>
      </c>
    </row>
    <row r="12" spans="1:14">
      <c r="A12" s="207" t="s">
        <v>2767</v>
      </c>
      <c r="B12" s="195">
        <v>20</v>
      </c>
      <c r="K12" s="308" t="str">
        <f>IF(OR(COUNTBLANK(AttributeFilter) = 1,AttributeFilter="(Select)"),A12, IF(INDEX(B12:J12, MATCH(AttributeFilter, B$1:J$1, 0)) &lt;&gt; 0, A12, ""))</f>
        <v>Roasted Meaty Sandwich</v>
      </c>
    </row>
    <row r="13" spans="1:14">
      <c r="A13" s="207" t="s">
        <v>2768</v>
      </c>
      <c r="B13" s="195">
        <v>30</v>
      </c>
      <c r="K13" s="308" t="str">
        <f>IF(OR(COUNTBLANK(AttributeFilter) = 1,AttributeFilter="(Select)"),A13, IF(INDEX(B13:J13, MATCH(AttributeFilter, B$1:J$1, 0)) &lt;&gt; 0, A13, ""))</f>
        <v>Pepper Steak</v>
      </c>
    </row>
    <row r="14" spans="1:14">
      <c r="A14" s="207" t="s">
        <v>2769</v>
      </c>
      <c r="B14" s="195">
        <v>30</v>
      </c>
      <c r="K14" s="308" t="str">
        <f>IF(OR(COUNTBLANK(AttributeFilter) = 1,AttributeFilter="(Select)"),A14, IF(INDEX(B14:J14, MATCH(AttributeFilter, B$1:J$1, 0)) &lt;&gt; 0, A14, ""))</f>
        <v>Stick of Mystery Meat</v>
      </c>
    </row>
    <row r="15" spans="1:14">
      <c r="A15" s="207" t="s">
        <v>2770</v>
      </c>
      <c r="B15" s="195">
        <v>20</v>
      </c>
      <c r="K15" s="308" t="str">
        <f>IF(OR(COUNTBLANK(AttributeFilter) = 1,AttributeFilter="(Select)"),A15, IF(INDEX(B15:J15, MATCH(AttributeFilter, B$1:J$1, 0)) &lt;&gt; 0, A15, ""))</f>
        <v>Blessing Of Bear</v>
      </c>
    </row>
    <row r="16" spans="1:14">
      <c r="A16" s="207" t="s">
        <v>2771</v>
      </c>
      <c r="B16" s="195">
        <v>20</v>
      </c>
      <c r="K16" s="308" t="str">
        <f>IF(OR(COUNTBLANK(AttributeFilter) = 1,AttributeFilter="(Select)"),A16, IF(INDEX(B16:J16, MATCH(AttributeFilter, B$1:J$1, 0)) &lt;&gt; 0, A16, ""))</f>
        <v>Drottot's Poached Egg</v>
      </c>
    </row>
    <row r="17" spans="1:19">
      <c r="A17" s="207" t="s">
        <v>2772</v>
      </c>
      <c r="B17" s="195">
        <v>150</v>
      </c>
      <c r="K17" s="308" t="str">
        <f>IF(OR(COUNTBLANK(AttributeFilter) = 1,AttributeFilter="(Select)"),A17, IF(INDEX(B17:J17, MATCH(AttributeFilter, B$1:J$1, 0)) &lt;&gt; 0, A17, ""))</f>
        <v>Plate of Jerk Poultry</v>
      </c>
    </row>
    <row r="18" spans="1:19">
      <c r="A18" s="207" t="s">
        <v>2773</v>
      </c>
      <c r="B18" s="195">
        <v>50</v>
      </c>
      <c r="C18" s="195">
        <v>40</v>
      </c>
      <c r="K18" s="308" t="str">
        <f>IF(OR(COUNTBLANK(AttributeFilter) = 1,AttributeFilter="(Select)"),A18, IF(INDEX(B18:J18, MATCH(AttributeFilter, B$1:J$1, 0)) &lt;&gt; 0, A18, ""))</f>
        <v>Filet of Sesame-Roasted Meat</v>
      </c>
    </row>
    <row r="19" spans="1:19">
      <c r="A19" s="207" t="s">
        <v>2774</v>
      </c>
      <c r="B19" s="195">
        <v>60</v>
      </c>
      <c r="C19" s="195">
        <v>50</v>
      </c>
      <c r="K19" s="308" t="str">
        <f>IF(OR(COUNTBLANK(AttributeFilter) = 1,AttributeFilter="(Select)"),A19, IF(INDEX(B19:J19, MATCH(AttributeFilter, B$1:J$1, 0)) &lt;&gt; 0, A19, ""))</f>
        <v>Griffon Egg Omelet</v>
      </c>
    </row>
    <row r="20" spans="1:19">
      <c r="A20" s="207" t="s">
        <v>2775</v>
      </c>
      <c r="B20" s="195">
        <v>60</v>
      </c>
      <c r="C20" s="195">
        <v>50</v>
      </c>
      <c r="K20" s="308" t="str">
        <f>IF(OR(COUNTBLANK(AttributeFilter) = 1,AttributeFilter="(Select)"),A20, IF(INDEX(B20:J20, MATCH(AttributeFilter, B$1:J$1, 0)) &lt;&gt; 0, A20, ""))</f>
        <v>Plate of Coriander Crusted Meat</v>
      </c>
    </row>
    <row r="21" spans="1:19">
      <c r="A21" s="207" t="s">
        <v>2776</v>
      </c>
      <c r="B21" s="195">
        <v>80</v>
      </c>
      <c r="C21" s="195">
        <v>60</v>
      </c>
      <c r="K21" s="308" t="str">
        <f>IF(OR(COUNTBLANK(AttributeFilter) = 1,AttributeFilter="(Select)"),A21, IF(INDEX(B21:J21, MATCH(AttributeFilter, B$1:J$1, 0)) &lt;&gt; 0, A21, ""))</f>
        <v>Plate of Steak and Asparagus</v>
      </c>
    </row>
    <row r="22" spans="1:19">
      <c r="A22" s="207" t="s">
        <v>2777</v>
      </c>
      <c r="B22" s="195">
        <v>80</v>
      </c>
      <c r="C22" s="195">
        <v>60</v>
      </c>
      <c r="K22" s="308" t="str">
        <f>IF(OR(COUNTBLANK(AttributeFilter) = 1,AttributeFilter="(Select)"),A22, IF(INDEX(B22:J22, MATCH(AttributeFilter, B$1:J$1, 0)) &lt;&gt; 0, A22, ""))</f>
        <v>Can of Steak and Asparagus</v>
      </c>
    </row>
    <row r="23" spans="1:19">
      <c r="A23" s="207" t="s">
        <v>2778</v>
      </c>
      <c r="B23" s="195">
        <v>100</v>
      </c>
      <c r="C23" s="195">
        <v>70</v>
      </c>
      <c r="K23" s="308" t="str">
        <f>IF(OR(COUNTBLANK(AttributeFilter) = 1,AttributeFilter="(Select)"),A23, IF(INDEX(B23:J23, MATCH(AttributeFilter, B$1:J$1, 0)) &lt;&gt; 0, A23, ""))</f>
        <v>Plate of Truffle Steak</v>
      </c>
    </row>
    <row r="24" spans="1:19">
      <c r="A24" s="207" t="s">
        <v>2779</v>
      </c>
      <c r="B24" s="195">
        <v>100</v>
      </c>
      <c r="C24" s="195">
        <v>70</v>
      </c>
      <c r="K24" s="308" t="str">
        <f>IF(OR(COUNTBLANK(AttributeFilter) = 1,AttributeFilter="(Select)"),A24, IF(INDEX(B24:J24, MATCH(AttributeFilter, B$1:J$1, 0)) &lt;&gt; 0, A24, ""))</f>
        <v>Steak with Winterberry Sauce</v>
      </c>
    </row>
    <row r="25" spans="1:19">
      <c r="A25" s="207" t="s">
        <v>2780</v>
      </c>
      <c r="B25" s="195">
        <v>100</v>
      </c>
      <c r="D25" s="195">
        <v>70</v>
      </c>
      <c r="K25" s="308" t="str">
        <f>IF(OR(COUNTBLANK(AttributeFilter) = 1,AttributeFilter="(Select)"),A25, IF(INDEX(B25:J25, MATCH(AttributeFilter, B$1:J$1, 0)) &lt;&gt; 0, A25, ""))</f>
        <v>Spicy Marinated Mushroom</v>
      </c>
    </row>
    <row r="26" spans="1:19">
      <c r="A26" s="207" t="s">
        <v>2781</v>
      </c>
      <c r="B26" s="195">
        <v>100</v>
      </c>
      <c r="E26" s="195">
        <v>70</v>
      </c>
      <c r="K26" s="308" t="str">
        <f>IF(OR(COUNTBLANK(AttributeFilter) = 1,AttributeFilter="(Select)"),A26, IF(INDEX(B26:J26, MATCH(AttributeFilter, B$1:J$1, 0)) &lt;&gt; 0, A26, ""))</f>
        <v>Crunchy Grasshopper</v>
      </c>
      <c r="S26" s="346"/>
    </row>
    <row r="27" spans="1:19">
      <c r="A27" s="207" t="s">
        <v>2782</v>
      </c>
      <c r="B27" s="195">
        <v>50</v>
      </c>
      <c r="E27" s="195">
        <v>40</v>
      </c>
      <c r="K27" s="308" t="str">
        <f>IF(OR(COUNTBLANK(AttributeFilter) = 1,AttributeFilter="(Select)"),A27, IF(INDEX(B27:J27, MATCH(AttributeFilter, B$1:J$1, 0)) &lt;&gt; 0, A27, ""))</f>
        <v>Filet of Rosemary-Roasted Meat</v>
      </c>
    </row>
    <row r="28" spans="1:19">
      <c r="A28" s="207" t="s">
        <v>2783</v>
      </c>
      <c r="B28" s="195">
        <v>60</v>
      </c>
      <c r="E28" s="195">
        <v>50</v>
      </c>
      <c r="K28" s="308" t="str">
        <f>IF(OR(COUNTBLANK(AttributeFilter) = 1,AttributeFilter="(Select)"),A28, IF(INDEX(B28:J28, MATCH(AttributeFilter, B$1:J$1, 0)) &lt;&gt; 0, A28, ""))</f>
        <v>Plate of Roast Meat with Mint Sauce</v>
      </c>
    </row>
    <row r="29" spans="1:19">
      <c r="A29" s="207" t="s">
        <v>2784</v>
      </c>
      <c r="B29" s="195">
        <v>80</v>
      </c>
      <c r="E29" s="195">
        <v>60</v>
      </c>
      <c r="K29" s="308" t="str">
        <f>IF(OR(COUNTBLANK(AttributeFilter) = 1,AttributeFilter="(Select)"),A29, IF(INDEX(B29:J29, MATCH(AttributeFilter, B$1:J$1, 0)) &lt;&gt; 0, A29, ""))</f>
        <v>Can of Roasted Meat with Braised Leeks</v>
      </c>
    </row>
    <row r="30" spans="1:19">
      <c r="A30" s="207" t="s">
        <v>2785</v>
      </c>
      <c r="B30" s="195">
        <v>80</v>
      </c>
      <c r="E30" s="195">
        <v>60</v>
      </c>
      <c r="K30" s="308" t="str">
        <f>IF(OR(COUNTBLANK(AttributeFilter) = 1,AttributeFilter="(Select)"),A30, IF(INDEX(B30:J30, MATCH(AttributeFilter, B$1:J$1, 0)) &lt;&gt; 0, A30, ""))</f>
        <v>Plate of Roast Meat with Braised Leeks</v>
      </c>
    </row>
    <row r="31" spans="1:19">
      <c r="A31" s="207" t="s">
        <v>2786</v>
      </c>
      <c r="B31" s="195">
        <v>100</v>
      </c>
      <c r="E31" s="195">
        <v>70</v>
      </c>
      <c r="K31" s="308" t="str">
        <f>IF(OR(COUNTBLANK(AttributeFilter) = 1,AttributeFilter="(Select)"),A31, IF(INDEX(B31:J31, MATCH(AttributeFilter, B$1:J$1, 0)) &lt;&gt; 0, A31, ""))</f>
        <v>Plate of Orrian Steak Frittes</v>
      </c>
    </row>
    <row r="32" spans="1:19">
      <c r="A32" s="207" t="s">
        <v>2787</v>
      </c>
      <c r="B32" s="195">
        <v>50</v>
      </c>
      <c r="G32" s="195">
        <v>40</v>
      </c>
      <c r="K32" s="308" t="str">
        <f>IF(OR(COUNTBLANK(AttributeFilter) = 1,AttributeFilter="(Select)"),A32, IF(INDEX(B32:J32, MATCH(AttributeFilter, B$1:J$1, 0)) &lt;&gt; 0, A32, ""))</f>
        <v>Spicy Lime Steak</v>
      </c>
    </row>
    <row r="33" spans="1:11">
      <c r="A33" s="207" t="s">
        <v>2788</v>
      </c>
      <c r="B33" s="195">
        <v>60</v>
      </c>
      <c r="G33" s="195">
        <v>50</v>
      </c>
      <c r="K33" s="308" t="str">
        <f>IF(OR(COUNTBLANK(AttributeFilter) = 1,AttributeFilter="(Select)"),A33, IF(INDEX(B33:J33, MATCH(AttributeFilter, B$1:J$1, 0)) &lt;&gt; 0, A33, ""))</f>
        <v>Plate of Citrus Clove Meat</v>
      </c>
    </row>
    <row r="34" spans="1:11">
      <c r="A34" s="207" t="s">
        <v>2789</v>
      </c>
      <c r="B34" s="195">
        <v>80</v>
      </c>
      <c r="G34" s="195">
        <v>60</v>
      </c>
      <c r="K34" s="308" t="str">
        <f>IF(OR(COUNTBLANK(AttributeFilter) = 1,AttributeFilter="(Select)"),A34, IF(INDEX(B34:J34, MATCH(AttributeFilter, B$1:J$1, 0)) &lt;&gt; 0, A34, ""))</f>
        <v>Spicier Flank Steak</v>
      </c>
    </row>
    <row r="35" spans="1:11">
      <c r="A35" s="207" t="s">
        <v>2790</v>
      </c>
      <c r="B35" s="195">
        <v>80</v>
      </c>
      <c r="G35" s="195">
        <v>60</v>
      </c>
      <c r="K35" s="308" t="str">
        <f>IF(OR(COUNTBLANK(AttributeFilter) = 1,AttributeFilter="(Select)"),A35, IF(INDEX(B35:J35, MATCH(AttributeFilter, B$1:J$1, 0)) &lt;&gt; 0, A35, ""))</f>
        <v>Canned Spicier Flank Steak</v>
      </c>
    </row>
    <row r="36" spans="1:11">
      <c r="A36" s="207" t="s">
        <v>2791</v>
      </c>
      <c r="B36" s="195">
        <v>100</v>
      </c>
      <c r="G36" s="195">
        <v>70</v>
      </c>
      <c r="K36" s="308" t="str">
        <f>IF(OR(COUNTBLANK(AttributeFilter) = 1,AttributeFilter="(Select)"),A36, IF(INDEX(B36:J36, MATCH(AttributeFilter, B$1:J$1, 0)) &lt;&gt; 0, A36, ""))</f>
        <v>Plate of Fire Flank Steak</v>
      </c>
    </row>
    <row r="37" spans="1:11">
      <c r="A37" s="207" t="s">
        <v>2792</v>
      </c>
      <c r="B37" s="195">
        <v>50</v>
      </c>
      <c r="K37" s="308" t="str">
        <f>IF(OR(COUNTBLANK(AttributeFilter) = 1,AttributeFilter="(Select)"),A37, IF(INDEX(B37:J37, MATCH(AttributeFilter, B$1:J$1, 0)) &lt;&gt; 0, A37, ""))</f>
        <v>Bowl of Marjory's Experimental Chili</v>
      </c>
    </row>
    <row r="38" spans="1:11">
      <c r="A38" s="207" t="s">
        <v>2793</v>
      </c>
      <c r="B38" s="195">
        <v>80</v>
      </c>
      <c r="F38" s="195">
        <v>60</v>
      </c>
      <c r="K38" s="308" t="str">
        <f>IF(OR(COUNTBLANK(AttributeFilter) = 1,AttributeFilter="(Select)"),A38, IF(INDEX(B38:J38, MATCH(AttributeFilter, B$1:J$1, 0)) &lt;&gt; 0, A38, ""))</f>
        <v>Avocado Smoothie</v>
      </c>
    </row>
    <row r="39" spans="1:11">
      <c r="A39" s="207" t="s">
        <v>2794</v>
      </c>
      <c r="B39" s="195">
        <v>100</v>
      </c>
      <c r="F39" s="195">
        <v>70</v>
      </c>
      <c r="K39" s="308" t="str">
        <f>IF(OR(COUNTBLANK(AttributeFilter) = 1,AttributeFilter="(Select)"),A39, IF(INDEX(B39:J39, MATCH(AttributeFilter, B$1:J$1, 0)) &lt;&gt; 0, A39, ""))</f>
        <v>Bowl of Sweet and Spicy Butternut Squash Soup</v>
      </c>
    </row>
    <row r="40" spans="1:11">
      <c r="A40" s="207" t="s">
        <v>2795</v>
      </c>
      <c r="B40" s="195">
        <v>100</v>
      </c>
      <c r="F40" s="195">
        <v>70</v>
      </c>
      <c r="K40" s="308" t="str">
        <f>IF(OR(COUNTBLANK(AttributeFilter) = 1,AttributeFilter="(Select)"),A40, IF(INDEX(B40:J40, MATCH(AttributeFilter, B$1:J$1, 0)) &lt;&gt; 0, A40, ""))</f>
        <v>Plate of Spicy Moa Wings</v>
      </c>
    </row>
    <row r="41" spans="1:11">
      <c r="A41" s="207" t="s">
        <v>2796</v>
      </c>
      <c r="B41" s="195">
        <v>100</v>
      </c>
      <c r="J41" s="195">
        <v>70</v>
      </c>
      <c r="K41" s="308" t="str">
        <f>IF(OR(COUNTBLANK(AttributeFilter) = 1,AttributeFilter="(Select)"),A41, IF(INDEX(B41:J41, MATCH(AttributeFilter, B$1:J$1, 0)) &lt;&gt; 0, A41, ""))</f>
        <v>Bowl of Passion Fruit Tapioca Pudding</v>
      </c>
    </row>
    <row r="42" spans="1:11">
      <c r="A42" s="207" t="s">
        <v>2797</v>
      </c>
      <c r="C42" s="195">
        <v>20</v>
      </c>
      <c r="K42" s="308" t="str">
        <f>IF(OR(COUNTBLANK(AttributeFilter) = 1,AttributeFilter="(Select)"),A42, IF(INDEX(B42:J42, MATCH(AttributeFilter, B$1:J$1, 0)) &lt;&gt; 0, A42, ""))</f>
        <v>Kodan Incense</v>
      </c>
    </row>
    <row r="43" spans="1:11">
      <c r="A43" s="207" t="s">
        <v>2798</v>
      </c>
      <c r="C43" s="195">
        <v>20</v>
      </c>
      <c r="K43" s="308" t="str">
        <f>IF(OR(COUNTBLANK(AttributeFilter) = 1,AttributeFilter="(Select)"),A43, IF(INDEX(B43:J43, MATCH(AttributeFilter, B$1:J$1, 0)) &lt;&gt; 0, A43, ""))</f>
        <v>Bowl of Vegetable Stock</v>
      </c>
    </row>
    <row r="44" spans="1:11">
      <c r="A44" s="207" t="s">
        <v>2799</v>
      </c>
      <c r="C44" s="195">
        <v>20</v>
      </c>
      <c r="K44" s="308" t="str">
        <f>IF(OR(COUNTBLANK(AttributeFilter) = 1,AttributeFilter="(Select)"),A44, IF(INDEX(B44:J44, MATCH(AttributeFilter, B$1:J$1, 0)) &lt;&gt; 0, A44, ""))</f>
        <v>Bowl of Simple Vegetable Soup</v>
      </c>
    </row>
    <row r="45" spans="1:11">
      <c r="A45" s="207" t="s">
        <v>2800</v>
      </c>
      <c r="C45" s="195">
        <v>30</v>
      </c>
      <c r="K45" s="308" t="str">
        <f>IF(OR(COUNTBLANK(AttributeFilter) = 1,AttributeFilter="(Select)"),A45, IF(INDEX(B45:J45, MATCH(AttributeFilter, B$1:J$1, 0)) &lt;&gt; 0, A45, ""))</f>
        <v>Bowl of Tomato Soup</v>
      </c>
    </row>
    <row r="46" spans="1:11">
      <c r="A46" s="207" t="s">
        <v>2801</v>
      </c>
      <c r="C46" s="195">
        <v>30</v>
      </c>
      <c r="K46" s="308" t="str">
        <f>IF(OR(COUNTBLANK(AttributeFilter) = 1,AttributeFilter="(Select)"),A46, IF(INDEX(B46:J46, MATCH(AttributeFilter, B$1:J$1, 0)) &lt;&gt; 0, A46, ""))</f>
        <v>Bowl of Ice Wurm Bisque</v>
      </c>
    </row>
    <row r="47" spans="1:11">
      <c r="A47" s="207" t="s">
        <v>2802</v>
      </c>
      <c r="C47" s="195">
        <v>30</v>
      </c>
      <c r="K47" s="308" t="str">
        <f>IF(OR(COUNTBLANK(AttributeFilter) = 1,AttributeFilter="(Select)"),A47, IF(INDEX(B47:J47, MATCH(AttributeFilter, B$1:J$1, 0)) &lt;&gt; 0, A47, ""))</f>
        <v>Bowl of Beet and Bean Stew</v>
      </c>
    </row>
    <row r="48" spans="1:11">
      <c r="A48" s="207" t="s">
        <v>2803</v>
      </c>
      <c r="C48" s="195">
        <v>150</v>
      </c>
      <c r="K48" s="308" t="str">
        <f>IF(OR(COUNTBLANK(AttributeFilter) = 1,AttributeFilter="(Select)"),A48, IF(INDEX(B48:J48, MATCH(AttributeFilter, B$1:J$1, 0)) &lt;&gt; 0, A48, ""))</f>
        <v>Bowl of Sawgill Mushroom Risotto</v>
      </c>
    </row>
    <row r="49" spans="1:11">
      <c r="A49" s="207" t="s">
        <v>2804</v>
      </c>
      <c r="C49" s="195">
        <v>50</v>
      </c>
      <c r="E49" s="195">
        <v>40</v>
      </c>
      <c r="K49" s="308" t="str">
        <f>IF(OR(COUNTBLANK(AttributeFilter) = 1,AttributeFilter="(Select)"),A49, IF(INDEX(B49:J49, MATCH(AttributeFilter, B$1:J$1, 0)) &lt;&gt; 0, A49, ""))</f>
        <v>Bowl of Herbed Vegetable Stock</v>
      </c>
    </row>
    <row r="50" spans="1:11">
      <c r="A50" s="207" t="s">
        <v>2805</v>
      </c>
      <c r="C50" s="195">
        <v>50</v>
      </c>
      <c r="E50" s="195">
        <v>40</v>
      </c>
      <c r="K50" s="308" t="str">
        <f>IF(OR(COUNTBLANK(AttributeFilter) = 1,AttributeFilter="(Select)"),A50, IF(INDEX(B50:J50, MATCH(AttributeFilter, B$1:J$1, 0)) &lt;&gt; 0, A50, ""))</f>
        <v>Bowl of Kale Soup</v>
      </c>
    </row>
    <row r="51" spans="1:11">
      <c r="A51" s="207" t="s">
        <v>2806</v>
      </c>
      <c r="C51" s="195">
        <v>60</v>
      </c>
      <c r="E51" s="195">
        <v>50</v>
      </c>
      <c r="K51" s="308" t="str">
        <f>IF(OR(COUNTBLANK(AttributeFilter) = 1,AttributeFilter="(Select)"),A51, IF(INDEX(B51:J51, MATCH(AttributeFilter, B$1:J$1, 0)) &lt;&gt; 0, A51, ""))</f>
        <v>Bowl of Chickpea Soup</v>
      </c>
    </row>
    <row r="52" spans="1:11">
      <c r="A52" s="207" t="s">
        <v>2807</v>
      </c>
      <c r="C52" s="195">
        <v>80</v>
      </c>
      <c r="E52" s="195">
        <v>60</v>
      </c>
      <c r="K52" s="308" t="str">
        <f>IF(OR(COUNTBLANK(AttributeFilter) = 1,AttributeFilter="(Select)"),A52, IF(INDEX(B52:J52, MATCH(AttributeFilter, B$1:J$1, 0)) &lt;&gt; 0, A52, ""))</f>
        <v>Slice of Ice Worm Sashimi</v>
      </c>
    </row>
    <row r="53" spans="1:11">
      <c r="A53" s="207" t="s">
        <v>2808</v>
      </c>
      <c r="C53" s="195">
        <v>80</v>
      </c>
      <c r="E53" s="195">
        <v>60</v>
      </c>
      <c r="K53" s="308" t="str">
        <f>IF(OR(COUNTBLANK(AttributeFilter) = 1,AttributeFilter="(Select)"),A53, IF(INDEX(B53:J53, MATCH(AttributeFilter, B$1:J$1, 0)) &lt;&gt; 0, A53, ""))</f>
        <v>Can of Artichoke Soup</v>
      </c>
    </row>
    <row r="54" spans="1:11">
      <c r="A54" s="207" t="s">
        <v>2809</v>
      </c>
      <c r="C54" s="195">
        <v>80</v>
      </c>
      <c r="E54" s="195">
        <v>60</v>
      </c>
      <c r="K54" s="308" t="str">
        <f>IF(OR(COUNTBLANK(AttributeFilter) = 1,AttributeFilter="(Select)"),A54, IF(INDEX(B54:J54, MATCH(AttributeFilter, B$1:J$1, 0)) &lt;&gt; 0, A54, ""))</f>
        <v>Bowl of Artichoke Soup</v>
      </c>
    </row>
    <row r="55" spans="1:11">
      <c r="A55" s="207" t="s">
        <v>2810</v>
      </c>
      <c r="C55" s="195">
        <v>100</v>
      </c>
      <c r="E55" s="195">
        <v>70</v>
      </c>
      <c r="K55" s="308" t="str">
        <f>IF(OR(COUNTBLANK(AttributeFilter) = 1,AttributeFilter="(Select)"),A55, IF(INDEX(B55:J55, MATCH(AttributeFilter, B$1:J$1, 0)) &lt;&gt; 0, A55, ""))</f>
        <v>Bowl of Curry Pumpkin Soup</v>
      </c>
    </row>
    <row r="56" spans="1:11">
      <c r="A56" s="207" t="s">
        <v>2811</v>
      </c>
      <c r="C56" s="195">
        <v>50</v>
      </c>
      <c r="G56" s="195">
        <v>40</v>
      </c>
      <c r="K56" s="308" t="str">
        <f>IF(OR(COUNTBLANK(AttributeFilter) = 1,AttributeFilter="(Select)"),A56, IF(INDEX(B56:J56, MATCH(AttributeFilter, B$1:J$1, 0)) &lt;&gt; 0, A56, ""))</f>
        <v>Bowl of Yam Soup</v>
      </c>
    </row>
    <row r="57" spans="1:11">
      <c r="A57" s="207" t="s">
        <v>2812</v>
      </c>
      <c r="C57" s="195">
        <v>60</v>
      </c>
      <c r="G57" s="195">
        <v>50</v>
      </c>
      <c r="K57" s="308" t="str">
        <f>IF(OR(COUNTBLANK(AttributeFilter) = 1,AttributeFilter="(Select)"),A57, IF(INDEX(B57:J57, MATCH(AttributeFilter, B$1:J$1, 0)) &lt;&gt; 0, A57, ""))</f>
        <v>Bowl of Pumpkin Bisque</v>
      </c>
    </row>
    <row r="58" spans="1:11">
      <c r="A58" s="207" t="s">
        <v>2813</v>
      </c>
      <c r="C58" s="195">
        <v>80</v>
      </c>
      <c r="G58" s="195">
        <v>60</v>
      </c>
      <c r="K58" s="308" t="str">
        <f>IF(OR(COUNTBLANK(AttributeFilter) = 1,AttributeFilter="(Select)"),A58, IF(INDEX(B58:J58, MATCH(AttributeFilter, B$1:J$1, 0)) &lt;&gt; 0, A58, ""))</f>
        <v>Bowl of Potato and Leek Soup</v>
      </c>
    </row>
    <row r="59" spans="1:11">
      <c r="A59" s="207" t="s">
        <v>2814</v>
      </c>
      <c r="C59" s="195">
        <v>80</v>
      </c>
      <c r="G59" s="195">
        <v>60</v>
      </c>
      <c r="K59" s="308" t="str">
        <f>IF(OR(COUNTBLANK(AttributeFilter) = 1,AttributeFilter="(Select)"),A59, IF(INDEX(B59:J59, MATCH(AttributeFilter, B$1:J$1, 0)) &lt;&gt; 0, A59, ""))</f>
        <v>Can of Potato and Leek Soup</v>
      </c>
    </row>
    <row r="60" spans="1:11">
      <c r="A60" s="207" t="s">
        <v>2815</v>
      </c>
      <c r="C60" s="195">
        <v>100</v>
      </c>
      <c r="G60" s="195">
        <v>70</v>
      </c>
      <c r="K60" s="308" t="str">
        <f>IF(OR(COUNTBLANK(AttributeFilter) = 1,AttributeFilter="(Select)"),A60, IF(INDEX(B60:J60, MATCH(AttributeFilter, B$1:J$1, 0)) &lt;&gt; 0, A60, ""))</f>
        <v>Bowl of Fancy Potato and Leek Soup</v>
      </c>
    </row>
    <row r="61" spans="1:11">
      <c r="A61" s="207" t="s">
        <v>2816</v>
      </c>
      <c r="C61" s="195">
        <v>50</v>
      </c>
      <c r="F61" s="195">
        <v>40</v>
      </c>
      <c r="K61" s="308" t="str">
        <f>IF(OR(COUNTBLANK(AttributeFilter) = 1,AttributeFilter="(Select)"),A61, IF(INDEX(B61:J61, MATCH(AttributeFilter, B$1:J$1, 0)) &lt;&gt; 0, A61, ""))</f>
        <v>Bowl of Skalefin Soup</v>
      </c>
    </row>
    <row r="62" spans="1:11">
      <c r="A62" s="207" t="s">
        <v>2817</v>
      </c>
      <c r="C62" s="195">
        <v>50</v>
      </c>
      <c r="F62" s="195">
        <v>40</v>
      </c>
      <c r="K62" s="308" t="str">
        <f>IF(OR(COUNTBLANK(AttributeFilter) = 1,AttributeFilter="(Select)"),A62, IF(INDEX(B62:J62, MATCH(AttributeFilter, B$1:J$1, 0)) &lt;&gt; 0, A62, ""))</f>
        <v>Bowl of Tomato Zucchini Soup</v>
      </c>
    </row>
    <row r="63" spans="1:11">
      <c r="A63" s="207" t="s">
        <v>2818</v>
      </c>
      <c r="C63" s="195">
        <v>60</v>
      </c>
      <c r="F63" s="195">
        <v>50</v>
      </c>
      <c r="K63" s="308" t="str">
        <f>IF(OR(COUNTBLANK(AttributeFilter) = 1,AttributeFilter="(Select)"),A63, IF(INDEX(B63:J63, MATCH(AttributeFilter, B$1:J$1, 0)) &lt;&gt; 0, A63, ""))</f>
        <v>Bowl of Cauliflower Soup</v>
      </c>
    </row>
    <row r="64" spans="1:11">
      <c r="A64" s="207" t="s">
        <v>2819</v>
      </c>
      <c r="C64" s="195">
        <v>60</v>
      </c>
      <c r="F64" s="195">
        <v>50</v>
      </c>
      <c r="K64" s="308" t="str">
        <f>IF(OR(COUNTBLANK(AttributeFilter) = 1,AttributeFilter="(Select)"),A64, IF(INDEX(B64:J64, MATCH(AttributeFilter, B$1:J$1, 0)) &lt;&gt; 0, A64, ""))</f>
        <v>Minotaur Steak</v>
      </c>
    </row>
    <row r="65" spans="1:11">
      <c r="A65" s="207" t="s">
        <v>2820</v>
      </c>
      <c r="C65" s="195">
        <v>80</v>
      </c>
      <c r="F65" s="195">
        <v>60</v>
      </c>
      <c r="K65" s="308" t="str">
        <f>IF(OR(COUNTBLANK(AttributeFilter) = 1,AttributeFilter="(Select)"),A65, IF(INDEX(B65:J65, MATCH(AttributeFilter, B$1:J$1, 0)) &lt;&gt; 0, A65, ""))</f>
        <v>Bowl of Butternut Squash Soup</v>
      </c>
    </row>
    <row r="66" spans="1:11">
      <c r="A66" s="207" t="s">
        <v>2821</v>
      </c>
      <c r="C66" s="195">
        <v>80</v>
      </c>
      <c r="F66" s="195">
        <v>60</v>
      </c>
      <c r="K66" s="308" t="str">
        <f>IF(OR(COUNTBLANK(AttributeFilter) = 1,AttributeFilter="(Select)"),A66, IF(INDEX(B66:J66, MATCH(AttributeFilter, B$1:J$1, 0)) &lt;&gt; 0, A66, ""))</f>
        <v>Can of Butternut Squash Soup</v>
      </c>
    </row>
    <row r="67" spans="1:11">
      <c r="A67" s="207" t="s">
        <v>2822</v>
      </c>
      <c r="C67" s="195">
        <v>100</v>
      </c>
      <c r="F67" s="195">
        <v>70</v>
      </c>
      <c r="K67" s="308" t="str">
        <f>IF(OR(COUNTBLANK(AttributeFilter) = 1,AttributeFilter="(Select)"),A67, IF(INDEX(B67:J67, MATCH(AttributeFilter, B$1:J$1, 0)) &lt;&gt; 0, A67, ""))</f>
        <v>Bowl of Curry Butternut Squash Soup</v>
      </c>
    </row>
    <row r="68" spans="1:11">
      <c r="A68" s="207" t="s">
        <v>2823</v>
      </c>
      <c r="D68" s="195">
        <v>20</v>
      </c>
      <c r="K68" s="308" t="str">
        <f>IF(OR(COUNTBLANK(AttributeFilter) = 1,AttributeFilter="(Select)"),A68, IF(INDEX(B68:J68, MATCH(AttributeFilter, B$1:J$1, 0)) &lt;&gt; 0, A68, ""))</f>
        <v>Poached Salmon Filet</v>
      </c>
    </row>
    <row r="69" spans="1:11">
      <c r="A69" s="207" t="s">
        <v>2824</v>
      </c>
      <c r="D69" s="195">
        <v>20</v>
      </c>
      <c r="K69" s="308" t="str">
        <f>IF(OR(COUNTBLANK(AttributeFilter) = 1,AttributeFilter="(Select)"),A69, IF(INDEX(B69:J69, MATCH(AttributeFilter, B$1:J$1, 0)) &lt;&gt; 0, A69, ""))</f>
        <v>Blueberry Muffin</v>
      </c>
    </row>
    <row r="70" spans="1:11">
      <c r="A70" s="207" t="s">
        <v>2825</v>
      </c>
      <c r="D70" s="195">
        <v>30</v>
      </c>
      <c r="K70" s="308" t="str">
        <f>IF(OR(COUNTBLANK(AttributeFilter) = 1,AttributeFilter="(Select)"),A70, IF(INDEX(B70:J70, MATCH(AttributeFilter, B$1:J$1, 0)) &lt;&gt; 0, A70, ""))</f>
        <v>Blackened Fish Steak</v>
      </c>
    </row>
    <row r="71" spans="1:11">
      <c r="A71" s="207" t="s">
        <v>2826</v>
      </c>
      <c r="D71" s="195">
        <v>20</v>
      </c>
      <c r="K71" s="308" t="str">
        <f>IF(OR(COUNTBLANK(AttributeFilter) = 1,AttributeFilter="(Select)"),A71, IF(INDEX(B71:J71, MATCH(AttributeFilter, B$1:J$1, 0)) &lt;&gt; 0, A71, ""))</f>
        <v>Passion Fruit SoufflÃ©</v>
      </c>
    </row>
    <row r="72" spans="1:11">
      <c r="A72" s="207" t="s">
        <v>2827</v>
      </c>
      <c r="D72" s="195">
        <v>20</v>
      </c>
      <c r="K72" s="308" t="str">
        <f>IF(OR(COUNTBLANK(AttributeFilter) = 1,AttributeFilter="(Select)"),A72, IF(INDEX(B72:J72, MATCH(AttributeFilter, B$1:J$1, 0)) &lt;&gt; 0, A72, ""))</f>
        <v>Plate of Pasta with Tomato Sauce</v>
      </c>
    </row>
    <row r="73" spans="1:11">
      <c r="A73" s="207" t="s">
        <v>2828</v>
      </c>
      <c r="D73" s="195">
        <v>30</v>
      </c>
      <c r="K73" s="308" t="str">
        <f>IF(OR(COUNTBLANK(AttributeFilter) = 1,AttributeFilter="(Select)"),A73, IF(INDEX(B73:J73, MATCH(AttributeFilter, B$1:J$1, 0)) &lt;&gt; 0, A73, ""))</f>
        <v>Meatball</v>
      </c>
    </row>
    <row r="74" spans="1:11">
      <c r="A74" s="207" t="s">
        <v>2829</v>
      </c>
      <c r="D74" s="195">
        <v>30</v>
      </c>
      <c r="K74" s="308" t="str">
        <f>IF(OR(COUNTBLANK(AttributeFilter) = 1,AttributeFilter="(Select)"),A74, IF(INDEX(B74:J74, MATCH(AttributeFilter, B$1:J$1, 0)) &lt;&gt; 0, A74, ""))</f>
        <v>Meatball Dinner</v>
      </c>
    </row>
    <row r="75" spans="1:11">
      <c r="A75" s="207" t="s">
        <v>2830</v>
      </c>
      <c r="D75" s="195">
        <v>30</v>
      </c>
      <c r="K75" s="308" t="str">
        <f>IF(OR(COUNTBLANK(AttributeFilter) = 1,AttributeFilter="(Select)"),A75, IF(INDEX(B75:J75, MATCH(AttributeFilter, B$1:J$1, 0)) &lt;&gt; 0, A75, ""))</f>
        <v>Bowl of Grilled Bananas with Passion Fruit Sauce</v>
      </c>
    </row>
    <row r="76" spans="1:11">
      <c r="A76" s="207" t="s">
        <v>2831</v>
      </c>
      <c r="B76" s="195">
        <v>70</v>
      </c>
      <c r="D76" s="195">
        <v>100</v>
      </c>
      <c r="K76" s="308" t="str">
        <f>IF(OR(COUNTBLANK(AttributeFilter) = 1,AttributeFilter="(Select)"),A76, IF(INDEX(B76:J76, MATCH(AttributeFilter, B$1:J$1, 0)) &lt;&gt; 0, A76, ""))</f>
        <v>Plate of Spicy Herbed Chicken</v>
      </c>
    </row>
    <row r="77" spans="1:11">
      <c r="A77" s="207" t="s">
        <v>2832</v>
      </c>
      <c r="C77" s="195">
        <v>40</v>
      </c>
      <c r="D77" s="195">
        <v>50</v>
      </c>
      <c r="K77" s="308" t="str">
        <f>IF(OR(COUNTBLANK(AttributeFilter) = 1,AttributeFilter="(Select)"),A77, IF(INDEX(B77:J77, MATCH(AttributeFilter, B$1:J$1, 0)) &lt;&gt; 0, A77, ""))</f>
        <v>Boiled Crawdad</v>
      </c>
    </row>
    <row r="78" spans="1:11">
      <c r="A78" s="207" t="s">
        <v>2833</v>
      </c>
      <c r="C78" s="195">
        <v>40</v>
      </c>
      <c r="D78" s="195">
        <v>50</v>
      </c>
      <c r="K78" s="308" t="str">
        <f>IF(OR(COUNTBLANK(AttributeFilter) = 1,AttributeFilter="(Select)"),A78, IF(INDEX(B78:J78, MATCH(AttributeFilter, B$1:J$1, 0)) &lt;&gt; 0, A78, ""))</f>
        <v>Bowl of Gladiator Gruel</v>
      </c>
    </row>
    <row r="79" spans="1:11">
      <c r="A79" s="207" t="s">
        <v>2834</v>
      </c>
      <c r="C79" s="195">
        <v>40</v>
      </c>
      <c r="D79" s="195">
        <v>50</v>
      </c>
      <c r="K79" s="308" t="str">
        <f>IF(OR(COUNTBLANK(AttributeFilter) = 1,AttributeFilter="(Select)"),A79, IF(INDEX(B79:J79, MATCH(AttributeFilter, B$1:J$1, 0)) &lt;&gt; 0, A79, ""))</f>
        <v>Bowl of Krytan Meatball Dinner</v>
      </c>
    </row>
    <row r="80" spans="1:11">
      <c r="A80" s="207" t="s">
        <v>2835</v>
      </c>
      <c r="C80" s="195">
        <v>50</v>
      </c>
      <c r="D80" s="195">
        <v>60</v>
      </c>
      <c r="K80" s="308" t="str">
        <f>IF(OR(COUNTBLANK(AttributeFilter) = 1,AttributeFilter="(Select)"),A80, IF(INDEX(B80:J80, MATCH(AttributeFilter, B$1:J$1, 0)) &lt;&gt; 0, A80, ""))</f>
        <v>Blessing of Azantil</v>
      </c>
    </row>
    <row r="81" spans="1:11">
      <c r="A81" s="207" t="s">
        <v>2836</v>
      </c>
      <c r="C81" s="195">
        <v>50</v>
      </c>
      <c r="D81" s="195">
        <v>60</v>
      </c>
      <c r="K81" s="308" t="str">
        <f>IF(OR(COUNTBLANK(AttributeFilter) = 1,AttributeFilter="(Select)"),A81, IF(INDEX(B81:J81, MATCH(AttributeFilter, B$1:J$1, 0)) &lt;&gt; 0, A81, ""))</f>
        <v>Bowl of Pesto Pasta Salad</v>
      </c>
    </row>
    <row r="82" spans="1:11">
      <c r="A82" s="207" t="s">
        <v>2837</v>
      </c>
      <c r="C82" s="195">
        <v>60</v>
      </c>
      <c r="D82" s="195">
        <v>80</v>
      </c>
      <c r="K82" s="308" t="str">
        <f>IF(OR(COUNTBLANK(AttributeFilter) = 1,AttributeFilter="(Select)"),A82, IF(INDEX(B82:J82, MATCH(AttributeFilter, B$1:J$1, 0)) &lt;&gt; 0, A82, ""))</f>
        <v>Can of Poultry Tarragon Pasta</v>
      </c>
    </row>
    <row r="83" spans="1:11">
      <c r="A83" s="207" t="s">
        <v>2838</v>
      </c>
      <c r="C83" s="195">
        <v>60</v>
      </c>
      <c r="D83" s="195">
        <v>80</v>
      </c>
      <c r="K83" s="308" t="str">
        <f>IF(OR(COUNTBLANK(AttributeFilter) = 1,AttributeFilter="(Select)"),A83, IF(INDEX(B83:J83, MATCH(AttributeFilter, B$1:J$1, 0)) &lt;&gt; 0, A83, ""))</f>
        <v>Bowl of Poultry Tarragon Pasta</v>
      </c>
    </row>
    <row r="84" spans="1:11">
      <c r="A84" s="207" t="s">
        <v>2839</v>
      </c>
      <c r="C84" s="195">
        <v>70</v>
      </c>
      <c r="D84" s="195">
        <v>100</v>
      </c>
      <c r="K84" s="308" t="str">
        <f>IF(OR(COUNTBLANK(AttributeFilter) = 1,AttributeFilter="(Select)"),A84, IF(INDEX(B84:J84, MATCH(AttributeFilter, B$1:J$1, 0)) &lt;&gt; 0, A84, ""))</f>
        <v>Bowl of Truffle Ravioli</v>
      </c>
    </row>
    <row r="85" spans="1:11">
      <c r="A85" s="207" t="s">
        <v>2840</v>
      </c>
      <c r="C85" s="195">
        <v>70</v>
      </c>
      <c r="D85" s="195">
        <v>100</v>
      </c>
      <c r="K85" s="308" t="str">
        <f>IF(OR(COUNTBLANK(AttributeFilter) = 1,AttributeFilter="(Select)"),A85, IF(INDEX(B85:J85, MATCH(AttributeFilter, B$1:J$1, 0)) &lt;&gt; 0, A85, ""))</f>
        <v>Plate of Frostgorge Clams</v>
      </c>
    </row>
    <row r="86" spans="1:11">
      <c r="A86" s="207" t="s">
        <v>2841</v>
      </c>
      <c r="D86" s="195">
        <v>50</v>
      </c>
      <c r="G86" s="195">
        <v>40</v>
      </c>
      <c r="K86" s="308" t="str">
        <f>IF(OR(COUNTBLANK(AttributeFilter) = 1,AttributeFilter="(Select)"),A86, IF(INDEX(B86:J86, MATCH(AttributeFilter, B$1:J$1, 0)) &lt;&gt; 0, A86, ""))</f>
        <v>Bowl of Salad a la Consortium</v>
      </c>
    </row>
    <row r="87" spans="1:11">
      <c r="A87" s="207" t="s">
        <v>2842</v>
      </c>
      <c r="D87" s="195">
        <v>60</v>
      </c>
      <c r="G87" s="195">
        <v>50</v>
      </c>
      <c r="K87" s="308" t="str">
        <f>IF(OR(COUNTBLANK(AttributeFilter) = 1,AttributeFilter="(Select)"),A87, IF(INDEX(B87:J87, MATCH(AttributeFilter, B$1:J$1, 0)) &lt;&gt; 0, A87, ""))</f>
        <v>Passion Fruit Coconut Cookie</v>
      </c>
    </row>
    <row r="88" spans="1:11">
      <c r="A88" s="207" t="s">
        <v>2843</v>
      </c>
      <c r="D88" s="195">
        <v>80</v>
      </c>
      <c r="G88" s="195">
        <v>60</v>
      </c>
      <c r="K88" s="308" t="str">
        <f>IF(OR(COUNTBLANK(AttributeFilter) = 1,AttributeFilter="(Select)"),A88, IF(INDEX(B88:J88, MATCH(AttributeFilter, B$1:J$1, 0)) &lt;&gt; 0, A88, ""))</f>
        <v>Canned Stuffed Artichoke with Tropical Dressing</v>
      </c>
    </row>
    <row r="89" spans="1:11">
      <c r="A89" s="207" t="s">
        <v>2844</v>
      </c>
      <c r="D89" s="195">
        <v>80</v>
      </c>
      <c r="G89" s="195">
        <v>60</v>
      </c>
      <c r="K89" s="308" t="str">
        <f>IF(OR(COUNTBLANK(AttributeFilter) = 1,AttributeFilter="(Select)"),A89, IF(INDEX(B89:J89, MATCH(AttributeFilter, B$1:J$1, 0)) &lt;&gt; 0, A89, ""))</f>
        <v>Stuffed Artichoke with Tropical Dressing</v>
      </c>
    </row>
    <row r="90" spans="1:11">
      <c r="A90" s="207" t="s">
        <v>2845</v>
      </c>
      <c r="D90" s="195">
        <v>100</v>
      </c>
      <c r="G90" s="195">
        <v>70</v>
      </c>
      <c r="K90" s="308" t="str">
        <f>IF(OR(COUNTBLANK(AttributeFilter) = 1,AttributeFilter="(Select)"),A90, IF(INDEX(B90:J90, MATCH(AttributeFilter, B$1:J$1, 0)) &lt;&gt; 0, A90, ""))</f>
        <v>Bowl of Tropical Mousse</v>
      </c>
    </row>
    <row r="91" spans="1:11">
      <c r="A91" s="207" t="s">
        <v>2846</v>
      </c>
      <c r="D91" s="195">
        <v>100</v>
      </c>
      <c r="J91" s="195">
        <v>70</v>
      </c>
      <c r="K91" s="308" t="str">
        <f>IF(OR(COUNTBLANK(AttributeFilter) = 1,AttributeFilter="(Select)"),A91, IF(INDEX(B91:J91, MATCH(AttributeFilter, B$1:J$1, 0)) &lt;&gt; 0, A91, ""))</f>
        <v>Bowl of Chocolate Tapioca Pudding</v>
      </c>
    </row>
    <row r="92" spans="1:11">
      <c r="A92" s="207" t="s">
        <v>2847</v>
      </c>
      <c r="D92" s="195">
        <v>100</v>
      </c>
      <c r="K92" s="308" t="str">
        <f>IF(OR(COUNTBLANK(AttributeFilter) = 1,AttributeFilter="(Select)"),A92, IF(INDEX(B92:J92, MATCH(AttributeFilter, B$1:J$1, 0)) &lt;&gt; 0, A92, ""))</f>
        <v>Bowl of Refugee's Beet Soup</v>
      </c>
    </row>
    <row r="93" spans="1:11">
      <c r="A93" s="207" t="s">
        <v>2848</v>
      </c>
      <c r="E93" s="195">
        <v>20</v>
      </c>
      <c r="K93" s="308" t="str">
        <f>IF(OR(COUNTBLANK(AttributeFilter) = 1,AttributeFilter="(Select)"),A93, IF(INDEX(B93:J93, MATCH(AttributeFilter, B$1:J$1, 0)) &lt;&gt; 0, A93, ""))</f>
        <v>Grumble Cake</v>
      </c>
    </row>
    <row r="94" spans="1:11">
      <c r="A94" s="207" t="s">
        <v>2849</v>
      </c>
      <c r="E94" s="195">
        <v>20</v>
      </c>
      <c r="K94" s="308" t="str">
        <f>IF(OR(COUNTBLANK(AttributeFilter) = 1,AttributeFilter="(Select)"),A94, IF(INDEX(B94:J94, MATCH(AttributeFilter, B$1:J$1, 0)) &lt;&gt; 0, A94, ""))</f>
        <v>Loaf of Bread</v>
      </c>
    </row>
    <row r="95" spans="1:11">
      <c r="A95" s="207" t="s">
        <v>2850</v>
      </c>
      <c r="E95" s="195">
        <v>20</v>
      </c>
      <c r="K95" s="308" t="str">
        <f>IF(OR(COUNTBLANK(AttributeFilter) = 1,AttributeFilter="(Select)"),A95, IF(INDEX(B95:J95, MATCH(AttributeFilter, B$1:J$1, 0)) &lt;&gt; 0, A95, ""))</f>
        <v>Buttermilk Biscuit</v>
      </c>
    </row>
    <row r="96" spans="1:11">
      <c r="A96" s="207" t="s">
        <v>2851</v>
      </c>
      <c r="E96" s="195">
        <v>20</v>
      </c>
      <c r="K96" s="308" t="str">
        <f>IF(OR(COUNTBLANK(AttributeFilter) = 1,AttributeFilter="(Select)"),A96, IF(INDEX(B96:J96, MATCH(AttributeFilter, B$1:J$1, 0)) &lt;&gt; 0, A96, ""))</f>
        <v>Handful of Bjarni's Rabbit Food</v>
      </c>
    </row>
    <row r="97" spans="1:11">
      <c r="A97" s="207" t="s">
        <v>2852</v>
      </c>
      <c r="E97" s="195">
        <v>20</v>
      </c>
      <c r="K97" s="308" t="str">
        <f>IF(OR(COUNTBLANK(AttributeFilter) = 1,AttributeFilter="(Select)"),A97, IF(INDEX(B97:J97, MATCH(AttributeFilter, B$1:J$1, 0)) &lt;&gt; 0, A97, ""))</f>
        <v>Cinnamon Pinwheel</v>
      </c>
    </row>
    <row r="98" spans="1:11">
      <c r="A98" s="207" t="s">
        <v>2853</v>
      </c>
      <c r="E98" s="195">
        <v>40</v>
      </c>
      <c r="K98" s="308" t="str">
        <f>IF(OR(COUNTBLANK(AttributeFilter) = 1,AttributeFilter="(Select)"),A98, IF(INDEX(B98:J98, MATCH(AttributeFilter, B$1:J$1, 0)) &lt;&gt; 0, A98, ""))</f>
        <v>Fried Banana Chips</v>
      </c>
    </row>
    <row r="99" spans="1:11">
      <c r="A99" s="207" t="s">
        <v>2854</v>
      </c>
      <c r="E99" s="195">
        <v>150</v>
      </c>
      <c r="K99" s="308" t="str">
        <f>IF(OR(COUNTBLANK(AttributeFilter) = 1,AttributeFilter="(Select)"),A99, IF(INDEX(B99:J99, MATCH(AttributeFilter, B$1:J$1, 0)) &lt;&gt; 0, A99, ""))</f>
        <v>Pact Ration</v>
      </c>
    </row>
    <row r="100" spans="1:11">
      <c r="A100" s="207" t="s">
        <v>2855</v>
      </c>
      <c r="E100" s="195">
        <v>150</v>
      </c>
      <c r="K100" s="308" t="str">
        <f>IF(OR(COUNTBLANK(AttributeFilter) = 1,AttributeFilter="(Select)"),A100, IF(INDEX(B100:J100, MATCH(AttributeFilter, B$1:J$1, 0)) &lt;&gt; 0, A100, ""))</f>
        <v>Order of Whispers Rations</v>
      </c>
    </row>
    <row r="101" spans="1:11">
      <c r="A101" s="207" t="s">
        <v>2856</v>
      </c>
      <c r="E101" s="195">
        <v>150</v>
      </c>
      <c r="K101" s="308" t="str">
        <f>IF(OR(COUNTBLANK(AttributeFilter) = 1,AttributeFilter="(Select)"),A101, IF(INDEX(B101:J101, MATCH(AttributeFilter, B$1:J$1, 0)) &lt;&gt; 0, A101, ""))</f>
        <v>Priory Rations</v>
      </c>
    </row>
    <row r="102" spans="1:11">
      <c r="A102" s="207" t="s">
        <v>2857</v>
      </c>
      <c r="E102" s="195">
        <v>150</v>
      </c>
      <c r="K102" s="308" t="str">
        <f>IF(OR(COUNTBLANK(AttributeFilter) = 1,AttributeFilter="(Select)"),A102, IF(INDEX(B102:J102, MATCH(AttributeFilter, B$1:J$1, 0)) &lt;&gt; 0, A102, ""))</f>
        <v>Vigil Rations</v>
      </c>
    </row>
    <row r="103" spans="1:11">
      <c r="A103" s="207" t="s">
        <v>2858</v>
      </c>
      <c r="E103" s="195">
        <v>20</v>
      </c>
      <c r="K103" s="308" t="str">
        <f>IF(OR(COUNTBLANK(AttributeFilter) = 1,AttributeFilter="(Select)"),A103, IF(INDEX(B103:J103, MATCH(AttributeFilter, B$1:J$1, 0)) &lt;&gt; 0, A103, ""))</f>
        <v>Loaf of Travelers Bread</v>
      </c>
    </row>
    <row r="104" spans="1:11">
      <c r="A104" s="207" t="s">
        <v>2859</v>
      </c>
      <c r="K104" s="308" t="str">
        <f>IF(OR(COUNTBLANK(AttributeFilter) = 1,AttributeFilter="(Select)"),A104, IF(INDEX(B104:J104, MATCH(AttributeFilter, B$1:J$1, 0)) &lt;&gt; 0, A104, ""))</f>
        <v>Bowl of Dolyak Stew</v>
      </c>
    </row>
    <row r="105" spans="1:11">
      <c r="A105" s="207" t="s">
        <v>2860</v>
      </c>
      <c r="E105" s="195">
        <v>30</v>
      </c>
      <c r="K105" s="308" t="str">
        <f>IF(OR(COUNTBLANK(AttributeFilter) = 1,AttributeFilter="(Select)"),A105, IF(INDEX(B105:J105, MATCH(AttributeFilter, B$1:J$1, 0)) &lt;&gt; 0, A105, ""))</f>
        <v>Loaf of Banana Bread</v>
      </c>
    </row>
    <row r="106" spans="1:11">
      <c r="A106" s="207" t="s">
        <v>2861</v>
      </c>
      <c r="K106" s="308" t="str">
        <f>IF(OR(COUNTBLANK(AttributeFilter) = 1,AttributeFilter="(Select)"),A106, IF(INDEX(B106:J106, MATCH(AttributeFilter, B$1:J$1, 0)) &lt;&gt; 0, A106, ""))</f>
        <v>Loaf of Walnut Sticky Bread</v>
      </c>
    </row>
    <row r="107" spans="1:11">
      <c r="A107" s="207" t="s">
        <v>2862</v>
      </c>
      <c r="E107" s="195">
        <v>30</v>
      </c>
      <c r="K107" s="308" t="str">
        <f>IF(OR(COUNTBLANK(AttributeFilter) = 1,AttributeFilter="(Select)"),A107, IF(INDEX(B107:J107, MATCH(AttributeFilter, B$1:J$1, 0)) &lt;&gt; 0, A107, ""))</f>
        <v>Curry Bun</v>
      </c>
    </row>
    <row r="108" spans="1:11">
      <c r="A108" s="207" t="s">
        <v>2863</v>
      </c>
      <c r="E108" s="195">
        <v>150</v>
      </c>
      <c r="K108" s="308" t="str">
        <f>IF(OR(COUNTBLANK(AttributeFilter) = 1,AttributeFilter="(Select)"),A108, IF(INDEX(B108:J108, MATCH(AttributeFilter, B$1:J$1, 0)) &lt;&gt; 0, A108, ""))</f>
        <v>Flatbread</v>
      </c>
    </row>
    <row r="109" spans="1:11">
      <c r="A109" s="207" t="s">
        <v>2864</v>
      </c>
      <c r="B109" s="195">
        <v>70</v>
      </c>
      <c r="E109" s="195">
        <v>100</v>
      </c>
      <c r="K109" s="308" t="str">
        <f>IF(OR(COUNTBLANK(AttributeFilter) = 1,AttributeFilter="(Select)"),A109, IF(INDEX(B109:J109, MATCH(AttributeFilter, B$1:J$1, 0)) &lt;&gt; 0, A109, ""))</f>
        <v>Mushroom Loaf</v>
      </c>
    </row>
    <row r="110" spans="1:11">
      <c r="A110" s="207" t="s">
        <v>2865</v>
      </c>
      <c r="D110" s="195">
        <v>40</v>
      </c>
      <c r="E110" s="195">
        <v>50</v>
      </c>
      <c r="K110" s="308" t="str">
        <f>IF(OR(COUNTBLANK(AttributeFilter) = 1,AttributeFilter="(Select)"),A110, IF(INDEX(B110:J110, MATCH(AttributeFilter, B$1:J$1, 0)) &lt;&gt; 0, A110, ""))</f>
        <v>Loaf of Zucchini Bread</v>
      </c>
    </row>
    <row r="111" spans="1:11">
      <c r="A111" s="207" t="s">
        <v>2866</v>
      </c>
      <c r="D111" s="195">
        <v>40</v>
      </c>
      <c r="E111" s="195">
        <v>50</v>
      </c>
      <c r="K111" s="308" t="str">
        <f>IF(OR(COUNTBLANK(AttributeFilter) = 1,AttributeFilter="(Select)"),A111, IF(INDEX(B111:J111, MATCH(AttributeFilter, B$1:J$1, 0)) &lt;&gt; 0, A111, ""))</f>
        <v>Red Bean Cake</v>
      </c>
    </row>
    <row r="112" spans="1:11">
      <c r="A112" s="207" t="s">
        <v>2867</v>
      </c>
      <c r="D112" s="195">
        <v>50</v>
      </c>
      <c r="E112" s="195">
        <v>60</v>
      </c>
      <c r="K112" s="308" t="str">
        <f>IF(OR(COUNTBLANK(AttributeFilter) = 1,AttributeFilter="(Select)"),A112, IF(INDEX(B112:J112, MATCH(AttributeFilter, B$1:J$1, 0)) &lt;&gt; 0, A112, ""))</f>
        <v>Slice of Pumpkin Bread</v>
      </c>
    </row>
    <row r="113" spans="1:11">
      <c r="A113" s="207" t="s">
        <v>2868</v>
      </c>
      <c r="D113" s="195">
        <v>60</v>
      </c>
      <c r="E113" s="195">
        <v>80</v>
      </c>
      <c r="K113" s="308" t="str">
        <f>IF(OR(COUNTBLANK(AttributeFilter) = 1,AttributeFilter="(Select)"),A113, IF(INDEX(B113:J113, MATCH(AttributeFilter, B$1:J$1, 0)) &lt;&gt; 0, A113, ""))</f>
        <v>Loaf of Raspberry Peach Bread</v>
      </c>
    </row>
    <row r="114" spans="1:11">
      <c r="A114" s="207" t="s">
        <v>2869</v>
      </c>
      <c r="D114" s="195">
        <v>60</v>
      </c>
      <c r="E114" s="195">
        <v>80</v>
      </c>
      <c r="K114" s="308" t="str">
        <f>IF(OR(COUNTBLANK(AttributeFilter) = 1,AttributeFilter="(Select)"),A114, IF(INDEX(B114:J114, MATCH(AttributeFilter, B$1:J$1, 0)) &lt;&gt; 0, A114, ""))</f>
        <v>Can of Raspberry Peach Bread</v>
      </c>
    </row>
    <row r="115" spans="1:11">
      <c r="A115" s="207" t="s">
        <v>2870</v>
      </c>
      <c r="D115" s="195">
        <v>70</v>
      </c>
      <c r="E115" s="195">
        <v>100</v>
      </c>
      <c r="K115" s="308" t="str">
        <f>IF(OR(COUNTBLANK(AttributeFilter) = 1,AttributeFilter="(Select)"),A115, IF(INDEX(B115:J115, MATCH(AttributeFilter, B$1:J$1, 0)) &lt;&gt; 0, A115, ""))</f>
        <v>Loaf of Omnomberry Bread</v>
      </c>
    </row>
    <row r="116" spans="1:11">
      <c r="A116" s="207" t="s">
        <v>2871</v>
      </c>
      <c r="K116" s="308" t="str">
        <f>IF(OR(COUNTBLANK(AttributeFilter) = 1,AttributeFilter="(Select)"),A116, IF(INDEX(B116:J116, MATCH(AttributeFilter, B$1:J$1, 0)) &lt;&gt; 0, A116, ""))</f>
        <v>Bowl of Zesty Turnip Soup</v>
      </c>
    </row>
    <row r="117" spans="1:11">
      <c r="A117" s="207" t="s">
        <v>2872</v>
      </c>
      <c r="B117" s="195">
        <v>70</v>
      </c>
      <c r="I117" s="195">
        <v>100</v>
      </c>
      <c r="K117" s="308" t="str">
        <f>IF(OR(COUNTBLANK(AttributeFilter) = 1,AttributeFilter="(Select)"),A117, IF(INDEX(B117:J117, MATCH(AttributeFilter, B$1:J$1, 0)) &lt;&gt; 0, A117, ""))</f>
        <v>Soul Pastry</v>
      </c>
    </row>
    <row r="118" spans="1:11">
      <c r="A118" s="207" t="s">
        <v>2873</v>
      </c>
      <c r="D118" s="195">
        <v>70</v>
      </c>
      <c r="I118" s="195">
        <v>100</v>
      </c>
      <c r="K118" s="308" t="str">
        <f>IF(OR(COUNTBLANK(AttributeFilter) = 1,AttributeFilter="(Select)"),A118, IF(INDEX(B118:J118, MATCH(AttributeFilter, B$1:J$1, 0)) &lt;&gt; 0, A118, ""))</f>
        <v>Loaf of Candy Cactus Cornbread</v>
      </c>
    </row>
    <row r="119" spans="1:11">
      <c r="A119" s="207" t="s">
        <v>2874</v>
      </c>
      <c r="D119" s="195">
        <v>70</v>
      </c>
      <c r="I119" s="195">
        <v>100</v>
      </c>
      <c r="K119" s="308" t="str">
        <f>IF(OR(COUNTBLANK(AttributeFilter) = 1,AttributeFilter="(Select)"),A119, IF(INDEX(B119:J119, MATCH(AttributeFilter, B$1:J$1, 0)) &lt;&gt; 0, A119, ""))</f>
        <v>Bowl of Nopalitos SautÃ©</v>
      </c>
    </row>
    <row r="120" spans="1:11">
      <c r="A120" s="207" t="s">
        <v>2875</v>
      </c>
      <c r="H120" s="195">
        <v>70</v>
      </c>
      <c r="I120" s="195">
        <v>100</v>
      </c>
      <c r="K120" s="308" t="str">
        <f>IF(OR(COUNTBLANK(AttributeFilter) = 1,AttributeFilter="(Select)"),A120, IF(INDEX(B120:J120, MATCH(AttributeFilter, B$1:J$1, 0)) &lt;&gt; 0, A120, ""))</f>
        <v>Plate of Eggs Benedict</v>
      </c>
    </row>
    <row r="121" spans="1:11">
      <c r="A121" s="207" t="s">
        <v>2876</v>
      </c>
      <c r="H121" s="195">
        <v>70</v>
      </c>
      <c r="I121" s="195">
        <v>100</v>
      </c>
      <c r="K121" s="308" t="str">
        <f>IF(OR(COUNTBLANK(AttributeFilter) = 1,AttributeFilter="(Select)"),A121, IF(INDEX(B121:J121, MATCH(AttributeFilter, B$1:J$1, 0)) &lt;&gt; 0, A121, ""))</f>
        <v>Bowl of Green Chile Ice Cream</v>
      </c>
    </row>
    <row r="122" spans="1:11">
      <c r="A122" s="207" t="s">
        <v>2877</v>
      </c>
      <c r="H122" s="195">
        <v>70</v>
      </c>
      <c r="I122" s="195">
        <v>100</v>
      </c>
      <c r="K122" s="308" t="str">
        <f>IF(OR(COUNTBLANK(AttributeFilter) = 1,AttributeFilter="(Select)"),A122, IF(INDEX(B122:J122, MATCH(AttributeFilter, B$1:J$1, 0)) &lt;&gt; 0, A122, ""))</f>
        <v>Bowl of Carne Khan Chili</v>
      </c>
    </row>
    <row r="123" spans="1:11">
      <c r="A123" s="207" t="s">
        <v>2878</v>
      </c>
      <c r="H123" s="195">
        <v>70</v>
      </c>
      <c r="I123" s="195">
        <v>100</v>
      </c>
      <c r="K123" s="308" t="str">
        <f>IF(OR(COUNTBLANK(AttributeFilter) = 1,AttributeFilter="(Select)"),A123, IF(INDEX(B123:J123, MATCH(AttributeFilter, B$1:J$1, 0)) &lt;&gt; 0, A123, ""))</f>
        <v>Bowl of Firebreather Chili</v>
      </c>
    </row>
    <row r="124" spans="1:11">
      <c r="A124" s="207" t="s">
        <v>2879</v>
      </c>
      <c r="K124" s="308" t="str">
        <f>IF(OR(COUNTBLANK(AttributeFilter) = 1,AttributeFilter="(Select)"),A124, IF(INDEX(B124:J124, MATCH(AttributeFilter, B$1:J$1, 0)) &lt;&gt; 0, A124, ""))</f>
        <v>Grilled Mushroom</v>
      </c>
    </row>
    <row r="125" spans="1:11">
      <c r="A125" s="207" t="s">
        <v>2880</v>
      </c>
      <c r="K125" s="308" t="str">
        <f>IF(OR(COUNTBLANK(AttributeFilter) = 1,AttributeFilter="(Select)"),A125, IF(INDEX(B125:J125, MATCH(AttributeFilter, B$1:J$1, 0)) &lt;&gt; 0, A125, ""))</f>
        <v>Peeled Spikeroot Fruit</v>
      </c>
    </row>
    <row r="126" spans="1:11">
      <c r="A126" s="207" t="s">
        <v>2881</v>
      </c>
      <c r="K126" s="308" t="str">
        <f>IF(OR(COUNTBLANK(AttributeFilter) = 1,AttributeFilter="(Select)"),A126, IF(INDEX(B126:J126, MATCH(AttributeFilter, B$1:J$1, 0)) &lt;&gt; 0, A126, ""))</f>
        <v>Seared Beef Steak</v>
      </c>
    </row>
    <row r="127" spans="1:11">
      <c r="A127" s="207" t="s">
        <v>2882</v>
      </c>
      <c r="G127" s="195">
        <v>30</v>
      </c>
      <c r="K127" s="308" t="str">
        <f>IF(OR(COUNTBLANK(AttributeFilter) = 1,AttributeFilter="(Select)"),A127, IF(INDEX(B127:J127, MATCH(AttributeFilter, B$1:J$1, 0)) &lt;&gt; 0, A127, ""))</f>
        <v>Jar of Juniberry Jam</v>
      </c>
    </row>
    <row r="128" spans="1:11">
      <c r="A128" s="207" t="s">
        <v>2883</v>
      </c>
      <c r="G128" s="195">
        <v>30</v>
      </c>
      <c r="K128" s="308" t="str">
        <f>IF(OR(COUNTBLANK(AttributeFilter) = 1,AttributeFilter="(Select)"),A128, IF(INDEX(B128:J128, MATCH(AttributeFilter, B$1:J$1, 0)) &lt;&gt; 0, A128, ""))</f>
        <v>Veggie Burger</v>
      </c>
    </row>
    <row r="129" spans="1:11">
      <c r="A129" s="207" t="s">
        <v>2884</v>
      </c>
      <c r="C129" s="195">
        <v>40</v>
      </c>
      <c r="G129" s="195">
        <v>50</v>
      </c>
      <c r="K129" s="308" t="str">
        <f>IF(OR(COUNTBLANK(AttributeFilter) = 1,AttributeFilter="(Select)"),A129, IF(INDEX(B129:J129, MATCH(AttributeFilter, B$1:J$1, 0)) &lt;&gt; 0, A129, ""))</f>
        <v>Grilled Portobello Mushroom</v>
      </c>
    </row>
    <row r="130" spans="1:11">
      <c r="A130" s="207" t="s">
        <v>2885</v>
      </c>
      <c r="C130" s="195">
        <v>50</v>
      </c>
      <c r="G130" s="195">
        <v>60</v>
      </c>
      <c r="K130" s="308" t="str">
        <f>IF(OR(COUNTBLANK(AttributeFilter) = 1,AttributeFilter="(Select)"),A130, IF(INDEX(B130:J130, MATCH(AttributeFilter, B$1:J$1, 0)) &lt;&gt; 0, A130, ""))</f>
        <v>Bowl of Mushroom Risotto</v>
      </c>
    </row>
    <row r="131" spans="1:11">
      <c r="A131" s="207" t="s">
        <v>2886</v>
      </c>
      <c r="C131" s="195">
        <v>60</v>
      </c>
      <c r="G131" s="195">
        <v>80</v>
      </c>
      <c r="K131" s="308" t="str">
        <f>IF(OR(COUNTBLANK(AttributeFilter) = 1,AttributeFilter="(Select)"),A131, IF(INDEX(B131:J131, MATCH(AttributeFilter, B$1:J$1, 0)) &lt;&gt; 0, A131, ""))</f>
        <v>Can of Mushroom and Asparagus Risotto</v>
      </c>
    </row>
    <row r="132" spans="1:11">
      <c r="A132" s="207" t="s">
        <v>2887</v>
      </c>
      <c r="C132" s="195">
        <v>60</v>
      </c>
      <c r="G132" s="195">
        <v>80</v>
      </c>
      <c r="K132" s="308" t="str">
        <f>IF(OR(COUNTBLANK(AttributeFilter) = 1,AttributeFilter="(Select)"),A132, IF(INDEX(B132:J132, MATCH(AttributeFilter, B$1:J$1, 0)) &lt;&gt; 0, A132, ""))</f>
        <v>Bowl of Mushroom and Asparagus Risotto</v>
      </c>
    </row>
    <row r="133" spans="1:11">
      <c r="A133" s="207" t="s">
        <v>2888</v>
      </c>
      <c r="C133" s="195">
        <v>70</v>
      </c>
      <c r="G133" s="195">
        <v>100</v>
      </c>
      <c r="K133" s="308" t="str">
        <f>IF(OR(COUNTBLANK(AttributeFilter) = 1,AttributeFilter="(Select)"),A133, IF(INDEX(B133:J133, MATCH(AttributeFilter, B$1:J$1, 0)) &lt;&gt; 0, A133, ""))</f>
        <v>Bowl of Truffle Risotto</v>
      </c>
    </row>
    <row r="134" spans="1:11">
      <c r="A134" s="207" t="s">
        <v>2889</v>
      </c>
      <c r="E134" s="195">
        <v>40</v>
      </c>
      <c r="G134" s="195">
        <v>50</v>
      </c>
      <c r="K134" s="308" t="str">
        <f>IF(OR(COUNTBLANK(AttributeFilter) = 1,AttributeFilter="(Select)"),A134, IF(INDEX(B134:J134, MATCH(AttributeFilter, B$1:J$1, 0)) &lt;&gt; 0, A134, ""))</f>
        <v>Bowl of Creamy Portobello Soup</v>
      </c>
    </row>
    <row r="135" spans="1:11">
      <c r="A135" s="207" t="s">
        <v>2890</v>
      </c>
      <c r="E135" s="195">
        <v>40</v>
      </c>
      <c r="G135" s="195">
        <v>50</v>
      </c>
      <c r="K135" s="308" t="str">
        <f>IF(OR(COUNTBLANK(AttributeFilter) = 1,AttributeFilter="(Select)"),A135, IF(INDEX(B135:J135, MATCH(AttributeFilter, B$1:J$1, 0)) &lt;&gt; 0, A135, ""))</f>
        <v>Crab Food</v>
      </c>
    </row>
    <row r="136" spans="1:11">
      <c r="A136" s="207" t="s">
        <v>2891</v>
      </c>
      <c r="E136" s="195">
        <v>50</v>
      </c>
      <c r="G136" s="195">
        <v>60</v>
      </c>
      <c r="K136" s="308" t="str">
        <f>IF(OR(COUNTBLANK(AttributeFilter) = 1,AttributeFilter="(Select)"),A136, IF(INDEX(B136:J136, MATCH(AttributeFilter, B$1:J$1, 0)) &lt;&gt; 0, A136, ""))</f>
        <v>Bowl of Fancy Creamy Mushroom Soup</v>
      </c>
    </row>
    <row r="137" spans="1:11">
      <c r="A137" s="207" t="s">
        <v>2892</v>
      </c>
      <c r="E137" s="195">
        <v>60</v>
      </c>
      <c r="G137" s="195">
        <v>80</v>
      </c>
      <c r="K137" s="308" t="str">
        <f>IF(OR(COUNTBLANK(AttributeFilter) = 1,AttributeFilter="(Select)"),A137, IF(INDEX(B137:J137, MATCH(AttributeFilter, B$1:J$1, 0)) &lt;&gt; 0, A137, ""))</f>
        <v>Can of Snow Truffle Soup</v>
      </c>
    </row>
    <row r="138" spans="1:11">
      <c r="A138" s="207" t="s">
        <v>2893</v>
      </c>
      <c r="E138" s="195">
        <v>60</v>
      </c>
      <c r="G138" s="195">
        <v>80</v>
      </c>
      <c r="K138" s="308" t="str">
        <f>IF(OR(COUNTBLANK(AttributeFilter) = 1,AttributeFilter="(Select)"),A138, IF(INDEX(B138:J138, MATCH(AttributeFilter, B$1:J$1, 0)) &lt;&gt; 0, A138, ""))</f>
        <v>Bowl of Snow Truffle Soup</v>
      </c>
    </row>
    <row r="139" spans="1:11">
      <c r="A139" s="207" t="s">
        <v>2894</v>
      </c>
      <c r="E139" s="195">
        <v>70</v>
      </c>
      <c r="G139" s="195">
        <v>100</v>
      </c>
      <c r="K139" s="308" t="str">
        <f>IF(OR(COUNTBLANK(AttributeFilter) = 1,AttributeFilter="(Select)"),A139, IF(INDEX(B139:J139, MATCH(AttributeFilter, B$1:J$1, 0)) &lt;&gt; 0, A139, ""))</f>
        <v>Bowl of Orrian Truffle Soup</v>
      </c>
    </row>
    <row r="140" spans="1:11">
      <c r="A140" s="207" t="s">
        <v>2895</v>
      </c>
      <c r="G140" s="195">
        <v>100</v>
      </c>
      <c r="H140" s="195">
        <v>70</v>
      </c>
      <c r="K140" s="308" t="str">
        <f>IF(OR(COUNTBLANK(AttributeFilter) = 1,AttributeFilter="(Select)"),A140, IF(INDEX(B140:J140, MATCH(AttributeFilter, B$1:J$1, 0)) &lt;&gt; 0, A140, ""))</f>
        <v>Plate of Beef Rendang</v>
      </c>
    </row>
    <row r="141" spans="1:11">
      <c r="A141" s="207" t="s">
        <v>2896</v>
      </c>
      <c r="G141" s="195">
        <v>100</v>
      </c>
      <c r="J141" s="195">
        <v>70</v>
      </c>
      <c r="K141" s="308" t="str">
        <f>IF(OR(COUNTBLANK(AttributeFilter) = 1,AttributeFilter="(Select)"),A141, IF(INDEX(B141:J141, MATCH(AttributeFilter, B$1:J$1, 0)) &lt;&gt; 0, A141, ""))</f>
        <v>Bowl of Prickly Pear Tapioca Pudding</v>
      </c>
    </row>
    <row r="142" spans="1:11">
      <c r="A142" s="207" t="s">
        <v>2897</v>
      </c>
      <c r="H142" s="195">
        <v>20</v>
      </c>
      <c r="K142" s="308" t="str">
        <f>IF(OR(COUNTBLANK(AttributeFilter) = 1,AttributeFilter="(Select)"),A142, IF(INDEX(B142:J142, MATCH(AttributeFilter, B$1:J$1, 0)) &lt;&gt; 0, A142, ""))</f>
        <v>Crunchy Firefly Snack</v>
      </c>
    </row>
    <row r="143" spans="1:11">
      <c r="A143" s="207" t="s">
        <v>2898</v>
      </c>
      <c r="H143" s="195">
        <v>40</v>
      </c>
      <c r="K143" s="308" t="str">
        <f>IF(OR(COUNTBLANK(AttributeFilter) = 1,AttributeFilter="(Select)"),A143, IF(INDEX(B143:J143, MATCH(AttributeFilter, B$1:J$1, 0)) &lt;&gt; 0, A143, ""))</f>
        <v>Petri Dish Delight</v>
      </c>
    </row>
    <row r="144" spans="1:11">
      <c r="A144" s="207" t="s">
        <v>2899</v>
      </c>
      <c r="H144" s="195">
        <v>20</v>
      </c>
      <c r="K144" s="308" t="str">
        <f>IF(OR(COUNTBLANK(AttributeFilter) = 1,AttributeFilter="(Select)"),A144, IF(INDEX(B144:J144, MATCH(AttributeFilter, B$1:J$1, 0)) &lt;&gt; 0, A144, ""))</f>
        <v>Cheese Pizza</v>
      </c>
    </row>
    <row r="145" spans="1:11">
      <c r="A145" s="207" t="s">
        <v>2900</v>
      </c>
      <c r="H145" s="195">
        <v>40</v>
      </c>
      <c r="K145" s="308" t="str">
        <f>IF(OR(COUNTBLANK(AttributeFilter) = 1,AttributeFilter="(Select)"),A145, IF(INDEX(B145:J145, MATCH(AttributeFilter, B$1:J$1, 0)) &lt;&gt; 0, A145, ""))</f>
        <v>Veggie Pizza</v>
      </c>
    </row>
    <row r="146" spans="1:11">
      <c r="A146" s="207" t="s">
        <v>2901</v>
      </c>
      <c r="B146" s="195">
        <v>70</v>
      </c>
      <c r="H146" s="195">
        <v>100</v>
      </c>
      <c r="K146" s="308" t="str">
        <f>IF(OR(COUNTBLANK(AttributeFilter) = 1,AttributeFilter="(Select)"),A146, IF(INDEX(B146:J146, MATCH(AttributeFilter, B$1:J$1, 0)) &lt;&gt; 0, A146, ""))</f>
        <v>Prickly Pear Stuffed Nopal</v>
      </c>
    </row>
    <row r="147" spans="1:11">
      <c r="A147" s="207" t="s">
        <v>2902</v>
      </c>
      <c r="B147" s="195">
        <v>70</v>
      </c>
      <c r="H147" s="195">
        <v>100</v>
      </c>
      <c r="K147" s="308" t="str">
        <f>IF(OR(COUNTBLANK(AttributeFilter) = 1,AttributeFilter="(Select)"),A147, IF(INDEX(B147:J147, MATCH(AttributeFilter, B$1:J$1, 0)) &lt;&gt; 0, A147, ""))</f>
        <v>Bowl of Sweet and Spicy Beans</v>
      </c>
    </row>
    <row r="148" spans="1:11">
      <c r="A148" s="207" t="s">
        <v>2903</v>
      </c>
      <c r="G148" s="195">
        <v>40</v>
      </c>
      <c r="H148" s="195">
        <v>50</v>
      </c>
      <c r="K148" s="308" t="str">
        <f>IF(OR(COUNTBLANK(AttributeFilter) = 1,AttributeFilter="(Select)"),A148, IF(INDEX(B148:J148, MATCH(AttributeFilter, B$1:J$1, 0)) &lt;&gt; 0, A148, ""))</f>
        <v>Mushroom Pizza</v>
      </c>
    </row>
    <row r="149" spans="1:11">
      <c r="A149" s="207" t="s">
        <v>2904</v>
      </c>
      <c r="G149" s="195">
        <v>70</v>
      </c>
      <c r="H149" s="195">
        <v>100</v>
      </c>
      <c r="K149" s="308" t="str">
        <f>IF(OR(COUNTBLANK(AttributeFilter) = 1,AttributeFilter="(Select)"),A149, IF(INDEX(B149:J149, MATCH(AttributeFilter, B$1:J$1, 0)) &lt;&gt; 0, A149, ""))</f>
        <v>Blood Orange</v>
      </c>
    </row>
    <row r="150" spans="1:11">
      <c r="A150" s="207" t="s">
        <v>2905</v>
      </c>
      <c r="G150" s="195">
        <v>50</v>
      </c>
      <c r="H150" s="195">
        <v>60</v>
      </c>
      <c r="K150" s="308" t="str">
        <f>IF(OR(COUNTBLANK(AttributeFilter) = 1,AttributeFilter="(Select)"),A150, IF(INDEX(B150:J150, MATCH(AttributeFilter, B$1:J$1, 0)) &lt;&gt; 0, A150, ""))</f>
        <v>Fancy Veggie Pizza</v>
      </c>
    </row>
    <row r="151" spans="1:11">
      <c r="A151" s="207" t="s">
        <v>2906</v>
      </c>
      <c r="G151" s="195">
        <v>50</v>
      </c>
      <c r="H151" s="195">
        <v>60</v>
      </c>
      <c r="K151" s="308" t="str">
        <f>IF(OR(COUNTBLANK(AttributeFilter) = 1,AttributeFilter="(Select)"),A151, IF(INDEX(B151:J151, MATCH(AttributeFilter, B$1:J$1, 0)) &lt;&gt; 0, A151, ""))</f>
        <v>Bowl of Fly Soup</v>
      </c>
    </row>
    <row r="152" spans="1:11">
      <c r="A152" s="207" t="s">
        <v>2907</v>
      </c>
      <c r="G152" s="195">
        <v>60</v>
      </c>
      <c r="H152" s="195">
        <v>80</v>
      </c>
      <c r="K152" s="308" t="str">
        <f>IF(OR(COUNTBLANK(AttributeFilter) = 1,AttributeFilter="(Select)"),A152, IF(INDEX(B152:J152, MATCH(AttributeFilter, B$1:J$1, 0)) &lt;&gt; 0, A152, ""))</f>
        <v>Super Veggie Pizza</v>
      </c>
    </row>
    <row r="153" spans="1:11">
      <c r="A153" s="207" t="s">
        <v>2908</v>
      </c>
      <c r="G153" s="195">
        <v>70</v>
      </c>
      <c r="H153" s="195">
        <v>100</v>
      </c>
      <c r="K153" s="308" t="str">
        <f>IF(OR(COUNTBLANK(AttributeFilter) = 1,AttributeFilter="(Select)"),A153, IF(INDEX(B153:J153, MATCH(AttributeFilter, B$1:J$1, 0)) &lt;&gt; 0, A153, ""))</f>
        <v>Koi Cake</v>
      </c>
    </row>
    <row r="154" spans="1:11">
      <c r="A154" s="207" t="s">
        <v>2909</v>
      </c>
      <c r="G154" s="195">
        <v>70</v>
      </c>
      <c r="H154" s="195">
        <v>100</v>
      </c>
      <c r="K154" s="308" t="str">
        <f>IF(OR(COUNTBLANK(AttributeFilter) = 1,AttributeFilter="(Select)"),A154, IF(INDEX(B154:J154, MATCH(AttributeFilter, B$1:J$1, 0)) &lt;&gt; 0, A154, ""))</f>
        <v>Rare Veggie Pizza</v>
      </c>
    </row>
    <row r="155" spans="1:11">
      <c r="A155" s="207" t="s">
        <v>2910</v>
      </c>
      <c r="G155" s="195">
        <v>70</v>
      </c>
      <c r="H155" s="195">
        <v>100</v>
      </c>
      <c r="K155" s="308" t="str">
        <f>IF(OR(COUNTBLANK(AttributeFilter) = 1,AttributeFilter="(Select)"),A155, IF(INDEX(B155:J155, MATCH(AttributeFilter, B$1:J$1, 0)) &lt;&gt; 0, A155, ""))</f>
        <v>Bowl of Garlic Kale Sautee</v>
      </c>
    </row>
    <row r="156" spans="1:11">
      <c r="A156" s="207" t="s">
        <v>2911</v>
      </c>
      <c r="G156" s="195">
        <v>70</v>
      </c>
      <c r="H156" s="195">
        <v>100</v>
      </c>
      <c r="K156" s="308" t="str">
        <f>IF(OR(COUNTBLANK(AttributeFilter) = 1,AttributeFilter="(Select)"),A156, IF(INDEX(B156:J156, MATCH(AttributeFilter, B$1:J$1, 0)) &lt;&gt; 0, A156, ""))</f>
        <v>Red-Lentil Saobosa</v>
      </c>
    </row>
    <row r="157" spans="1:11">
      <c r="A157" s="207" t="s">
        <v>2912</v>
      </c>
      <c r="H157" s="195">
        <v>100</v>
      </c>
      <c r="K157" s="308" t="str">
        <f>IF(OR(COUNTBLANK(AttributeFilter) = 1,AttributeFilter="(Select)"),A157, IF(INDEX(B157:J157, MATCH(AttributeFilter, B$1:J$1, 0)) &lt;&gt; 0, A157, ""))</f>
        <v>Prickly Pear Pie</v>
      </c>
    </row>
    <row r="158" spans="1:11">
      <c r="A158" s="207" t="s">
        <v>2913</v>
      </c>
      <c r="H158" s="195">
        <v>100</v>
      </c>
      <c r="K158" s="308" t="str">
        <f>IF(OR(COUNTBLANK(AttributeFilter) = 1,AttributeFilter="(Select)"),A158, IF(INDEX(B158:J158, MATCH(AttributeFilter, B$1:J$1, 0)) &lt;&gt; 0, A158, ""))</f>
        <v>Bowl of Cactus Fruit Salad</v>
      </c>
    </row>
    <row r="159" spans="1:11">
      <c r="A159" s="207" t="s">
        <v>2914</v>
      </c>
      <c r="D159" s="195">
        <v>70</v>
      </c>
      <c r="H159" s="195">
        <v>100</v>
      </c>
      <c r="K159" s="308" t="str">
        <f>IF(OR(COUNTBLANK(AttributeFilter) = 1,AttributeFilter="(Select)"),A159, IF(INDEX(B159:J159, MATCH(AttributeFilter, B$1:J$1, 0)) &lt;&gt; 0, A159, ""))</f>
        <v>Bowl of "Elon Red"</v>
      </c>
    </row>
    <row r="160" spans="1:11">
      <c r="A160" s="207" t="s">
        <v>2915</v>
      </c>
      <c r="K160" s="308" t="str">
        <f>IF(OR(COUNTBLANK(AttributeFilter) = 1,AttributeFilter="(Select)"),A160, IF(INDEX(B160:J160, MATCH(AttributeFilter, B$1:J$1, 0)) &lt;&gt; 0, A160, ""))</f>
        <v>Drake Steak</v>
      </c>
    </row>
    <row r="161" spans="1:11">
      <c r="A161" s="207" t="s">
        <v>2916</v>
      </c>
      <c r="C161" s="195">
        <v>70</v>
      </c>
      <c r="K161" s="308" t="str">
        <f>IF(OR(COUNTBLANK(AttributeFilter) = 1,AttributeFilter="(Select)"),A161, IF(INDEX(B161:J161, MATCH(AttributeFilter, B$1:J$1, 0)) &lt;&gt; 0, A161, ""))</f>
        <v>Flaming Fire Flakes</v>
      </c>
    </row>
    <row r="162" spans="1:11">
      <c r="A162" s="207" t="s">
        <v>2917</v>
      </c>
      <c r="K162" s="308" t="str">
        <f>IF(OR(COUNTBLANK(AttributeFilter) = 1,AttributeFilter="(Select)"),A162, IF(INDEX(B162:J162, MATCH(AttributeFilter, B$1:J$1, 0)) &lt;&gt; 0, A162, ""))</f>
        <v>Bowl of Meaty Wurm Surprise</v>
      </c>
    </row>
    <row r="163" spans="1:11">
      <c r="A163" s="207" t="s">
        <v>2918</v>
      </c>
      <c r="K163" s="308" t="str">
        <f>IF(OR(COUNTBLANK(AttributeFilter) = 1,AttributeFilter="(Select)"),A163, IF(INDEX(B163:J163, MATCH(AttributeFilter, B$1:J$1, 0)) &lt;&gt; 0, A163, ""))</f>
        <v>Bowl of Green Bean Stew</v>
      </c>
    </row>
    <row r="164" spans="1:11">
      <c r="A164" s="207" t="s">
        <v>2919</v>
      </c>
      <c r="K164" s="308" t="str">
        <f>IF(OR(COUNTBLANK(AttributeFilter) = 1,AttributeFilter="(Select)"),A164, IF(INDEX(B164:J164, MATCH(AttributeFilter, B$1:J$1, 0)) &lt;&gt; 0, A164, ""))</f>
        <v>Bowl of Simple Meat Chili</v>
      </c>
    </row>
    <row r="165" spans="1:11">
      <c r="A165" s="207" t="s">
        <v>2920</v>
      </c>
      <c r="K165" s="308" t="str">
        <f>IF(OR(COUNTBLANK(AttributeFilter) = 1,AttributeFilter="(Select)"),A165, IF(INDEX(B165:J165, MATCH(AttributeFilter, B$1:J$1, 0)) &lt;&gt; 0, A165, ""))</f>
        <v>Bowl of Meat and Bean Chili</v>
      </c>
    </row>
    <row r="166" spans="1:11">
      <c r="A166" s="207" t="s">
        <v>2921</v>
      </c>
      <c r="C166" s="195">
        <v>40</v>
      </c>
      <c r="K166" s="308" t="str">
        <f>IF(OR(COUNTBLANK(AttributeFilter) = 1,AttributeFilter="(Select)"),A166, IF(INDEX(B166:J166, MATCH(AttributeFilter, B$1:J$1, 0)) &lt;&gt; 0, A166, ""))</f>
        <v>Bowl of Chili and Avocado</v>
      </c>
    </row>
    <row r="167" spans="1:11">
      <c r="A167" s="207" t="s">
        <v>2922</v>
      </c>
      <c r="C167" s="195">
        <v>50</v>
      </c>
      <c r="K167" s="308" t="str">
        <f>IF(OR(COUNTBLANK(AttributeFilter) = 1,AttributeFilter="(Select)"),A167, IF(INDEX(B167:J167, MATCH(AttributeFilter, B$1:J$1, 0)) &lt;&gt; 0, A167, ""))</f>
        <v>Bowl of Spiced Meat Chili</v>
      </c>
    </row>
    <row r="168" spans="1:11">
      <c r="A168" s="207" t="s">
        <v>2923</v>
      </c>
      <c r="C168" s="195">
        <v>60</v>
      </c>
      <c r="K168" s="308" t="str">
        <f>IF(OR(COUNTBLANK(AttributeFilter) = 1,AttributeFilter="(Select)"),A168, IF(INDEX(B168:J168, MATCH(AttributeFilter, B$1:J$1, 0)) &lt;&gt; 0, A168, ""))</f>
        <v>Can of Spicy Meat Chili</v>
      </c>
    </row>
    <row r="169" spans="1:11">
      <c r="A169" s="207" t="s">
        <v>2924</v>
      </c>
      <c r="C169" s="195">
        <v>60</v>
      </c>
      <c r="K169" s="308" t="str">
        <f>IF(OR(COUNTBLANK(AttributeFilter) = 1,AttributeFilter="(Select)"),A169, IF(INDEX(B169:J169, MATCH(AttributeFilter, B$1:J$1, 0)) &lt;&gt; 0, A169, ""))</f>
        <v>Bowl of Spicy Meat Chili</v>
      </c>
    </row>
    <row r="170" spans="1:11">
      <c r="A170" s="207" t="s">
        <v>2925</v>
      </c>
      <c r="C170" s="195">
        <v>70</v>
      </c>
      <c r="K170" s="308" t="str">
        <f>IF(OR(COUNTBLANK(AttributeFilter) = 1,AttributeFilter="(Select)"),A170, IF(INDEX(B170:J170, MATCH(AttributeFilter, B$1:J$1, 0)) &lt;&gt; 0, A170, ""))</f>
        <v>Bowl of Fire Meat Chili</v>
      </c>
    </row>
    <row r="171" spans="1:11">
      <c r="A171" s="207" t="s">
        <v>2926</v>
      </c>
      <c r="G171" s="195">
        <v>70</v>
      </c>
      <c r="K171" s="308" t="str">
        <f>IF(OR(COUNTBLANK(AttributeFilter) = 1,AttributeFilter="(Select)"),A171, IF(INDEX(B171:J171, MATCH(AttributeFilter, B$1:J$1, 0)) &lt;&gt; 0, A171, ""))</f>
        <v>Fishy Rice Bowl</v>
      </c>
    </row>
    <row r="172" spans="1:11">
      <c r="A172" s="207" t="s">
        <v>2927</v>
      </c>
      <c r="K172" s="308" t="str">
        <f>IF(OR(COUNTBLANK(AttributeFilter) = 1,AttributeFilter="(Select)"),A172, IF(INDEX(B172:J172, MATCH(AttributeFilter, B$1:J$1, 0)) &lt;&gt; 0, A172, ""))</f>
        <v>White Cake</v>
      </c>
    </row>
    <row r="173" spans="1:11">
      <c r="A173" s="207" t="s">
        <v>2928</v>
      </c>
      <c r="K173" s="308" t="str">
        <f>IF(OR(COUNTBLANK(AttributeFilter) = 1,AttributeFilter="(Select)"),A173, IF(INDEX(B173:J173, MATCH(AttributeFilter, B$1:J$1, 0)) &lt;&gt; 0, A173, ""))</f>
        <v>Chocolate Cake</v>
      </c>
    </row>
    <row r="174" spans="1:11">
      <c r="A174" s="207" t="s">
        <v>2929</v>
      </c>
      <c r="B174" s="195">
        <v>40</v>
      </c>
      <c r="K174" s="308" t="str">
        <f>IF(OR(COUNTBLANK(AttributeFilter) = 1,AttributeFilter="(Select)"),A174, IF(INDEX(B174:J174, MATCH(AttributeFilter, B$1:J$1, 0)) &lt;&gt; 0, A174, ""))</f>
        <v>Chocolate Cherry Cake</v>
      </c>
    </row>
    <row r="175" spans="1:11">
      <c r="A175" s="207" t="s">
        <v>2930</v>
      </c>
      <c r="B175" s="195">
        <v>50</v>
      </c>
      <c r="K175" s="308" t="str">
        <f>IF(OR(COUNTBLANK(AttributeFilter) = 1,AttributeFilter="(Select)"),A175, IF(INDEX(B175:J175, MATCH(AttributeFilter, B$1:J$1, 0)) &lt;&gt; 0, A175, ""))</f>
        <v>Orange Cake</v>
      </c>
    </row>
    <row r="176" spans="1:11">
      <c r="A176" s="207" t="s">
        <v>2931</v>
      </c>
      <c r="B176" s="195">
        <v>50</v>
      </c>
      <c r="K176" s="308" t="str">
        <f>IF(OR(COUNTBLANK(AttributeFilter) = 1,AttributeFilter="(Select)"),A176, IF(INDEX(B176:J176, MATCH(AttributeFilter, B$1:J$1, 0)) &lt;&gt; 0, A176, ""))</f>
        <v>Orange Coconut Cake</v>
      </c>
    </row>
    <row r="177" spans="1:11">
      <c r="A177" s="207" t="s">
        <v>2932</v>
      </c>
      <c r="B177" s="195">
        <v>60</v>
      </c>
      <c r="K177" s="308" t="str">
        <f>IF(OR(COUNTBLANK(AttributeFilter) = 1,AttributeFilter="(Select)"),A177, IF(INDEX(B177:J177, MATCH(AttributeFilter, B$1:J$1, 0)) &lt;&gt; 0, A177, ""))</f>
        <v>Canned Chocolate Raspberry Cake</v>
      </c>
    </row>
    <row r="178" spans="1:11">
      <c r="A178" s="207" t="s">
        <v>2933</v>
      </c>
      <c r="B178" s="195">
        <v>60</v>
      </c>
      <c r="K178" s="308" t="str">
        <f>IF(OR(COUNTBLANK(AttributeFilter) = 1,AttributeFilter="(Select)"),A178, IF(INDEX(B178:J178, MATCH(AttributeFilter, B$1:J$1, 0)) &lt;&gt; 0, A178, ""))</f>
        <v>Chocolate Raspberry Cake</v>
      </c>
    </row>
    <row r="179" spans="1:11">
      <c r="A179" s="207" t="s">
        <v>2934</v>
      </c>
      <c r="B179" s="195">
        <v>70</v>
      </c>
      <c r="K179" s="308" t="str">
        <f>IF(OR(COUNTBLANK(AttributeFilter) = 1,AttributeFilter="(Select)"),A179, IF(INDEX(B179:J179, MATCH(AttributeFilter, B$1:J$1, 0)) &lt;&gt; 0, A179, ""))</f>
        <v>Chocolate Omnomberry Cake</v>
      </c>
    </row>
    <row r="180" spans="1:11">
      <c r="A180" s="207" t="s">
        <v>2935</v>
      </c>
      <c r="K180" s="308" t="str">
        <f>IF(OR(COUNTBLANK(AttributeFilter) = 1,AttributeFilter="(Select)"),A180, IF(INDEX(B180:J180, MATCH(AttributeFilter, B$1:J$1, 0)) &lt;&gt; 0, A180, ""))</f>
        <v>Hamburger</v>
      </c>
    </row>
    <row r="181" spans="1:11">
      <c r="A181" s="207" t="s">
        <v>2936</v>
      </c>
      <c r="K181" s="308" t="str">
        <f>IF(OR(COUNTBLANK(AttributeFilter) = 1,AttributeFilter="(Select)"),A181, IF(INDEX(B181:J181, MATCH(AttributeFilter, B$1:J$1, 0)) &lt;&gt; 0, A181, ""))</f>
        <v>Cheeseburger</v>
      </c>
    </row>
    <row r="182" spans="1:11">
      <c r="A182" s="207" t="s">
        <v>2937</v>
      </c>
      <c r="K182" s="308" t="str">
        <f>IF(OR(COUNTBLANK(AttributeFilter) = 1,AttributeFilter="(Select)"),A182, IF(INDEX(B182:J182, MATCH(AttributeFilter, B$1:J$1, 0)) &lt;&gt; 0, A182, ""))</f>
        <v>Spinach Burger</v>
      </c>
    </row>
    <row r="183" spans="1:11">
      <c r="A183" s="207" t="s">
        <v>2938</v>
      </c>
      <c r="C183" s="195">
        <v>40</v>
      </c>
      <c r="K183" s="308" t="str">
        <f>IF(OR(COUNTBLANK(AttributeFilter) = 1,AttributeFilter="(Select)"),A183, IF(INDEX(B183:J183, MATCH(AttributeFilter, B$1:J$1, 0)) &lt;&gt; 0, A183, ""))</f>
        <v>Deluxe Burger</v>
      </c>
    </row>
    <row r="184" spans="1:11">
      <c r="A184" s="207" t="s">
        <v>2939</v>
      </c>
      <c r="C184" s="195">
        <v>50</v>
      </c>
      <c r="K184" s="308" t="str">
        <f>IF(OR(COUNTBLANK(AttributeFilter) = 1,AttributeFilter="(Select)"),A184, IF(INDEX(B184:J184, MATCH(AttributeFilter, B$1:J$1, 0)) &lt;&gt; 0, A184, ""))</f>
        <v>Horseradish Burger</v>
      </c>
    </row>
    <row r="185" spans="1:11">
      <c r="A185" s="207" t="s">
        <v>2940</v>
      </c>
      <c r="C185" s="195">
        <v>60</v>
      </c>
      <c r="K185" s="308" t="str">
        <f>IF(OR(COUNTBLANK(AttributeFilter) = 1,AttributeFilter="(Select)"),A185, IF(INDEX(B185:J185, MATCH(AttributeFilter, B$1:J$1, 0)) &lt;&gt; 0, A185, ""))</f>
        <v>Boxed Spicy Cheeseburger</v>
      </c>
    </row>
    <row r="186" spans="1:11">
      <c r="A186" s="207" t="s">
        <v>2941</v>
      </c>
      <c r="C186" s="195">
        <v>60</v>
      </c>
      <c r="K186" s="308" t="str">
        <f>IF(OR(COUNTBLANK(AttributeFilter) = 1,AttributeFilter="(Select)"),A186, IF(INDEX(B186:J186, MATCH(AttributeFilter, B$1:J$1, 0)) &lt;&gt; 0, A186, ""))</f>
        <v>Spicy Cheeseburger</v>
      </c>
    </row>
    <row r="187" spans="1:11">
      <c r="A187" s="207" t="s">
        <v>2942</v>
      </c>
      <c r="C187" s="195">
        <v>70</v>
      </c>
      <c r="K187" s="308" t="str">
        <f>IF(OR(COUNTBLANK(AttributeFilter) = 1,AttributeFilter="(Select)"),A187, IF(INDEX(B187:J187, MATCH(AttributeFilter, B$1:J$1, 0)) &lt;&gt; 0, A187, ""))</f>
        <v>Fancy Truffle Burger</v>
      </c>
    </row>
    <row r="188" spans="1:11">
      <c r="A188" s="207" t="s">
        <v>2943</v>
      </c>
      <c r="G188" s="195">
        <v>70</v>
      </c>
      <c r="K188" s="308" t="str">
        <f>IF(OR(COUNTBLANK(AttributeFilter) = 1,AttributeFilter="(Select)"),A188, IF(INDEX(B188:J188, MATCH(AttributeFilter, B$1:J$1, 0)) &lt;&gt; 0, A188, ""))</f>
        <v>Bowl of Kimchi Tofu Stew</v>
      </c>
    </row>
    <row r="189" spans="1:11">
      <c r="A189" s="207" t="s">
        <v>2944</v>
      </c>
      <c r="G189" s="195">
        <v>70</v>
      </c>
      <c r="K189" s="308" t="str">
        <f>IF(OR(COUNTBLANK(AttributeFilter) = 1,AttributeFilter="(Select)"),A189, IF(INDEX(B189:J189, MATCH(AttributeFilter, B$1:J$1, 0)) &lt;&gt; 0, A189, ""))</f>
        <v>Meaty Asparagus Skewer</v>
      </c>
    </row>
    <row r="190" spans="1:11">
      <c r="A190" s="207" t="s">
        <v>2945</v>
      </c>
      <c r="G190" s="195">
        <v>70</v>
      </c>
      <c r="K190" s="308" t="str">
        <f>IF(OR(COUNTBLANK(AttributeFilter) = 1,AttributeFilter="(Select)"),A190, IF(INDEX(B190:J190, MATCH(AttributeFilter, B$1:J$1, 0)) &lt;&gt; 0, A190, ""))</f>
        <v>Meaty Rice Bowl</v>
      </c>
    </row>
    <row r="191" spans="1:11">
      <c r="A191" s="207" t="s">
        <v>2946</v>
      </c>
      <c r="G191" s="195">
        <v>70</v>
      </c>
      <c r="K191" s="308" t="str">
        <f>IF(OR(COUNTBLANK(AttributeFilter) = 1,AttributeFilter="(Select)"),A191, IF(INDEX(B191:J191, MATCH(AttributeFilter, B$1:J$1, 0)) &lt;&gt; 0, A191, ""))</f>
        <v>Plate of Kimchi Pancakes</v>
      </c>
    </row>
    <row r="192" spans="1:11">
      <c r="A192" s="207" t="s">
        <v>2947</v>
      </c>
      <c r="F192" s="195">
        <v>12</v>
      </c>
      <c r="K192" s="308" t="str">
        <f>IF(OR(COUNTBLANK(AttributeFilter) = 1,AttributeFilter="(Select)"),A192, IF(INDEX(B192:J192, MATCH(AttributeFilter, B$1:J$1, 0)) &lt;&gt; 0, A192, ""))</f>
        <v>Bowl of Basic Vegetable Soup</v>
      </c>
    </row>
    <row r="193" spans="1:11">
      <c r="A193" s="207" t="s">
        <v>2948</v>
      </c>
      <c r="F193" s="195">
        <v>12</v>
      </c>
      <c r="K193" s="308" t="str">
        <f>IF(OR(COUNTBLANK(AttributeFilter) = 1,AttributeFilter="(Select)"),A193, IF(INDEX(B193:J193, MATCH(AttributeFilter, B$1:J$1, 0)) &lt;&gt; 0, A193, ""))</f>
        <v>Bowl of Simple Bean Chili</v>
      </c>
    </row>
    <row r="194" spans="1:11">
      <c r="A194" s="207" t="s">
        <v>2949</v>
      </c>
      <c r="K194" s="308" t="str">
        <f>IF(OR(COUNTBLANK(AttributeFilter) = 1,AttributeFilter="(Select)"),A194, IF(INDEX(B194:J194, MATCH(AttributeFilter, B$1:J$1, 0)) &lt;&gt; 0, A194, ""))</f>
        <v>Bowl of Fancy Bean Chili</v>
      </c>
    </row>
    <row r="195" spans="1:11">
      <c r="A195" s="207" t="s">
        <v>2950</v>
      </c>
      <c r="K195" s="308" t="str">
        <f>IF(OR(COUNTBLANK(AttributeFilter) = 1,AttributeFilter="(Select)"),A195, IF(INDEX(B195:J195, MATCH(AttributeFilter, B$1:J$1, 0)) &lt;&gt; 0, A195, ""))</f>
        <v>Bowl of Zucchini Chili</v>
      </c>
    </row>
    <row r="196" spans="1:11">
      <c r="A196" s="207" t="s">
        <v>2951</v>
      </c>
      <c r="K196" s="308" t="str">
        <f>IF(OR(COUNTBLANK(AttributeFilter) = 1,AttributeFilter="(Select)"),A196, IF(INDEX(B196:J196, MATCH(AttributeFilter, B$1:J$1, 0)) &lt;&gt; 0, A196, ""))</f>
        <v>Bowl of Degun Shun Stew</v>
      </c>
    </row>
    <row r="197" spans="1:11">
      <c r="A197" s="207" t="s">
        <v>2952</v>
      </c>
      <c r="K197" s="308" t="str">
        <f>IF(OR(COUNTBLANK(AttributeFilter) = 1,AttributeFilter="(Select)"),A197, IF(INDEX(B197:J197, MATCH(AttributeFilter, B$1:J$1, 0)) &lt;&gt; 0, A197, ""))</f>
        <v>Bowl of Spiced Veggie Chili</v>
      </c>
    </row>
    <row r="198" spans="1:11">
      <c r="A198" s="207" t="s">
        <v>2953</v>
      </c>
      <c r="K198" s="308" t="str">
        <f>IF(OR(COUNTBLANK(AttributeFilter) = 1,AttributeFilter="(Select)"),A198, IF(INDEX(B198:J198, MATCH(AttributeFilter, B$1:J$1, 0)) &lt;&gt; 0, A198, ""))</f>
        <v>Bowl of Spicy Veggie Chili</v>
      </c>
    </row>
    <row r="199" spans="1:11">
      <c r="A199" s="207" t="s">
        <v>2954</v>
      </c>
      <c r="K199" s="308" t="str">
        <f>IF(OR(COUNTBLANK(AttributeFilter) = 1,AttributeFilter="(Select)"),A199, IF(INDEX(B199:J199, MATCH(AttributeFilter, B$1:J$1, 0)) &lt;&gt; 0, A199, ""))</f>
        <v>Bowl of Fire Veggie Chili</v>
      </c>
    </row>
    <row r="200" spans="1:11">
      <c r="A200" s="207" t="s">
        <v>2955</v>
      </c>
      <c r="F200" s="195">
        <v>100</v>
      </c>
      <c r="K200" s="308" t="str">
        <f>IF(OR(COUNTBLANK(AttributeFilter) = 1,AttributeFilter="(Select)"),A200, IF(INDEX(B200:J200, MATCH(AttributeFilter, B$1:J$1, 0)) &lt;&gt; 0, A200, ""))</f>
        <v>Bowl of Prickly Pear Sorbet</v>
      </c>
    </row>
    <row r="201" spans="1:11">
      <c r="A201" s="207" t="s">
        <v>2956</v>
      </c>
      <c r="F201" s="195">
        <v>100</v>
      </c>
      <c r="K201" s="308" t="str">
        <f>IF(OR(COUNTBLANK(AttributeFilter) = 1,AttributeFilter="(Select)"),A201, IF(INDEX(B201:J201, MATCH(AttributeFilter, B$1:J$1, 0)) &lt;&gt; 0, A201, ""))</f>
        <v>Winterberry Sorbet</v>
      </c>
    </row>
    <row r="202" spans="1:11">
      <c r="A202" s="207" t="s">
        <v>2957</v>
      </c>
      <c r="F202" s="195">
        <v>100</v>
      </c>
      <c r="K202" s="308" t="str">
        <f>IF(OR(COUNTBLANK(AttributeFilter) = 1,AttributeFilter="(Select)"),A202, IF(INDEX(B202:J202, MATCH(AttributeFilter, B$1:J$1, 0)) &lt;&gt; 0, A202, ""))</f>
        <v>Plate of Roasted Cactus</v>
      </c>
    </row>
    <row r="203" spans="1:11">
      <c r="A203" s="207" t="s">
        <v>2958</v>
      </c>
      <c r="K203" s="308" t="str">
        <f>IF(OR(COUNTBLANK(AttributeFilter) = 1,AttributeFilter="(Select)"),A203, IF(INDEX(B203:J203, MATCH(AttributeFilter, B$1:J$1, 0)) &lt;&gt; 0, A203, ""))</f>
        <v>Prototype Nutriment</v>
      </c>
    </row>
    <row r="204" spans="1:11">
      <c r="A204" s="207" t="s">
        <v>2959</v>
      </c>
      <c r="K204" s="308" t="str">
        <f>IF(OR(COUNTBLANK(AttributeFilter) = 1,AttributeFilter="(Select)"),A204, IF(INDEX(B204:J204, MATCH(AttributeFilter, B$1:J$1, 0)) &lt;&gt; 0, A204, ""))</f>
        <v>Blueberry Cookie</v>
      </c>
    </row>
    <row r="205" spans="1:11">
      <c r="A205" s="207" t="s">
        <v>2960</v>
      </c>
      <c r="K205" s="308" t="str">
        <f>IF(OR(COUNTBLANK(AttributeFilter) = 1,AttributeFilter="(Select)"),A205, IF(INDEX(B205:J205, MATCH(AttributeFilter, B$1:J$1, 0)) &lt;&gt; 0, A205, ""))</f>
        <v>Sugar Cookie</v>
      </c>
    </row>
    <row r="206" spans="1:11">
      <c r="A206" s="207" t="s">
        <v>2961</v>
      </c>
      <c r="K206" s="308" t="str">
        <f>IF(OR(COUNTBLANK(AttributeFilter) = 1,AttributeFilter="(Select)"),A206, IF(INDEX(B206:J206, MATCH(AttributeFilter, B$1:J$1, 0)) &lt;&gt; 0, A206, ""))</f>
        <v>Apple Passion Fruit Pie</v>
      </c>
    </row>
    <row r="207" spans="1:11">
      <c r="A207" s="207" t="s">
        <v>2962</v>
      </c>
      <c r="K207" s="308" t="str">
        <f>IF(OR(COUNTBLANK(AttributeFilter) = 1,AttributeFilter="(Select)"),A207, IF(INDEX(B207:J207, MATCH(AttributeFilter, B$1:J$1, 0)) &lt;&gt; 0, A207, ""))</f>
        <v>Delicious Cave Spore</v>
      </c>
    </row>
    <row r="208" spans="1:11">
      <c r="A208" s="207" t="s">
        <v>2963</v>
      </c>
      <c r="K208" s="308" t="str">
        <f>IF(OR(COUNTBLANK(AttributeFilter) = 1,AttributeFilter="(Select)"),A208, IF(INDEX(B208:J208, MATCH(AttributeFilter, B$1:J$1, 0)) &lt;&gt; 0, A208, ""))</f>
        <v>Strawberry Cookie</v>
      </c>
    </row>
    <row r="209" spans="1:11">
      <c r="A209" s="207" t="s">
        <v>2964</v>
      </c>
      <c r="K209" s="308" t="str">
        <f>IF(OR(COUNTBLANK(AttributeFilter) = 1,AttributeFilter="(Select)"),A209, IF(INDEX(B209:J209, MATCH(AttributeFilter, B$1:J$1, 0)) &lt;&gt; 0, A209, ""))</f>
        <v>Bowl of Front Line Stew</v>
      </c>
    </row>
    <row r="210" spans="1:11">
      <c r="A210" s="207" t="s">
        <v>2965</v>
      </c>
      <c r="K210" s="308" t="str">
        <f>IF(OR(COUNTBLANK(AttributeFilter) = 1,AttributeFilter="(Select)"),A210, IF(INDEX(B210:J210, MATCH(AttributeFilter, B$1:J$1, 0)) &lt;&gt; 0, A210, ""))</f>
        <v>Prismatic Soylent</v>
      </c>
    </row>
    <row r="211" spans="1:11">
      <c r="A211" s="207" t="s">
        <v>2966</v>
      </c>
      <c r="K211" s="308" t="str">
        <f>IF(OR(COUNTBLANK(AttributeFilter) = 1,AttributeFilter="(Select)"),A211, IF(INDEX(B211:J211, MATCH(AttributeFilter, B$1:J$1, 0)) &lt;&gt; 0, A211, ""))</f>
        <v>Passion Fruit Bar</v>
      </c>
    </row>
    <row r="212" spans="1:11">
      <c r="A212" s="207" t="s">
        <v>2967</v>
      </c>
      <c r="J212" s="195">
        <v>100</v>
      </c>
      <c r="K212" s="308" t="str">
        <f>IF(OR(COUNTBLANK(AttributeFilter) = 1,AttributeFilter="(Select)"),A212, IF(INDEX(B212:J212, MATCH(AttributeFilter, B$1:J$1, 0)) &lt;&gt; 0, A212, ""))</f>
        <v>Delicious Rice Ball</v>
      </c>
    </row>
    <row r="213" spans="1:11">
      <c r="A213" s="207" t="s">
        <v>2968</v>
      </c>
      <c r="C213" s="195">
        <v>40</v>
      </c>
      <c r="K213" s="308" t="str">
        <f>IF(OR(COUNTBLANK(AttributeFilter) = 1,AttributeFilter="(Select)"),A213, IF(INDEX(B213:J213, MATCH(AttributeFilter, B$1:J$1, 0)) &lt;&gt; 0, A213, ""))</f>
        <v>Chocolate Chip Cookie</v>
      </c>
    </row>
    <row r="214" spans="1:11">
      <c r="A214" s="207" t="s">
        <v>2969</v>
      </c>
      <c r="C214" s="195">
        <v>40</v>
      </c>
      <c r="K214" s="308" t="str">
        <f>IF(OR(COUNTBLANK(AttributeFilter) = 1,AttributeFilter="(Select)"),A214, IF(INDEX(B214:J214, MATCH(AttributeFilter, B$1:J$1, 0)) &lt;&gt; 0, A214, ""))</f>
        <v>Murrellow Stimulant Snack</v>
      </c>
    </row>
    <row r="215" spans="1:11">
      <c r="A215" s="207" t="s">
        <v>2970</v>
      </c>
      <c r="C215" s="195">
        <v>40</v>
      </c>
      <c r="K215" s="308" t="str">
        <f>IF(OR(COUNTBLANK(AttributeFilter) = 1,AttributeFilter="(Select)"),A215, IF(INDEX(B215:J215, MATCH(AttributeFilter, B$1:J$1, 0)) &lt;&gt; 0, A215, ""))</f>
        <v>Candy Corn Cookie</v>
      </c>
    </row>
    <row r="216" spans="1:11">
      <c r="A216" s="207" t="s">
        <v>2971</v>
      </c>
      <c r="C216" s="195">
        <v>50</v>
      </c>
      <c r="K216" s="308" t="str">
        <f>IF(OR(COUNTBLANK(AttributeFilter) = 1,AttributeFilter="(Select)"),A216, IF(INDEX(B216:J216, MATCH(AttributeFilter, B$1:J$1, 0)) &lt;&gt; 0, A216, ""))</f>
        <v>Chocolate Mint Cookie</v>
      </c>
    </row>
    <row r="217" spans="1:11">
      <c r="A217" s="207" t="s">
        <v>2972</v>
      </c>
      <c r="C217" s="195">
        <v>60</v>
      </c>
      <c r="K217" s="308" t="str">
        <f>IF(OR(COUNTBLANK(AttributeFilter) = 1,AttributeFilter="(Select)"),A217, IF(INDEX(B217:J217, MATCH(AttributeFilter, B$1:J$1, 0)) &lt;&gt; 0, A217, ""))</f>
        <v>Chocolate Raspberry Cookie</v>
      </c>
    </row>
    <row r="218" spans="1:11">
      <c r="A218" s="207" t="s">
        <v>2973</v>
      </c>
      <c r="C218" s="195">
        <v>60</v>
      </c>
      <c r="K218" s="308" t="str">
        <f>IF(OR(COUNTBLANK(AttributeFilter) = 1,AttributeFilter="(Select)"),A218, IF(INDEX(B218:J218, MATCH(AttributeFilter, B$1:J$1, 0)) &lt;&gt; 0, A218, ""))</f>
        <v>Glazed Chocolate Raspberry Cookie</v>
      </c>
    </row>
    <row r="219" spans="1:11">
      <c r="A219" s="207" t="s">
        <v>2974</v>
      </c>
      <c r="C219" s="195">
        <v>60</v>
      </c>
      <c r="K219" s="308" t="str">
        <f>IF(OR(COUNTBLANK(AttributeFilter) = 1,AttributeFilter="(Select)"),A219, IF(INDEX(B219:J219, MATCH(AttributeFilter, B$1:J$1, 0)) &lt;&gt; 0, A219, ""))</f>
        <v>Boxed Chocolate Raspberry Cookie</v>
      </c>
    </row>
    <row r="220" spans="1:11">
      <c r="A220" s="207" t="s">
        <v>2975</v>
      </c>
      <c r="C220" s="195">
        <v>70</v>
      </c>
      <c r="K220" s="308" t="str">
        <f>IF(OR(COUNTBLANK(AttributeFilter) = 1,AttributeFilter="(Select)"),A220, IF(INDEX(B220:J220, MATCH(AttributeFilter, B$1:J$1, 0)) &lt;&gt; 0, A220, ""))</f>
        <v>Spicy Chocolate Cookie</v>
      </c>
    </row>
    <row r="221" spans="1:11">
      <c r="A221" s="207" t="s">
        <v>2976</v>
      </c>
      <c r="E221" s="195">
        <v>70</v>
      </c>
      <c r="J221" s="195">
        <v>100</v>
      </c>
      <c r="K221" s="308" t="str">
        <f>IF(OR(COUNTBLANK(AttributeFilter) = 1,AttributeFilter="(Select)"),A221, IF(INDEX(B221:J221, MATCH(AttributeFilter, B$1:J$1, 0)) &lt;&gt; 0, A221, ""))</f>
        <v>Honeypot Ant</v>
      </c>
    </row>
    <row r="222" spans="1:11">
      <c r="A222" s="207" t="s">
        <v>2977</v>
      </c>
      <c r="E222" s="195">
        <v>40</v>
      </c>
      <c r="K222" s="308" t="str">
        <f>IF(OR(COUNTBLANK(AttributeFilter) = 1,AttributeFilter="(Select)"),A222, IF(INDEX(B222:J222, MATCH(AttributeFilter, B$1:J$1, 0)) &lt;&gt; 0, A222, ""))</f>
        <v>Cherry Cookie</v>
      </c>
    </row>
    <row r="223" spans="1:11">
      <c r="A223" s="207" t="s">
        <v>2978</v>
      </c>
      <c r="E223" s="195">
        <v>50</v>
      </c>
      <c r="K223" s="308" t="str">
        <f>IF(OR(COUNTBLANK(AttributeFilter) = 1,AttributeFilter="(Select)"),A223, IF(INDEX(B223:J223, MATCH(AttributeFilter, B$1:J$1, 0)) &lt;&gt; 0, A223, ""))</f>
        <v>Blackberry Cookie</v>
      </c>
    </row>
    <row r="224" spans="1:11">
      <c r="A224" s="207" t="s">
        <v>2979</v>
      </c>
      <c r="E224" s="195">
        <v>60</v>
      </c>
      <c r="K224" s="308" t="str">
        <f>IF(OR(COUNTBLANK(AttributeFilter) = 1,AttributeFilter="(Select)"),A224, IF(INDEX(B224:J224, MATCH(AttributeFilter, B$1:J$1, 0)) &lt;&gt; 0, A224, ""))</f>
        <v>Peach Cookie</v>
      </c>
    </row>
    <row r="225" spans="1:11">
      <c r="A225" s="207" t="s">
        <v>2980</v>
      </c>
      <c r="E225" s="195">
        <v>60</v>
      </c>
      <c r="K225" s="308" t="str">
        <f>IF(OR(COUNTBLANK(AttributeFilter) = 1,AttributeFilter="(Select)"),A225, IF(INDEX(B225:J225, MATCH(AttributeFilter, B$1:J$1, 0)) &lt;&gt; 0, A225, ""))</f>
        <v>Boxed Peach Cookie</v>
      </c>
    </row>
    <row r="226" spans="1:11">
      <c r="A226" s="207" t="s">
        <v>2981</v>
      </c>
      <c r="E226" s="195">
        <v>70</v>
      </c>
      <c r="K226" s="308" t="str">
        <f>IF(OR(COUNTBLANK(AttributeFilter) = 1,AttributeFilter="(Select)"),A226, IF(INDEX(B226:J226, MATCH(AttributeFilter, B$1:J$1, 0)) &lt;&gt; 0, A226, ""))</f>
        <v>Omnomberry Cookie</v>
      </c>
    </row>
    <row r="227" spans="1:11">
      <c r="A227" s="207" t="s">
        <v>2982</v>
      </c>
      <c r="G227" s="195">
        <v>70</v>
      </c>
      <c r="K227" s="308" t="str">
        <f>IF(OR(COUNTBLANK(AttributeFilter) = 1,AttributeFilter="(Select)"),A227, IF(INDEX(B227:J227, MATCH(AttributeFilter, B$1:J$1, 0)) &lt;&gt; 0, A227, ""))</f>
        <v>Gummy Wurms</v>
      </c>
    </row>
    <row r="228" spans="1:11">
      <c r="A228" s="207" t="s">
        <v>2983</v>
      </c>
      <c r="G228" s="195">
        <v>40</v>
      </c>
      <c r="J228" s="195">
        <v>50</v>
      </c>
      <c r="K228" s="308" t="str">
        <f>IF(OR(COUNTBLANK(AttributeFilter) = 1,AttributeFilter="(Select)"),A228, IF(INDEX(B228:J228, MATCH(AttributeFilter, B$1:J$1, 0)) &lt;&gt; 0, A228, ""))</f>
        <v>Cherry Passion Fruit Cake</v>
      </c>
    </row>
    <row r="229" spans="1:11">
      <c r="A229" s="207" t="s">
        <v>2984</v>
      </c>
      <c r="G229" s="195">
        <v>50</v>
      </c>
      <c r="K229" s="308" t="str">
        <f>IF(OR(COUNTBLANK(AttributeFilter) = 1,AttributeFilter="(Select)"),A229, IF(INDEX(B229:J229, MATCH(AttributeFilter, B$1:J$1, 0)) &lt;&gt; 0, A229, ""))</f>
        <v>Orange Passion Fruit Tart</v>
      </c>
    </row>
    <row r="230" spans="1:11">
      <c r="A230" s="207" t="s">
        <v>2985</v>
      </c>
      <c r="G230" s="195">
        <v>60</v>
      </c>
      <c r="K230" s="308" t="str">
        <f>IF(OR(COUNTBLANK(AttributeFilter) = 1,AttributeFilter="(Select)"),A230, IF(INDEX(B230:J230, MATCH(AttributeFilter, B$1:J$1, 0)) &lt;&gt; 0, A230, ""))</f>
        <v>Canned Raspberry Passion Fruit Compote</v>
      </c>
    </row>
    <row r="231" spans="1:11">
      <c r="A231" s="207" t="s">
        <v>2986</v>
      </c>
      <c r="G231" s="195">
        <v>60</v>
      </c>
      <c r="K231" s="308" t="str">
        <f>IF(OR(COUNTBLANK(AttributeFilter) = 1,AttributeFilter="(Select)"),A231, IF(INDEX(B231:J231, MATCH(AttributeFilter, B$1:J$1, 0)) &lt;&gt; 0, A231, ""))</f>
        <v>Raspberry Passion Fruit Compote</v>
      </c>
    </row>
    <row r="232" spans="1:11">
      <c r="A232" s="207" t="s">
        <v>2987</v>
      </c>
      <c r="G232" s="195">
        <v>70</v>
      </c>
      <c r="K232" s="308" t="str">
        <f>IF(OR(COUNTBLANK(AttributeFilter) = 1,AttributeFilter="(Select)"),A232, IF(INDEX(B232:J232, MATCH(AttributeFilter, B$1:J$1, 0)) &lt;&gt; 0, A232, ""))</f>
        <v>Bowl of Tropical Fruit Salad</v>
      </c>
    </row>
    <row r="233" spans="1:11">
      <c r="A233" s="207" t="s">
        <v>2988</v>
      </c>
      <c r="I233" s="195">
        <v>70</v>
      </c>
      <c r="K233" s="308" t="str">
        <f>IF(OR(COUNTBLANK(AttributeFilter) = 1,AttributeFilter="(Select)"),A233, IF(INDEX(B233:J233, MATCH(AttributeFilter, B$1:J$1, 0)) &lt;&gt; 0, A233, ""))</f>
        <v>Bowl of Poultry Satay</v>
      </c>
    </row>
    <row r="234" spans="1:11">
      <c r="A234" s="207" t="s">
        <v>2989</v>
      </c>
      <c r="K234" s="308" t="str">
        <f>IF(OR(COUNTBLANK(AttributeFilter) = 1,AttributeFilter="(Select)"),A234, IF(INDEX(B234:J234, MATCH(AttributeFilter, B$1:J$1, 0)) &lt;&gt; 0, A234, ""))</f>
        <v>Bowl of Poultry Stock</v>
      </c>
    </row>
    <row r="235" spans="1:11">
      <c r="A235" s="207" t="s">
        <v>2990</v>
      </c>
      <c r="K235" s="308" t="str">
        <f>IF(OR(COUNTBLANK(AttributeFilter) = 1,AttributeFilter="(Select)"),A235, IF(INDEX(B235:J235, MATCH(AttributeFilter, B$1:J$1, 0)) &lt;&gt; 0, A235, ""))</f>
        <v>Roasted Aloe Seed</v>
      </c>
    </row>
    <row r="236" spans="1:11">
      <c r="A236" s="207" t="s">
        <v>2991</v>
      </c>
      <c r="K236" s="308" t="str">
        <f>IF(OR(COUNTBLANK(AttributeFilter) = 1,AttributeFilter="(Select)"),A236, IF(INDEX(B236:J236, MATCH(AttributeFilter, B$1:J$1, 0)) &lt;&gt; 0, A236, ""))</f>
        <v>Bowl of Poultry Noodle Soup</v>
      </c>
    </row>
    <row r="237" spans="1:11">
      <c r="A237" s="207" t="s">
        <v>2992</v>
      </c>
      <c r="K237" s="308" t="str">
        <f>IF(OR(COUNTBLANK(AttributeFilter) = 1,AttributeFilter="(Select)"),A237, IF(INDEX(B237:J237, MATCH(AttributeFilter, B$1:J$1, 0)) &lt;&gt; 0, A237, ""))</f>
        <v>Bowl of Kraitweed Salad</v>
      </c>
    </row>
    <row r="238" spans="1:11">
      <c r="A238" s="207" t="s">
        <v>2993</v>
      </c>
      <c r="K238" s="308" t="str">
        <f>IF(OR(COUNTBLANK(AttributeFilter) = 1,AttributeFilter="(Select)"),A238, IF(INDEX(B238:J238, MATCH(AttributeFilter, B$1:J$1, 0)) &lt;&gt; 0, A238, ""))</f>
        <v>Bowl of Savory Spinach and Poultry Soup</v>
      </c>
    </row>
    <row r="239" spans="1:11">
      <c r="A239" s="207" t="s">
        <v>2994</v>
      </c>
      <c r="K239" s="308" t="str">
        <f>IF(OR(COUNTBLANK(AttributeFilter) = 1,AttributeFilter="(Select)"),A239, IF(INDEX(B239:J239, MATCH(AttributeFilter, B$1:J$1, 0)) &lt;&gt; 0, A239, ""))</f>
        <v>Bowl of Herbed Poultry Stock</v>
      </c>
    </row>
    <row r="240" spans="1:11">
      <c r="A240" s="207" t="s">
        <v>2995</v>
      </c>
      <c r="K240" s="308" t="str">
        <f>IF(OR(COUNTBLANK(AttributeFilter) = 1,AttributeFilter="(Select)"),A240, IF(INDEX(B240:J240, MATCH(AttributeFilter, B$1:J$1, 0)) &lt;&gt; 0, A240, ""))</f>
        <v>Bowl of Kale and Poultry Soup</v>
      </c>
    </row>
    <row r="241" spans="1:11">
      <c r="A241" s="207" t="s">
        <v>2996</v>
      </c>
      <c r="K241" s="308" t="str">
        <f>IF(OR(COUNTBLANK(AttributeFilter) = 1,AttributeFilter="(Select)"),A241, IF(INDEX(B241:J241, MATCH(AttributeFilter, B$1:J$1, 0)) &lt;&gt; 0, A241, ""))</f>
        <v>Bowl of Hearty Poultry Soup</v>
      </c>
    </row>
    <row r="242" spans="1:11">
      <c r="A242" s="207" t="s">
        <v>2997</v>
      </c>
      <c r="K242" s="308" t="str">
        <f>IF(OR(COUNTBLANK(AttributeFilter) = 1,AttributeFilter="(Select)"),A242, IF(INDEX(B242:J242, MATCH(AttributeFilter, B$1:J$1, 0)) &lt;&gt; 0, A242, ""))</f>
        <v>Bowl of Poultry and Winter Vegetable Soup</v>
      </c>
    </row>
    <row r="243" spans="1:11">
      <c r="A243" s="207" t="s">
        <v>2998</v>
      </c>
      <c r="K243" s="308" t="str">
        <f>IF(OR(COUNTBLANK(AttributeFilter) = 1,AttributeFilter="(Select)"),A243, IF(INDEX(B243:J243, MATCH(AttributeFilter, B$1:J$1, 0)) &lt;&gt; 0, A243, ""))</f>
        <v>Can of Hearty Poultry Soup</v>
      </c>
    </row>
    <row r="244" spans="1:11">
      <c r="A244" s="207" t="s">
        <v>2999</v>
      </c>
      <c r="K244" s="308" t="str">
        <f>IF(OR(COUNTBLANK(AttributeFilter) = 1,AttributeFilter="(Select)"),A244, IF(INDEX(B244:J244, MATCH(AttributeFilter, B$1:J$1, 0)) &lt;&gt; 0, A244, ""))</f>
        <v>Bowl of Saffron-scented Poultry Soup</v>
      </c>
    </row>
    <row r="245" spans="1:11">
      <c r="A245" s="207" t="s">
        <v>3000</v>
      </c>
      <c r="J245" s="195">
        <v>20</v>
      </c>
      <c r="K245" s="308" t="str">
        <f>IF(OR(COUNTBLANK(AttributeFilter) = 1,AttributeFilter="(Select)"),A245, IF(INDEX(B245:J245, MATCH(AttributeFilter, B$1:J$1, 0)) &lt;&gt; 0, A245, ""))</f>
        <v>Bowl of Chocolate Chip Ice Cream</v>
      </c>
    </row>
    <row r="246" spans="1:11">
      <c r="A246" s="207" t="s">
        <v>3001</v>
      </c>
      <c r="J246" s="195">
        <v>20</v>
      </c>
      <c r="K246" s="308" t="str">
        <f>IF(OR(COUNTBLANK(AttributeFilter) = 1,AttributeFilter="(Select)"),A246, IF(INDEX(B246:J246, MATCH(AttributeFilter, B$1:J$1, 0)) &lt;&gt; 0, A246, ""))</f>
        <v>Bowl of Candy Corn Ice Cream</v>
      </c>
    </row>
    <row r="247" spans="1:11">
      <c r="A247" s="207" t="s">
        <v>3002</v>
      </c>
      <c r="J247" s="195">
        <v>30</v>
      </c>
      <c r="K247" s="308" t="str">
        <f>IF(OR(COUNTBLANK(AttributeFilter) = 1,AttributeFilter="(Select)"),A247, IF(INDEX(B247:J247, MATCH(AttributeFilter, B$1:J$1, 0)) &lt;&gt; 0, A247, ""))</f>
        <v>Bowl of Blueberry Chocolate Chunk Ice Cream</v>
      </c>
    </row>
    <row r="248" spans="1:11">
      <c r="A248" s="207" t="s">
        <v>3003</v>
      </c>
      <c r="D248" s="195">
        <v>40</v>
      </c>
      <c r="J248" s="195">
        <v>50</v>
      </c>
      <c r="K248" s="308" t="str">
        <f>IF(OR(COUNTBLANK(AttributeFilter) = 1,AttributeFilter="(Select)"),A248, IF(INDEX(B248:J248, MATCH(AttributeFilter, B$1:J$1, 0)) &lt;&gt; 0, A248, ""))</f>
        <v>Bowl of Ginger-Lime Ice Cream</v>
      </c>
    </row>
    <row r="249" spans="1:11">
      <c r="A249" s="207" t="s">
        <v>3004</v>
      </c>
      <c r="D249" s="195">
        <v>50</v>
      </c>
      <c r="J249" s="195">
        <v>60</v>
      </c>
      <c r="K249" s="308" t="str">
        <f>IF(OR(COUNTBLANK(AttributeFilter) = 1,AttributeFilter="(Select)"),A249, IF(INDEX(B249:J249, MATCH(AttributeFilter, B$1:J$1, 0)) &lt;&gt; 0, A249, ""))</f>
        <v>Bowl of Mint Chocolate Chip Ice Cream</v>
      </c>
    </row>
    <row r="250" spans="1:11">
      <c r="A250" s="207" t="s">
        <v>3005</v>
      </c>
      <c r="D250" s="195">
        <v>60</v>
      </c>
      <c r="J250" s="195">
        <v>80</v>
      </c>
      <c r="K250" s="308" t="str">
        <f>IF(OR(COUNTBLANK(AttributeFilter) = 1,AttributeFilter="(Select)"),A250, IF(INDEX(B250:J250, MATCH(AttributeFilter, B$1:J$1, 0)) &lt;&gt; 0, A250, ""))</f>
        <v>Bowl of Peach Raspberry Swirl Ice Cream</v>
      </c>
    </row>
    <row r="251" spans="1:11">
      <c r="A251" s="207" t="s">
        <v>3006</v>
      </c>
      <c r="D251" s="195">
        <v>70</v>
      </c>
      <c r="J251" s="195">
        <v>100</v>
      </c>
      <c r="K251" s="308" t="str">
        <f>IF(OR(COUNTBLANK(AttributeFilter) = 1,AttributeFilter="(Select)"),A251, IF(INDEX(B251:J251, MATCH(AttributeFilter, B$1:J$1, 0)) &lt;&gt; 0, A251, ""))</f>
        <v>Kralkachocolate Bar</v>
      </c>
    </row>
    <row r="252" spans="1:11">
      <c r="A252" s="207" t="s">
        <v>3007</v>
      </c>
      <c r="D252" s="195">
        <v>70</v>
      </c>
      <c r="J252" s="195">
        <v>100</v>
      </c>
      <c r="K252" s="308" t="str">
        <f>IF(OR(COUNTBLANK(AttributeFilter) = 1,AttributeFilter="(Select)"),A252, IF(INDEX(B252:J252, MATCH(AttributeFilter, B$1:J$1, 0)) &lt;&gt; 0, A252, ""))</f>
        <v>Bowl of Saffron-Mango Ice Cream</v>
      </c>
    </row>
    <row r="253" spans="1:11">
      <c r="A253" s="207" t="s">
        <v>3008</v>
      </c>
      <c r="K253" s="308" t="str">
        <f>IF(OR(COUNTBLANK(AttributeFilter) = 1,AttributeFilter="(Select)"),A253, IF(INDEX(B253:J253, MATCH(AttributeFilter, B$1:J$1, 0)) &lt;&gt; 0, A253, ""))</f>
        <v>Whitefish Sushi</v>
      </c>
    </row>
    <row r="254" spans="1:11">
      <c r="A254" s="207" t="s">
        <v>3009</v>
      </c>
      <c r="K254" s="308" t="str">
        <f>IF(OR(COUNTBLANK(AttributeFilter) = 1,AttributeFilter="(Select)"),A254, IF(INDEX(B254:J254, MATCH(AttributeFilter, B$1:J$1, 0)) &lt;&gt; 0, A254, ""))</f>
        <v>Yellowfish Sushi</v>
      </c>
    </row>
    <row r="255" spans="1:11">
      <c r="A255" s="207" t="s">
        <v>3010</v>
      </c>
      <c r="K255" s="308" t="str">
        <f>IF(OR(COUNTBLANK(AttributeFilter) = 1,AttributeFilter="(Select)"),A255, IF(INDEX(B255:J255, MATCH(AttributeFilter, B$1:J$1, 0)) &lt;&gt; 0, A255, ""))</f>
        <v>Orangefish Sushi</v>
      </c>
    </row>
    <row r="256" spans="1:11">
      <c r="A256" s="207" t="s">
        <v>3011</v>
      </c>
      <c r="K256" s="308" t="str">
        <f>IF(OR(COUNTBLANK(AttributeFilter) = 1,AttributeFilter="(Select)"),A256, IF(INDEX(B256:J256, MATCH(AttributeFilter, B$1:J$1, 0)) &lt;&gt; 0, A256, ""))</f>
        <v>Redfish Sushi</v>
      </c>
    </row>
    <row r="257" spans="1:11">
      <c r="A257" s="207" t="s">
        <v>3012</v>
      </c>
      <c r="E257" s="195">
        <v>70</v>
      </c>
      <c r="K257" s="308" t="str">
        <f>IF(OR(COUNTBLANK(AttributeFilter) = 1,AttributeFilter="(Select)"),A257, IF(INDEX(B257:J257, MATCH(AttributeFilter, B$1:J$1, 0)) &lt;&gt; 0, A257, ""))</f>
        <v>Bowl of Fish Stew</v>
      </c>
    </row>
    <row r="258" spans="1:11">
      <c r="A258" s="207" t="s">
        <v>3013</v>
      </c>
      <c r="G258" s="195">
        <v>100</v>
      </c>
      <c r="H258" s="195">
        <v>70</v>
      </c>
      <c r="K258" s="308" t="str">
        <f>IF(OR(COUNTBLANK(AttributeFilter) = 1,AttributeFilter="(Select)"),A258, IF(INDEX(B258:J258, MATCH(AttributeFilter, B$1:J$1, 0)) &lt;&gt; 0, A258, ""))</f>
        <v>Bowl of Echovald Hotpot</v>
      </c>
    </row>
    <row r="259" spans="1:11">
      <c r="A259" s="207" t="s">
        <v>3014</v>
      </c>
      <c r="B259" s="195">
        <v>100</v>
      </c>
      <c r="F259" s="195">
        <v>70</v>
      </c>
      <c r="K259" s="308" t="str">
        <f>IF(OR(COUNTBLANK(AttributeFilter) = 1,AttributeFilter="(Select)"),A259, IF(INDEX(B259:J259, MATCH(AttributeFilter, B$1:J$1, 0)) &lt;&gt; 0, A259, ""))</f>
        <v>Bowl of Jade Sea Bounty</v>
      </c>
    </row>
    <row r="260" spans="1:11">
      <c r="A260" s="207" t="s">
        <v>3015</v>
      </c>
      <c r="K260" s="308" t="str">
        <f>IF(OR(COUNTBLANK(AttributeFilter) = 1,AttributeFilter="(Select)"),A260, IF(INDEX(B260:J260, MATCH(AttributeFilter, B$1:J$1, 0)) &lt;&gt; 0, A260, ""))</f>
        <v>Flight of Sushi</v>
      </c>
    </row>
    <row r="261" spans="1:11">
      <c r="A261" s="207" t="s">
        <v>3016</v>
      </c>
      <c r="D261" s="195">
        <v>70</v>
      </c>
      <c r="E261" s="195">
        <v>100</v>
      </c>
      <c r="K261" s="308" t="str">
        <f>IF(OR(COUNTBLANK(AttributeFilter) = 1,AttributeFilter="(Select)"),A261, IF(INDEX(B261:J261, MATCH(AttributeFilter, B$1:J$1, 0)) &lt;&gt; 0, A261, ""))</f>
        <v>Plate of Crispy Fish Pancakes</v>
      </c>
    </row>
    <row r="262" spans="1:11">
      <c r="A262" s="207" t="s">
        <v>3017</v>
      </c>
      <c r="I262" s="195">
        <v>70</v>
      </c>
      <c r="J262" s="195">
        <v>100</v>
      </c>
      <c r="K262" s="308" t="str">
        <f>IF(OR(COUNTBLANK(AttributeFilter) = 1,AttributeFilter="(Select)"),A262, IF(INDEX(B262:J262, MATCH(AttributeFilter, B$1:J$1, 0)) &lt;&gt; 0, A262, ""))</f>
        <v>Plate of Imperial Palace Special</v>
      </c>
    </row>
    <row r="263" spans="1:11">
      <c r="A263" s="207" t="s">
        <v>3018</v>
      </c>
      <c r="K263" s="308" t="str">
        <f>IF(OR(COUNTBLANK(AttributeFilter) = 1,AttributeFilter="(Select)"),A263, IF(INDEX(B263:J263, MATCH(AttributeFilter, B$1:J$1, 0)) &lt;&gt; 0, A263, ""))</f>
        <v>Bowl of Apple Sauce</v>
      </c>
    </row>
    <row r="264" spans="1:11">
      <c r="A264" s="207" t="s">
        <v>3019</v>
      </c>
      <c r="K264" s="308" t="str">
        <f>IF(OR(COUNTBLANK(AttributeFilter) = 1,AttributeFilter="(Select)"),A264, IF(INDEX(B264:J264, MATCH(AttributeFilter, B$1:J$1, 0)) &lt;&gt; 0, A264, ""))</f>
        <v>Cinnamon Apple</v>
      </c>
    </row>
    <row r="265" spans="1:11">
      <c r="A265" s="207" t="s">
        <v>3020</v>
      </c>
      <c r="K265" s="308" t="str">
        <f>IF(OR(COUNTBLANK(AttributeFilter) = 1,AttributeFilter="(Select)"),A265, IF(INDEX(B265:J265, MATCH(AttributeFilter, B$1:J$1, 0)) &lt;&gt; 0, A265, ""))</f>
        <v>Eggs Beetletun</v>
      </c>
    </row>
    <row r="266" spans="1:11">
      <c r="A266" s="207" t="s">
        <v>3021</v>
      </c>
      <c r="K266" s="308" t="str">
        <f>IF(OR(COUNTBLANK(AttributeFilter) = 1,AttributeFilter="(Select)"),A266, IF(INDEX(B266:J266, MATCH(AttributeFilter, B$1:J$1, 0)) &lt;&gt; 0, A266, ""))</f>
        <v>Onion Ring</v>
      </c>
    </row>
    <row r="267" spans="1:11">
      <c r="A267" s="207" t="s">
        <v>3022</v>
      </c>
      <c r="K267" s="308" t="str">
        <f>IF(OR(COUNTBLANK(AttributeFilter) = 1,AttributeFilter="(Select)"),A267, IF(INDEX(B267:J267, MATCH(AttributeFilter, B$1:J$1, 0)) &lt;&gt; 0, A267, ""))</f>
        <v>Blueberry Tart</v>
      </c>
    </row>
    <row r="268" spans="1:11">
      <c r="A268" s="207" t="s">
        <v>3023</v>
      </c>
      <c r="K268" s="308" t="str">
        <f>IF(OR(COUNTBLANK(AttributeFilter) = 1,AttributeFilter="(Select)"),A268, IF(INDEX(B268:J268, MATCH(AttributeFilter, B$1:J$1, 0)) &lt;&gt; 0, A268, ""))</f>
        <v>Candied Apple</v>
      </c>
    </row>
    <row r="269" spans="1:11">
      <c r="A269" s="207" t="s">
        <v>3024</v>
      </c>
      <c r="K269" s="308" t="str">
        <f>IF(OR(COUNTBLANK(AttributeFilter) = 1,AttributeFilter="(Select)"),A269, IF(INDEX(B269:J269, MATCH(AttributeFilter, B$1:J$1, 0)) &lt;&gt; 0, A269, ""))</f>
        <v>Caramel</v>
      </c>
    </row>
    <row r="270" spans="1:11">
      <c r="A270" s="207" t="s">
        <v>3025</v>
      </c>
      <c r="K270" s="308" t="str">
        <f>IF(OR(COUNTBLANK(AttributeFilter) = 1,AttributeFilter="(Select)"),A270, IF(INDEX(B270:J270, MATCH(AttributeFilter, B$1:J$1, 0)) &lt;&gt; 0, A270, ""))</f>
        <v>Lemon Tart</v>
      </c>
    </row>
    <row r="271" spans="1:11">
      <c r="A271" s="207" t="s">
        <v>3026</v>
      </c>
      <c r="K271" s="308" t="str">
        <f>IF(OR(COUNTBLANK(AttributeFilter) = 1,AttributeFilter="(Select)"),A271, IF(INDEX(B271:J271, MATCH(AttributeFilter, B$1:J$1, 0)) &lt;&gt; 0, A271, ""))</f>
        <v>Meat Pie</v>
      </c>
    </row>
    <row r="272" spans="1:11">
      <c r="A272" s="207" t="s">
        <v>3027</v>
      </c>
      <c r="K272" s="308" t="str">
        <f>IF(OR(COUNTBLANK(AttributeFilter) = 1,AttributeFilter="(Select)"),A272, IF(INDEX(B272:J272, MATCH(AttributeFilter, B$1:J$1, 0)) &lt;&gt; 0, A272, ""))</f>
        <v>Sparkling Effervescence</v>
      </c>
    </row>
    <row r="273" spans="1:11">
      <c r="A273" s="207" t="s">
        <v>3028</v>
      </c>
      <c r="K273" s="308" t="str">
        <f>IF(OR(COUNTBLANK(AttributeFilter) = 1,AttributeFilter="(Select)"),A273, IF(INDEX(B273:J273, MATCH(AttributeFilter, B$1:J$1, 0)) &lt;&gt; 0, A273, ""))</f>
        <v>Caramel Apple</v>
      </c>
    </row>
    <row r="274" spans="1:11">
      <c r="A274" s="207" t="s">
        <v>3029</v>
      </c>
      <c r="K274" s="308" t="str">
        <f>IF(OR(COUNTBLANK(AttributeFilter) = 1,AttributeFilter="(Select)"),A274, IF(INDEX(B274:J274, MATCH(AttributeFilter, B$1:J$1, 0)) &lt;&gt; 0, A274, ""))</f>
        <v>Chocolate Banana</v>
      </c>
    </row>
    <row r="275" spans="1:11">
      <c r="A275" s="207" t="s">
        <v>3030</v>
      </c>
      <c r="K275" s="308" t="str">
        <f>IF(OR(COUNTBLANK(AttributeFilter) = 1,AttributeFilter="(Select)"),A275, IF(INDEX(B275:J275, MATCH(AttributeFilter, B$1:J$1, 0)) &lt;&gt; 0, A275, ""))</f>
        <v>Lemon Bar</v>
      </c>
    </row>
    <row r="276" spans="1:11">
      <c r="A276" s="207" t="s">
        <v>3031</v>
      </c>
      <c r="K276" s="308" t="str">
        <f>IF(OR(COUNTBLANK(AttributeFilter) = 1,AttributeFilter="(Select)"),A276, IF(INDEX(B276:J276, MATCH(AttributeFilter, B$1:J$1, 0)) &lt;&gt; 0, A276, ""))</f>
        <v>Candy Corn Cake</v>
      </c>
    </row>
    <row r="277" spans="1:11">
      <c r="A277" s="207" t="s">
        <v>3032</v>
      </c>
      <c r="K277" s="308" t="str">
        <f>IF(OR(COUNTBLANK(AttributeFilter) = 1,AttributeFilter="(Select)"),A277, IF(INDEX(B277:J277, MATCH(AttributeFilter, B$1:J$1, 0)) &lt;&gt; 0, A277, ""))</f>
        <v>Clam Cake</v>
      </c>
    </row>
    <row r="278" spans="1:11">
      <c r="A278" s="207" t="s">
        <v>3033</v>
      </c>
      <c r="K278" s="308" t="str">
        <f>IF(OR(COUNTBLANK(AttributeFilter) = 1,AttributeFilter="(Select)"),A278, IF(INDEX(B278:J278, MATCH(AttributeFilter, B$1:J$1, 0)) &lt;&gt; 0, A278, ""))</f>
        <v>TurrÃ³n Slice</v>
      </c>
    </row>
    <row r="279" spans="1:11">
      <c r="A279" s="207" t="s">
        <v>3034</v>
      </c>
      <c r="K279" s="308" t="str">
        <f>IF(OR(COUNTBLANK(AttributeFilter) = 1,AttributeFilter="(Select)"),A279, IF(INDEX(B279:J279, MATCH(AttributeFilter, B$1:J$1, 0)) &lt;&gt; 0, A279, ""))</f>
        <v>Plate of Island Pudding</v>
      </c>
    </row>
    <row r="280" spans="1:11">
      <c r="A280" s="207" t="s">
        <v>3035</v>
      </c>
      <c r="B280" s="195">
        <v>40</v>
      </c>
      <c r="K280" s="308" t="str">
        <f>IF(OR(COUNTBLANK(AttributeFilter) = 1,AttributeFilter="(Select)"),A280, IF(INDEX(B280:J280, MATCH(AttributeFilter, B$1:J$1, 0)) &lt;&gt; 0, A280, ""))</f>
        <v>Cherry Tart</v>
      </c>
    </row>
    <row r="281" spans="1:11">
      <c r="A281" s="207" t="s">
        <v>3036</v>
      </c>
      <c r="B281" s="195">
        <v>50</v>
      </c>
      <c r="K281" s="308" t="str">
        <f>IF(OR(COUNTBLANK(AttributeFilter) = 1,AttributeFilter="(Select)"),A281, IF(INDEX(B281:J281, MATCH(AttributeFilter, B$1:J$1, 0)) &lt;&gt; 0, A281, ""))</f>
        <v>Ginger Pear Tart</v>
      </c>
    </row>
    <row r="282" spans="1:11">
      <c r="A282" s="207" t="s">
        <v>3037</v>
      </c>
      <c r="B282" s="195">
        <v>50</v>
      </c>
      <c r="K282" s="308" t="str">
        <f>IF(OR(COUNTBLANK(AttributeFilter) = 1,AttributeFilter="(Select)"),A282, IF(INDEX(B282:J282, MATCH(AttributeFilter, B$1:J$1, 0)) &lt;&gt; 0, A282, ""))</f>
        <v>Glazed Pear Tart</v>
      </c>
    </row>
    <row r="283" spans="1:11">
      <c r="A283" s="207" t="s">
        <v>3038</v>
      </c>
      <c r="B283" s="195">
        <v>60</v>
      </c>
      <c r="K283" s="308" t="str">
        <f>IF(OR(COUNTBLANK(AttributeFilter) = 1,AttributeFilter="(Select)"),A283, IF(INDEX(B283:J283, MATCH(AttributeFilter, B$1:J$1, 0)) &lt;&gt; 0, A283, ""))</f>
        <v>Peach Tart</v>
      </c>
    </row>
    <row r="284" spans="1:11">
      <c r="A284" s="207" t="s">
        <v>3039</v>
      </c>
      <c r="B284" s="195">
        <v>60</v>
      </c>
      <c r="K284" s="308" t="str">
        <f>IF(OR(COUNTBLANK(AttributeFilter) = 1,AttributeFilter="(Select)"),A284, IF(INDEX(B284:J284, MATCH(AttributeFilter, B$1:J$1, 0)) &lt;&gt; 0, A284, ""))</f>
        <v>Canned Peach Tart</v>
      </c>
    </row>
    <row r="285" spans="1:11">
      <c r="A285" s="207" t="s">
        <v>3040</v>
      </c>
      <c r="B285" s="195">
        <v>60</v>
      </c>
      <c r="K285" s="308" t="str">
        <f>IF(OR(COUNTBLANK(AttributeFilter) = 1,AttributeFilter="(Select)"),A285, IF(INDEX(B285:J285, MATCH(AttributeFilter, B$1:J$1, 0)) &lt;&gt; 0, A285, ""))</f>
        <v>Glazed Peach Tart</v>
      </c>
    </row>
    <row r="286" spans="1:11">
      <c r="A286" s="207" t="s">
        <v>3041</v>
      </c>
      <c r="B286" s="195">
        <v>70</v>
      </c>
      <c r="K286" s="308" t="str">
        <f>IF(OR(COUNTBLANK(AttributeFilter) = 1,AttributeFilter="(Select)"),A286, IF(INDEX(B286:J286, MATCH(AttributeFilter, B$1:J$1, 0)) &lt;&gt; 0, A286, ""))</f>
        <v>Dragonfly Cupcake</v>
      </c>
    </row>
    <row r="287" spans="1:11">
      <c r="A287" s="207" t="s">
        <v>3042</v>
      </c>
      <c r="B287" s="195">
        <v>70</v>
      </c>
      <c r="K287" s="308" t="str">
        <f>IF(OR(COUNTBLANK(AttributeFilter) = 1,AttributeFilter="(Select)"),A287, IF(INDEX(B287:J287, MATCH(AttributeFilter, B$1:J$1, 0)) &lt;&gt; 0, A287, ""))</f>
        <v>Omnomberry Tart</v>
      </c>
    </row>
    <row r="288" spans="1:11">
      <c r="A288" s="207" t="s">
        <v>3043</v>
      </c>
      <c r="K288" s="308" t="str">
        <f>IF(OR(COUNTBLANK(AttributeFilter) = 1,AttributeFilter="(Select)"),A288, IF(INDEX(B288:J288, MATCH(AttributeFilter, B$1:J$1, 0)) &lt;&gt; 0, A288, ""))</f>
        <v>Strawberry Ghost</v>
      </c>
    </row>
    <row r="289" spans="1:11">
      <c r="A289" s="207" t="s">
        <v>3044</v>
      </c>
      <c r="I289" s="195">
        <v>50</v>
      </c>
      <c r="K289" s="308" t="str">
        <f>IF(OR(COUNTBLANK(AttributeFilter) = 1,AttributeFilter="(Select)"),A289, IF(INDEX(B289:J289, MATCH(AttributeFilter, B$1:J$1, 0)) &lt;&gt; 0, A289, ""))</f>
        <v>Chocolate Cherry</v>
      </c>
    </row>
    <row r="290" spans="1:11">
      <c r="A290" s="207" t="s">
        <v>3045</v>
      </c>
      <c r="I290" s="195">
        <v>60</v>
      </c>
      <c r="K290" s="308" t="str">
        <f>IF(OR(COUNTBLANK(AttributeFilter) = 1,AttributeFilter="(Select)"),A290, IF(INDEX(B290:J290, MATCH(AttributeFilter, B$1:J$1, 0)) &lt;&gt; 0, A290, ""))</f>
        <v>Chocolate Orange</v>
      </c>
    </row>
    <row r="291" spans="1:11">
      <c r="A291" s="207" t="s">
        <v>3046</v>
      </c>
      <c r="I291" s="195">
        <v>80</v>
      </c>
      <c r="K291" s="308" t="str">
        <f>IF(OR(COUNTBLANK(AttributeFilter) = 1,AttributeFilter="(Select)"),A291, IF(INDEX(B291:J291, MATCH(AttributeFilter, B$1:J$1, 0)) &lt;&gt; 0, A291, ""))</f>
        <v>Chocolate Raspberry Cream</v>
      </c>
    </row>
    <row r="292" spans="1:11">
      <c r="A292" s="207" t="s">
        <v>3047</v>
      </c>
      <c r="I292" s="195">
        <v>80</v>
      </c>
      <c r="K292" s="308" t="str">
        <f>IF(OR(COUNTBLANK(AttributeFilter) = 1,AttributeFilter="(Select)"),A292, IF(INDEX(B292:J292, MATCH(AttributeFilter, B$1:J$1, 0)) &lt;&gt; 0, A292, ""))</f>
        <v>Boxed Chocolate Raspberry Cream</v>
      </c>
    </row>
    <row r="293" spans="1:11">
      <c r="A293" s="207" t="s">
        <v>3048</v>
      </c>
      <c r="I293" s="195">
        <v>100</v>
      </c>
      <c r="K293" s="308" t="str">
        <f>IF(OR(COUNTBLANK(AttributeFilter) = 1,AttributeFilter="(Select)"),A293, IF(INDEX(B293:J293, MATCH(AttributeFilter, B$1:J$1, 0)) &lt;&gt; 0, A293, ""))</f>
        <v>Chocolate Omnomberry Cream</v>
      </c>
    </row>
    <row r="294" spans="1:11">
      <c r="A294" s="207" t="s">
        <v>3049</v>
      </c>
      <c r="G294" s="195">
        <v>40</v>
      </c>
      <c r="K294" s="308" t="str">
        <f>IF(OR(COUNTBLANK(AttributeFilter) = 1,AttributeFilter="(Select)"),A294, IF(INDEX(B294:J294, MATCH(AttributeFilter, B$1:J$1, 0)) &lt;&gt; 0, A294, ""))</f>
        <v>Yam Fritter</v>
      </c>
    </row>
    <row r="295" spans="1:11">
      <c r="A295" s="207" t="s">
        <v>3050</v>
      </c>
      <c r="G295" s="195">
        <v>50</v>
      </c>
      <c r="K295" s="308" t="str">
        <f>IF(OR(COUNTBLANK(AttributeFilter) = 1,AttributeFilter="(Select)"),A295, IF(INDEX(B295:J295, MATCH(AttributeFilter, B$1:J$1, 0)) &lt;&gt; 0, A295, ""))</f>
        <v>Chickpea Fritter</v>
      </c>
    </row>
    <row r="296" spans="1:11">
      <c r="A296" s="207" t="s">
        <v>3051</v>
      </c>
      <c r="G296" s="195">
        <v>60</v>
      </c>
      <c r="K296" s="308" t="str">
        <f>IF(OR(COUNTBLANK(AttributeFilter) = 1,AttributeFilter="(Select)"),A296, IF(INDEX(B296:J296, MATCH(AttributeFilter, B$1:J$1, 0)) &lt;&gt; 0, A296, ""))</f>
        <v>Eggplant Fritter</v>
      </c>
    </row>
    <row r="297" spans="1:11">
      <c r="A297" s="207" t="s">
        <v>3052</v>
      </c>
      <c r="G297" s="195">
        <v>60</v>
      </c>
      <c r="K297" s="308" t="str">
        <f>IF(OR(COUNTBLANK(AttributeFilter) = 1,AttributeFilter="(Select)"),A297, IF(INDEX(B297:J297, MATCH(AttributeFilter, B$1:J$1, 0)) &lt;&gt; 0, A297, ""))</f>
        <v>Canned Eggplant Fritter</v>
      </c>
    </row>
    <row r="298" spans="1:11">
      <c r="A298" s="207" t="s">
        <v>3053</v>
      </c>
      <c r="G298" s="195">
        <v>70</v>
      </c>
      <c r="K298" s="308" t="str">
        <f>IF(OR(COUNTBLANK(AttributeFilter) = 1,AttributeFilter="(Select)"),A298, IF(INDEX(B298:J298, MATCH(AttributeFilter, B$1:J$1, 0)) &lt;&gt; 0, A298, ""))</f>
        <v>Cup of Lotus Fries</v>
      </c>
    </row>
    <row r="299" spans="1:11">
      <c r="A299" s="207" t="s">
        <v>3054</v>
      </c>
      <c r="G299" s="195">
        <v>70</v>
      </c>
      <c r="K299" s="308" t="str">
        <f>IF(OR(COUNTBLANK(AttributeFilter) = 1,AttributeFilter="(Select)"),A299, IF(INDEX(B299:J299, MATCH(AttributeFilter, B$1:J$1, 0)) &lt;&gt; 0, A299, ""))</f>
        <v>Spicy Pumpkin Cookie</v>
      </c>
    </row>
    <row r="300" spans="1:11">
      <c r="A300" s="207" t="s">
        <v>3055</v>
      </c>
      <c r="K300" s="308" t="str">
        <f>IF(OR(COUNTBLANK(AttributeFilter) = 1,AttributeFilter="(Select)"),A300, IF(INDEX(B300:J300, MATCH(AttributeFilter, B$1:J$1, 0)) &lt;&gt; 0, A300, ""))</f>
        <v>Cherry Almond Bar</v>
      </c>
    </row>
    <row r="301" spans="1:11">
      <c r="A301" s="207" t="s">
        <v>3056</v>
      </c>
      <c r="K301" s="308" t="str">
        <f>IF(OR(COUNTBLANK(AttributeFilter) = 1,AttributeFilter="(Select)"),A301, IF(INDEX(B301:J301, MATCH(AttributeFilter, B$1:J$1, 0)) &lt;&gt; 0, A301, ""))</f>
        <v>Piece of Candy Corn Almond Brittle</v>
      </c>
    </row>
    <row r="302" spans="1:11">
      <c r="A302" s="207" t="s">
        <v>3057</v>
      </c>
      <c r="K302" s="308" t="str">
        <f>IF(OR(COUNTBLANK(AttributeFilter) = 1,AttributeFilter="(Select)"),A302, IF(INDEX(B302:J302, MATCH(AttributeFilter, B$1:J$1, 0)) &lt;&gt; 0, A302, ""))</f>
        <v>Orange Coconut Bar</v>
      </c>
    </row>
    <row r="303" spans="1:11">
      <c r="A303" s="207" t="s">
        <v>3058</v>
      </c>
      <c r="K303" s="308" t="str">
        <f>IF(OR(COUNTBLANK(AttributeFilter) = 1,AttributeFilter="(Select)"),A303, IF(INDEX(B303:J303, MATCH(AttributeFilter, B$1:J$1, 0)) &lt;&gt; 0, A303, ""))</f>
        <v>Boxed Raspberry Peach Bar</v>
      </c>
    </row>
    <row r="304" spans="1:11">
      <c r="A304" s="207" t="s">
        <v>3059</v>
      </c>
      <c r="K304" s="308" t="str">
        <f>IF(OR(COUNTBLANK(AttributeFilter) = 1,AttributeFilter="(Select)"),A304, IF(INDEX(B304:J304, MATCH(AttributeFilter, B$1:J$1, 0)) &lt;&gt; 0, A304, ""))</f>
        <v>Homemade Campfire Treat</v>
      </c>
    </row>
    <row r="305" spans="1:11">
      <c r="A305" s="207" t="s">
        <v>3060</v>
      </c>
      <c r="K305" s="308" t="str">
        <f>IF(OR(COUNTBLANK(AttributeFilter) = 1,AttributeFilter="(Select)"),A305, IF(INDEX(B305:J305, MATCH(AttributeFilter, B$1:J$1, 0)) &lt;&gt; 0, A305, ""))</f>
        <v>Raspberry Peach Bar</v>
      </c>
    </row>
    <row r="306" spans="1:11">
      <c r="A306" s="207" t="s">
        <v>3061</v>
      </c>
      <c r="K306" s="308" t="str">
        <f>IF(OR(COUNTBLANK(AttributeFilter) = 1,AttributeFilter="(Select)"),A306, IF(INDEX(B306:J306, MATCH(AttributeFilter, B$1:J$1, 0)) &lt;&gt; 0, A306, ""))</f>
        <v>Omnomberry Bar</v>
      </c>
    </row>
    <row r="307" spans="1:11">
      <c r="A307" s="207" t="s">
        <v>3062</v>
      </c>
      <c r="K307" s="308" t="str">
        <f>IF(OR(COUNTBLANK(AttributeFilter) = 1,AttributeFilter="(Select)"),A307, IF(INDEX(B307:J307, MATCH(AttributeFilter, B$1:J$1, 0)) &lt;&gt; 0, A307, ""))</f>
        <v>Longevity Noodles</v>
      </c>
    </row>
    <row r="308" spans="1:11">
      <c r="A308" s="207" t="s">
        <v>3063</v>
      </c>
      <c r="K308" s="308" t="str">
        <f>IF(OR(COUNTBLANK(AttributeFilter) = 1,AttributeFilter="(Select)"),A308, IF(INDEX(B308:J308, MATCH(AttributeFilter, B$1:J$1, 0)) &lt;&gt; 0, A308, ""))</f>
        <v>Peppermint Omnomberry Bar</v>
      </c>
    </row>
    <row r="309" spans="1:11">
      <c r="A309" s="207" t="s">
        <v>3064</v>
      </c>
      <c r="K309" s="308" t="str">
        <f>IF(OR(COUNTBLANK(AttributeFilter) = 1,AttributeFilter="(Select)"),A309, IF(INDEX(B309:J309, MATCH(AttributeFilter, B$1:J$1, 0)) &lt;&gt; 0, A309, ""))</f>
        <v>Cake Shot (effect)</v>
      </c>
    </row>
    <row r="310" spans="1:11">
      <c r="A310" s="207" t="s">
        <v>3065</v>
      </c>
      <c r="K310" s="308" t="str">
        <f>IF(OR(COUNTBLANK(AttributeFilter) = 1,AttributeFilter="(Select)"),A310, IF(INDEX(B310:J310, MATCH(AttributeFilter, B$1:J$1, 0)) &lt;&gt; 0, A310, ""))</f>
        <v>Dragon's Revelry Starcake</v>
      </c>
    </row>
    <row r="311" spans="1:11">
      <c r="A311" s="207" t="s">
        <v>3066</v>
      </c>
      <c r="K311" s="308" t="str">
        <f>IF(OR(COUNTBLANK(AttributeFilter) = 1,AttributeFilter="(Select)"),A311, IF(INDEX(B311:J311, MATCH(AttributeFilter, B$1:J$1, 0)) &lt;&gt; 0, A311, ""))</f>
        <v>Tray of Decade Desserts</v>
      </c>
    </row>
    <row r="312" spans="1:11">
      <c r="A312" s="207" t="s">
        <v>3067</v>
      </c>
      <c r="B312" s="195">
        <v>60</v>
      </c>
      <c r="K312" s="308" t="str">
        <f>IF(OR(COUNTBLANK(AttributeFilter) = 1,AttributeFilter="(Select)"),A312, IF(INDEX(B312:J312, MATCH(AttributeFilter, B$1:J$1, 0)) &lt;&gt; 0, A312, ""))</f>
        <v>Can of Stewed Oysters</v>
      </c>
    </row>
    <row r="313" spans="1:11">
      <c r="A313" s="207" t="s">
        <v>3068</v>
      </c>
      <c r="K313" s="308" t="str">
        <f>IF(OR(COUNTBLANK(AttributeFilter) = 1,AttributeFilter="(Select)"),A313, IF(INDEX(B313:J313, MATCH(AttributeFilter, B$1:J$1, 0)) &lt;&gt; 0, A313, ""))</f>
        <v>Fried Oysters</v>
      </c>
    </row>
    <row r="314" spans="1:11">
      <c r="A314" s="207" t="s">
        <v>3069</v>
      </c>
      <c r="B314" s="195">
        <v>70</v>
      </c>
      <c r="K314" s="308" t="str">
        <f>IF(OR(COUNTBLANK(AttributeFilter) = 1,AttributeFilter="(Select)"),A314, IF(INDEX(B314:J314, MATCH(AttributeFilter, B$1:J$1, 0)) &lt;&gt; 0, A314, ""))</f>
        <v>Fried Oyster Sandwich</v>
      </c>
    </row>
    <row r="315" spans="1:11">
      <c r="A315" s="207" t="s">
        <v>3070</v>
      </c>
      <c r="C315" s="195">
        <v>70</v>
      </c>
      <c r="K315" s="308" t="str">
        <f>IF(OR(COUNTBLANK(AttributeFilter) = 1,AttributeFilter="(Select)"),A315, IF(INDEX(B315:J315, MATCH(AttributeFilter, B$1:J$1, 0)) &lt;&gt; 0, A315, ""))</f>
        <v>Oysters with Cocktail Sauce</v>
      </c>
    </row>
    <row r="316" spans="1:11">
      <c r="A316" s="207" t="s">
        <v>3071</v>
      </c>
      <c r="D316" s="195">
        <v>70</v>
      </c>
      <c r="K316" s="308" t="str">
        <f>IF(OR(COUNTBLANK(AttributeFilter) = 1,AttributeFilter="(Select)"),A316, IF(INDEX(B316:J316, MATCH(AttributeFilter, B$1:J$1, 0)) &lt;&gt; 0, A316, ""))</f>
        <v>Bowl of Lemongrass Mussel Pasta</v>
      </c>
    </row>
    <row r="317" spans="1:11">
      <c r="A317" s="207" t="s">
        <v>3072</v>
      </c>
      <c r="E317" s="195">
        <v>70</v>
      </c>
      <c r="K317" s="308" t="str">
        <f>IF(OR(COUNTBLANK(AttributeFilter) = 1,AttributeFilter="(Select)"),A317, IF(INDEX(B317:J317, MATCH(AttributeFilter, B$1:J$1, 0)) &lt;&gt; 0, A317, ""))</f>
        <v>Bowl of Mussel Soup</v>
      </c>
    </row>
    <row r="318" spans="1:11">
      <c r="A318" s="207" t="s">
        <v>3073</v>
      </c>
      <c r="I318" s="195">
        <v>70</v>
      </c>
      <c r="K318" s="308" t="str">
        <f>IF(OR(COUNTBLANK(AttributeFilter) = 1,AttributeFilter="(Select)"),A318, IF(INDEX(B318:J318, MATCH(AttributeFilter, B$1:J$1, 0)) &lt;&gt; 0, A318, ""))</f>
        <v>Plate of Mussels Gnashblade</v>
      </c>
    </row>
    <row r="319" spans="1:11">
      <c r="A319" s="207" t="s">
        <v>3074</v>
      </c>
      <c r="G319" s="195">
        <v>70</v>
      </c>
      <c r="K319" s="308" t="str">
        <f>IF(OR(COUNTBLANK(AttributeFilter) = 1,AttributeFilter="(Select)"),A319, IF(INDEX(B319:J319, MATCH(AttributeFilter, B$1:J$1, 0)) &lt;&gt; 0, A319, ""))</f>
        <v>Oysters with Spicy Sauce</v>
      </c>
    </row>
    <row r="320" spans="1:11">
      <c r="A320" s="207" t="s">
        <v>3075</v>
      </c>
      <c r="H320" s="195">
        <v>70</v>
      </c>
      <c r="K320" s="308" t="str">
        <f>IF(OR(COUNTBLANK(AttributeFilter) = 1,AttributeFilter="(Select)"),A320, IF(INDEX(B320:J320, MATCH(AttributeFilter, B$1:J$1, 0)) &lt;&gt; 0, A320, ""))</f>
        <v>Oysters Gnashblade</v>
      </c>
    </row>
    <row r="321" spans="1:11">
      <c r="A321" s="207" t="s">
        <v>3076</v>
      </c>
      <c r="F321" s="195">
        <v>70</v>
      </c>
      <c r="K321" s="308" t="str">
        <f>IF(OR(COUNTBLANK(AttributeFilter) = 1,AttributeFilter="(Select)"),A321, IF(INDEX(B321:J321, MATCH(AttributeFilter, B$1:J$1, 0)) &lt;&gt; 0, A321, ""))</f>
        <v>Oysters with Zesty Sauce</v>
      </c>
    </row>
    <row r="322" spans="1:11">
      <c r="A322" s="207" t="s">
        <v>3077</v>
      </c>
      <c r="J322" s="195">
        <v>70</v>
      </c>
      <c r="K322" s="308" t="str">
        <f>IF(OR(COUNTBLANK(AttributeFilter) = 1,AttributeFilter="(Select)"),A322, IF(INDEX(B322:J322, MATCH(AttributeFilter, B$1:J$1, 0)) &lt;&gt; 0, A322, ""))</f>
        <v>Oysters with Pesto Sauce</v>
      </c>
    </row>
    <row r="323" spans="1:11">
      <c r="A323" s="207" t="s">
        <v>3078</v>
      </c>
      <c r="K323" s="308" t="str">
        <f>IF(OR(COUNTBLANK(AttributeFilter) = 1,AttributeFilter="(Select)"),A323, IF(INDEX(B323:J323, MATCH(AttributeFilter, B$1:J$1, 0)) &lt;&gt; 0, A323, ""))</f>
        <v>Bowl of Curry Mussel Soup</v>
      </c>
    </row>
    <row r="324" spans="1:11">
      <c r="A324" s="207" t="s">
        <v>3079</v>
      </c>
      <c r="B324" s="195">
        <v>100</v>
      </c>
      <c r="C324" s="195">
        <v>70</v>
      </c>
      <c r="K324" s="308" t="str">
        <f>IF(OR(COUNTBLANK(AttributeFilter) = 1,AttributeFilter="(Select)"),A324, IF(INDEX(B324:J324, MATCH(AttributeFilter, B$1:J$1, 0)) &lt;&gt; 0, A324, ""))</f>
        <v>Plate of Peppercorn-Spiced Coq Au Vin</v>
      </c>
    </row>
    <row r="325" spans="1:11">
      <c r="A325" s="207" t="s">
        <v>3080</v>
      </c>
      <c r="B325" s="195">
        <v>100</v>
      </c>
      <c r="F325" s="195">
        <v>70</v>
      </c>
      <c r="K325" s="308" t="str">
        <f>IF(OR(COUNTBLANK(AttributeFilter) = 1,AttributeFilter="(Select)"),A325, IF(INDEX(B325:J325, MATCH(AttributeFilter, B$1:J$1, 0)) &lt;&gt; 0, A325, ""))</f>
        <v>Mists-Infused Peppercorn-Crusted Sous-Vide Steak</v>
      </c>
    </row>
    <row r="326" spans="1:11">
      <c r="A326" s="207" t="s">
        <v>3081</v>
      </c>
      <c r="B326" s="195">
        <v>100</v>
      </c>
      <c r="F326" s="195">
        <v>70</v>
      </c>
      <c r="K326" s="308" t="str">
        <f>IF(OR(COUNTBLANK(AttributeFilter) = 1,AttributeFilter="(Select)"),A326, IF(INDEX(B326:J326, MATCH(AttributeFilter, B$1:J$1, 0)) &lt;&gt; 0, A326, ""))</f>
        <v>Peppercorn-Crusted Sous-Vide Steak</v>
      </c>
    </row>
    <row r="327" spans="1:11">
      <c r="A327" s="207" t="s">
        <v>3082</v>
      </c>
      <c r="D327" s="195">
        <v>70</v>
      </c>
      <c r="E327" s="195">
        <v>100</v>
      </c>
      <c r="K327" s="308" t="str">
        <f>IF(OR(COUNTBLANK(AttributeFilter) = 1,AttributeFilter="(Select)"),A327, IF(INDEX(B327:J327, MATCH(AttributeFilter, B$1:J$1, 0)) &lt;&gt; 0, A327, ""))</f>
        <v>Plate of Peppered Clear Truffle Ravioli</v>
      </c>
    </row>
    <row r="328" spans="1:11">
      <c r="A328" s="207" t="s">
        <v>3083</v>
      </c>
      <c r="B328" s="195">
        <v>70</v>
      </c>
      <c r="I328" s="195">
        <v>100</v>
      </c>
      <c r="K328" s="308" t="str">
        <f>IF(OR(COUNTBLANK(AttributeFilter) = 1,AttributeFilter="(Select)"),A328, IF(INDEX(B328:J328, MATCH(AttributeFilter, B$1:J$1, 0)) &lt;&gt; 0, A328, ""))</f>
        <v>Plate of Peppercorn-Spiced Beef Carpaccio</v>
      </c>
    </row>
    <row r="329" spans="1:11">
      <c r="A329" s="207" t="s">
        <v>3084</v>
      </c>
      <c r="D329" s="195">
        <v>70</v>
      </c>
      <c r="I329" s="195">
        <v>100</v>
      </c>
      <c r="K329" s="308" t="str">
        <f>IF(OR(COUNTBLANK(AttributeFilter) = 1,AttributeFilter="(Select)"),A329, IF(INDEX(B329:J329, MATCH(AttributeFilter, B$1:J$1, 0)) &lt;&gt; 0, A329, ""))</f>
        <v>Plate of Peppercorn-Spiced Poultry Aspic</v>
      </c>
    </row>
    <row r="330" spans="1:11">
      <c r="A330" s="207" t="s">
        <v>3085</v>
      </c>
      <c r="H330" s="195">
        <v>70</v>
      </c>
      <c r="I330" s="195">
        <v>100</v>
      </c>
      <c r="K330" s="308" t="str">
        <f>IF(OR(COUNTBLANK(AttributeFilter) = 1,AttributeFilter="(Select)"),A330, IF(INDEX(B330:J330, MATCH(AttributeFilter, B$1:J$1, 0)) &lt;&gt; 0, A330, ""))</f>
        <v>Peppercorn-Spiced Eggs Benedict</v>
      </c>
    </row>
    <row r="331" spans="1:11">
      <c r="A331" s="207" t="s">
        <v>3086</v>
      </c>
      <c r="I331" s="195">
        <v>100</v>
      </c>
      <c r="J331" s="195">
        <v>70</v>
      </c>
      <c r="K331" s="308" t="str">
        <f>IF(OR(COUNTBLANK(AttributeFilter) = 1,AttributeFilter="(Select)"),A331, IF(INDEX(B331:J331, MATCH(AttributeFilter, B$1:J$1, 0)) &lt;&gt; 0, A331, ""))</f>
        <v>Spiced Pepper Creme Brulee</v>
      </c>
    </row>
    <row r="332" spans="1:11">
      <c r="A332" s="207" t="s">
        <v>3087</v>
      </c>
      <c r="I332" s="195">
        <v>100</v>
      </c>
      <c r="K332" s="308" t="str">
        <f>IF(OR(COUNTBLANK(AttributeFilter) = 1,AttributeFilter="(Select)"),A332, IF(INDEX(B332:J332, MATCH(AttributeFilter, B$1:J$1, 0)) &lt;&gt; 0, A332, ""))</f>
        <v>Spiced Peppercorn Cheesecake</v>
      </c>
    </row>
    <row r="333" spans="1:11">
      <c r="A333" s="207" t="s">
        <v>3088</v>
      </c>
      <c r="G333" s="195">
        <v>100</v>
      </c>
      <c r="H333" s="195">
        <v>70</v>
      </c>
      <c r="K333" s="308" t="str">
        <f>IF(OR(COUNTBLANK(AttributeFilter) = 1,AttributeFilter="(Select)"),A333, IF(INDEX(B333:J333, MATCH(AttributeFilter, B$1:J$1, 0)) &lt;&gt; 0, A333, ""))</f>
        <v>Peppered Cured Meat Flatbread</v>
      </c>
    </row>
    <row r="334" spans="1:11">
      <c r="A334" s="207" t="s">
        <v>3089</v>
      </c>
      <c r="G334" s="195">
        <v>70</v>
      </c>
      <c r="H334" s="195">
        <v>100</v>
      </c>
      <c r="K334" s="308" t="str">
        <f>IF(OR(COUNTBLANK(AttributeFilter) = 1,AttributeFilter="(Select)"),A334, IF(INDEX(B334:J334, MATCH(AttributeFilter, B$1:J$1, 0)) &lt;&gt; 0, A334, ""))</f>
        <v>Peppercorn and Veggie Flatbread</v>
      </c>
    </row>
    <row r="335" spans="1:11">
      <c r="A335" s="207" t="s">
        <v>3090</v>
      </c>
      <c r="I335" s="195">
        <v>70</v>
      </c>
      <c r="J335" s="195">
        <v>100</v>
      </c>
      <c r="K335" s="308" t="str">
        <f>IF(OR(COUNTBLANK(AttributeFilter) = 1,AttributeFilter="(Select)"),A335, IF(INDEX(B335:J335, MATCH(AttributeFilter, B$1:J$1, 0)) &lt;&gt; 0, A335, ""))</f>
        <v>Bowl of Spiced Fruit Salad</v>
      </c>
    </row>
    <row r="336" spans="1:11">
      <c r="A336" s="207" t="s">
        <v>3091</v>
      </c>
      <c r="K336" s="308" t="str">
        <f>IF(OR(COUNTBLANK(AttributeFilter) = 1,AttributeFilter="(Select)"),A336, IF(INDEX(B336:J336, MATCH(AttributeFilter, B$1:J$1, 0)) &lt;&gt; 0, A336, ""))</f>
        <v>Spherified Peppercorn-Spiced Oyster Soup</v>
      </c>
    </row>
    <row r="337" spans="1:11">
      <c r="A337" s="207" t="s">
        <v>3092</v>
      </c>
      <c r="K337" s="308" t="str">
        <f>IF(OR(COUNTBLANK(AttributeFilter) = 1,AttributeFilter="(Select)"),A337, IF(INDEX(B337:J337, MATCH(AttributeFilter, B$1:J$1, 0)) &lt;&gt; 0, A337, ""))</f>
        <v>Mists-Infused Spherified Peppercorn-Spiced Oyster Soup</v>
      </c>
    </row>
    <row r="338" spans="1:11">
      <c r="A338" s="207" t="s">
        <v>3093</v>
      </c>
      <c r="K338" s="308" t="str">
        <f>IF(OR(COUNTBLANK(AttributeFilter) = 1,AttributeFilter="(Select)"),A338, IF(INDEX(B338:J338, MATCH(AttributeFilter, B$1:J$1, 0)) &lt;&gt; 0, A338, ""))</f>
        <v>Slice of Buttered Toast</v>
      </c>
    </row>
    <row r="339" spans="1:11">
      <c r="A339" s="207" t="s">
        <v>3094</v>
      </c>
      <c r="K339" s="308" t="str">
        <f>IF(OR(COUNTBLANK(AttributeFilter) = 1,AttributeFilter="(Select)"),A339, IF(INDEX(B339:J339, MATCH(AttributeFilter, B$1:J$1, 0)) &lt;&gt; 0, A339, ""))</f>
        <v>Cheese Triangle</v>
      </c>
    </row>
    <row r="340" spans="1:11">
      <c r="A340" s="207" t="s">
        <v>3095</v>
      </c>
      <c r="K340" s="308" t="str">
        <f>IF(OR(COUNTBLANK(AttributeFilter) = 1,AttributeFilter="(Select)"),A340, IF(INDEX(B340:J340, MATCH(AttributeFilter, B$1:J$1, 0)) &lt;&gt; 0, A340, ""))</f>
        <v>Slice of Cinnamon Toast</v>
      </c>
    </row>
    <row r="341" spans="1:11">
      <c r="A341" s="207" t="s">
        <v>3096</v>
      </c>
      <c r="K341" s="308" t="str">
        <f>IF(OR(COUNTBLANK(AttributeFilter) = 1,AttributeFilter="(Select)"),A341, IF(INDEX(B341:J341, MATCH(AttributeFilter, B$1:J$1, 0)) &lt;&gt; 0, A341, ""))</f>
        <v>Slice of Garlic Bread</v>
      </c>
    </row>
    <row r="342" spans="1:11">
      <c r="A342" s="207" t="s">
        <v>3097</v>
      </c>
      <c r="K342" s="308" t="str">
        <f>IF(OR(COUNTBLANK(AttributeFilter) = 1,AttributeFilter="(Select)"),A342, IF(INDEX(B342:J342, MATCH(AttributeFilter, B$1:J$1, 0)) &lt;&gt; 0, A342, ""))</f>
        <v>Loaf of Rosemary Bread</v>
      </c>
    </row>
    <row r="343" spans="1:11">
      <c r="A343" s="207" t="s">
        <v>3098</v>
      </c>
      <c r="K343" s="308" t="str">
        <f>IF(OR(COUNTBLANK(AttributeFilter) = 1,AttributeFilter="(Select)"),A343, IF(INDEX(B343:J343, MATCH(AttributeFilter, B$1:J$1, 0)) &lt;&gt; 0, A343, ""))</f>
        <v>Slice of Spiced Bread</v>
      </c>
    </row>
    <row r="344" spans="1:11">
      <c r="A344" s="207" t="s">
        <v>3099</v>
      </c>
      <c r="K344" s="308" t="str">
        <f>IF(OR(COUNTBLANK(AttributeFilter) = 1,AttributeFilter="(Select)"),A344, IF(INDEX(B344:J344, MATCH(AttributeFilter, B$1:J$1, 0)) &lt;&gt; 0, A344, ""))</f>
        <v>Loaf of Tarragon Bread</v>
      </c>
    </row>
    <row r="345" spans="1:11">
      <c r="A345" s="207" t="s">
        <v>3100</v>
      </c>
      <c r="K345" s="308" t="str">
        <f>IF(OR(COUNTBLANK(AttributeFilter) = 1,AttributeFilter="(Select)"),A345, IF(INDEX(B345:J345, MATCH(AttributeFilter, B$1:J$1, 0)) &lt;&gt; 0, A345, ""))</f>
        <v>Bit of Enchanted Clam Bait</v>
      </c>
    </row>
    <row r="346" spans="1:11">
      <c r="A346" s="207" t="s">
        <v>3101</v>
      </c>
      <c r="K346" s="308" t="str">
        <f>IF(OR(COUNTBLANK(AttributeFilter) = 1,AttributeFilter="(Select)"),A346, IF(INDEX(B346:J346, MATCH(AttributeFilter, B$1:J$1, 0)) &lt;&gt; 0, A346, ""))</f>
        <v>Canned Tarragon Bread</v>
      </c>
    </row>
    <row r="347" spans="1:11">
      <c r="A347" s="207" t="s">
        <v>3102</v>
      </c>
      <c r="K347" s="308" t="str">
        <f>IF(OR(COUNTBLANK(AttributeFilter) = 1,AttributeFilter="(Select)"),A347, IF(INDEX(B347:J347, MATCH(AttributeFilter, B$1:J$1, 0)) &lt;&gt; 0, A347, ""))</f>
        <v>Loaf of Saffron Bread</v>
      </c>
    </row>
    <row r="348" spans="1:11">
      <c r="A348" s="207" t="s">
        <v>3103</v>
      </c>
      <c r="K348" s="308" t="str">
        <f>IF(OR(COUNTBLANK(AttributeFilter) = 1,AttributeFilter="(Select)"),A348, IF(INDEX(B348:J348, MATCH(AttributeFilter, B$1:J$1, 0)) &lt;&gt; 0, A348, ""))</f>
        <v>Bowl of Wurm Meat Stew</v>
      </c>
    </row>
    <row r="349" spans="1:11">
      <c r="A349" s="207" t="s">
        <v>3104</v>
      </c>
      <c r="K349" s="308" t="str">
        <f>IF(OR(COUNTBLANK(AttributeFilter) = 1,AttributeFilter="(Select)"),A349, IF(INDEX(B349:J349, MATCH(AttributeFilter, B$1:J$1, 0)) &lt;&gt; 0, A349, ""))</f>
        <v>Jug of Autumn Nectar</v>
      </c>
    </row>
    <row r="350" spans="1:11">
      <c r="A350" s="207" t="s">
        <v>3105</v>
      </c>
      <c r="K350" s="308" t="str">
        <f>IF(OR(COUNTBLANK(AttributeFilter) = 1,AttributeFilter="(Select)"),A350, IF(INDEX(B350:J350, MATCH(AttributeFilter, B$1:J$1, 0)) &lt;&gt; 0, A350, ""))</f>
        <v>Bowl of Basic Poultry Soup</v>
      </c>
    </row>
    <row r="351" spans="1:11">
      <c r="A351" s="207" t="s">
        <v>3106</v>
      </c>
      <c r="K351" s="308" t="str">
        <f>IF(OR(COUNTBLANK(AttributeFilter) = 1,AttributeFilter="(Select)"),A351, IF(INDEX(B351:J351, MATCH(AttributeFilter, B$1:J$1, 0)) &lt;&gt; 0, A351, ""))</f>
        <v>Bowl of Simple Poultry Soup</v>
      </c>
    </row>
    <row r="352" spans="1:11">
      <c r="A352" s="207" t="s">
        <v>3107</v>
      </c>
      <c r="K352" s="308" t="str">
        <f>IF(OR(COUNTBLANK(AttributeFilter) = 1,AttributeFilter="(Select)"),A352, IF(INDEX(B352:J352, MATCH(AttributeFilter, B$1:J$1, 0)) &lt;&gt; 0, A352, ""))</f>
        <v>Moa Egg Omelet</v>
      </c>
    </row>
    <row r="353" spans="1:11">
      <c r="A353" s="207" t="s">
        <v>3108</v>
      </c>
      <c r="K353" s="308" t="str">
        <f>IF(OR(COUNTBLANK(AttributeFilter) = 1,AttributeFilter="(Select)"),A353, IF(INDEX(B353:J353, MATCH(AttributeFilter, B$1:J$1, 0)) &lt;&gt; 0, A353, ""))</f>
        <v>Spinach Salad</v>
      </c>
    </row>
    <row r="354" spans="1:11">
      <c r="A354" s="207" t="s">
        <v>3109</v>
      </c>
      <c r="K354" s="308" t="str">
        <f>IF(OR(COUNTBLANK(AttributeFilter) = 1,AttributeFilter="(Select)"),A354, IF(INDEX(B354:J354, MATCH(AttributeFilter, B$1:J$1, 0)) &lt;&gt; 0, A354, ""))</f>
        <v>Bowl of Clam Chowder</v>
      </c>
    </row>
    <row r="355" spans="1:11">
      <c r="A355" s="207" t="s">
        <v>3110</v>
      </c>
      <c r="E355" s="195">
        <v>40</v>
      </c>
      <c r="K355" s="308" t="str">
        <f>IF(OR(COUNTBLANK(AttributeFilter) = 1,AttributeFilter="(Select)"),A355, IF(INDEX(B355:J355, MATCH(AttributeFilter, B$1:J$1, 0)) &lt;&gt; 0, A355, ""))</f>
        <v>Bowl of Dilled Clam Chowder</v>
      </c>
    </row>
    <row r="356" spans="1:11">
      <c r="A356" s="207" t="s">
        <v>3111</v>
      </c>
      <c r="E356" s="195">
        <v>50</v>
      </c>
      <c r="K356" s="308" t="str">
        <f>IF(OR(COUNTBLANK(AttributeFilter) = 1,AttributeFilter="(Select)"),A356, IF(INDEX(B356:J356, MATCH(AttributeFilter, B$1:J$1, 0)) &lt;&gt; 0, A356, ""))</f>
        <v>Bowl of Chickpea and Poultry Soup</v>
      </c>
    </row>
    <row r="357" spans="1:11">
      <c r="A357" s="207" t="s">
        <v>3112</v>
      </c>
      <c r="E357" s="195">
        <v>60</v>
      </c>
      <c r="K357" s="308" t="str">
        <f>IF(OR(COUNTBLANK(AttributeFilter) = 1,AttributeFilter="(Select)"),A357, IF(INDEX(B357:J357, MATCH(AttributeFilter, B$1:J$1, 0)) &lt;&gt; 0, A357, ""))</f>
        <v>Bowl of Poultry and Leek Soup</v>
      </c>
    </row>
    <row r="358" spans="1:11">
      <c r="A358" s="207" t="s">
        <v>3113</v>
      </c>
      <c r="E358" s="195">
        <v>60</v>
      </c>
      <c r="K358" s="308" t="str">
        <f>IF(OR(COUNTBLANK(AttributeFilter) = 1,AttributeFilter="(Select)"),A358, IF(INDEX(B358:J358, MATCH(AttributeFilter, B$1:J$1, 0)) &lt;&gt; 0, A358, ""))</f>
        <v>Can of Poultry and Leek Soup</v>
      </c>
    </row>
    <row r="359" spans="1:11">
      <c r="A359" s="207" t="s">
        <v>3114</v>
      </c>
      <c r="E359" s="195">
        <v>70</v>
      </c>
      <c r="K359" s="308" t="str">
        <f>IF(OR(COUNTBLANK(AttributeFilter) = 1,AttributeFilter="(Select)"),A359, IF(INDEX(B359:J359, MATCH(AttributeFilter, B$1:J$1, 0)) &lt;&gt; 0, A359, ""))</f>
        <v>Bowl of Lemongrass Poultry Soup</v>
      </c>
    </row>
    <row r="360" spans="1:11">
      <c r="A360" s="207" t="s">
        <v>3115</v>
      </c>
      <c r="E360" s="195">
        <v>70</v>
      </c>
      <c r="K360" s="308" t="str">
        <f>IF(OR(COUNTBLANK(AttributeFilter) = 1,AttributeFilter="(Select)"),A360, IF(INDEX(B360:J360, MATCH(AttributeFilter, B$1:J$1, 0)) &lt;&gt; 0, A360, ""))</f>
        <v>Quiche of Darkness</v>
      </c>
    </row>
    <row r="361" spans="1:11">
      <c r="A361" s="207" t="s">
        <v>3116</v>
      </c>
      <c r="H361" s="195">
        <v>70</v>
      </c>
      <c r="K361" s="308" t="str">
        <f>IF(OR(COUNTBLANK(AttributeFilter) = 1,AttributeFilter="(Select)"),A361, IF(INDEX(B361:J361, MATCH(AttributeFilter, B$1:J$1, 0)) &lt;&gt; 0, A361, ""))</f>
        <v>Sweet Bean Bun</v>
      </c>
    </row>
    <row r="362" spans="1:11">
      <c r="A362" s="207" t="s">
        <v>3117</v>
      </c>
      <c r="B362" s="195">
        <v>100</v>
      </c>
      <c r="C362" s="195">
        <v>70</v>
      </c>
      <c r="K362" s="308" t="str">
        <f>IF(OR(COUNTBLANK(AttributeFilter) = 1,AttributeFilter="(Select)"),A362, IF(INDEX(B362:J362, MATCH(AttributeFilter, B$1:J$1, 0)) &lt;&gt; 0, A362, ""))</f>
        <v>Plate of Clove-Spiced Coq Au Vin</v>
      </c>
    </row>
    <row r="363" spans="1:11">
      <c r="A363" s="207" t="s">
        <v>3118</v>
      </c>
      <c r="B363" s="195">
        <v>100</v>
      </c>
      <c r="F363" s="195">
        <v>70</v>
      </c>
      <c r="K363" s="308" t="str">
        <f>IF(OR(COUNTBLANK(AttributeFilter) = 1,AttributeFilter="(Select)"),A363, IF(INDEX(B363:J363, MATCH(AttributeFilter, B$1:J$1, 0)) &lt;&gt; 0, A363, ""))</f>
        <v>Mushroom Clove Sous-Vide Steak</v>
      </c>
    </row>
    <row r="364" spans="1:11">
      <c r="A364" s="207" t="s">
        <v>3119</v>
      </c>
      <c r="D364" s="195">
        <v>70</v>
      </c>
      <c r="E364" s="195">
        <v>100</v>
      </c>
      <c r="K364" s="308" t="str">
        <f>IF(OR(COUNTBLANK(AttributeFilter) = 1,AttributeFilter="(Select)"),A364, IF(INDEX(B364:J364, MATCH(AttributeFilter, B$1:J$1, 0)) &lt;&gt; 0, A364, ""))</f>
        <v>Plate of Clove-Spiced Clear Truffle Ravioli</v>
      </c>
    </row>
    <row r="365" spans="1:11">
      <c r="A365" s="207" t="s">
        <v>3120</v>
      </c>
      <c r="B365" s="195">
        <v>70</v>
      </c>
      <c r="I365" s="195">
        <v>100</v>
      </c>
      <c r="K365" s="308" t="str">
        <f>IF(OR(COUNTBLANK(AttributeFilter) = 1,AttributeFilter="(Select)"),A365, IF(INDEX(B365:J365, MATCH(AttributeFilter, B$1:J$1, 0)) &lt;&gt; 0, A365, ""))</f>
        <v>Plate of Clove-Spiced Beef Carpaccio</v>
      </c>
    </row>
    <row r="366" spans="1:11">
      <c r="A366" s="207" t="s">
        <v>3121</v>
      </c>
      <c r="D366" s="195">
        <v>70</v>
      </c>
      <c r="I366" s="195">
        <v>100</v>
      </c>
      <c r="K366" s="308" t="str">
        <f>IF(OR(COUNTBLANK(AttributeFilter) = 1,AttributeFilter="(Select)"),A366, IF(INDEX(B366:J366, MATCH(AttributeFilter, B$1:J$1, 0)) &lt;&gt; 0, A366, ""))</f>
        <v>Plate of Clove-Spiced Poultry Aspic</v>
      </c>
    </row>
    <row r="367" spans="1:11">
      <c r="A367" s="207" t="s">
        <v>3122</v>
      </c>
      <c r="H367" s="195">
        <v>70</v>
      </c>
      <c r="I367" s="195">
        <v>100</v>
      </c>
      <c r="K367" s="308" t="str">
        <f>IF(OR(COUNTBLANK(AttributeFilter) = 1,AttributeFilter="(Select)"),A367, IF(INDEX(B367:J367, MATCH(AttributeFilter, B$1:J$1, 0)) &lt;&gt; 0, A367, ""))</f>
        <v>Clove-Spiced Eggs Benedict</v>
      </c>
    </row>
    <row r="368" spans="1:11">
      <c r="A368" s="207" t="s">
        <v>3123</v>
      </c>
      <c r="I368" s="195">
        <v>100</v>
      </c>
      <c r="J368" s="195">
        <v>70</v>
      </c>
      <c r="K368" s="308" t="str">
        <f>IF(OR(COUNTBLANK(AttributeFilter) = 1,AttributeFilter="(Select)"),A368, IF(INDEX(B368:J368, MATCH(AttributeFilter, B$1:J$1, 0)) &lt;&gt; 0, A368, ""))</f>
        <v>Clove-Spiced Creme Brulee</v>
      </c>
    </row>
    <row r="369" spans="1:11">
      <c r="A369" s="207" t="s">
        <v>3124</v>
      </c>
      <c r="I369" s="195">
        <v>100</v>
      </c>
      <c r="K369" s="308" t="str">
        <f>IF(OR(COUNTBLANK(AttributeFilter) = 1,AttributeFilter="(Select)"),A369, IF(INDEX(B369:J369, MATCH(AttributeFilter, B$1:J$1, 0)) &lt;&gt; 0, A369, ""))</f>
        <v>Orange Clove Cheesecake</v>
      </c>
    </row>
    <row r="370" spans="1:11">
      <c r="A370" s="207" t="s">
        <v>68</v>
      </c>
      <c r="G370" s="195">
        <v>100</v>
      </c>
      <c r="H370" s="195">
        <v>70</v>
      </c>
      <c r="K370" s="308" t="str">
        <f>IF(OR(COUNTBLANK(AttributeFilter) = 1,AttributeFilter="(Select)"),A370, IF(INDEX(B370:J370, MATCH(AttributeFilter, B$1:J$1, 0)) &lt;&gt; 0, A370, ""))</f>
        <v>Clove-Spiced Pear and Cured Meat Flatbread</v>
      </c>
    </row>
    <row r="371" spans="1:11">
      <c r="A371" s="207" t="s">
        <v>3125</v>
      </c>
      <c r="G371" s="195">
        <v>70</v>
      </c>
      <c r="H371" s="195">
        <v>100</v>
      </c>
      <c r="K371" s="308" t="str">
        <f>IF(OR(COUNTBLANK(AttributeFilter) = 1,AttributeFilter="(Select)"),A371, IF(INDEX(B371:J371, MATCH(AttributeFilter, B$1:J$1, 0)) &lt;&gt; 0, A371, ""))</f>
        <v>Clove and Veggie Flatbread</v>
      </c>
    </row>
    <row r="372" spans="1:11">
      <c r="A372" s="207" t="s">
        <v>3126</v>
      </c>
      <c r="I372" s="195">
        <v>70</v>
      </c>
      <c r="J372" s="195">
        <v>100</v>
      </c>
      <c r="K372" s="308" t="str">
        <f>IF(OR(COUNTBLANK(AttributeFilter) = 1,AttributeFilter="(Select)"),A372, IF(INDEX(B372:J372, MATCH(AttributeFilter, B$1:J$1, 0)) &lt;&gt; 0, A372, ""))</f>
        <v>Bowl of Fruit Salad with Orange-Clove Syrup</v>
      </c>
    </row>
    <row r="373" spans="1:11">
      <c r="A373" s="207" t="s">
        <v>3127</v>
      </c>
      <c r="K373" s="308" t="str">
        <f>IF(OR(COUNTBLANK(AttributeFilter) = 1,AttributeFilter="(Select)"),A373, IF(INDEX(B373:J373, MATCH(AttributeFilter, B$1:J$1, 0)) &lt;&gt; 0, A373, ""))</f>
        <v>Spherified Clove-Spiced Oyster Soup</v>
      </c>
    </row>
    <row r="374" spans="1:11">
      <c r="A374" s="207" t="s">
        <v>3128</v>
      </c>
      <c r="K374" s="308" t="str">
        <f>IF(OR(COUNTBLANK(AttributeFilter) = 1,AttributeFilter="(Select)"),A374, IF(INDEX(B374:J374, MATCH(AttributeFilter, B$1:J$1, 0)) &lt;&gt; 0, A374, ""))</f>
        <v>Cup of Potato Fries</v>
      </c>
    </row>
    <row r="375" spans="1:11">
      <c r="A375" s="207" t="s">
        <v>3129</v>
      </c>
      <c r="D375" s="195">
        <v>70</v>
      </c>
      <c r="K375" s="308" t="str">
        <f>IF(OR(COUNTBLANK(AttributeFilter) = 1,AttributeFilter="(Select)"),A375, IF(INDEX(B375:J375, MATCH(AttributeFilter, B$1:J$1, 0)) &lt;&gt; 0, A375, ""))</f>
        <v>Mashed Purple Potatoes</v>
      </c>
    </row>
    <row r="376" spans="1:11">
      <c r="A376" s="207" t="s">
        <v>3130</v>
      </c>
      <c r="K376" s="308" t="str">
        <f>IF(OR(COUNTBLANK(AttributeFilter) = 1,AttributeFilter="(Select)"),A376, IF(INDEX(B376:J376, MATCH(AttributeFilter, B$1:J$1, 0)) &lt;&gt; 0, A376, ""))</f>
        <v>Mashed Potato</v>
      </c>
    </row>
    <row r="377" spans="1:11">
      <c r="A377" s="207" t="s">
        <v>3131</v>
      </c>
      <c r="K377" s="308" t="str">
        <f>IF(OR(COUNTBLANK(AttributeFilter) = 1,AttributeFilter="(Select)"),A377, IF(INDEX(B377:J377, MATCH(AttributeFilter, B$1:J$1, 0)) &lt;&gt; 0, A377, ""))</f>
        <v>Loaf of Kodan Bread</v>
      </c>
    </row>
    <row r="378" spans="1:11">
      <c r="A378" s="207" t="s">
        <v>3132</v>
      </c>
      <c r="K378" s="308" t="str">
        <f>IF(OR(COUNTBLANK(AttributeFilter) = 1,AttributeFilter="(Select)"),A378, IF(INDEX(B378:J378, MATCH(AttributeFilter, B$1:J$1, 0)) &lt;&gt; 0, A378, ""))</f>
        <v>Bowl of Outrider Stew</v>
      </c>
    </row>
    <row r="379" spans="1:11">
      <c r="A379" s="207" t="s">
        <v>3133</v>
      </c>
      <c r="K379" s="308" t="str">
        <f>IF(OR(COUNTBLANK(AttributeFilter) = 1,AttributeFilter="(Select)"),A379, IF(INDEX(B379:J379, MATCH(AttributeFilter, B$1:J$1, 0)) &lt;&gt; 0, A379, ""))</f>
        <v>Turnip Casserole</v>
      </c>
    </row>
    <row r="380" spans="1:11">
      <c r="A380" s="207" t="s">
        <v>3134</v>
      </c>
      <c r="D380" s="195">
        <v>40</v>
      </c>
      <c r="K380" s="308" t="str">
        <f>IF(OR(COUNTBLANK(AttributeFilter) = 1,AttributeFilter="(Select)"),A380, IF(INDEX(B380:J380, MATCH(AttributeFilter, B$1:J$1, 0)) &lt;&gt; 0, A380, ""))</f>
        <v>Bowl of Mashed Yams</v>
      </c>
    </row>
    <row r="381" spans="1:11">
      <c r="A381" s="207" t="s">
        <v>3135</v>
      </c>
      <c r="D381" s="195">
        <v>40</v>
      </c>
      <c r="K381" s="308" t="str">
        <f>IF(OR(COUNTBLANK(AttributeFilter) = 1,AttributeFilter="(Select)"),A381, IF(INDEX(B381:J381, MATCH(AttributeFilter, B$1:J$1, 0)) &lt;&gt; 0, A381, ""))</f>
        <v>Bowl of Spiced Mashed Yams</v>
      </c>
    </row>
    <row r="382" spans="1:11">
      <c r="A382" s="207" t="s">
        <v>3136</v>
      </c>
      <c r="D382" s="195">
        <v>50</v>
      </c>
      <c r="K382" s="308" t="str">
        <f>IF(OR(COUNTBLANK(AttributeFilter) = 1,AttributeFilter="(Select)"),A382, IF(INDEX(B382:J382, MATCH(AttributeFilter, B$1:J$1, 0)) &lt;&gt; 0, A382, ""))</f>
        <v>Roasted Rutabaga</v>
      </c>
    </row>
    <row r="383" spans="1:11">
      <c r="A383" s="207" t="s">
        <v>3137</v>
      </c>
      <c r="D383" s="195">
        <v>60</v>
      </c>
      <c r="K383" s="308" t="str">
        <f>IF(OR(COUNTBLANK(AttributeFilter) = 1,AttributeFilter="(Select)"),A383, IF(INDEX(B383:J383, MATCH(AttributeFilter, B$1:J$1, 0)) &lt;&gt; 0, A383, ""))</f>
        <v>Roasted Parsnip</v>
      </c>
    </row>
    <row r="384" spans="1:11">
      <c r="A384" s="207" t="s">
        <v>3138</v>
      </c>
      <c r="D384" s="195">
        <v>70</v>
      </c>
      <c r="K384" s="308" t="str">
        <f>IF(OR(COUNTBLANK(AttributeFilter) = 1,AttributeFilter="(Select)"),A384, IF(INDEX(B384:J384, MATCH(AttributeFilter, B$1:J$1, 0)) &lt;&gt; 0, A384, ""))</f>
        <v>Bowl of Roasted Lotus Root</v>
      </c>
    </row>
    <row r="385" spans="1:11">
      <c r="A385" s="207" t="s">
        <v>3139</v>
      </c>
      <c r="K385" s="308" t="str">
        <f>IF(OR(COUNTBLANK(AttributeFilter) = 1,AttributeFilter="(Select)"),A385, IF(INDEX(B385:J385, MATCH(AttributeFilter, B$1:J$1, 0)) &lt;&gt; 0, A385, ""))</f>
        <v>Seraph Standard Ration</v>
      </c>
    </row>
    <row r="386" spans="1:11">
      <c r="A386" s="207" t="s">
        <v>3140</v>
      </c>
      <c r="K386" s="308" t="str">
        <f>IF(OR(COUNTBLANK(AttributeFilter) = 1,AttributeFilter="(Select)"),A386, IF(INDEX(B386:J386, MATCH(AttributeFilter, B$1:J$1, 0)) &lt;&gt; 0, A386, ""))</f>
        <v>Stick of Cotton Candy</v>
      </c>
    </row>
    <row r="387" spans="1:11">
      <c r="A387" s="207" t="s">
        <v>3141</v>
      </c>
      <c r="K387" s="308" t="str">
        <f>IF(OR(COUNTBLANK(AttributeFilter) = 1,AttributeFilter="(Select)"),A387, IF(INDEX(B387:J387, MATCH(AttributeFilter, B$1:J$1, 0)) &lt;&gt; 0, A387, ""))</f>
        <v>Apple Tart</v>
      </c>
    </row>
    <row r="388" spans="1:11">
      <c r="A388" s="207" t="s">
        <v>3142</v>
      </c>
      <c r="K388" s="308" t="str">
        <f>IF(OR(COUNTBLANK(AttributeFilter) = 1,AttributeFilter="(Select)"),A388, IF(INDEX(B388:J388, MATCH(AttributeFilter, B$1:J$1, 0)) &lt;&gt; 0, A388, ""))</f>
        <v>Bowl of Gelatinous Ooze Custard</v>
      </c>
    </row>
    <row r="389" spans="1:11">
      <c r="A389" s="207" t="s">
        <v>3143</v>
      </c>
      <c r="K389" s="308" t="str">
        <f>IF(OR(COUNTBLANK(AttributeFilter) = 1,AttributeFilter="(Select)"),A389, IF(INDEX(B389:J389, MATCH(AttributeFilter, B$1:J$1, 0)) &lt;&gt; 0, A389, ""))</f>
        <v>Apple Pie</v>
      </c>
    </row>
    <row r="390" spans="1:11">
      <c r="A390" s="207" t="s">
        <v>3144</v>
      </c>
      <c r="K390" s="308" t="str">
        <f>IF(OR(COUNTBLANK(AttributeFilter) = 1,AttributeFilter="(Select)"),A390, IF(INDEX(B390:J390, MATCH(AttributeFilter, B$1:J$1, 0)) &lt;&gt; 0, A390, ""))</f>
        <v>Bowl of Candy Corn Custard</v>
      </c>
    </row>
    <row r="391" spans="1:11">
      <c r="A391" s="207" t="s">
        <v>3145</v>
      </c>
      <c r="K391" s="308" t="str">
        <f>IF(OR(COUNTBLANK(AttributeFilter) = 1,AttributeFilter="(Select)"),A391, IF(INDEX(B391:J391, MATCH(AttributeFilter, B$1:J$1, 0)) &lt;&gt; 0, A391, ""))</f>
        <v>Heart-Shaped Cookie</v>
      </c>
    </row>
    <row r="392" spans="1:11">
      <c r="A392" s="207" t="s">
        <v>3146</v>
      </c>
      <c r="K392" s="308" t="str">
        <f>IF(OR(COUNTBLANK(AttributeFilter) = 1,AttributeFilter="(Select)"),A392, IF(INDEX(B392:J392, MATCH(AttributeFilter, B$1:J$1, 0)) &lt;&gt; 0, A392, ""))</f>
        <v>Kastaz Roasted Poultry</v>
      </c>
    </row>
    <row r="393" spans="1:11">
      <c r="A393" s="207" t="s">
        <v>3147</v>
      </c>
      <c r="K393" s="308" t="str">
        <f>IF(OR(COUNTBLANK(AttributeFilter) = 1,AttributeFilter="(Select)"),A393, IF(INDEX(B393:J393, MATCH(AttributeFilter, B$1:J$1, 0)) &lt;&gt; 0, A393, ""))</f>
        <v>Healing Salve</v>
      </c>
    </row>
    <row r="394" spans="1:11">
      <c r="A394" s="207" t="s">
        <v>3148</v>
      </c>
      <c r="K394" s="308" t="str">
        <f>IF(OR(COUNTBLANK(AttributeFilter) = 1,AttributeFilter="(Select)"),A394, IF(INDEX(B394:J394, MATCH(AttributeFilter, B$1:J$1, 0)) &lt;&gt; 0, A394, ""))</f>
        <v>Shiverpeak Ration</v>
      </c>
    </row>
    <row r="395" spans="1:11">
      <c r="A395" s="207" t="s">
        <v>3149</v>
      </c>
      <c r="K395" s="308" t="str">
        <f>IF(OR(COUNTBLANK(AttributeFilter) = 1,AttributeFilter="(Select)"),A395, IF(INDEX(B395:J395, MATCH(AttributeFilter, B$1:J$1, 0)) &lt;&gt; 0, A395, ""))</f>
        <v>Banana Cream Pie</v>
      </c>
    </row>
    <row r="396" spans="1:11">
      <c r="A396" s="207" t="s">
        <v>3150</v>
      </c>
      <c r="D396" s="195">
        <v>70</v>
      </c>
      <c r="K396" s="308" t="str">
        <f>IF(OR(COUNTBLANK(AttributeFilter) = 1,AttributeFilter="(Select)"),A396, IF(INDEX(B396:J396, MATCH(AttributeFilter, B$1:J$1, 0)) &lt;&gt; 0, A396, ""))</f>
        <v>Rock Candy</v>
      </c>
    </row>
    <row r="397" spans="1:11">
      <c r="A397" s="207" t="s">
        <v>3151</v>
      </c>
      <c r="K397" s="308" t="str">
        <f>IF(OR(COUNTBLANK(AttributeFilter) = 1,AttributeFilter="(Select)"),A397, IF(INDEX(B397:J397, MATCH(AttributeFilter, B$1:J$1, 0)) &lt;&gt; 0, A397, ""))</f>
        <v>Shiverpeak Popper</v>
      </c>
    </row>
    <row r="398" spans="1:11">
      <c r="A398" s="207" t="s">
        <v>3152</v>
      </c>
      <c r="K398" s="308" t="str">
        <f>IF(OR(COUNTBLANK(AttributeFilter) = 1,AttributeFilter="(Select)"),A398, IF(INDEX(B398:J398, MATCH(AttributeFilter, B$1:J$1, 0)) &lt;&gt; 0, A398, ""))</f>
        <v>Grape Pie</v>
      </c>
    </row>
    <row r="399" spans="1:11">
      <c r="A399" s="207" t="s">
        <v>3153</v>
      </c>
      <c r="K399" s="308" t="str">
        <f>IF(OR(COUNTBLANK(AttributeFilter) = 1,AttributeFilter="(Select)"),A399, IF(INDEX(B399:J399, MATCH(AttributeFilter, B$1:J$1, 0)) &lt;&gt; 0, A399, ""))</f>
        <v>Experimental Skritt Wafer</v>
      </c>
    </row>
    <row r="400" spans="1:11">
      <c r="A400" s="207" t="s">
        <v>3154</v>
      </c>
      <c r="K400" s="308" t="str">
        <f>IF(OR(COUNTBLANK(AttributeFilter) = 1,AttributeFilter="(Select)"),A400, IF(INDEX(B400:J400, MATCH(AttributeFilter, B$1:J$1, 0)) &lt;&gt; 0, A400, ""))</f>
        <v>Pirate Hard Tack</v>
      </c>
    </row>
    <row r="401" spans="1:11">
      <c r="A401" s="207" t="s">
        <v>3155</v>
      </c>
      <c r="K401" s="308" t="str">
        <f>IF(OR(COUNTBLANK(AttributeFilter) = 1,AttributeFilter="(Select)"),A401, IF(INDEX(B401:J401, MATCH(AttributeFilter, B$1:J$1, 0)) &lt;&gt; 0, A401, ""))</f>
        <v>Dredge Worker Ration</v>
      </c>
    </row>
    <row r="402" spans="1:11">
      <c r="A402" s="207" t="s">
        <v>3156</v>
      </c>
      <c r="E402" s="195">
        <v>50</v>
      </c>
      <c r="K402" s="308" t="str">
        <f>IF(OR(COUNTBLANK(AttributeFilter) = 1,AttributeFilter="(Select)"),A402, IF(INDEX(B402:J402, MATCH(AttributeFilter, B$1:J$1, 0)) &lt;&gt; 0, A402, ""))</f>
        <v>Slice of Vigil Hard Tack</v>
      </c>
    </row>
    <row r="403" spans="1:11">
      <c r="A403" s="207" t="s">
        <v>3157</v>
      </c>
      <c r="K403" s="308" t="str">
        <f>IF(OR(COUNTBLANK(AttributeFilter) = 1,AttributeFilter="(Select)"),A403, IF(INDEX(B403:J403, MATCH(AttributeFilter, B$1:J$1, 0)) &lt;&gt; 0, A403, ""))</f>
        <v>Pumpkin Pie</v>
      </c>
    </row>
    <row r="404" spans="1:11">
      <c r="A404" s="207" t="s">
        <v>3158</v>
      </c>
      <c r="E404" s="195">
        <v>60</v>
      </c>
      <c r="K404" s="308" t="str">
        <f>IF(OR(COUNTBLANK(AttributeFilter) = 1,AttributeFilter="(Select)"),A404, IF(INDEX(B404:J404, MATCH(AttributeFilter, B$1:J$1, 0)) &lt;&gt; 0, A404, ""))</f>
        <v>Standard Pact Ration</v>
      </c>
    </row>
    <row r="405" spans="1:11">
      <c r="A405" s="207" t="s">
        <v>3159</v>
      </c>
      <c r="K405" s="308" t="str">
        <f>IF(OR(COUNTBLANK(AttributeFilter) = 1,AttributeFilter="(Select)"),A405, IF(INDEX(B405:J405, MATCH(AttributeFilter, B$1:J$1, 0)) &lt;&gt; 0, A405, ""))</f>
        <v>Raspberry Pie</v>
      </c>
    </row>
    <row r="406" spans="1:11">
      <c r="A406" s="207" t="s">
        <v>3160</v>
      </c>
      <c r="E406" s="195">
        <v>50</v>
      </c>
      <c r="K406" s="308" t="str">
        <f>IF(OR(COUNTBLANK(AttributeFilter) = 1,AttributeFilter="(Select)"),A406, IF(INDEX(B406:J406, MATCH(AttributeFilter, B$1:J$1, 0)) &lt;&gt; 0, A406, ""))</f>
        <v>Glazed Pumpkin Pie</v>
      </c>
    </row>
    <row r="407" spans="1:11">
      <c r="A407" s="207" t="s">
        <v>3161</v>
      </c>
      <c r="K407" s="308" t="str">
        <f>IF(OR(COUNTBLANK(AttributeFilter) = 1,AttributeFilter="(Select)"),A407, IF(INDEX(B407:J407, MATCH(AttributeFilter, B$1:J$1, 0)) &lt;&gt; 0, A407, ""))</f>
        <v>Canned Peach Pie Filling</v>
      </c>
    </row>
    <row r="408" spans="1:11">
      <c r="A408" s="207" t="s">
        <v>3162</v>
      </c>
      <c r="K408" s="308" t="str">
        <f>IF(OR(COUNTBLANK(AttributeFilter) = 1,AttributeFilter="(Select)"),A408, IF(INDEX(B408:J408, MATCH(AttributeFilter, B$1:J$1, 0)) &lt;&gt; 0, A408, ""))</f>
        <v>Peach Pie</v>
      </c>
    </row>
    <row r="409" spans="1:11">
      <c r="A409" s="207" t="s">
        <v>3163</v>
      </c>
      <c r="K409" s="308" t="str">
        <f>IF(OR(COUNTBLANK(AttributeFilter) = 1,AttributeFilter="(Select)"),A409, IF(INDEX(B409:J409, MATCH(AttributeFilter, B$1:J$1, 0)) &lt;&gt; 0, A409, ""))</f>
        <v>Bowl of Cactus Soup</v>
      </c>
    </row>
    <row r="410" spans="1:11">
      <c r="A410" s="207" t="s">
        <v>3164</v>
      </c>
      <c r="K410" s="308" t="str">
        <f>IF(OR(COUNTBLANK(AttributeFilter) = 1,AttributeFilter="(Select)"),A410, IF(INDEX(B410:J410, MATCH(AttributeFilter, B$1:J$1, 0)) &lt;&gt; 0, A410, ""))</f>
        <v>Mango Pie</v>
      </c>
    </row>
    <row r="411" spans="1:11">
      <c r="A411" s="207" t="s">
        <v>3165</v>
      </c>
      <c r="K411" s="308" t="str">
        <f>IF(OR(COUNTBLANK(AttributeFilter) = 1,AttributeFilter="(Select)"),A411, IF(INDEX(B411:J411, MATCH(AttributeFilter, B$1:J$1, 0)) &lt;&gt; 0, A411, ""))</f>
        <v>Bowl of Black Pepper Cactus Salad</v>
      </c>
    </row>
    <row r="412" spans="1:11">
      <c r="A412" s="207" t="s">
        <v>3166</v>
      </c>
      <c r="E412" s="195">
        <v>70</v>
      </c>
      <c r="K412" s="308" t="str">
        <f>IF(OR(COUNTBLANK(AttributeFilter) = 1,AttributeFilter="(Select)"),A412, IF(INDEX(B412:J412, MATCH(AttributeFilter, B$1:J$1, 0)) &lt;&gt; 0, A412, ""))</f>
        <v>Tropical Peppermint Cake</v>
      </c>
    </row>
    <row r="413" spans="1:11">
      <c r="A413" s="207" t="s">
        <v>3167</v>
      </c>
      <c r="G413" s="195">
        <v>70</v>
      </c>
      <c r="K413" s="308" t="str">
        <f>IF(OR(COUNTBLANK(AttributeFilter) = 1,AttributeFilter="(Select)"),A413, IF(INDEX(B413:J413, MATCH(AttributeFilter, B$1:J$1, 0)) &lt;&gt; 0, A413, ""))</f>
        <v>Bowl of Red Lentil Soup</v>
      </c>
    </row>
    <row r="414" spans="1:11">
      <c r="A414" s="207" t="s">
        <v>3168</v>
      </c>
      <c r="K414" s="308" t="str">
        <f>IF(OR(COUNTBLANK(AttributeFilter) = 1,AttributeFilter="(Select)"),A414, IF(INDEX(B414:J414, MATCH(AttributeFilter, B$1:J$1, 0)) &lt;&gt; 0, A414, ""))</f>
        <v>Holographic Super Cake</v>
      </c>
    </row>
    <row r="415" spans="1:11">
      <c r="A415" s="207" t="s">
        <v>3169</v>
      </c>
      <c r="B415" s="195">
        <v>100</v>
      </c>
      <c r="C415" s="195">
        <v>70</v>
      </c>
      <c r="K415" s="308" t="str">
        <f>IF(OR(COUNTBLANK(AttributeFilter) = 1,AttributeFilter="(Select)"),A415, IF(INDEX(B415:J415, MATCH(AttributeFilter, B$1:J$1, 0)) &lt;&gt; 0, A415, ""))</f>
        <v>Plate of Sesame-Crusted Coq Au Vin</v>
      </c>
    </row>
    <row r="416" spans="1:11">
      <c r="A416" s="207" t="s">
        <v>3170</v>
      </c>
      <c r="B416" s="195">
        <v>100</v>
      </c>
      <c r="F416" s="195">
        <v>70</v>
      </c>
      <c r="K416" s="308" t="str">
        <f>IF(OR(COUNTBLANK(AttributeFilter) = 1,AttributeFilter="(Select)"),A416, IF(INDEX(B416:J416, MATCH(AttributeFilter, B$1:J$1, 0)) &lt;&gt; 0, A416, ""))</f>
        <v>Soy-Sesame Sous-Vide Steak</v>
      </c>
    </row>
    <row r="417" spans="1:11">
      <c r="A417" s="207" t="s">
        <v>3171</v>
      </c>
      <c r="D417" s="195">
        <v>70</v>
      </c>
      <c r="E417" s="195">
        <v>100</v>
      </c>
      <c r="K417" s="308" t="str">
        <f>IF(OR(COUNTBLANK(AttributeFilter) = 1,AttributeFilter="(Select)"),A417, IF(INDEX(B417:J417, MATCH(AttributeFilter, B$1:J$1, 0)) &lt;&gt; 0, A417, ""))</f>
        <v>Plate of Clear Truffle and Sesame Ravioli</v>
      </c>
    </row>
    <row r="418" spans="1:11">
      <c r="A418" s="207" t="s">
        <v>3172</v>
      </c>
      <c r="B418" s="195">
        <v>70</v>
      </c>
      <c r="I418" s="195">
        <v>100</v>
      </c>
      <c r="K418" s="308" t="str">
        <f>IF(OR(COUNTBLANK(AttributeFilter) = 1,AttributeFilter="(Select)"),A418, IF(INDEX(B418:J418, MATCH(AttributeFilter, B$1:J$1, 0)) &lt;&gt; 0, A418, ""))</f>
        <v>Plate of Sesame-Ginger Beef Carpaccio</v>
      </c>
    </row>
    <row r="419" spans="1:11">
      <c r="A419" s="207" t="s">
        <v>3173</v>
      </c>
      <c r="D419" s="195">
        <v>70</v>
      </c>
      <c r="I419" s="195">
        <v>100</v>
      </c>
      <c r="K419" s="308" t="str">
        <f>IF(OR(COUNTBLANK(AttributeFilter) = 1,AttributeFilter="(Select)"),A419, IF(INDEX(B419:J419, MATCH(AttributeFilter, B$1:J$1, 0)) &lt;&gt; 0, A419, ""))</f>
        <v>Plate of Sesame Poultry Aspic</v>
      </c>
    </row>
    <row r="420" spans="1:11">
      <c r="A420" s="207" t="s">
        <v>3174</v>
      </c>
      <c r="H420" s="195">
        <v>70</v>
      </c>
      <c r="I420" s="195">
        <v>100</v>
      </c>
      <c r="K420" s="308" t="str">
        <f>IF(OR(COUNTBLANK(AttributeFilter) = 1,AttributeFilter="(Select)"),A420, IF(INDEX(B420:J420, MATCH(AttributeFilter, B$1:J$1, 0)) &lt;&gt; 0, A420, ""))</f>
        <v>Sesame Eggs Benedict</v>
      </c>
    </row>
    <row r="421" spans="1:11">
      <c r="A421" s="207" t="s">
        <v>3175</v>
      </c>
      <c r="I421" s="195">
        <v>100</v>
      </c>
      <c r="J421" s="195">
        <v>70</v>
      </c>
      <c r="K421" s="308" t="str">
        <f>IF(OR(COUNTBLANK(AttributeFilter) = 1,AttributeFilter="(Select)"),A421, IF(INDEX(B421:J421, MATCH(AttributeFilter, B$1:J$1, 0)) &lt;&gt; 0, A421, ""))</f>
        <v>Sesame Creme Brulee</v>
      </c>
    </row>
    <row r="422" spans="1:11">
      <c r="A422" s="207" t="s">
        <v>3176</v>
      </c>
      <c r="I422" s="195">
        <v>100</v>
      </c>
      <c r="K422" s="308" t="str">
        <f>IF(OR(COUNTBLANK(AttributeFilter) = 1,AttributeFilter="(Select)"),A422, IF(INDEX(B422:J422, MATCH(AttributeFilter, B$1:J$1, 0)) &lt;&gt; 0, A422, ""))</f>
        <v>Sesame Cheesecake</v>
      </c>
    </row>
    <row r="423" spans="1:11">
      <c r="A423" s="207" t="s">
        <v>3177</v>
      </c>
      <c r="G423" s="195">
        <v>100</v>
      </c>
      <c r="H423" s="195">
        <v>70</v>
      </c>
      <c r="K423" s="308" t="str">
        <f>IF(OR(COUNTBLANK(AttributeFilter) = 1,AttributeFilter="(Select)"),A423, IF(INDEX(B423:J423, MATCH(AttributeFilter, B$1:J$1, 0)) &lt;&gt; 0, A423, ""))</f>
        <v>Sesame-Asparagus and Cured Meat Flatbread</v>
      </c>
    </row>
    <row r="424" spans="1:11">
      <c r="A424" s="207" t="s">
        <v>3178</v>
      </c>
      <c r="G424" s="195">
        <v>70</v>
      </c>
      <c r="H424" s="195">
        <v>100</v>
      </c>
      <c r="K424" s="308" t="str">
        <f>IF(OR(COUNTBLANK(AttributeFilter) = 1,AttributeFilter="(Select)"),A424, IF(INDEX(B424:J424, MATCH(AttributeFilter, B$1:J$1, 0)) &lt;&gt; 0, A424, ""))</f>
        <v>Sesame Veggie Flatbread</v>
      </c>
    </row>
    <row r="425" spans="1:11">
      <c r="A425" s="207" t="s">
        <v>3179</v>
      </c>
      <c r="I425" s="195">
        <v>70</v>
      </c>
      <c r="J425" s="195">
        <v>100</v>
      </c>
      <c r="K425" s="308" t="str">
        <f>IF(OR(COUNTBLANK(AttributeFilter) = 1,AttributeFilter="(Select)"),A425, IF(INDEX(B425:J425, MATCH(AttributeFilter, B$1:J$1, 0)) &lt;&gt; 0, A425, ""))</f>
        <v>Bowl of Sesame Fruit Salad</v>
      </c>
    </row>
    <row r="426" spans="1:11">
      <c r="A426" s="207" t="s">
        <v>3180</v>
      </c>
      <c r="K426" s="308" t="str">
        <f>IF(OR(COUNTBLANK(AttributeFilter) = 1,AttributeFilter="(Select)"),A426, IF(INDEX(B426:J426, MATCH(AttributeFilter, B$1:J$1, 0)) &lt;&gt; 0, A426, ""))</f>
        <v>Spherified Sesame Oyster Soup</v>
      </c>
    </row>
    <row r="427" spans="1:11">
      <c r="A427" s="207" t="s">
        <v>3181</v>
      </c>
      <c r="B427" s="195">
        <v>100</v>
      </c>
      <c r="C427" s="195">
        <v>70</v>
      </c>
      <c r="K427" s="308" t="str">
        <f>IF(OR(COUNTBLANK(AttributeFilter) = 1,AttributeFilter="(Select)"),A427, IF(INDEX(B427:J427, MATCH(AttributeFilter, B$1:J$1, 0)) &lt;&gt; 0, A427, ""))</f>
        <v>Plate of Coq Au Vin with Mint Garnish</v>
      </c>
    </row>
    <row r="428" spans="1:11">
      <c r="A428" s="207" t="s">
        <v>3182</v>
      </c>
      <c r="B428" s="195">
        <v>100</v>
      </c>
      <c r="F428" s="195">
        <v>70</v>
      </c>
      <c r="K428" s="308" t="str">
        <f>IF(OR(COUNTBLANK(AttributeFilter) = 1,AttributeFilter="(Select)"),A428, IF(INDEX(B428:J428, MATCH(AttributeFilter, B$1:J$1, 0)) &lt;&gt; 0, A428, ""))</f>
        <v>Sous-Vide Steak with Mint-Parsley Sauce</v>
      </c>
    </row>
    <row r="429" spans="1:11">
      <c r="A429" s="207" t="s">
        <v>3183</v>
      </c>
      <c r="D429" s="195">
        <v>70</v>
      </c>
      <c r="E429" s="195">
        <v>100</v>
      </c>
      <c r="K429" s="308" t="str">
        <f>IF(OR(COUNTBLANK(AttributeFilter) = 1,AttributeFilter="(Select)"),A429, IF(INDEX(B429:J429, MATCH(AttributeFilter, B$1:J$1, 0)) &lt;&gt; 0, A429, ""))</f>
        <v>Plate of Clear Truffle and Mint Ravioli</v>
      </c>
    </row>
    <row r="430" spans="1:11">
      <c r="A430" s="207" t="s">
        <v>3184</v>
      </c>
      <c r="B430" s="195">
        <v>70</v>
      </c>
      <c r="I430" s="195">
        <v>100</v>
      </c>
      <c r="K430" s="308" t="str">
        <f>IF(OR(COUNTBLANK(AttributeFilter) = 1,AttributeFilter="(Select)"),A430, IF(INDEX(B430:J430, MATCH(AttributeFilter, B$1:J$1, 0)) &lt;&gt; 0, A430, ""))</f>
        <v>Plate of Beef Carpaccio with Mint Garnish</v>
      </c>
    </row>
    <row r="431" spans="1:11">
      <c r="A431" s="207" t="s">
        <v>3185</v>
      </c>
      <c r="D431" s="195">
        <v>70</v>
      </c>
      <c r="I431" s="195">
        <v>100</v>
      </c>
      <c r="K431" s="308" t="str">
        <f>IF(OR(COUNTBLANK(AttributeFilter) = 1,AttributeFilter="(Select)"),A431, IF(INDEX(B431:J431, MATCH(AttributeFilter, B$1:J$1, 0)) &lt;&gt; 0, A431, ""))</f>
        <v>Plate of Poultry Aspic with Mint Garnish</v>
      </c>
    </row>
    <row r="432" spans="1:11">
      <c r="A432" s="207" t="s">
        <v>3186</v>
      </c>
      <c r="H432" s="195">
        <v>70</v>
      </c>
      <c r="I432" s="195">
        <v>100</v>
      </c>
      <c r="K432" s="308" t="str">
        <f>IF(OR(COUNTBLANK(AttributeFilter) = 1,AttributeFilter="(Select)"),A432, IF(INDEX(B432:J432, MATCH(AttributeFilter, B$1:J$1, 0)) &lt;&gt; 0, A432, ""))</f>
        <v>Eggs Benedict with Mint-Parsley Sauce</v>
      </c>
    </row>
    <row r="433" spans="1:11">
      <c r="A433" s="207" t="s">
        <v>3187</v>
      </c>
      <c r="I433" s="195">
        <v>100</v>
      </c>
      <c r="J433" s="195">
        <v>70</v>
      </c>
      <c r="K433" s="308" t="str">
        <f>IF(OR(COUNTBLANK(AttributeFilter) = 1,AttributeFilter="(Select)"),A433, IF(INDEX(B433:J433, MATCH(AttributeFilter, B$1:J$1, 0)) &lt;&gt; 0, A433, ""))</f>
        <v>Mint Creme Brulee</v>
      </c>
    </row>
    <row r="434" spans="1:11">
      <c r="A434" s="207" t="s">
        <v>3188</v>
      </c>
      <c r="I434" s="195">
        <v>100</v>
      </c>
      <c r="K434" s="308" t="str">
        <f>IF(OR(COUNTBLANK(AttributeFilter) = 1,AttributeFilter="(Select)"),A434, IF(INDEX(B434:J434, MATCH(AttributeFilter, B$1:J$1, 0)) &lt;&gt; 0, A434, ""))</f>
        <v>Mint Strawberry Cheesecake</v>
      </c>
    </row>
    <row r="435" spans="1:11">
      <c r="A435" s="207" t="s">
        <v>3189</v>
      </c>
      <c r="G435" s="195">
        <v>100</v>
      </c>
      <c r="H435" s="195">
        <v>70</v>
      </c>
      <c r="K435" s="308" t="str">
        <f>IF(OR(COUNTBLANK(AttributeFilter) = 1,AttributeFilter="(Select)"),A435, IF(INDEX(B435:J435, MATCH(AttributeFilter, B$1:J$1, 0)) &lt;&gt; 0, A435, ""))</f>
        <v>Mint-Pear Cured Meat Flatbread</v>
      </c>
    </row>
    <row r="436" spans="1:11">
      <c r="A436" s="207" t="s">
        <v>3190</v>
      </c>
      <c r="G436" s="195">
        <v>70</v>
      </c>
      <c r="H436" s="195">
        <v>100</v>
      </c>
      <c r="K436" s="308" t="str">
        <f>IF(OR(COUNTBLANK(AttributeFilter) = 1,AttributeFilter="(Select)"),A436, IF(INDEX(B436:J436, MATCH(AttributeFilter, B$1:J$1, 0)) &lt;&gt; 0, A436, ""))</f>
        <v>Mint and Veggie Flatbread</v>
      </c>
    </row>
    <row r="437" spans="1:11">
      <c r="A437" s="207" t="s">
        <v>3191</v>
      </c>
      <c r="I437" s="195">
        <v>70</v>
      </c>
      <c r="J437" s="195">
        <v>100</v>
      </c>
      <c r="K437" s="308" t="str">
        <f>IF(OR(COUNTBLANK(AttributeFilter) = 1,AttributeFilter="(Select)"),A437, IF(INDEX(B437:J437, MATCH(AttributeFilter, B$1:J$1, 0)) &lt;&gt; 0, A437, ""))</f>
        <v>Bowl of Mists-Infused Fruit Salad with Mint Garnish</v>
      </c>
    </row>
    <row r="438" spans="1:11">
      <c r="A438" s="207" t="s">
        <v>3192</v>
      </c>
      <c r="I438" s="195">
        <v>70</v>
      </c>
      <c r="J438" s="195">
        <v>100</v>
      </c>
      <c r="K438" s="308" t="str">
        <f>IF(OR(COUNTBLANK(AttributeFilter) = 1,AttributeFilter="(Select)"),A438, IF(INDEX(B438:J438, MATCH(AttributeFilter, B$1:J$1, 0)) &lt;&gt; 0, A438, ""))</f>
        <v>Bowl of Fruit Salad with Mint Garnish</v>
      </c>
    </row>
    <row r="439" spans="1:11">
      <c r="A439" s="207" t="s">
        <v>3193</v>
      </c>
      <c r="K439" s="308" t="str">
        <f>IF(OR(COUNTBLANK(AttributeFilter) = 1,AttributeFilter="(Select)"),A439, IF(INDEX(B439:J439, MATCH(AttributeFilter, B$1:J$1, 0)) &lt;&gt; 0, A439, ""))</f>
        <v>Spherified Oyster Soup with Mint Garnish</v>
      </c>
    </row>
    <row r="440" spans="1:11">
      <c r="A440" s="207" t="s">
        <v>3194</v>
      </c>
      <c r="K440" s="308" t="str">
        <f>IF(OR(COUNTBLANK(AttributeFilter) = 1,AttributeFilter="(Select)"),A440, IF(INDEX(B440:J440, MATCH(AttributeFilter, B$1:J$1, 0)) &lt;&gt; 0, A440, ""))</f>
        <v>Slice of Rainbow Cake</v>
      </c>
    </row>
    <row r="441" spans="1:11">
      <c r="A441" s="207" t="s">
        <v>3195</v>
      </c>
      <c r="K441" s="308" t="str">
        <f>IF(OR(COUNTBLANK(AttributeFilter) = 1,AttributeFilter="(Select)"),A441, IF(INDEX(B441:J441, MATCH(AttributeFilter, B$1:J$1, 0)) &lt;&gt; 0, A441, ""))</f>
        <v>Blueberry Pie</v>
      </c>
    </row>
    <row r="442" spans="1:11">
      <c r="A442" s="207" t="s">
        <v>3196</v>
      </c>
      <c r="K442" s="308" t="str">
        <f>IF(OR(COUNTBLANK(AttributeFilter) = 1,AttributeFilter="(Select)"),A442, IF(INDEX(B442:J442, MATCH(AttributeFilter, B$1:J$1, 0)) &lt;&gt; 0, A442, ""))</f>
        <v>Cupcake</v>
      </c>
    </row>
    <row r="443" spans="1:11">
      <c r="A443" s="207" t="s">
        <v>3197</v>
      </c>
      <c r="K443" s="308" t="str">
        <f>IF(OR(COUNTBLANK(AttributeFilter) = 1,AttributeFilter="(Select)"),A443, IF(INDEX(B443:J443, MATCH(AttributeFilter, B$1:J$1, 0)) &lt;&gt; 0, A443, ""))</f>
        <v>Strawberry Pie</v>
      </c>
    </row>
    <row r="444" spans="1:11">
      <c r="A444" s="207" t="s">
        <v>3198</v>
      </c>
      <c r="C444" s="195">
        <v>70</v>
      </c>
      <c r="K444" s="308" t="str">
        <f>IF(OR(COUNTBLANK(AttributeFilter) = 1,AttributeFilter="(Select)"),A444, IF(INDEX(B444:J444, MATCH(AttributeFilter, B$1:J$1, 0)) &lt;&gt; 0, A444, ""))</f>
        <v>Indigo Mushroom Milkshake</v>
      </c>
    </row>
    <row r="445" spans="1:11">
      <c r="A445" s="207" t="s">
        <v>3199</v>
      </c>
      <c r="C445" s="195">
        <v>40</v>
      </c>
      <c r="K445" s="308" t="str">
        <f>IF(OR(COUNTBLANK(AttributeFilter) = 1,AttributeFilter="(Select)"),A445, IF(INDEX(B445:J445, MATCH(AttributeFilter, B$1:J$1, 0)) &lt;&gt; 0, A445, ""))</f>
        <v>Cherry Pie</v>
      </c>
    </row>
    <row r="446" spans="1:11">
      <c r="A446" s="207" t="s">
        <v>3200</v>
      </c>
      <c r="C446" s="195">
        <v>50</v>
      </c>
      <c r="K446" s="308" t="str">
        <f>IF(OR(COUNTBLANK(AttributeFilter) = 1,AttributeFilter="(Select)"),A446, IF(INDEX(B446:J446, MATCH(AttributeFilter, B$1:J$1, 0)) &lt;&gt; 0, A446, ""))</f>
        <v>Blackberry Pie</v>
      </c>
    </row>
    <row r="447" spans="1:11">
      <c r="A447" s="207" t="s">
        <v>3201</v>
      </c>
      <c r="C447" s="195">
        <v>60</v>
      </c>
      <c r="K447" s="308" t="str">
        <f>IF(OR(COUNTBLANK(AttributeFilter) = 1,AttributeFilter="(Select)"),A447, IF(INDEX(B447:J447, MATCH(AttributeFilter, B$1:J$1, 0)) &lt;&gt; 0, A447, ""))</f>
        <v>Canned Mixed Berry Pie</v>
      </c>
    </row>
    <row r="448" spans="1:11">
      <c r="A448" s="207" t="s">
        <v>3202</v>
      </c>
      <c r="C448" s="195">
        <v>60</v>
      </c>
      <c r="K448" s="308" t="str">
        <f>IF(OR(COUNTBLANK(AttributeFilter) = 1,AttributeFilter="(Select)"),A448, IF(INDEX(B448:J448, MATCH(AttributeFilter, B$1:J$1, 0)) &lt;&gt; 0, A448, ""))</f>
        <v>Mixed Berry Pie</v>
      </c>
    </row>
    <row r="449" spans="1:11">
      <c r="A449" s="207" t="s">
        <v>3203</v>
      </c>
      <c r="C449" s="195">
        <v>70</v>
      </c>
      <c r="K449" s="308" t="str">
        <f>IF(OR(COUNTBLANK(AttributeFilter) = 1,AttributeFilter="(Select)"),A449, IF(INDEX(B449:J449, MATCH(AttributeFilter, B$1:J$1, 0)) &lt;&gt; 0, A449, ""))</f>
        <v>Slice of Candied Dragon Roll</v>
      </c>
    </row>
    <row r="450" spans="1:11">
      <c r="A450" s="207" t="s">
        <v>3204</v>
      </c>
      <c r="C450" s="195">
        <v>70</v>
      </c>
      <c r="K450" s="308" t="str">
        <f>IF(OR(COUNTBLANK(AttributeFilter) = 1,AttributeFilter="(Select)"),A450, IF(INDEX(B450:J450, MATCH(AttributeFilter, B$1:J$1, 0)) &lt;&gt; 0, A450, ""))</f>
        <v>Omnomberry Pie</v>
      </c>
    </row>
    <row r="451" spans="1:11">
      <c r="A451" s="207" t="s">
        <v>3205</v>
      </c>
      <c r="C451" s="195">
        <v>70</v>
      </c>
      <c r="K451" s="308" t="str">
        <f>IF(OR(COUNTBLANK(AttributeFilter) = 1,AttributeFilter="(Select)"),A451, IF(INDEX(B451:J451, MATCH(AttributeFilter, B$1:J$1, 0)) &lt;&gt; 0, A451, ""))</f>
        <v>Scoop of Mintberry Swirl Ice Cream</v>
      </c>
    </row>
    <row r="452" spans="1:11">
      <c r="A452" s="207" t="s">
        <v>3206</v>
      </c>
      <c r="C452" s="195">
        <v>70</v>
      </c>
      <c r="K452" s="308" t="str">
        <f>IF(OR(COUNTBLANK(AttributeFilter) = 1,AttributeFilter="(Select)"),A452, IF(INDEX(B452:J452, MATCH(AttributeFilter, B$1:J$1, 0)) &lt;&gt; 0, A452, ""))</f>
        <v>Omnomberry Ghost</v>
      </c>
    </row>
    <row r="453" spans="1:11">
      <c r="A453" s="207" t="s">
        <v>3207</v>
      </c>
      <c r="C453" s="195">
        <v>70</v>
      </c>
      <c r="K453" s="308" t="str">
        <f>IF(OR(COUNTBLANK(AttributeFilter) = 1,AttributeFilter="(Select)"),A453, IF(INDEX(B453:J453, MATCH(AttributeFilter, B$1:J$1, 0)) &lt;&gt; 0, A453, ""))</f>
        <v>Winterberry Pie</v>
      </c>
    </row>
    <row r="454" spans="1:11">
      <c r="A454" s="207" t="s">
        <v>3208</v>
      </c>
      <c r="B454" s="195">
        <v>70</v>
      </c>
      <c r="K454" s="308" t="str">
        <f>IF(OR(COUNTBLANK(AttributeFilter) = 1,AttributeFilter="(Select)"),A454, IF(INDEX(B454:J454, MATCH(AttributeFilter, B$1:J$1, 0)) &lt;&gt; 0, A454, ""))</f>
        <v>Slice of Allspice Cake</v>
      </c>
    </row>
    <row r="455" spans="1:11">
      <c r="A455" s="207" t="s">
        <v>3209</v>
      </c>
      <c r="G455" s="195">
        <v>70</v>
      </c>
      <c r="K455" s="308" t="str">
        <f>IF(OR(COUNTBLANK(AttributeFilter) = 1,AttributeFilter="(Select)"),A455, IF(INDEX(B455:J455, MATCH(AttributeFilter, B$1:J$1, 0)) &lt;&gt; 0, A455, ""))</f>
        <v>Slice of Allspice Cake with Ice Cream</v>
      </c>
    </row>
    <row r="456" spans="1:11">
      <c r="A456" s="207" t="s">
        <v>3210</v>
      </c>
      <c r="B456" s="195">
        <v>100</v>
      </c>
      <c r="C456" s="195">
        <v>70</v>
      </c>
      <c r="K456" s="308" t="str">
        <f>IF(OR(COUNTBLANK(AttributeFilter) = 1,AttributeFilter="(Select)"),A456, IF(INDEX(B456:J456, MATCH(AttributeFilter, B$1:J$1, 0)) &lt;&gt; 0, A456, ""))</f>
        <v>Plate of Coq Au Vin with Salsa</v>
      </c>
    </row>
    <row r="457" spans="1:11">
      <c r="A457" s="207" t="s">
        <v>3211</v>
      </c>
      <c r="B457" s="195">
        <v>100</v>
      </c>
      <c r="F457" s="195">
        <v>70</v>
      </c>
      <c r="K457" s="308" t="str">
        <f>IF(OR(COUNTBLANK(AttributeFilter) = 1,AttributeFilter="(Select)"),A457, IF(INDEX(B457:J457, MATCH(AttributeFilter, B$1:J$1, 0)) &lt;&gt; 0, A457, ""))</f>
        <v>Cilantro Lime Sous-Vide Steak</v>
      </c>
    </row>
    <row r="458" spans="1:11">
      <c r="A458" s="207" t="s">
        <v>3212</v>
      </c>
      <c r="D458" s="195">
        <v>70</v>
      </c>
      <c r="E458" s="195">
        <v>100</v>
      </c>
      <c r="K458" s="308" t="str">
        <f>IF(OR(COUNTBLANK(AttributeFilter) = 1,AttributeFilter="(Select)"),A458, IF(INDEX(B458:J458, MATCH(AttributeFilter, B$1:J$1, 0)) &lt;&gt; 0, A458, ""))</f>
        <v>Plate of Clear Truffle and Cilantro Ravioli</v>
      </c>
    </row>
    <row r="459" spans="1:11">
      <c r="A459" s="207" t="s">
        <v>3213</v>
      </c>
      <c r="B459" s="195">
        <v>70</v>
      </c>
      <c r="I459" s="195">
        <v>100</v>
      </c>
      <c r="K459" s="308" t="str">
        <f>IF(OR(COUNTBLANK(AttributeFilter) = 1,AttributeFilter="(Select)"),A459, IF(INDEX(B459:J459, MATCH(AttributeFilter, B$1:J$1, 0)) &lt;&gt; 0, A459, ""))</f>
        <v>Plate of Beef Carpaccio with Salsa Garnish</v>
      </c>
    </row>
    <row r="460" spans="1:11">
      <c r="A460" s="207" t="s">
        <v>3214</v>
      </c>
      <c r="D460" s="195">
        <v>70</v>
      </c>
      <c r="I460" s="195">
        <v>100</v>
      </c>
      <c r="K460" s="308" t="str">
        <f>IF(OR(COUNTBLANK(AttributeFilter) = 1,AttributeFilter="(Select)"),A460, IF(INDEX(B460:J460, MATCH(AttributeFilter, B$1:J$1, 0)) &lt;&gt; 0, A460, ""))</f>
        <v>Plate of Poultry Aspic with Salsa Garnish</v>
      </c>
    </row>
    <row r="461" spans="1:11">
      <c r="A461" s="207" t="s">
        <v>3215</v>
      </c>
      <c r="H461" s="195">
        <v>70</v>
      </c>
      <c r="I461" s="195">
        <v>100</v>
      </c>
      <c r="K461" s="308" t="str">
        <f>IF(OR(COUNTBLANK(AttributeFilter) = 1,AttributeFilter="(Select)"),A461, IF(INDEX(B461:J461, MATCH(AttributeFilter, B$1:J$1, 0)) &lt;&gt; 0, A461, ""))</f>
        <v>Salsa Eggs Benedict</v>
      </c>
    </row>
    <row r="462" spans="1:11">
      <c r="A462" s="207" t="s">
        <v>3216</v>
      </c>
      <c r="I462" s="195">
        <v>100</v>
      </c>
      <c r="J462" s="195">
        <v>70</v>
      </c>
      <c r="K462" s="308" t="str">
        <f>IF(OR(COUNTBLANK(AttributeFilter) = 1,AttributeFilter="(Select)"),A462, IF(INDEX(B462:J462, MATCH(AttributeFilter, B$1:J$1, 0)) &lt;&gt; 0, A462, ""))</f>
        <v>Mango Cilantro Creme Brulee</v>
      </c>
    </row>
    <row r="463" spans="1:11">
      <c r="A463" s="207" t="s">
        <v>3217</v>
      </c>
      <c r="I463" s="195">
        <v>100</v>
      </c>
      <c r="K463" s="308" t="str">
        <f>IF(OR(COUNTBLANK(AttributeFilter) = 1,AttributeFilter="(Select)"),A463, IF(INDEX(B463:J463, MATCH(AttributeFilter, B$1:J$1, 0)) &lt;&gt; 0, A463, ""))</f>
        <v>Strawberry Cilantro Cheesecake</v>
      </c>
    </row>
    <row r="464" spans="1:11">
      <c r="A464" s="207" t="s">
        <v>3218</v>
      </c>
      <c r="G464" s="195">
        <v>100</v>
      </c>
      <c r="H464" s="195">
        <v>70</v>
      </c>
      <c r="K464" s="308" t="str">
        <f>IF(OR(COUNTBLANK(AttributeFilter) = 1,AttributeFilter="(Select)"),A464, IF(INDEX(B464:J464, MATCH(AttributeFilter, B$1:J$1, 0)) &lt;&gt; 0, A464, ""))</f>
        <v>Cilantro and Cured Meat Flatbread</v>
      </c>
    </row>
    <row r="465" spans="1:11">
      <c r="A465" s="207" t="s">
        <v>3219</v>
      </c>
      <c r="G465" s="195">
        <v>70</v>
      </c>
      <c r="H465" s="195">
        <v>100</v>
      </c>
      <c r="K465" s="308" t="str">
        <f>IF(OR(COUNTBLANK(AttributeFilter) = 1,AttributeFilter="(Select)"),A465, IF(INDEX(B465:J465, MATCH(AttributeFilter, B$1:J$1, 0)) &lt;&gt; 0, A465, ""))</f>
        <v>Salsa-Topped Veggie Flatbread</v>
      </c>
    </row>
    <row r="466" spans="1:11">
      <c r="A466" s="207" t="s">
        <v>3220</v>
      </c>
      <c r="I466" s="195">
        <v>70</v>
      </c>
      <c r="J466" s="195">
        <v>100</v>
      </c>
      <c r="K466" s="308" t="str">
        <f>IF(OR(COUNTBLANK(AttributeFilter) = 1,AttributeFilter="(Select)"),A466, IF(INDEX(B466:J466, MATCH(AttributeFilter, B$1:J$1, 0)) &lt;&gt; 0, A466, ""))</f>
        <v>Bowl of Fruit Salad with Cilantro Garnish</v>
      </c>
    </row>
    <row r="467" spans="1:11">
      <c r="A467" s="207" t="s">
        <v>3221</v>
      </c>
      <c r="K467" s="308" t="str">
        <f>IF(OR(COUNTBLANK(AttributeFilter) = 1,AttributeFilter="(Select)"),A467, IF(INDEX(B467:J467, MATCH(AttributeFilter, B$1:J$1, 0)) &lt;&gt; 0, A467, ""))</f>
        <v>Spherified Cilantro Oyster Soup</v>
      </c>
    </row>
    <row r="468" spans="1:11">
      <c r="A468" s="207" t="s">
        <v>2949</v>
      </c>
      <c r="K468" s="308" t="str">
        <f>IF(OR(COUNTBLANK(AttributeFilter) = 1,AttributeFilter="(Select)"),A468, IF(INDEX(B468:J468, MATCH(AttributeFilter, B$1:J$1, 0)) &lt;&gt; 0, A468, ""))</f>
        <v>Bowl of Fancy Bean Chili</v>
      </c>
    </row>
    <row r="469" spans="1:11">
      <c r="A469" s="207" t="s">
        <v>2950</v>
      </c>
      <c r="K469" s="308" t="str">
        <f>IF(OR(COUNTBLANK(AttributeFilter) = 1,AttributeFilter="(Select)"),A469, IF(INDEX(B469:J469, MATCH(AttributeFilter, B$1:J$1, 0)) &lt;&gt; 0, A469, ""))</f>
        <v>Bowl of Zucchini Chili</v>
      </c>
    </row>
    <row r="470" spans="1:11">
      <c r="A470" s="207" t="s">
        <v>3222</v>
      </c>
      <c r="K470" s="308" t="str">
        <f>IF(OR(COUNTBLANK(AttributeFilter) = 1,AttributeFilter="(Select)"),A470, IF(INDEX(B470:J470, MATCH(AttributeFilter, B$1:J$1, 0)) &lt;&gt; 0, A470, ""))</f>
        <v>Can of Spicy Veggie Chili</v>
      </c>
    </row>
    <row r="471" spans="1:11">
      <c r="A471" s="207" t="s">
        <v>2953</v>
      </c>
      <c r="K471" s="308" t="str">
        <f>IF(OR(COUNTBLANK(AttributeFilter) = 1,AttributeFilter="(Select)"),A471, IF(INDEX(B471:J471, MATCH(AttributeFilter, B$1:J$1, 0)) &lt;&gt; 0, A471, ""))</f>
        <v>Bowl of Spicy Veggie Chili</v>
      </c>
    </row>
    <row r="472" spans="1:11">
      <c r="A472" s="207" t="s">
        <v>2954</v>
      </c>
      <c r="K472" s="308" t="str">
        <f>IF(OR(COUNTBLANK(AttributeFilter) = 1,AttributeFilter="(Select)"),A472, IF(INDEX(B472:J472, MATCH(AttributeFilter, B$1:J$1, 0)) &lt;&gt; 0, A472, ""))</f>
        <v>Bowl of Fire Veggie Chili</v>
      </c>
    </row>
    <row r="473" spans="1:11">
      <c r="A473" s="207" t="s">
        <v>3223</v>
      </c>
      <c r="K473" s="308" t="str">
        <f>IF(OR(COUNTBLANK(AttributeFilter) = 1,AttributeFilter="(Select)"),A473, IF(INDEX(B473:J473, MATCH(AttributeFilter, B$1:J$1, 0)) &lt;&gt; 0, A473, ""))</f>
        <v>Plate of Sugar Rib Roast</v>
      </c>
    </row>
    <row r="474" spans="1:11">
      <c r="A474" s="207" t="s">
        <v>3224</v>
      </c>
      <c r="K474" s="308" t="str">
        <f>IF(OR(COUNTBLANK(AttributeFilter) = 1,AttributeFilter="(Select)"),A474, IF(INDEX(B474:J474, MATCH(AttributeFilter, B$1:J$1, 0)) &lt;&gt; 0, A474, ""))</f>
        <v>Chili Pepper Popper</v>
      </c>
    </row>
    <row r="475" spans="1:11">
      <c r="A475" s="207" t="s">
        <v>3225</v>
      </c>
      <c r="K475" s="308" t="str">
        <f>IF(OR(COUNTBLANK(AttributeFilter) = 1,AttributeFilter="(Select)"),A475, IF(INDEX(B475:J475, MATCH(AttributeFilter, B$1:J$1, 0)) &lt;&gt; 0, A475, ""))</f>
        <v>Stuffed Pepper</v>
      </c>
    </row>
    <row r="476" spans="1:11">
      <c r="A476" s="207" t="s">
        <v>3226</v>
      </c>
      <c r="K476" s="308" t="str">
        <f>IF(OR(COUNTBLANK(AttributeFilter) = 1,AttributeFilter="(Select)"),A476, IF(INDEX(B476:J476, MATCH(AttributeFilter, B$1:J$1, 0)) &lt;&gt; 0, A476, ""))</f>
        <v>Stuffed Zucchini</v>
      </c>
    </row>
    <row r="477" spans="1:11">
      <c r="A477" s="207" t="s">
        <v>3227</v>
      </c>
      <c r="K477" s="308" t="str">
        <f>IF(OR(COUNTBLANK(AttributeFilter) = 1,AttributeFilter="(Select)"),A477, IF(INDEX(B477:J477, MATCH(AttributeFilter, B$1:J$1, 0)) &lt;&gt; 0, A477, ""))</f>
        <v>Bowl of Hummus</v>
      </c>
    </row>
    <row r="478" spans="1:11">
      <c r="A478" s="207" t="s">
        <v>3228</v>
      </c>
      <c r="K478" s="308" t="str">
        <f>IF(OR(COUNTBLANK(AttributeFilter) = 1,AttributeFilter="(Select)"),A478, IF(INDEX(B478:J478, MATCH(AttributeFilter, B$1:J$1, 0)) &lt;&gt; 0, A478, ""))</f>
        <v>Roasted Artichoke</v>
      </c>
    </row>
    <row r="479" spans="1:11">
      <c r="A479" s="207" t="s">
        <v>3229</v>
      </c>
      <c r="K479" s="308" t="str">
        <f>IF(OR(COUNTBLANK(AttributeFilter) = 1,AttributeFilter="(Select)"),A479, IF(INDEX(B479:J479, MATCH(AttributeFilter, B$1:J$1, 0)) &lt;&gt; 0, A479, ""))</f>
        <v>Canned Roasted Artichoke</v>
      </c>
    </row>
    <row r="480" spans="1:11">
      <c r="A480" s="207" t="s">
        <v>3230</v>
      </c>
      <c r="K480" s="308" t="str">
        <f>IF(OR(COUNTBLANK(AttributeFilter) = 1,AttributeFilter="(Select)"),A480, IF(INDEX(B480:J480, MATCH(AttributeFilter, B$1:J$1, 0)) &lt;&gt; 0, A480, ""))</f>
        <v>Ghost Pepper Popper</v>
      </c>
    </row>
    <row r="481" spans="1:11">
      <c r="A481" s="207" t="s">
        <v>3231</v>
      </c>
      <c r="I481" s="195">
        <v>100</v>
      </c>
      <c r="K481" s="308" t="str">
        <f>IF(OR(COUNTBLANK(AttributeFilter) = 1,AttributeFilter="(Select)"),A481, IF(INDEX(B481:J481, MATCH(AttributeFilter, B$1:J$1, 0)) &lt;&gt; 0, A481, ""))</f>
        <v>Fried Golden Dumpling</v>
      </c>
    </row>
    <row r="482" spans="1:11">
      <c r="A482" s="207" t="s">
        <v>2955</v>
      </c>
      <c r="F482" s="195">
        <v>100</v>
      </c>
      <c r="K482" s="308" t="str">
        <f>IF(OR(COUNTBLANK(AttributeFilter) = 1,AttributeFilter="(Select)"),A482, IF(INDEX(B482:J482, MATCH(AttributeFilter, B$1:J$1, 0)) &lt;&gt; 0, A482, ""))</f>
        <v>Bowl of Prickly Pear Sorbet</v>
      </c>
    </row>
    <row r="483" spans="1:11">
      <c r="A483" s="207" t="s">
        <v>2956</v>
      </c>
      <c r="F483" s="195">
        <v>100</v>
      </c>
      <c r="K483" s="308" t="str">
        <f>IF(OR(COUNTBLANK(AttributeFilter) = 1,AttributeFilter="(Select)"),A483, IF(INDEX(B483:J483, MATCH(AttributeFilter, B$1:J$1, 0)) &lt;&gt; 0, A483, ""))</f>
        <v>Winterberry Sorbet</v>
      </c>
    </row>
    <row r="484" spans="1:11">
      <c r="A484" s="207" t="s">
        <v>2957</v>
      </c>
      <c r="F484" s="195">
        <v>100</v>
      </c>
      <c r="K484" s="308" t="str">
        <f>IF(OR(COUNTBLANK(AttributeFilter) = 1,AttributeFilter="(Select)"),A484, IF(INDEX(B484:J484, MATCH(AttributeFilter, B$1:J$1, 0)) &lt;&gt; 0, A484, ""))</f>
        <v>Plate of Roasted Cactus</v>
      </c>
    </row>
    <row r="485" spans="1:11">
      <c r="A485" s="207" t="s">
        <v>3232</v>
      </c>
      <c r="K485" s="308" t="str">
        <f>IF(OR(COUNTBLANK(AttributeFilter) = 1,AttributeFilter="(Select)"),A485, IF(INDEX(B485:J485, MATCH(AttributeFilter, B$1:J$1, 0)) &lt;&gt; 0, A485, ""))</f>
        <v>Bowl of Red Meat Stock</v>
      </c>
    </row>
    <row r="486" spans="1:11">
      <c r="A486" s="207" t="s">
        <v>3233</v>
      </c>
      <c r="K486" s="308" t="str">
        <f>IF(OR(COUNTBLANK(AttributeFilter) = 1,AttributeFilter="(Select)"),A486, IF(INDEX(B486:J486, MATCH(AttributeFilter, B$1:J$1, 0)) &lt;&gt; 0, A486, ""))</f>
        <v>Strip of Dolyak Jerky</v>
      </c>
    </row>
    <row r="487" spans="1:11">
      <c r="A487" s="207" t="s">
        <v>3234</v>
      </c>
      <c r="K487" s="308" t="str">
        <f>IF(OR(COUNTBLANK(AttributeFilter) = 1,AttributeFilter="(Select)"),A487, IF(INDEX(B487:J487, MATCH(AttributeFilter, B$1:J$1, 0)) &lt;&gt; 0, A487, ""))</f>
        <v>Bowl of Simple Meat Stew</v>
      </c>
    </row>
    <row r="488" spans="1:11">
      <c r="A488" s="207" t="s">
        <v>3235</v>
      </c>
      <c r="K488" s="308" t="str">
        <f>IF(OR(COUNTBLANK(AttributeFilter) = 1,AttributeFilter="(Select)"),A488, IF(INDEX(B488:J488, MATCH(AttributeFilter, B$1:J$1, 0)) &lt;&gt; 0, A488, ""))</f>
        <v>Bowl of Kappa Soup</v>
      </c>
    </row>
    <row r="489" spans="1:11">
      <c r="A489" s="207" t="s">
        <v>3236</v>
      </c>
      <c r="K489" s="308" t="str">
        <f>IF(OR(COUNTBLANK(AttributeFilter) = 1,AttributeFilter="(Select)"),A489, IF(INDEX(B489:J489, MATCH(AttributeFilter, B$1:J$1, 0)) &lt;&gt; 0, A489, ""))</f>
        <v>Bowl of Onion Soup</v>
      </c>
    </row>
    <row r="490" spans="1:11">
      <c r="A490" s="207" t="s">
        <v>3237</v>
      </c>
      <c r="K490" s="308" t="str">
        <f>IF(OR(COUNTBLANK(AttributeFilter) = 1,AttributeFilter="(Select)"),A490, IF(INDEX(B490:J490, MATCH(AttributeFilter, B$1:J$1, 0)) &lt;&gt; 0, A490, ""))</f>
        <v>Poached Griffon Egg</v>
      </c>
    </row>
    <row r="491" spans="1:11">
      <c r="A491" s="207" t="s">
        <v>3238</v>
      </c>
      <c r="K491" s="308" t="str">
        <f>IF(OR(COUNTBLANK(AttributeFilter) = 1,AttributeFilter="(Select)"),A491, IF(INDEX(B491:J491, MATCH(AttributeFilter, B$1:J$1, 0)) &lt;&gt; 0, A491, ""))</f>
        <v>Bowl of Hearty Red Meat Stew</v>
      </c>
    </row>
    <row r="492" spans="1:11">
      <c r="A492" s="207" t="s">
        <v>3239</v>
      </c>
      <c r="K492" s="308" t="str">
        <f>IF(OR(COUNTBLANK(AttributeFilter) = 1,AttributeFilter="(Select)"),A492, IF(INDEX(B492:J492, MATCH(AttributeFilter, B$1:J$1, 0)) &lt;&gt; 0, A492, ""))</f>
        <v>Bowl of Herbed Meat Stock</v>
      </c>
    </row>
    <row r="493" spans="1:11">
      <c r="A493" s="207" t="s">
        <v>3240</v>
      </c>
      <c r="K493" s="308" t="str">
        <f>IF(OR(COUNTBLANK(AttributeFilter) = 1,AttributeFilter="(Select)"),A493, IF(INDEX(B493:J493, MATCH(AttributeFilter, B$1:J$1, 0)) &lt;&gt; 0, A493, ""))</f>
        <v>Bowl of Meat and Cabbage Stew</v>
      </c>
    </row>
    <row r="494" spans="1:11">
      <c r="A494" s="207" t="s">
        <v>3241</v>
      </c>
      <c r="K494" s="308" t="str">
        <f>IF(OR(COUNTBLANK(AttributeFilter) = 1,AttributeFilter="(Select)"),A494, IF(INDEX(B494:J494, MATCH(AttributeFilter, B$1:J$1, 0)) &lt;&gt; 0, A494, ""))</f>
        <v>Bowl of Cabbage Stirfry</v>
      </c>
    </row>
    <row r="495" spans="1:11">
      <c r="A495" s="207" t="s">
        <v>3242</v>
      </c>
      <c r="K495" s="308" t="str">
        <f>IF(OR(COUNTBLANK(AttributeFilter) = 1,AttributeFilter="(Select)"),A495, IF(INDEX(B495:J495, MATCH(AttributeFilter, B$1:J$1, 0)) &lt;&gt; 0, A495, ""))</f>
        <v>Bowl of Spiced Meat and Cabbage Stew</v>
      </c>
    </row>
    <row r="496" spans="1:11">
      <c r="A496" s="207" t="s">
        <v>3243</v>
      </c>
      <c r="K496" s="308" t="str">
        <f>IF(OR(COUNTBLANK(AttributeFilter) = 1,AttributeFilter="(Select)"),A496, IF(INDEX(B496:J496, MATCH(AttributeFilter, B$1:J$1, 0)) &lt;&gt; 0, A496, ""))</f>
        <v>Can of Meat and Winter Vegetable Stew</v>
      </c>
    </row>
    <row r="497" spans="1:11">
      <c r="A497" s="207" t="s">
        <v>3244</v>
      </c>
      <c r="K497" s="308" t="str">
        <f>IF(OR(COUNTBLANK(AttributeFilter) = 1,AttributeFilter="(Select)"),A497, IF(INDEX(B497:J497, MATCH(AttributeFilter, B$1:J$1, 0)) &lt;&gt; 0, A497, ""))</f>
        <v>Bowl of Meat and Winter Vegetable Stew</v>
      </c>
    </row>
    <row r="498" spans="1:11">
      <c r="A498" s="207" t="s">
        <v>3245</v>
      </c>
      <c r="K498" s="308" t="str">
        <f>IF(OR(COUNTBLANK(AttributeFilter) = 1,AttributeFilter="(Select)"),A498, IF(INDEX(B498:J498, MATCH(AttributeFilter, B$1:J$1, 0)) &lt;&gt; 0, A498, ""))</f>
        <v>Bowl of Orrian Truffle and Meat Stew</v>
      </c>
    </row>
    <row r="499" spans="1:11">
      <c r="A499" s="207" t="s">
        <v>2792</v>
      </c>
      <c r="B499" s="195">
        <v>50</v>
      </c>
      <c r="K499" s="308" t="str">
        <f>IF(OR(COUNTBLANK(AttributeFilter) = 1,AttributeFilter="(Select)"),A499, IF(INDEX(B499:J499, MATCH(AttributeFilter, B$1:J$1, 0)) &lt;&gt; 0, A499, ""))</f>
        <v>Bowl of Marjory's Experimental Chili</v>
      </c>
    </row>
    <row r="500" spans="1:11">
      <c r="A500" s="207" t="s">
        <v>3246</v>
      </c>
      <c r="C500" s="195">
        <v>70</v>
      </c>
      <c r="K500" s="308" t="str">
        <f>IF(OR(COUNTBLANK(AttributeFilter) = 1,AttributeFilter="(Select)"),A500, IF(INDEX(B500:J500, MATCH(AttributeFilter, B$1:J$1, 0)) &lt;&gt; 0, A500, ""))</f>
        <v>Jerk Poultry and Nopal Flatbread Sandwich</v>
      </c>
    </row>
    <row r="501" spans="1:11">
      <c r="A501" s="207" t="s">
        <v>3247</v>
      </c>
      <c r="K501" s="308" t="str">
        <f>IF(OR(COUNTBLANK(AttributeFilter) = 1,AttributeFilter="(Select)"),A501, IF(INDEX(B501:J501, MATCH(AttributeFilter, B$1:J$1, 0)) &lt;&gt; 0, A501, ""))</f>
        <v>Bowl of Tapioca Pudding</v>
      </c>
    </row>
    <row r="502" spans="1:11">
      <c r="A502" s="207" t="s">
        <v>3248</v>
      </c>
      <c r="J502" s="195">
        <v>70</v>
      </c>
      <c r="K502" s="308" t="str">
        <f>IF(OR(COUNTBLANK(AttributeFilter) = 1,AttributeFilter="(Select)"),A502, IF(INDEX(B502:J502, MATCH(AttributeFilter, B$1:J$1, 0)) &lt;&gt; 0, A502, ""))</f>
        <v>Cheesy Cassava Roll</v>
      </c>
    </row>
    <row r="503" spans="1:11">
      <c r="A503" s="207" t="s">
        <v>3249</v>
      </c>
      <c r="K503" s="308" t="str">
        <f>IF(OR(COUNTBLANK(AttributeFilter) = 1,AttributeFilter="(Select)"),A503, IF(INDEX(B503:J503, MATCH(AttributeFilter, B$1:J$1, 0)) &lt;&gt; 0, A503, ""))</f>
        <v>Bowl of Simple Stirfry</v>
      </c>
    </row>
    <row r="504" spans="1:11">
      <c r="A504" s="207" t="s">
        <v>3250</v>
      </c>
      <c r="K504" s="308" t="str">
        <f>IF(OR(COUNTBLANK(AttributeFilter) = 1,AttributeFilter="(Select)"),A504, IF(INDEX(B504:J504, MATCH(AttributeFilter, B$1:J$1, 0)) &lt;&gt; 0, A504, ""))</f>
        <v>Bowl of Sauteed Carrots</v>
      </c>
    </row>
    <row r="505" spans="1:11">
      <c r="A505" s="207" t="s">
        <v>3251</v>
      </c>
      <c r="K505" s="308" t="str">
        <f>IF(OR(COUNTBLANK(AttributeFilter) = 1,AttributeFilter="(Select)"),A505, IF(INDEX(B505:J505, MATCH(AttributeFilter, B$1:J$1, 0)) &lt;&gt; 0, A505, ""))</f>
        <v>Celebratory Steak</v>
      </c>
    </row>
    <row r="506" spans="1:11">
      <c r="A506" s="207" t="s">
        <v>3252</v>
      </c>
      <c r="K506" s="308" t="str">
        <f>IF(OR(COUNTBLANK(AttributeFilter) = 1,AttributeFilter="(Select)"),A506, IF(INDEX(B506:J506, MATCH(AttributeFilter, B$1:J$1, 0)) &lt;&gt; 0, A506, ""))</f>
        <v>Bowl of Ettin Stew</v>
      </c>
    </row>
    <row r="507" spans="1:11">
      <c r="A507" s="207" t="s">
        <v>3253</v>
      </c>
      <c r="K507" s="308" t="str">
        <f>IF(OR(COUNTBLANK(AttributeFilter) = 1,AttributeFilter="(Select)"),A507, IF(INDEX(B507:J507, MATCH(AttributeFilter, B$1:J$1, 0)) &lt;&gt; 0, A507, ""))</f>
        <v>Bowl of Garlic Spinach Sautee</v>
      </c>
    </row>
    <row r="508" spans="1:11">
      <c r="A508" s="207" t="s">
        <v>3254</v>
      </c>
      <c r="B508" s="195">
        <v>70</v>
      </c>
      <c r="K508" s="308" t="str">
        <f>IF(OR(COUNTBLANK(AttributeFilter) = 1,AttributeFilter="(Select)"),A508, IF(INDEX(B508:J508, MATCH(AttributeFilter, B$1:J$1, 0)) &lt;&gt; 0, A508, ""))</f>
        <v>Plate of Mushrooms Yakkington</v>
      </c>
    </row>
    <row r="509" spans="1:11">
      <c r="A509" s="207" t="s">
        <v>3255</v>
      </c>
      <c r="B509" s="195">
        <v>50</v>
      </c>
      <c r="K509" s="308" t="str">
        <f>IF(OR(COUNTBLANK(AttributeFilter) = 1,AttributeFilter="(Select)"),A509, IF(INDEX(B509:J509, MATCH(AttributeFilter, B$1:J$1, 0)) &lt;&gt; 0, A509, ""))</f>
        <v>Bowl of Avocado Stirfry</v>
      </c>
    </row>
    <row r="510" spans="1:11">
      <c r="A510" s="207" t="s">
        <v>3256</v>
      </c>
      <c r="B510" s="195">
        <v>60</v>
      </c>
      <c r="K510" s="308" t="str">
        <f>IF(OR(COUNTBLANK(AttributeFilter) = 1,AttributeFilter="(Select)"),A510, IF(INDEX(B510:J510, MATCH(AttributeFilter, B$1:J$1, 0)) &lt;&gt; 0, A510, ""))</f>
        <v>Bowl of Eggplant Stirfry</v>
      </c>
    </row>
    <row r="511" spans="1:11">
      <c r="A511" s="207" t="s">
        <v>3257</v>
      </c>
      <c r="B511" s="195">
        <v>60</v>
      </c>
      <c r="K511" s="308" t="str">
        <f>IF(OR(COUNTBLANK(AttributeFilter) = 1,AttributeFilter="(Select)"),A511, IF(INDEX(B511:J511, MATCH(AttributeFilter, B$1:J$1, 0)) &lt;&gt; 0, A511, ""))</f>
        <v>Can of Eggplant Stir-Fry</v>
      </c>
    </row>
    <row r="512" spans="1:11">
      <c r="A512" s="207" t="s">
        <v>3258</v>
      </c>
      <c r="B512" s="195">
        <v>70</v>
      </c>
      <c r="K512" s="308" t="str">
        <f>IF(OR(COUNTBLANK(AttributeFilter) = 1,AttributeFilter="(Select)"),A512, IF(INDEX(B512:J512, MATCH(AttributeFilter, B$1:J$1, 0)) &lt;&gt; 0, A512, ""))</f>
        <v>Bowl of Lotus Stirfry</v>
      </c>
    </row>
    <row r="513" spans="1:11">
      <c r="A513" s="207" t="s">
        <v>3259</v>
      </c>
      <c r="F513" s="195">
        <v>40</v>
      </c>
      <c r="K513" s="308" t="str">
        <f>IF(OR(COUNTBLANK(AttributeFilter) = 1,AttributeFilter="(Select)"),A513, IF(INDEX(B513:J513, MATCH(AttributeFilter, B$1:J$1, 0)) &lt;&gt; 0, A513, ""))</f>
        <v>Bowl of Sauteed Zucchini with Nutmeg</v>
      </c>
    </row>
    <row r="514" spans="1:11">
      <c r="A514" s="207" t="s">
        <v>3260</v>
      </c>
      <c r="F514" s="195">
        <v>40</v>
      </c>
      <c r="K514" s="308" t="str">
        <f>IF(OR(COUNTBLANK(AttributeFilter) = 1,AttributeFilter="(Select)"),A514, IF(INDEX(B514:J514, MATCH(AttributeFilter, B$1:J$1, 0)) &lt;&gt; 0, A514, ""))</f>
        <v>Handful of Trail Mix</v>
      </c>
    </row>
    <row r="515" spans="1:11">
      <c r="A515" s="207" t="s">
        <v>3261</v>
      </c>
      <c r="F515" s="195">
        <v>70</v>
      </c>
      <c r="K515" s="308" t="str">
        <f>IF(OR(COUNTBLANK(AttributeFilter) = 1,AttributeFilter="(Select)"),A515, IF(INDEX(B515:J515, MATCH(AttributeFilter, B$1:J$1, 0)) &lt;&gt; 0, A515, ""))</f>
        <v>Egg in a Cloud</v>
      </c>
    </row>
    <row r="516" spans="1:11">
      <c r="A516" s="207" t="s">
        <v>3262</v>
      </c>
      <c r="F516" s="195">
        <v>50</v>
      </c>
      <c r="K516" s="308" t="str">
        <f>IF(OR(COUNTBLANK(AttributeFilter) = 1,AttributeFilter="(Select)"),A516, IF(INDEX(B516:J516, MATCH(AttributeFilter, B$1:J$1, 0)) &lt;&gt; 0, A516, ""))</f>
        <v>Bowl of Cauliflower Sautee</v>
      </c>
    </row>
    <row r="517" spans="1:11">
      <c r="A517" s="207" t="s">
        <v>3263</v>
      </c>
      <c r="F517" s="195">
        <v>60</v>
      </c>
      <c r="K517" s="308" t="str">
        <f>IF(OR(COUNTBLANK(AttributeFilter) = 1,AttributeFilter="(Select)"),A517, IF(INDEX(B517:J517, MATCH(AttributeFilter, B$1:J$1, 0)) &lt;&gt; 0, A517, ""))</f>
        <v>Bowl of Eggplant Sautee</v>
      </c>
    </row>
    <row r="518" spans="1:11">
      <c r="A518" s="207" t="s">
        <v>3264</v>
      </c>
      <c r="F518" s="195">
        <v>60</v>
      </c>
      <c r="K518" s="308" t="str">
        <f>IF(OR(COUNTBLANK(AttributeFilter) = 1,AttributeFilter="(Select)"),A518, IF(INDEX(B518:J518, MATCH(AttributeFilter, B$1:J$1, 0)) &lt;&gt; 0, A518, ""))</f>
        <v>Can of Eggplant Saute</v>
      </c>
    </row>
    <row r="519" spans="1:11">
      <c r="A519" s="207" t="s">
        <v>3265</v>
      </c>
      <c r="F519" s="195">
        <v>70</v>
      </c>
      <c r="K519" s="308" t="str">
        <f>IF(OR(COUNTBLANK(AttributeFilter) = 1,AttributeFilter="(Select)"),A519, IF(INDEX(B519:J519, MATCH(AttributeFilter, B$1:J$1, 0)) &lt;&gt; 0, A519, ""))</f>
        <v>Bowl of Truffle Sautee</v>
      </c>
    </row>
    <row r="520" spans="1:11">
      <c r="A520" s="207" t="s">
        <v>3266</v>
      </c>
      <c r="K520" s="308" t="str">
        <f>IF(OR(COUNTBLANK(AttributeFilter) = 1,AttributeFilter="(Select)"),A520, IF(INDEX(B520:J520, MATCH(AttributeFilter, B$1:J$1, 0)) &lt;&gt; 0, A520, ""))</f>
        <v>Glass of Melon Juice</v>
      </c>
    </row>
    <row r="521" spans="1:11">
      <c r="A521" s="207" t="s">
        <v>3267</v>
      </c>
      <c r="K521" s="308" t="str">
        <f>IF(OR(COUNTBLANK(AttributeFilter) = 1,AttributeFilter="(Select)"),A521, IF(INDEX(B521:J521, MATCH(AttributeFilter, B$1:J$1, 0)) &lt;&gt; 0, A521, ""))</f>
        <v>Bowl of Blueberry Apple Compote</v>
      </c>
    </row>
    <row r="522" spans="1:11">
      <c r="A522" s="207" t="s">
        <v>3268</v>
      </c>
      <c r="K522" s="308" t="str">
        <f>IF(OR(COUNTBLANK(AttributeFilter) = 1,AttributeFilter="(Select)"),A522, IF(INDEX(B522:J522, MATCH(AttributeFilter, B$1:J$1, 0)) &lt;&gt; 0, A522, ""))</f>
        <v>Bowl of Strawberry Apple Compote</v>
      </c>
    </row>
    <row r="523" spans="1:11">
      <c r="A523" s="207" t="s">
        <v>3269</v>
      </c>
      <c r="K523" s="308" t="str">
        <f>IF(OR(COUNTBLANK(AttributeFilter) = 1,AttributeFilter="(Select)"),A523, IF(INDEX(B523:J523, MATCH(AttributeFilter, B$1:J$1, 0)) &lt;&gt; 0, A523, ""))</f>
        <v>Bowl of Cherry Vanilla Compote</v>
      </c>
    </row>
    <row r="524" spans="1:11">
      <c r="A524" s="207" t="s">
        <v>3270</v>
      </c>
      <c r="K524" s="308" t="str">
        <f>IF(OR(COUNTBLANK(AttributeFilter) = 1,AttributeFilter="(Select)"),A524, IF(INDEX(B524:J524, MATCH(AttributeFilter, B$1:J$1, 0)) &lt;&gt; 0, A524, ""))</f>
        <v>Bowl of Blackberry Pear Compote</v>
      </c>
    </row>
    <row r="525" spans="1:11">
      <c r="A525" s="207" t="s">
        <v>3271</v>
      </c>
      <c r="K525" s="308" t="str">
        <f>IF(OR(COUNTBLANK(AttributeFilter) = 1,AttributeFilter="(Select)"),A525, IF(INDEX(B525:J525, MATCH(AttributeFilter, B$1:J$1, 0)) &lt;&gt; 0, A525, ""))</f>
        <v>Raspberry Peach Compote</v>
      </c>
    </row>
    <row r="526" spans="1:11">
      <c r="A526" s="207" t="s">
        <v>3272</v>
      </c>
      <c r="K526" s="308" t="str">
        <f>IF(OR(COUNTBLANK(AttributeFilter) = 1,AttributeFilter="(Select)"),A526, IF(INDEX(B526:J526, MATCH(AttributeFilter, B$1:J$1, 0)) &lt;&gt; 0, A526, ""))</f>
        <v>Mined Edible Root</v>
      </c>
    </row>
    <row r="527" spans="1:11">
      <c r="A527" s="207" t="s">
        <v>3273</v>
      </c>
      <c r="K527" s="308" t="str">
        <f>IF(OR(COUNTBLANK(AttributeFilter) = 1,AttributeFilter="(Select)"),A527, IF(INDEX(B527:J527, MATCH(AttributeFilter, B$1:J$1, 0)) &lt;&gt; 0, A527, ""))</f>
        <v>Canned Raspberry Peach Compote</v>
      </c>
    </row>
    <row r="528" spans="1:11">
      <c r="A528" s="207" t="s">
        <v>3274</v>
      </c>
      <c r="K528" s="308" t="str">
        <f>IF(OR(COUNTBLANK(AttributeFilter) = 1,AttributeFilter="(Select)"),A528, IF(INDEX(B528:J528, MATCH(AttributeFilter, B$1:J$1, 0)) &lt;&gt; 0, A528, ""))</f>
        <v>Omnomberry Compote</v>
      </c>
    </row>
    <row r="529" spans="1:11">
      <c r="A529" s="207" t="s">
        <v>3275</v>
      </c>
      <c r="K529" s="308" t="str">
        <f>IF(OR(COUNTBLANK(AttributeFilter) = 1,AttributeFilter="(Select)"),A529, IF(INDEX(B529:J529, MATCH(AttributeFilter, B$1:J$1, 0)) &lt;&gt; 0, A529, ""))</f>
        <v>Swiftly Scrambled Eggs</v>
      </c>
    </row>
    <row r="530" spans="1:11">
      <c r="A530" s="207" t="s">
        <v>3276</v>
      </c>
      <c r="K530" s="308" t="str">
        <f>IF(OR(COUNTBLANK(AttributeFilter) = 1,AttributeFilter="(Select)"),A530, IF(INDEX(B530:J530, MATCH(AttributeFilter, B$1:J$1, 0)) &lt;&gt; 0, A530, ""))</f>
        <v>Aquatic Elixir</v>
      </c>
    </row>
    <row r="531" spans="1:11">
      <c r="A531" s="207" t="s">
        <v>3277</v>
      </c>
      <c r="K531" s="308" t="str">
        <f>IF(OR(COUNTBLANK(AttributeFilter) = 1,AttributeFilter="(Select)"),A531, IF(INDEX(B531:J531, MATCH(AttributeFilter, B$1:J$1, 0)) &lt;&gt; 0, A531, ""))</f>
        <v>Bowl of Simple Salad</v>
      </c>
    </row>
    <row r="532" spans="1:11">
      <c r="A532" s="207" t="s">
        <v>3278</v>
      </c>
      <c r="K532" s="308" t="str">
        <f>IF(OR(COUNTBLANK(AttributeFilter) = 1,AttributeFilter="(Select)"),A532, IF(INDEX(B532:J532, MATCH(AttributeFilter, B$1:J$1, 0)) &lt;&gt; 0, A532, ""))</f>
        <v>Explorers Kit</v>
      </c>
    </row>
    <row r="533" spans="1:11">
      <c r="A533" s="207" t="s">
        <v>3279</v>
      </c>
      <c r="K533" s="308" t="str">
        <f>IF(OR(COUNTBLANK(AttributeFilter) = 1,AttributeFilter="(Select)"),A533, IF(INDEX(B533:J533, MATCH(AttributeFilter, B$1:J$1, 0)) &lt;&gt; 0, A533, ""))</f>
        <v>Flask of Emergency Supplies</v>
      </c>
    </row>
    <row r="534" spans="1:11">
      <c r="A534" s="207" t="s">
        <v>3280</v>
      </c>
      <c r="K534" s="308" t="str">
        <f>IF(OR(COUNTBLANK(AttributeFilter) = 1,AttributeFilter="(Select)"),A534, IF(INDEX(B534:J534, MATCH(AttributeFilter, B$1:J$1, 0)) &lt;&gt; 0, A534, ""))</f>
        <v>Bowl of Ascalonian Salad</v>
      </c>
    </row>
    <row r="535" spans="1:11">
      <c r="A535" s="207" t="s">
        <v>3281</v>
      </c>
      <c r="K535" s="308" t="str">
        <f>IF(OR(COUNTBLANK(AttributeFilter) = 1,AttributeFilter="(Select)"),A535, IF(INDEX(B535:J535, MATCH(AttributeFilter, B$1:J$1, 0)) &lt;&gt; 0, A535, ""))</f>
        <v>Bowl of Coleslaw</v>
      </c>
    </row>
    <row r="536" spans="1:11">
      <c r="A536" s="207" t="s">
        <v>3282</v>
      </c>
      <c r="K536" s="308" t="str">
        <f>IF(OR(COUNTBLANK(AttributeFilter) = 1,AttributeFilter="(Select)"),A536, IF(INDEX(B536:J536, MATCH(AttributeFilter, B$1:J$1, 0)) &lt;&gt; 0, A536, ""))</f>
        <v>Bowl of Cabbage and Chickpea Salad</v>
      </c>
    </row>
    <row r="537" spans="1:11">
      <c r="A537" s="207" t="s">
        <v>3283</v>
      </c>
      <c r="K537" s="308" t="str">
        <f>IF(OR(COUNTBLANK(AttributeFilter) = 1,AttributeFilter="(Select)"),A537, IF(INDEX(B537:J537, MATCH(AttributeFilter, B$1:J$1, 0)) &lt;&gt; 0, A537, ""))</f>
        <v>Can of Asparagus and Sage Salad</v>
      </c>
    </row>
    <row r="538" spans="1:11">
      <c r="A538" s="207" t="s">
        <v>3284</v>
      </c>
      <c r="K538" s="308" t="str">
        <f>IF(OR(COUNTBLANK(AttributeFilter) = 1,AttributeFilter="(Select)"),A538, IF(INDEX(B538:J538, MATCH(AttributeFilter, B$1:J$1, 0)) &lt;&gt; 0, A538, ""))</f>
        <v>Bowl of Asparagus and Sage Salad</v>
      </c>
    </row>
    <row r="539" spans="1:11">
      <c r="A539" s="207" t="s">
        <v>3285</v>
      </c>
      <c r="K539" s="308" t="str">
        <f>IF(OR(COUNTBLANK(AttributeFilter) = 1,AttributeFilter="(Select)"),A539, IF(INDEX(B539:J539, MATCH(AttributeFilter, B$1:J$1, 0)) &lt;&gt; 0, A539, ""))</f>
        <v>Experimental Remnant</v>
      </c>
    </row>
    <row r="540" spans="1:11">
      <c r="A540" s="207" t="s">
        <v>3286</v>
      </c>
      <c r="K540" s="308" t="str">
        <f>IF(OR(COUNTBLANK(AttributeFilter) = 1,AttributeFilter="(Select)"),A540, IF(INDEX(B540:J540, MATCH(AttributeFilter, B$1:J$1, 0)) &lt;&gt; 0, A540, ""))</f>
        <v>Bowl of Seaweed Salad</v>
      </c>
    </row>
    <row r="541" spans="1:11">
      <c r="A541" s="207" t="s">
        <v>3287</v>
      </c>
      <c r="K541" s="308" t="str">
        <f>IF(OR(COUNTBLANK(AttributeFilter) = 1,AttributeFilter="(Select)"),A541, IF(INDEX(B541:J541, MATCH(AttributeFilter, B$1:J$1, 0)) &lt;&gt; 0, A541, ""))</f>
        <v>Bowl of Winterberry Seaweed Salad</v>
      </c>
    </row>
    <row r="542" spans="1:11">
      <c r="A542" s="207" t="s">
        <v>3288</v>
      </c>
      <c r="K542" s="308" t="str">
        <f>IF(OR(COUNTBLANK(AttributeFilter) = 1,AttributeFilter="(Select)"),A542, IF(INDEX(B542:J542, MATCH(AttributeFilter, B$1:J$1, 0)) &lt;&gt; 0, A542, ""))</f>
        <v>Spring Roll</v>
      </c>
    </row>
    <row r="543" spans="1:11">
      <c r="A543" s="207" t="s">
        <v>3289</v>
      </c>
      <c r="K543" s="308" t="str">
        <f>IF(OR(COUNTBLANK(AttributeFilter) = 1,AttributeFilter="(Select)"),A543, IF(INDEX(B543:J543, MATCH(AttributeFilter, B$1:J$1, 0)) &lt;&gt; 0, A543, ""))</f>
        <v>Moa Haunch</v>
      </c>
    </row>
    <row r="544" spans="1:11">
      <c r="A544" s="207" t="s">
        <v>3290</v>
      </c>
      <c r="K544" s="308" t="str">
        <f>IF(OR(COUNTBLANK(AttributeFilter) = 1,AttributeFilter="(Select)"),A544, IF(INDEX(B544:J544, MATCH(AttributeFilter, B$1:J$1, 0)) &lt;&gt; 0, A544, ""))</f>
        <v>Spicy Meat Kabob</v>
      </c>
    </row>
    <row r="545" spans="1:11">
      <c r="A545" s="207" t="s">
        <v>3291</v>
      </c>
      <c r="K545" s="308" t="str">
        <f>IF(OR(COUNTBLANK(AttributeFilter) = 1,AttributeFilter="(Select)"),A545, IF(INDEX(B545:J545, MATCH(AttributeFilter, B$1:J$1, 0)) &lt;&gt; 0, A545, ""))</f>
        <v>Piece of Undersea Wurm Sushi</v>
      </c>
    </row>
    <row r="546" spans="1:11">
      <c r="A546" s="207" t="s">
        <v>3292</v>
      </c>
      <c r="K546" s="308" t="str">
        <f>IF(OR(COUNTBLANK(AttributeFilter) = 1,AttributeFilter="(Select)"),A546, IF(INDEX(B546:J546, MATCH(AttributeFilter, B$1:J$1, 0)) &lt;&gt; 0, A546, ""))</f>
        <v>Griffon Egg</v>
      </c>
    </row>
    <row r="547" spans="1:11">
      <c r="A547" s="207" t="s">
        <v>3293</v>
      </c>
      <c r="K547" s="308" t="str">
        <f>IF(OR(COUNTBLANK(AttributeFilter) = 1,AttributeFilter="(Select)"),A547, IF(INDEX(B547:J547, MATCH(AttributeFilter, B$1:J$1, 0)) &lt;&gt; 0, A547, ""))</f>
        <v>Pepper Steak Dinner</v>
      </c>
    </row>
    <row r="548" spans="1:11">
      <c r="A548" s="207" t="s">
        <v>3294</v>
      </c>
      <c r="C548" s="195">
        <v>50</v>
      </c>
      <c r="G548" s="195">
        <v>50</v>
      </c>
      <c r="K548" s="308" t="str">
        <f>IF(OR(COUNTBLANK(AttributeFilter) = 1,AttributeFilter="(Select)"),A548, IF(INDEX(B548:J548, MATCH(AttributeFilter, B$1:J$1, 0)) &lt;&gt; 0, A548, ""))</f>
        <v>Chef's Tasting Platter</v>
      </c>
    </row>
    <row r="549" spans="1:11">
      <c r="A549" s="207" t="s">
        <v>3295</v>
      </c>
      <c r="F549" s="195">
        <v>40</v>
      </c>
      <c r="K549" s="308" t="str">
        <f>IF(OR(COUNTBLANK(AttributeFilter) = 1,AttributeFilter="(Select)"),A549, IF(INDEX(B549:J549, MATCH(AttributeFilter, B$1:J$1, 0)) &lt;&gt; 0, A549, ""))</f>
        <v>Sesame-Roasted Dinner</v>
      </c>
    </row>
    <row r="550" spans="1:11">
      <c r="A550" s="207" t="s">
        <v>3296</v>
      </c>
      <c r="F550" s="195">
        <v>50</v>
      </c>
      <c r="K550" s="308" t="str">
        <f>IF(OR(COUNTBLANK(AttributeFilter) = 1,AttributeFilter="(Select)"),A550, IF(INDEX(B550:J550, MATCH(AttributeFilter, B$1:J$1, 0)) &lt;&gt; 0, A550, ""))</f>
        <v>Plate of Coriander Crusted Meat Dinner</v>
      </c>
    </row>
    <row r="551" spans="1:11">
      <c r="A551" s="207" t="s">
        <v>3297</v>
      </c>
      <c r="F551" s="195">
        <v>60</v>
      </c>
      <c r="K551" s="308" t="str">
        <f>IF(OR(COUNTBLANK(AttributeFilter) = 1,AttributeFilter="(Select)"),A551, IF(INDEX(B551:J551, MATCH(AttributeFilter, B$1:J$1, 0)) &lt;&gt; 0, A551, ""))</f>
        <v>Can of Steak and Asparagus Dinner</v>
      </c>
    </row>
    <row r="552" spans="1:11">
      <c r="A552" s="207" t="s">
        <v>3298</v>
      </c>
      <c r="F552" s="195">
        <v>60</v>
      </c>
      <c r="K552" s="308" t="str">
        <f>IF(OR(COUNTBLANK(AttributeFilter) = 1,AttributeFilter="(Select)"),A552, IF(INDEX(B552:J552, MATCH(AttributeFilter, B$1:J$1, 0)) &lt;&gt; 0, A552, ""))</f>
        <v>Plate of Steak and Asparagus Dinner</v>
      </c>
    </row>
    <row r="553" spans="1:11">
      <c r="A553" s="207" t="s">
        <v>3299</v>
      </c>
      <c r="F553" s="195">
        <v>70</v>
      </c>
      <c r="K553" s="308" t="str">
        <f>IF(OR(COUNTBLANK(AttributeFilter) = 1,AttributeFilter="(Select)"),A553, IF(INDEX(B553:J553, MATCH(AttributeFilter, B$1:J$1, 0)) &lt;&gt; 0, A553, ""))</f>
        <v>Dragon's Breath Bun</v>
      </c>
    </row>
    <row r="554" spans="1:11">
      <c r="A554" s="207" t="s">
        <v>3300</v>
      </c>
      <c r="F554" s="195">
        <v>70</v>
      </c>
      <c r="K554" s="308" t="str">
        <f>IF(OR(COUNTBLANK(AttributeFilter) = 1,AttributeFilter="(Select)"),A554, IF(INDEX(B554:J554, MATCH(AttributeFilter, B$1:J$1, 0)) &lt;&gt; 0, A554, ""))</f>
        <v>Plate of Truffle Steak Dinner</v>
      </c>
    </row>
    <row r="555" spans="1:11">
      <c r="A555" s="207" t="s">
        <v>3301</v>
      </c>
      <c r="F555" s="195">
        <v>70</v>
      </c>
      <c r="K555" s="308" t="str">
        <f>IF(OR(COUNTBLANK(AttributeFilter) = 1,AttributeFilter="(Select)"),A555, IF(INDEX(B555:J555, MATCH(AttributeFilter, B$1:J$1, 0)) &lt;&gt; 0, A555, ""))</f>
        <v>Carrot SoufflÃ©</v>
      </c>
    </row>
    <row r="556" spans="1:11">
      <c r="A556" s="207" t="s">
        <v>3302</v>
      </c>
      <c r="K556" s="308" t="str">
        <f>IF(OR(COUNTBLANK(AttributeFilter) = 1,AttributeFilter="(Select)"),A556, IF(INDEX(B556:J556, MATCH(AttributeFilter, B$1:J$1, 0)) &lt;&gt; 0, A556, ""))</f>
        <v>Jerk Poultry Flatbread Sandwich</v>
      </c>
    </row>
    <row r="557" spans="1:11">
      <c r="A557" s="207" t="s">
        <v>3303</v>
      </c>
      <c r="K557" s="308" t="str">
        <f>IF(OR(COUNTBLANK(AttributeFilter) = 1,AttributeFilter="(Select)"),A557, IF(INDEX(B557:J557, MATCH(AttributeFilter, B$1:J$1, 0)) &lt;&gt; 0, A557, ""))</f>
        <v>Steamed Red Dumpling</v>
      </c>
    </row>
    <row r="558" spans="1:11">
      <c r="A558" s="207" t="s">
        <v>3304</v>
      </c>
      <c r="C558" s="195">
        <v>70</v>
      </c>
      <c r="K558" s="308" t="str">
        <f>IF(OR(COUNTBLANK(AttributeFilter) = 1,AttributeFilter="(Select)"),A558, IF(INDEX(B558:J558, MATCH(AttributeFilter, B$1:J$1, 0)) &lt;&gt; 0, A558, ""))</f>
        <v>Block of Tofu</v>
      </c>
    </row>
    <row r="559" spans="1:11">
      <c r="A559" s="207" t="s">
        <v>3305</v>
      </c>
      <c r="C559" s="195">
        <v>70</v>
      </c>
      <c r="K559" s="308" t="str">
        <f>IF(OR(COUNTBLANK(AttributeFilter) = 1,AttributeFilter="(Select)"),A559, IF(INDEX(B559:J559, MATCH(AttributeFilter, B$1:J$1, 0)) &lt;&gt; 0, A559, ""))</f>
        <v>Piece of Orrian Sea Urchin Roe Sushi</v>
      </c>
    </row>
    <row r="560" spans="1:11">
      <c r="A560" s="207" t="s">
        <v>3306</v>
      </c>
      <c r="K560" s="308" t="str">
        <f>IF(OR(COUNTBLANK(AttributeFilter) = 1,AttributeFilter="(Select)"),A560, IF(INDEX(B560:J560, MATCH(AttributeFilter, B$1:J$1, 0)) &lt;&gt; 0, A560, ""))</f>
        <v>Marinated Mushroom</v>
      </c>
    </row>
    <row r="561" spans="1:11">
      <c r="A561" s="207" t="s">
        <v>3307</v>
      </c>
      <c r="K561" s="308" t="str">
        <f>IF(OR(COUNTBLANK(AttributeFilter) = 1,AttributeFilter="(Select)"),A561, IF(INDEX(B561:J561, MATCH(AttributeFilter, B$1:J$1, 0)) &lt;&gt; 0, A561, ""))</f>
        <v>Magical Fruit</v>
      </c>
    </row>
    <row r="562" spans="1:11">
      <c r="A562" s="207" t="s">
        <v>3308</v>
      </c>
      <c r="C562" s="195">
        <v>70</v>
      </c>
      <c r="K562" s="308" t="str">
        <f>IF(OR(COUNTBLANK(AttributeFilter) = 1,AttributeFilter="(Select)"),A562, IF(INDEX(B562:J562, MATCH(AttributeFilter, B$1:J$1, 0)) &lt;&gt; 0, A562, ""))</f>
        <v>Karka Cake</v>
      </c>
    </row>
    <row r="563" spans="1:11">
      <c r="A563" s="207" t="s">
        <v>3309</v>
      </c>
      <c r="K563" s="308" t="str">
        <f>IF(OR(COUNTBLANK(AttributeFilter) = 1,AttributeFilter="(Select)"),A563, IF(INDEX(B563:J563, MATCH(AttributeFilter, B$1:J$1, 0)) &lt;&gt; 0, A563, ""))</f>
        <v>Sage-Stuffed Mushroom</v>
      </c>
    </row>
    <row r="564" spans="1:11">
      <c r="A564" s="207" t="s">
        <v>3310</v>
      </c>
      <c r="C564" s="195">
        <v>40</v>
      </c>
      <c r="K564" s="308" t="str">
        <f>IF(OR(COUNTBLANK(AttributeFilter) = 1,AttributeFilter="(Select)"),A564, IF(INDEX(B564:J564, MATCH(AttributeFilter, B$1:J$1, 0)) &lt;&gt; 0, A564, ""))</f>
        <v>Triktiki Omelet</v>
      </c>
    </row>
    <row r="565" spans="1:11">
      <c r="A565" s="207" t="s">
        <v>3311</v>
      </c>
      <c r="C565" s="195">
        <v>40</v>
      </c>
      <c r="K565" s="308" t="str">
        <f>IF(OR(COUNTBLANK(AttributeFilter) = 1,AttributeFilter="(Select)"),A565, IF(INDEX(B565:J565, MATCH(AttributeFilter, B$1:J$1, 0)) &lt;&gt; 0, A565, ""))</f>
        <v>Divinity Stuffed Mushroom</v>
      </c>
    </row>
    <row r="566" spans="1:11">
      <c r="A566" s="207" t="s">
        <v>3312</v>
      </c>
      <c r="C566" s="195">
        <v>50</v>
      </c>
      <c r="K566" s="308" t="str">
        <f>IF(OR(COUNTBLANK(AttributeFilter) = 1,AttributeFilter="(Select)"),A566, IF(INDEX(B566:J566, MATCH(AttributeFilter, B$1:J$1, 0)) &lt;&gt; 0, A566, ""))</f>
        <v>Bowl of Tasty Wurm Stew</v>
      </c>
    </row>
    <row r="567" spans="1:11">
      <c r="A567" s="207" t="s">
        <v>3313</v>
      </c>
      <c r="C567" s="195">
        <v>50</v>
      </c>
      <c r="K567" s="308" t="str">
        <f>IF(OR(COUNTBLANK(AttributeFilter) = 1,AttributeFilter="(Select)"),A567, IF(INDEX(B567:J567, MATCH(AttributeFilter, B$1:J$1, 0)) &lt;&gt; 0, A567, ""))</f>
        <v>Eztlitl Stuffed Mushroom</v>
      </c>
    </row>
    <row r="568" spans="1:11">
      <c r="A568" s="207" t="s">
        <v>3314</v>
      </c>
      <c r="C568" s="195">
        <v>60</v>
      </c>
      <c r="K568" s="308" t="str">
        <f>IF(OR(COUNTBLANK(AttributeFilter) = 1,AttributeFilter="(Select)"),A568, IF(INDEX(B568:J568, MATCH(AttributeFilter, B$1:J$1, 0)) &lt;&gt; 0, A568, ""))</f>
        <v>Spicy Stuffed Mushroom</v>
      </c>
    </row>
    <row r="569" spans="1:11">
      <c r="A569" s="207" t="s">
        <v>3315</v>
      </c>
      <c r="C569" s="195">
        <v>60</v>
      </c>
      <c r="K569" s="308" t="str">
        <f>IF(OR(COUNTBLANK(AttributeFilter) = 1,AttributeFilter="(Select)"),A569, IF(INDEX(B569:J569, MATCH(AttributeFilter, B$1:J$1, 0)) &lt;&gt; 0, A569, ""))</f>
        <v>Canned Spicy Stuffed Mushroom</v>
      </c>
    </row>
    <row r="570" spans="1:11">
      <c r="A570" s="207" t="s">
        <v>3316</v>
      </c>
      <c r="C570" s="195">
        <v>70</v>
      </c>
      <c r="K570" s="308" t="str">
        <f>IF(OR(COUNTBLANK(AttributeFilter) = 1,AttributeFilter="(Select)"),A570, IF(INDEX(B570:J570, MATCH(AttributeFilter, B$1:J$1, 0)) &lt;&gt; 0, A570, ""))</f>
        <v>Karka Egg Omelet</v>
      </c>
    </row>
    <row r="571" spans="1:11">
      <c r="A571" s="207" t="s">
        <v>3317</v>
      </c>
      <c r="C571" s="195">
        <v>70</v>
      </c>
      <c r="K571" s="308" t="str">
        <f>IF(OR(COUNTBLANK(AttributeFilter) = 1,AttributeFilter="(Select)"),A571, IF(INDEX(B571:J571, MATCH(AttributeFilter, B$1:J$1, 0)) &lt;&gt; 0, A571, ""))</f>
        <v>Saffron Stuffed Mushroom</v>
      </c>
    </row>
    <row r="572" spans="1:11">
      <c r="A572" s="207" t="s">
        <v>3318</v>
      </c>
      <c r="F572" s="195">
        <v>70</v>
      </c>
      <c r="K572" s="308" t="str">
        <f>IF(OR(COUNTBLANK(AttributeFilter) = 1,AttributeFilter="(Select)"),A572, IF(INDEX(B572:J572, MATCH(AttributeFilter, B$1:J$1, 0)) &lt;&gt; 0, A572, ""))</f>
        <v>Plate of Sweet Curried Mussels</v>
      </c>
    </row>
    <row r="573" spans="1:11">
      <c r="A573" s="207" t="s">
        <v>3319</v>
      </c>
      <c r="D573" s="195">
        <v>70</v>
      </c>
      <c r="K573" s="308" t="str">
        <f>IF(OR(COUNTBLANK(AttributeFilter) = 1,AttributeFilter="(Select)"),A573, IF(INDEX(B573:J573, MATCH(AttributeFilter, B$1:J$1, 0)) &lt;&gt; 0, A573, ""))</f>
        <v>Bowl of Spiced Red Lentil Stew</v>
      </c>
    </row>
    <row r="574" spans="1:11">
      <c r="A574" s="207" t="s">
        <v>3320</v>
      </c>
      <c r="E574" s="195">
        <v>20</v>
      </c>
      <c r="K574" s="308" t="str">
        <f>IF(OR(COUNTBLANK(AttributeFilter) = 1,AttributeFilter="(Select)"),A574, IF(INDEX(B574:J574, MATCH(AttributeFilter, B$1:J$1, 0)) &lt;&gt; 0, A574, ""))</f>
        <v>Grilled Poultry</v>
      </c>
    </row>
    <row r="575" spans="1:11">
      <c r="A575" s="207" t="s">
        <v>3321</v>
      </c>
      <c r="E575" s="195">
        <v>20</v>
      </c>
      <c r="K575" s="308" t="str">
        <f>IF(OR(COUNTBLANK(AttributeFilter) = 1,AttributeFilter="(Select)"),A575, IF(INDEX(B575:J575, MATCH(AttributeFilter, B$1:J$1, 0)) &lt;&gt; 0, A575, ""))</f>
        <v>Strip of Boar Jerky</v>
      </c>
    </row>
    <row r="576" spans="1:11">
      <c r="A576" s="207" t="s">
        <v>3322</v>
      </c>
      <c r="E576" s="195">
        <v>20</v>
      </c>
      <c r="K576" s="308" t="str">
        <f>IF(OR(COUNTBLANK(AttributeFilter) = 1,AttributeFilter="(Select)"),A576, IF(INDEX(B576:J576, MATCH(AttributeFilter, B$1:J$1, 0)) &lt;&gt; 0, A576, ""))</f>
        <v>Quaggan Fish Snack</v>
      </c>
    </row>
    <row r="577" spans="1:11">
      <c r="A577" s="207" t="s">
        <v>3323</v>
      </c>
      <c r="E577" s="195">
        <v>20</v>
      </c>
      <c r="K577" s="308" t="str">
        <f>IF(OR(COUNTBLANK(AttributeFilter) = 1,AttributeFilter="(Select)"),A577, IF(INDEX(B577:J577, MATCH(AttributeFilter, B$1:J$1, 0)) &lt;&gt; 0, A577, ""))</f>
        <v>Poultry Piccata</v>
      </c>
    </row>
    <row r="578" spans="1:11">
      <c r="A578" s="207" t="s">
        <v>3324</v>
      </c>
      <c r="E578" s="195">
        <v>30</v>
      </c>
      <c r="K578" s="308" t="str">
        <f>IF(OR(COUNTBLANK(AttributeFilter) = 1,AttributeFilter="(Select)"),A578, IF(INDEX(B578:J578, MATCH(AttributeFilter, B$1:J$1, 0)) &lt;&gt; 0, A578, ""))</f>
        <v>Fish Steak</v>
      </c>
    </row>
    <row r="579" spans="1:11">
      <c r="A579" s="207" t="s">
        <v>3325</v>
      </c>
      <c r="E579" s="195">
        <v>30</v>
      </c>
      <c r="K579" s="308" t="str">
        <f>IF(OR(COUNTBLANK(AttributeFilter) = 1,AttributeFilter="(Select)"),A579, IF(INDEX(B579:J579, MATCH(AttributeFilter, B$1:J$1, 0)) &lt;&gt; 0, A579, ""))</f>
        <v>Strip of Venison Jerky</v>
      </c>
    </row>
    <row r="580" spans="1:11">
      <c r="A580" s="207" t="s">
        <v>3326</v>
      </c>
      <c r="E580" s="195">
        <v>30</v>
      </c>
      <c r="K580" s="308" t="str">
        <f>IF(OR(COUNTBLANK(AttributeFilter) = 1,AttributeFilter="(Select)"),A580, IF(INDEX(B580:J580, MATCH(AttributeFilter, B$1:J$1, 0)) &lt;&gt; 0, A580, ""))</f>
        <v>Sage-Stuffed Poultry</v>
      </c>
    </row>
    <row r="581" spans="1:11">
      <c r="A581" s="207" t="s">
        <v>3327</v>
      </c>
      <c r="E581" s="195">
        <v>50</v>
      </c>
      <c r="K581" s="308" t="str">
        <f>IF(OR(COUNTBLANK(AttributeFilter) = 1,AttributeFilter="(Select)"),A581, IF(INDEX(B581:J581, MATCH(AttributeFilter, B$1:J$1, 0)) &lt;&gt; 0, A581, ""))</f>
        <v>Dilled Poultry Piccata</v>
      </c>
    </row>
    <row r="582" spans="1:11">
      <c r="A582" s="207" t="s">
        <v>3328</v>
      </c>
      <c r="E582" s="195">
        <v>60</v>
      </c>
      <c r="K582" s="308" t="str">
        <f>IF(OR(COUNTBLANK(AttributeFilter) = 1,AttributeFilter="(Select)"),A582, IF(INDEX(B582:J582, MATCH(AttributeFilter, B$1:J$1, 0)) &lt;&gt; 0, A582, ""))</f>
        <v>Crab Cake</v>
      </c>
    </row>
    <row r="583" spans="1:11">
      <c r="A583" s="207" t="s">
        <v>3329</v>
      </c>
      <c r="E583" s="195">
        <v>60</v>
      </c>
      <c r="K583" s="308" t="str">
        <f>IF(OR(COUNTBLANK(AttributeFilter) = 1,AttributeFilter="(Select)"),A583, IF(INDEX(B583:J583, MATCH(AttributeFilter, B$1:J$1, 0)) &lt;&gt; 0, A583, ""))</f>
        <v>Plate of Citrus Poultry with Almonds</v>
      </c>
    </row>
    <row r="584" spans="1:11">
      <c r="A584" s="207" t="s">
        <v>3330</v>
      </c>
      <c r="E584" s="195">
        <v>80</v>
      </c>
      <c r="K584" s="308" t="str">
        <f>IF(OR(COUNTBLANK(AttributeFilter) = 1,AttributeFilter="(Select)"),A584, IF(INDEX(B584:J584, MATCH(AttributeFilter, B$1:J$1, 0)) &lt;&gt; 0, A584, ""))</f>
        <v>Tarragon Stuffed Poultry</v>
      </c>
    </row>
    <row r="585" spans="1:11">
      <c r="A585" s="207" t="s">
        <v>3331</v>
      </c>
      <c r="E585" s="195">
        <v>80</v>
      </c>
      <c r="K585" s="308" t="str">
        <f>IF(OR(COUNTBLANK(AttributeFilter) = 1,AttributeFilter="(Select)"),A585, IF(INDEX(B585:J585, MATCH(AttributeFilter, B$1:J$1, 0)) &lt;&gt; 0, A585, ""))</f>
        <v>Canned Tarragon Stuffed Poultry</v>
      </c>
    </row>
    <row r="586" spans="1:11">
      <c r="A586" s="207" t="s">
        <v>3332</v>
      </c>
      <c r="E586" s="195">
        <v>80</v>
      </c>
      <c r="K586" s="308" t="str">
        <f>IF(OR(COUNTBLANK(AttributeFilter) = 1,AttributeFilter="(Select)"),A586, IF(INDEX(B586:J586, MATCH(AttributeFilter, B$1:J$1, 0)) &lt;&gt; 0, A586, ""))</f>
        <v>Icy Fish Snack</v>
      </c>
    </row>
    <row r="587" spans="1:11">
      <c r="A587" s="207" t="s">
        <v>3333</v>
      </c>
      <c r="E587" s="195">
        <v>100</v>
      </c>
      <c r="K587" s="308" t="str">
        <f>IF(OR(COUNTBLANK(AttributeFilter) = 1,AttributeFilter="(Select)"),A587, IF(INDEX(B587:J587, MATCH(AttributeFilter, B$1:J$1, 0)) &lt;&gt; 0, A587, ""))</f>
        <v>Dragonfish Candy</v>
      </c>
    </row>
    <row r="588" spans="1:11">
      <c r="A588" s="207" t="s">
        <v>3334</v>
      </c>
      <c r="E588" s="195">
        <v>100</v>
      </c>
      <c r="K588" s="308" t="str">
        <f>IF(OR(COUNTBLANK(AttributeFilter) = 1,AttributeFilter="(Select)"),A588, IF(INDEX(B588:J588, MATCH(AttributeFilter, B$1:J$1, 0)) &lt;&gt; 0, A588, ""))</f>
        <v>Plate of Lemongrass Poultry</v>
      </c>
    </row>
    <row r="589" spans="1:11">
      <c r="A589" s="207" t="s">
        <v>3335</v>
      </c>
      <c r="C589" s="195">
        <v>70</v>
      </c>
      <c r="K589" s="308" t="str">
        <f>IF(OR(COUNTBLANK(AttributeFilter) = 1,AttributeFilter="(Select)"),A589, IF(INDEX(B589:J589, MATCH(AttributeFilter, B$1:J$1, 0)) &lt;&gt; 0, A589, ""))</f>
        <v>Cup of Light-Roasted Coffee</v>
      </c>
    </row>
    <row r="590" spans="1:11">
      <c r="A590" s="207" t="s">
        <v>3336</v>
      </c>
      <c r="K590" s="308" t="str">
        <f>IF(OR(COUNTBLANK(AttributeFilter) = 1,AttributeFilter="(Select)"),A590, IF(INDEX(B590:J590, MATCH(AttributeFilter, B$1:J$1, 0)) &lt;&gt; 0, A590, ""))</f>
        <v>Rabbit Offering</v>
      </c>
    </row>
    <row r="591" spans="1:11">
      <c r="A591" s="207" t="s">
        <v>3337</v>
      </c>
      <c r="K591" s="308" t="str">
        <f>IF(OR(COUNTBLANK(AttributeFilter) = 1,AttributeFilter="(Select)"),A591, IF(INDEX(B591:J591, MATCH(AttributeFilter, B$1:J$1, 0)) &lt;&gt; 0, A591, ""))</f>
        <v>Slice of Watermelon</v>
      </c>
    </row>
    <row r="592" spans="1:11">
      <c r="A592" s="207" t="s">
        <v>3338</v>
      </c>
      <c r="K592" s="308" t="str">
        <f>IF(OR(COUNTBLANK(AttributeFilter) = 1,AttributeFilter="(Select)"),A592, IF(INDEX(B592:J592, MATCH(AttributeFilter, B$1:J$1, 0)) &lt;&gt; 0, A592, ""))</f>
        <v>Bowl of Salsa</v>
      </c>
    </row>
    <row r="593" spans="1:11">
      <c r="A593" s="207" t="s">
        <v>3339</v>
      </c>
      <c r="K593" s="308" t="str">
        <f>IF(OR(COUNTBLANK(AttributeFilter) = 1,AttributeFilter="(Select)"),A593, IF(INDEX(B593:J593, MATCH(AttributeFilter, B$1:J$1, 0)) &lt;&gt; 0, A593, ""))</f>
        <v>Bowl of Bean Salad</v>
      </c>
    </row>
    <row r="594" spans="1:11">
      <c r="A594" s="207" t="s">
        <v>3340</v>
      </c>
      <c r="K594" s="308" t="str">
        <f>IF(OR(COUNTBLANK(AttributeFilter) = 1,AttributeFilter="(Select)"),A594, IF(INDEX(B594:J594, MATCH(AttributeFilter, B$1:J$1, 0)) &lt;&gt; 0, A594, ""))</f>
        <v>Bowl of Avocado Salsa</v>
      </c>
    </row>
    <row r="595" spans="1:11">
      <c r="A595" s="207" t="s">
        <v>3341</v>
      </c>
      <c r="K595" s="308" t="str">
        <f>IF(OR(COUNTBLANK(AttributeFilter) = 1,AttributeFilter="(Select)"),A595, IF(INDEX(B595:J595, MATCH(AttributeFilter, B$1:J$1, 0)) &lt;&gt; 0, A595, ""))</f>
        <v>Bowl of Chickpea Salad</v>
      </c>
    </row>
    <row r="596" spans="1:11">
      <c r="A596" s="207" t="s">
        <v>3342</v>
      </c>
      <c r="K596" s="308" t="str">
        <f>IF(OR(COUNTBLANK(AttributeFilter) = 1,AttributeFilter="(Select)"),A596, IF(INDEX(B596:J596, MATCH(AttributeFilter, B$1:J$1, 0)) &lt;&gt; 0, A596, ""))</f>
        <v>Variloo's Swift Algae Snack</v>
      </c>
    </row>
    <row r="597" spans="1:11">
      <c r="A597" s="207" t="s">
        <v>3343</v>
      </c>
      <c r="K597" s="308" t="str">
        <f>IF(OR(COUNTBLANK(AttributeFilter) = 1,AttributeFilter="(Select)"),A597, IF(INDEX(B597:J597, MATCH(AttributeFilter, B$1:J$1, 0)) &lt;&gt; 0, A597, ""))</f>
        <v>Can of Mango Salsa</v>
      </c>
    </row>
    <row r="598" spans="1:11">
      <c r="A598" s="207" t="s">
        <v>3344</v>
      </c>
      <c r="K598" s="308" t="str">
        <f>IF(OR(COUNTBLANK(AttributeFilter) = 1,AttributeFilter="(Select)"),A598, IF(INDEX(B598:J598, MATCH(AttributeFilter, B$1:J$1, 0)) &lt;&gt; 0, A598, ""))</f>
        <v>Bowl of Mango Salsa</v>
      </c>
    </row>
    <row r="599" spans="1:11">
      <c r="A599" s="207" t="s">
        <v>3345</v>
      </c>
      <c r="K599" s="308" t="str">
        <f>IF(OR(COUNTBLANK(AttributeFilter) = 1,AttributeFilter="(Select)"),A599, IF(INDEX(B599:J599, MATCH(AttributeFilter, B$1:J$1, 0)) &lt;&gt; 0, A599, ""))</f>
        <v>Bowl of Fire Salsa</v>
      </c>
    </row>
    <row r="600" spans="1:11">
      <c r="A600" s="207" t="s">
        <v>3346</v>
      </c>
      <c r="K600" s="308" t="str">
        <f>IF(OR(COUNTBLANK(AttributeFilter) = 1,AttributeFilter="(Select)"),A600, IF(INDEX(B600:J600, MATCH(AttributeFilter, B$1:J$1, 0)) &lt;&gt; 0, A600, ""))</f>
        <v>Bloodstone Bearclaw Pastry</v>
      </c>
    </row>
    <row r="601" spans="1:11">
      <c r="A601" s="207" t="s">
        <v>3347</v>
      </c>
      <c r="K601" s="308" t="str">
        <f>IF(OR(COUNTBLANK(AttributeFilter) = 1,AttributeFilter="(Select)"),A601, IF(INDEX(B601:J601, MATCH(AttributeFilter, B$1:J$1, 0)) &lt;&gt; 0, A601, ""))</f>
        <v>Bloodstone Pot Pie</v>
      </c>
    </row>
    <row r="602" spans="1:11">
      <c r="A602" s="207" t="s">
        <v>3348</v>
      </c>
      <c r="K602" s="308" t="str">
        <f>IF(OR(COUNTBLANK(AttributeFilter) = 1,AttributeFilter="(Select)"),A602, IF(INDEX(B602:J602, MATCH(AttributeFilter, B$1:J$1, 0)) &lt;&gt; 0, A602, ""))</f>
        <v>Bowl of Bloodstone Goulash</v>
      </c>
    </row>
    <row r="603" spans="1:11">
      <c r="A603" s="207" t="s">
        <v>3349</v>
      </c>
      <c r="K603" s="308" t="str">
        <f>IF(OR(COUNTBLANK(AttributeFilter) = 1,AttributeFilter="(Select)"),A603, IF(INDEX(B603:J603, MATCH(AttributeFilter, B$1:J$1, 0)) &lt;&gt; 0, A603, ""))</f>
        <v>Bowl of Bloodstone Ice Cream</v>
      </c>
    </row>
    <row r="604" spans="1:11">
      <c r="A604" s="207" t="s">
        <v>3350</v>
      </c>
      <c r="K604" s="308" t="str">
        <f>IF(OR(COUNTBLANK(AttributeFilter) = 1,AttributeFilter="(Select)"),A604, IF(INDEX(B604:J604, MATCH(AttributeFilter, B$1:J$1, 0)) &lt;&gt; 0, A604, ""))</f>
        <v>Bowl of Bloodstone Bisque</v>
      </c>
    </row>
    <row r="605" spans="1:11">
      <c r="A605" s="207" t="s">
        <v>3351</v>
      </c>
      <c r="K605" s="308" t="str">
        <f>IF(OR(COUNTBLANK(AttributeFilter) = 1,AttributeFilter="(Select)"),A605, IF(INDEX(B605:J605, MATCH(AttributeFilter, B$1:J$1, 0)) &lt;&gt; 0, A605, ""))</f>
        <v>Complete Bloodstone Breakfast</v>
      </c>
    </row>
    <row r="606" spans="1:11">
      <c r="A606" s="207" t="s">
        <v>3352</v>
      </c>
      <c r="K606" s="308" t="str">
        <f>IF(OR(COUNTBLANK(AttributeFilter) = 1,AttributeFilter="(Select)"),A606, IF(INDEX(B606:J606, MATCH(AttributeFilter, B$1:J$1, 0)) &lt;&gt; 0, A606, ""))</f>
        <v>Demitasse of Bloodstone Espresso</v>
      </c>
    </row>
    <row r="607" spans="1:11">
      <c r="A607" s="207" t="s">
        <v>3353</v>
      </c>
      <c r="K607" s="308" t="str">
        <f>IF(OR(COUNTBLANK(AttributeFilter) = 1,AttributeFilter="(Select)"),A607, IF(INDEX(B607:J607, MATCH(AttributeFilter, B$1:J$1, 0)) &lt;&gt; 0, A607, ""))</f>
        <v>Mug of Bloodstone Coffee</v>
      </c>
    </row>
    <row r="608" spans="1:11">
      <c r="A608" s="207" t="s">
        <v>3354</v>
      </c>
      <c r="K608" s="308" t="str">
        <f>IF(OR(COUNTBLANK(AttributeFilter) = 1,AttributeFilter="(Select)"),A608, IF(INDEX(B608:J608, MATCH(AttributeFilter, B$1:J$1, 0)) &lt;&gt; 0, A608, ""))</f>
        <v>Plate of Bloodstone Waffles</v>
      </c>
    </row>
    <row r="609" spans="1:11">
      <c r="A609" s="207" t="s">
        <v>3355</v>
      </c>
      <c r="D609" s="195">
        <v>40</v>
      </c>
      <c r="E609" s="195">
        <v>50</v>
      </c>
      <c r="K609" s="308" t="str">
        <f>IF(OR(COUNTBLANK(AttributeFilter) = 1,AttributeFilter="(Select)"),A609, IF(INDEX(B609:J609, MATCH(AttributeFilter, B$1:J$1, 0)) &lt;&gt; 0, A609, ""))</f>
        <v>Refurbished Toy</v>
      </c>
    </row>
    <row r="610" spans="1:11">
      <c r="A610" s="207" t="s">
        <v>3356</v>
      </c>
      <c r="K610" s="308" t="str">
        <f>IF(OR(COUNTBLANK(AttributeFilter) = 1,AttributeFilter="(Select)"),A610, IF(INDEX(B610:J610, MATCH(AttributeFilter, B$1:J$1, 0)) &lt;&gt; 0, A610, ""))</f>
        <v>Super Mixed Parfait</v>
      </c>
    </row>
    <row r="611" spans="1:11">
      <c r="A611" s="207" t="s">
        <v>3357</v>
      </c>
      <c r="K611" s="308" t="str">
        <f>IF(OR(COUNTBLANK(AttributeFilter) = 1,AttributeFilter="(Select)"),A611, IF(INDEX(B611:J611, MATCH(AttributeFilter, B$1:J$1, 0)) &lt;&gt; 0, A611, ""))</f>
        <v>Zephyrite Fish Jerky</v>
      </c>
    </row>
  </sheetData>
  <sheetProtection sheet="1" objects="1" scenarios="1"/>
  <mergeCells count="10">
    <mergeCell ref="G1:G2"/>
    <mergeCell ref="H1:H2"/>
    <mergeCell ref="I1:I2"/>
    <mergeCell ref="J1:J2"/>
    <mergeCell ref="A1:A2"/>
    <mergeCell ref="B1:B2"/>
    <mergeCell ref="C1:C2"/>
    <mergeCell ref="D1:D2"/>
    <mergeCell ref="E1:E2"/>
    <mergeCell ref="F1:F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88" id="{22B4B6DB-0A2C-4636-8E72-92E171F93133}">
            <xm:f>$A3='Build &amp; Totals'!$B$50</xm:f>
            <x14:dxf>
              <font>
                <color theme="1"/>
              </font>
              <fill>
                <patternFill patternType="solid">
                  <bgColor rgb="FFFFFDED"/>
                </patternFill>
              </fill>
              <border>
                <top style="thin">
                  <color theme="2" tint="-0.249977111117893"/>
                </top>
                <bottom style="thin">
                  <color theme="2" tint="-0.249977111117893"/>
                </bottom>
              </border>
            </x14:dxf>
          </x14:cfRule>
          <xm:sqref>A1:K1</xm:sqref>
        </x14:conditionalFormatting>
        <x14:conditionalFormatting xmlns:xm="http://schemas.microsoft.com/office/excel/2006/main">
          <x14:cfRule type="expression" priority="489" id="{22B4B6DB-0A2C-4636-8E72-92E171F93133}">
            <xm:f>$A4='Build &amp; Totals'!$B$50</xm:f>
            <x14:dxf>
              <font>
                <color theme="1"/>
              </font>
              <fill>
                <patternFill patternType="solid">
                  <bgColor rgb="FFFFFDED"/>
                </patternFill>
              </fill>
              <border>
                <top style="thin">
                  <color theme="2" tint="-0.249977111117893"/>
                </top>
                <bottom style="thin">
                  <color theme="2" tint="-0.249977111117893"/>
                </bottom>
              </border>
            </x14:dxf>
          </x14:cfRule>
          <xm:sqref>A3:K3 A612:K1048576 A4:J610 K4:K611</xm:sqref>
        </x14:conditionalFormatting>
        <x14:conditionalFormatting xmlns:xm="http://schemas.microsoft.com/office/excel/2006/main">
          <x14:cfRule type="expression" priority="491" id="{22B4B6DB-0A2C-4636-8E72-92E171F93133}">
            <xm:f>#REF!='Build &amp; Totals'!$B$50</xm:f>
            <x14:dxf>
              <font>
                <color theme="1"/>
              </font>
              <fill>
                <patternFill patternType="solid">
                  <bgColor rgb="FFFFFDED"/>
                </patternFill>
              </fill>
              <border>
                <top style="thin">
                  <color theme="2" tint="-0.249977111117893"/>
                </top>
                <bottom style="thin">
                  <color theme="2" tint="-0.249977111117893"/>
                </bottom>
              </border>
            </x14:dxf>
          </x14:cfRule>
          <xm:sqref>A611:J611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3595A-2DCE-44C1-A5BB-A30DABF03B88}">
  <dimension ref="A1:Z122"/>
  <sheetViews>
    <sheetView topLeftCell="G27" workbookViewId="0">
      <selection activeCell="Y51" sqref="Y51"/>
    </sheetView>
  </sheetViews>
  <sheetFormatPr defaultRowHeight="14.25"/>
  <cols>
    <col min="1" max="1" width="33.7109375" style="207" bestFit="1" customWidth="1"/>
    <col min="2" max="2" width="16.7109375" style="195" bestFit="1" customWidth="1"/>
    <col min="3" max="3" width="7.7109375" style="195" bestFit="1" customWidth="1"/>
    <col min="4" max="4" width="13.140625" style="195" bestFit="1" customWidth="1"/>
    <col min="5" max="5" width="16.7109375" style="195" bestFit="1" customWidth="1"/>
    <col min="6" max="6" width="7.7109375" style="195" bestFit="1" customWidth="1"/>
    <col min="7" max="7" width="13.140625" style="195" bestFit="1" customWidth="1"/>
    <col min="8" max="8" width="16" style="195" bestFit="1" customWidth="1"/>
    <col min="9" max="9" width="21" style="195" bestFit="1" customWidth="1"/>
    <col min="10" max="10" width="14" style="195" bestFit="1" customWidth="1"/>
    <col min="11" max="11" width="7.85546875" style="195" bestFit="1" customWidth="1"/>
    <col min="12" max="12" width="16.7109375" style="195" bestFit="1" customWidth="1"/>
    <col min="13" max="13" width="8.5703125" style="195" bestFit="1" customWidth="1"/>
    <col min="14" max="14" width="14.5703125" style="195" bestFit="1" customWidth="1"/>
    <col min="15" max="15" width="5.7109375" style="195" bestFit="1" customWidth="1"/>
    <col min="16" max="16" width="13.140625" style="195" bestFit="1" customWidth="1"/>
    <col min="17" max="17" width="8.5703125" style="195" bestFit="1" customWidth="1"/>
    <col min="18" max="18" width="14.5703125" style="195" bestFit="1" customWidth="1"/>
    <col min="19" max="19" width="5.7109375" style="195" bestFit="1" customWidth="1"/>
    <col min="20" max="20" width="13.140625" style="195" bestFit="1" customWidth="1"/>
    <col min="21" max="21" width="28.7109375" style="195" bestFit="1" customWidth="1"/>
    <col min="22" max="22" width="21.140625" style="195" bestFit="1" customWidth="1"/>
    <col min="23" max="23" width="10" style="195" bestFit="1" customWidth="1"/>
    <col min="24" max="24" width="7.85546875" style="195" bestFit="1" customWidth="1"/>
    <col min="25" max="25" width="33" style="195" bestFit="1" customWidth="1"/>
    <col min="26" max="26" width="7.7109375" style="316" bestFit="1" customWidth="1"/>
    <col min="27" max="27" width="9.140625" style="28"/>
    <col min="28" max="28" width="13.140625" style="28" bestFit="1" customWidth="1"/>
    <col min="29" max="16384" width="9.140625" style="28"/>
  </cols>
  <sheetData>
    <row r="1" spans="1:26" s="173" customFormat="1">
      <c r="A1" s="318" t="s">
        <v>90</v>
      </c>
      <c r="B1" s="569" t="s">
        <v>3358</v>
      </c>
      <c r="C1" s="569"/>
      <c r="D1" s="569"/>
      <c r="E1" s="569" t="s">
        <v>3359</v>
      </c>
      <c r="F1" s="569"/>
      <c r="G1" s="569"/>
      <c r="H1" s="319" t="s">
        <v>3360</v>
      </c>
      <c r="I1" s="319" t="s">
        <v>3361</v>
      </c>
      <c r="J1" s="319" t="s">
        <v>3362</v>
      </c>
      <c r="K1" s="569" t="s">
        <v>3363</v>
      </c>
      <c r="L1" s="569"/>
      <c r="M1" s="569" t="s">
        <v>3364</v>
      </c>
      <c r="N1" s="569"/>
      <c r="O1" s="569"/>
      <c r="P1" s="569"/>
      <c r="Q1" s="569" t="s">
        <v>3365</v>
      </c>
      <c r="R1" s="569"/>
      <c r="S1" s="569"/>
      <c r="T1" s="569"/>
      <c r="U1" s="319" t="s">
        <v>3366</v>
      </c>
      <c r="V1" s="319" t="s">
        <v>3367</v>
      </c>
      <c r="W1" s="569" t="s">
        <v>3368</v>
      </c>
      <c r="X1" s="570"/>
      <c r="Y1" s="508" t="s">
        <v>107</v>
      </c>
      <c r="Z1" s="507" t="s">
        <v>3369</v>
      </c>
    </row>
    <row r="2" spans="1:26" s="217" customFormat="1" ht="11.25">
      <c r="A2" s="237" t="s">
        <v>4</v>
      </c>
      <c r="B2" s="242" t="s">
        <v>3370</v>
      </c>
      <c r="C2" s="243" t="s">
        <v>3371</v>
      </c>
      <c r="D2" s="243" t="s">
        <v>3372</v>
      </c>
      <c r="E2" s="243" t="s">
        <v>3370</v>
      </c>
      <c r="F2" s="243" t="s">
        <v>3371</v>
      </c>
      <c r="G2" s="243" t="s">
        <v>3372</v>
      </c>
      <c r="H2" s="243" t="s">
        <v>3371</v>
      </c>
      <c r="I2" s="243" t="s">
        <v>3371</v>
      </c>
      <c r="J2" s="243" t="s">
        <v>3371</v>
      </c>
      <c r="K2" s="243" t="s">
        <v>2163</v>
      </c>
      <c r="L2" s="243" t="s">
        <v>3370</v>
      </c>
      <c r="M2" s="243" t="s">
        <v>3371</v>
      </c>
      <c r="N2" s="243" t="s">
        <v>3370</v>
      </c>
      <c r="O2" s="243" t="s">
        <v>3373</v>
      </c>
      <c r="P2" s="243" t="s">
        <v>3372</v>
      </c>
      <c r="Q2" s="243" t="s">
        <v>3371</v>
      </c>
      <c r="R2" s="243" t="s">
        <v>3370</v>
      </c>
      <c r="S2" s="243" t="s">
        <v>3373</v>
      </c>
      <c r="T2" s="243" t="s">
        <v>3372</v>
      </c>
      <c r="U2" s="243" t="s">
        <v>3371</v>
      </c>
      <c r="V2" s="243" t="s">
        <v>3371</v>
      </c>
      <c r="W2" s="243" t="s">
        <v>3370</v>
      </c>
      <c r="X2" s="243" t="s">
        <v>2163</v>
      </c>
      <c r="Y2" s="242" t="s">
        <v>4</v>
      </c>
      <c r="Z2" s="317" t="str">
        <f>IF(OR('Build &amp; Totals'!B51 = "(Select)",'Build &amp; Totals'!B51 = ""), "",VLOOKUP('Build &amp; Totals'!B51,A:Z,26,FALSE))</f>
        <v>Derived</v>
      </c>
    </row>
    <row r="3" spans="1:26">
      <c r="A3" s="311" t="s">
        <v>3374</v>
      </c>
      <c r="B3" s="203" t="s">
        <v>10</v>
      </c>
      <c r="C3" s="312">
        <v>0.01</v>
      </c>
      <c r="D3" s="203" t="s">
        <v>7</v>
      </c>
      <c r="E3" s="203"/>
      <c r="F3" s="203"/>
      <c r="G3" s="203"/>
      <c r="H3" s="203"/>
      <c r="I3" s="203"/>
      <c r="J3" s="203"/>
      <c r="K3" s="203"/>
      <c r="L3" s="203"/>
      <c r="M3" s="203"/>
      <c r="N3" s="203"/>
      <c r="O3" s="203"/>
      <c r="P3" s="203"/>
      <c r="Q3" s="203"/>
      <c r="R3" s="203"/>
      <c r="S3" s="203"/>
      <c r="T3" s="203"/>
      <c r="U3" s="203"/>
      <c r="V3" s="312">
        <v>0.1</v>
      </c>
      <c r="W3" s="203"/>
      <c r="X3" s="203"/>
      <c r="Y3" s="240" t="str">
        <f>IF(OR(COUNTBLANK(AttributeFilter) = 1,AttributeFilter="(Select)"),A3, IF(OR($B3=AttributeFilter,$E3=AttributeFilter,$L3=AttributeFilter,$N3=AttributeFilter,$R3=AttributeFilter,$W3=AttributeFilter), $A3, ""))</f>
        <v>Apprentice Maintenance Oil</v>
      </c>
      <c r="Z3" s="313" t="str" cm="1">
        <f t="array" ref="Z3">_xlfn.IFS(COUNTBLANK($B3)=0,"Derived",COUNTBLANK($L3)=0,"Healthy",COUNTBLANK($N3)=0,"Stepped",COUNTBLANK($W3)=0,"Flat",TRUE,"")</f>
        <v>Derived</v>
      </c>
    </row>
    <row r="4" spans="1:26">
      <c r="A4" s="207" t="s">
        <v>3375</v>
      </c>
      <c r="B4" s="195" t="s">
        <v>11</v>
      </c>
      <c r="C4" s="301">
        <v>0.01</v>
      </c>
      <c r="D4" s="195" t="s">
        <v>7</v>
      </c>
      <c r="V4" s="301">
        <v>0.1</v>
      </c>
      <c r="Y4" s="240" t="str">
        <f>IF(OR(COUNTBLANK(AttributeFilter) = 1,AttributeFilter="(Select)"),A4, IF(OR($B4=AttributeFilter,$E4=AttributeFilter,$L4=AttributeFilter,$N4=AttributeFilter,$R4=AttributeFilter,$W4=AttributeFilter), $A4, ""))</f>
        <v>Apprentice Tuning Crystal</v>
      </c>
      <c r="Z4" s="315" t="str" cm="1">
        <f t="array" ref="Z4">_xlfn.IFS(COUNTBLANK($B4)=0,"Derived",COUNTBLANK($L4)=0,"Healthy",COUNTBLANK($N4)=0,"Stepped",COUNTBLANK($W4)=0,"Flat",TRUE,"")</f>
        <v>Derived</v>
      </c>
    </row>
    <row r="5" spans="1:26">
      <c r="A5" s="207" t="s">
        <v>3376</v>
      </c>
      <c r="V5" s="301">
        <v>0.2</v>
      </c>
      <c r="Y5" s="240" t="str">
        <f>IF(OR(COUNTBLANK(AttributeFilter) = 1,AttributeFilter="(Select)"),A5, IF(OR($B5=AttributeFilter,$E5=AttributeFilter,$L5=AttributeFilter,$N5=AttributeFilter,$R5=AttributeFilter,$W5=AttributeFilter), $A5, ""))</f>
        <v>Chatoyant Elixir</v>
      </c>
      <c r="Z5" s="315" t="str" cm="1">
        <f t="array" ref="Z5">_xlfn.IFS(COUNTBLANK($B5)=0,"Derived",COUNTBLANK($L5)=0,"Healthy",COUNTBLANK($N5)=0,"Stepped",COUNTBLANK($W5)=0,"Flat",TRUE,"")</f>
        <v/>
      </c>
    </row>
    <row r="6" spans="1:26">
      <c r="A6" s="207" t="s">
        <v>70</v>
      </c>
      <c r="B6" s="195" t="s">
        <v>6</v>
      </c>
      <c r="C6" s="301">
        <v>0.01</v>
      </c>
      <c r="D6" s="195" t="s">
        <v>7</v>
      </c>
      <c r="V6" s="301">
        <v>0.1</v>
      </c>
      <c r="Y6" s="240" t="str">
        <f>IF(OR(COUNTBLANK(AttributeFilter) = 1,AttributeFilter="(Select)"),A6, IF(OR($B6=AttributeFilter,$E6=AttributeFilter,$L6=AttributeFilter,$N6=AttributeFilter,$R6=AttributeFilter,$W6=AttributeFilter), $A6, ""))</f>
        <v>Rough Sharpening Stone</v>
      </c>
      <c r="Z6" s="315" t="str" cm="1">
        <f t="array" ref="Z6">_xlfn.IFS(COUNTBLANK($B6)=0,"Derived",COUNTBLANK($L6)=0,"Healthy",COUNTBLANK($N6)=0,"Stepped",COUNTBLANK($W6)=0,"Flat",TRUE,"")</f>
        <v>Derived</v>
      </c>
    </row>
    <row r="7" spans="1:26">
      <c r="A7" s="207" t="s">
        <v>3377</v>
      </c>
      <c r="K7" s="195">
        <v>40</v>
      </c>
      <c r="L7" s="195" t="s">
        <v>7</v>
      </c>
      <c r="V7" s="301">
        <v>0.1</v>
      </c>
      <c r="Y7" s="240" t="str">
        <f>IF(OR(COUNTBLANK(AttributeFilter) = 1,AttributeFilter="(Select)"),A7, IF(OR($B7=AttributeFilter,$E7=AttributeFilter,$L7=AttributeFilter,$N7=AttributeFilter,$R7=AttributeFilter,$W7=AttributeFilter), $A7, ""))</f>
        <v>Thesis on Basic Accuracy</v>
      </c>
      <c r="Z7" s="315" t="str" cm="1">
        <f t="array" ref="Z7">_xlfn.IFS(COUNTBLANK($B7)=0,"Derived",COUNTBLANK($L7)=0,"Healthy",COUNTBLANK($N7)=0,"Stepped",COUNTBLANK($W7)=0,"Flat",TRUE,"")</f>
        <v>Healthy</v>
      </c>
    </row>
    <row r="8" spans="1:26">
      <c r="A8" s="207" t="s">
        <v>3378</v>
      </c>
      <c r="K8" s="195">
        <v>40</v>
      </c>
      <c r="L8" s="195" t="s">
        <v>11</v>
      </c>
      <c r="V8" s="301">
        <v>0.1</v>
      </c>
      <c r="Y8" s="240" t="str">
        <f>IF(OR(COUNTBLANK(AttributeFilter) = 1,AttributeFilter="(Select)"),A8, IF(OR($B8=AttributeFilter,$E8=AttributeFilter,$L8=AttributeFilter,$N8=AttributeFilter,$R8=AttributeFilter,$W8=AttributeFilter), $A8, ""))</f>
        <v>Thesis on Basic Malice</v>
      </c>
      <c r="Z8" s="315" t="str" cm="1">
        <f t="array" ref="Z8">_xlfn.IFS(COUNTBLANK($B8)=0,"Derived",COUNTBLANK($L8)=0,"Healthy",COUNTBLANK($N8)=0,"Stepped",COUNTBLANK($W8)=0,"Flat",TRUE,"")</f>
        <v>Healthy</v>
      </c>
    </row>
    <row r="9" spans="1:26">
      <c r="A9" s="207" t="s">
        <v>3379</v>
      </c>
      <c r="K9" s="195">
        <v>40</v>
      </c>
      <c r="L9" s="195" t="s">
        <v>6</v>
      </c>
      <c r="V9" s="301">
        <v>0.1</v>
      </c>
      <c r="Y9" s="240" t="str">
        <f>IF(OR(COUNTBLANK(AttributeFilter) = 1,AttributeFilter="(Select)"),A9, IF(OR($B9=AttributeFilter,$E9=AttributeFilter,$L9=AttributeFilter,$N9=AttributeFilter,$R9=AttributeFilter,$W9=AttributeFilter), $A9, ""))</f>
        <v>Thesis on Basic Strength</v>
      </c>
      <c r="Z9" s="315" t="str" cm="1">
        <f t="array" ref="Z9">_xlfn.IFS(COUNTBLANK($B9)=0,"Derived",COUNTBLANK($L9)=0,"Healthy",COUNTBLANK($N9)=0,"Stepped",COUNTBLANK($W9)=0,"Flat",TRUE,"")</f>
        <v>Healthy</v>
      </c>
    </row>
    <row r="10" spans="1:26">
      <c r="A10" s="207" t="s">
        <v>3380</v>
      </c>
      <c r="K10" s="195">
        <v>40</v>
      </c>
      <c r="L10" s="195" t="s">
        <v>7</v>
      </c>
      <c r="V10" s="301">
        <v>0.1</v>
      </c>
      <c r="Y10" s="240" t="str">
        <f>IF(OR(COUNTBLANK(AttributeFilter) = 1,AttributeFilter="(Select)"),A10, IF(OR($B10=AttributeFilter,$E10=AttributeFilter,$L10=AttributeFilter,$N10=AttributeFilter,$R10=AttributeFilter,$W10=AttributeFilter), $A10, ""))</f>
        <v>Writ of Basic Accuracy</v>
      </c>
      <c r="Z10" s="315" t="str" cm="1">
        <f t="array" ref="Z10">_xlfn.IFS(COUNTBLANK($B10)=0,"Derived",COUNTBLANK($L10)=0,"Healthy",COUNTBLANK($N10)=0,"Stepped",COUNTBLANK($W10)=0,"Flat",TRUE,"")</f>
        <v>Healthy</v>
      </c>
    </row>
    <row r="11" spans="1:26">
      <c r="A11" s="207" t="s">
        <v>3381</v>
      </c>
      <c r="K11" s="195">
        <v>40</v>
      </c>
      <c r="L11" s="195" t="s">
        <v>11</v>
      </c>
      <c r="V11" s="301">
        <v>0.1</v>
      </c>
      <c r="Y11" s="240" t="str">
        <f>IF(OR(COUNTBLANK(AttributeFilter) = 1,AttributeFilter="(Select)"),A11, IF(OR($B11=AttributeFilter,$E11=AttributeFilter,$L11=AttributeFilter,$N11=AttributeFilter,$R11=AttributeFilter,$W11=AttributeFilter), $A11, ""))</f>
        <v>Writ of Basic Malice</v>
      </c>
      <c r="Z11" s="315" t="str" cm="1">
        <f t="array" ref="Z11">_xlfn.IFS(COUNTBLANK($B11)=0,"Derived",COUNTBLANK($L11)=0,"Healthy",COUNTBLANK($N11)=0,"Stepped",COUNTBLANK($W11)=0,"Flat",TRUE,"")</f>
        <v>Healthy</v>
      </c>
    </row>
    <row r="12" spans="1:26">
      <c r="A12" s="207" t="s">
        <v>3382</v>
      </c>
      <c r="K12" s="195">
        <v>40</v>
      </c>
      <c r="L12" s="195" t="s">
        <v>6</v>
      </c>
      <c r="V12" s="301">
        <v>0.1</v>
      </c>
      <c r="Y12" s="240" t="str">
        <f>IF(OR(COUNTBLANK(AttributeFilter) = 1,AttributeFilter="(Select)"),A12, IF(OR($B12=AttributeFilter,$E12=AttributeFilter,$L12=AttributeFilter,$N12=AttributeFilter,$R12=AttributeFilter,$W12=AttributeFilter), $A12, ""))</f>
        <v>Writ of Basic Strength</v>
      </c>
      <c r="Z12" s="315" t="str" cm="1">
        <f t="array" ref="Z12">_xlfn.IFS(COUNTBLANK($B12)=0,"Derived",COUNTBLANK($L12)=0,"Healthy",COUNTBLANK($N12)=0,"Stepped",COUNTBLANK($W12)=0,"Flat",TRUE,"")</f>
        <v>Healthy</v>
      </c>
    </row>
    <row r="13" spans="1:26">
      <c r="A13" s="207" t="s">
        <v>3383</v>
      </c>
      <c r="B13" s="195" t="s">
        <v>6</v>
      </c>
      <c r="C13" s="301">
        <v>0.01</v>
      </c>
      <c r="D13" s="195" t="s">
        <v>7</v>
      </c>
      <c r="V13" s="301">
        <v>0.1</v>
      </c>
      <c r="Y13" s="240" t="str">
        <f>IF(OR(COUNTBLANK(AttributeFilter) = 1,AttributeFilter="(Select)"),A13, IF(OR($B13=AttributeFilter,$E13=AttributeFilter,$L13=AttributeFilter,$N13=AttributeFilter,$R13=AttributeFilter,$W13=AttributeFilter), $A13, ""))</f>
        <v>Tiny Sharpening Stone</v>
      </c>
      <c r="Z13" s="315" t="str" cm="1">
        <f t="array" ref="Z13">_xlfn.IFS(COUNTBLANK($B13)=0,"Derived",COUNTBLANK($L13)=0,"Healthy",COUNTBLANK($N13)=0,"Stepped",COUNTBLANK($W13)=0,"Flat",TRUE,"")</f>
        <v>Derived</v>
      </c>
    </row>
    <row r="14" spans="1:26">
      <c r="A14" s="207" t="s">
        <v>3384</v>
      </c>
      <c r="Y14" s="240" t="str">
        <f>IF(OR(COUNTBLANK(AttributeFilter) = 1,AttributeFilter="(Select)"),A14, IF(OR($B14=AttributeFilter,$E14=AttributeFilter,$L14=AttributeFilter,$N14=AttributeFilter,$R14=AttributeFilter,$W14=AttributeFilter), $A14, ""))</f>
        <v>Skale Venom</v>
      </c>
      <c r="Z14" s="315" t="str" cm="1">
        <f t="array" ref="Z14">_xlfn.IFS(COUNTBLANK($B14)=0,"Derived",COUNTBLANK($L14)=0,"Healthy",COUNTBLANK($N14)=0,"Stepped",COUNTBLANK($W14)=0,"Flat",TRUE,"")</f>
        <v/>
      </c>
    </row>
    <row r="15" spans="1:26">
      <c r="A15" s="207" t="s">
        <v>3385</v>
      </c>
      <c r="H15" s="301">
        <v>0.05</v>
      </c>
      <c r="I15" s="301">
        <v>0.05</v>
      </c>
      <c r="J15" s="301">
        <v>0.05</v>
      </c>
      <c r="V15" s="301">
        <v>0.05</v>
      </c>
      <c r="Y15" s="240" t="str">
        <f>IF(OR(COUNTBLANK(AttributeFilter) = 1,AttributeFilter="(Select)"),A15, IF(OR($B15=AttributeFilter,$E15=AttributeFilter,$L15=AttributeFilter,$N15=AttributeFilter,$R15=AttributeFilter,$W15=AttributeFilter), $A15, ""))</f>
        <v>Serious Potion</v>
      </c>
      <c r="Z15" s="315" t="str" cm="1">
        <f t="array" ref="Z15">_xlfn.IFS(COUNTBLANK($B15)=0,"Derived",COUNTBLANK($L15)=0,"Healthy",COUNTBLANK($N15)=0,"Stepped",COUNTBLANK($W15)=0,"Flat",TRUE,"")</f>
        <v/>
      </c>
    </row>
    <row r="16" spans="1:26">
      <c r="A16" s="207" t="s">
        <v>3386</v>
      </c>
      <c r="H16" s="301">
        <v>0.05</v>
      </c>
      <c r="I16" s="301">
        <v>0.05</v>
      </c>
      <c r="J16" s="301">
        <v>0.05</v>
      </c>
      <c r="V16" s="301">
        <v>0.05</v>
      </c>
      <c r="Y16" s="240" t="str">
        <f>IF(OR(COUNTBLANK(AttributeFilter) = 1,AttributeFilter="(Select)"),A16, IF(OR($B16=AttributeFilter,$E16=AttributeFilter,$L16=AttributeFilter,$N16=AttributeFilter,$R16=AttributeFilter,$W16=AttributeFilter), $A16, ""))</f>
        <v>Fool's Tall Tonic</v>
      </c>
      <c r="Z16" s="315" t="str" cm="1">
        <f t="array" ref="Z16">_xlfn.IFS(COUNTBLANK($B16)=0,"Derived",COUNTBLANK($L16)=0,"Healthy",COUNTBLANK($N16)=0,"Stepped",COUNTBLANK($W16)=0,"Flat",TRUE,"")</f>
        <v/>
      </c>
    </row>
    <row r="17" spans="1:26">
      <c r="A17" s="207" t="s">
        <v>3387</v>
      </c>
      <c r="H17" s="301">
        <v>0.05</v>
      </c>
      <c r="I17" s="301">
        <v>0.05</v>
      </c>
      <c r="J17" s="301">
        <v>0.05</v>
      </c>
      <c r="V17" s="301">
        <v>0.05</v>
      </c>
      <c r="Y17" s="240" t="str">
        <f>IF(OR(COUNTBLANK(AttributeFilter) = 1,AttributeFilter="(Select)"),A17, IF(OR($B17=AttributeFilter,$E17=AttributeFilter,$L17=AttributeFilter,$N17=AttributeFilter,$R17=AttributeFilter,$W17=AttributeFilter), $A17, ""))</f>
        <v>Fool's Dog Treat</v>
      </c>
      <c r="Z17" s="315" t="str" cm="1">
        <f t="array" ref="Z17">_xlfn.IFS(COUNTBLANK($B17)=0,"Derived",COUNTBLANK($L17)=0,"Healthy",COUNTBLANK($N17)=0,"Stepped",COUNTBLANK($W17)=0,"Flat",TRUE,"")</f>
        <v/>
      </c>
    </row>
    <row r="18" spans="1:26">
      <c r="A18" s="207" t="s">
        <v>3388</v>
      </c>
      <c r="B18" s="195" t="s">
        <v>10</v>
      </c>
      <c r="C18" s="301">
        <v>0.02</v>
      </c>
      <c r="D18" s="195" t="s">
        <v>7</v>
      </c>
      <c r="V18" s="301">
        <v>0.1</v>
      </c>
      <c r="Y18" s="240" t="str">
        <f>IF(OR(COUNTBLANK(AttributeFilter) = 1,AttributeFilter="(Select)"),A18, IF(OR($B18=AttributeFilter,$E18=AttributeFilter,$L18=AttributeFilter,$N18=AttributeFilter,$R18=AttributeFilter,$W18=AttributeFilter), $A18, ""))</f>
        <v>Journeyman Maintenance Oil</v>
      </c>
      <c r="Z18" s="315" t="str" cm="1">
        <f t="array" ref="Z18">_xlfn.IFS(COUNTBLANK($B18)=0,"Derived",COUNTBLANK($L18)=0,"Healthy",COUNTBLANK($N18)=0,"Stepped",COUNTBLANK($W18)=0,"Flat",TRUE,"")</f>
        <v>Derived</v>
      </c>
    </row>
    <row r="19" spans="1:26">
      <c r="A19" s="207" t="s">
        <v>3389</v>
      </c>
      <c r="B19" s="195" t="s">
        <v>11</v>
      </c>
      <c r="C19" s="301">
        <v>0.02</v>
      </c>
      <c r="D19" s="195" t="s">
        <v>7</v>
      </c>
      <c r="V19" s="301">
        <v>0.1</v>
      </c>
      <c r="Y19" s="240" t="str">
        <f>IF(OR(COUNTBLANK(AttributeFilter) = 1,AttributeFilter="(Select)"),A19, IF(OR($B19=AttributeFilter,$E19=AttributeFilter,$L19=AttributeFilter,$N19=AttributeFilter,$R19=AttributeFilter,$W19=AttributeFilter), $A19, ""))</f>
        <v>Journeyman Tuning Crystal</v>
      </c>
      <c r="Z19" s="315" t="str" cm="1">
        <f t="array" ref="Z19">_xlfn.IFS(COUNTBLANK($B19)=0,"Derived",COUNTBLANK($L19)=0,"Healthy",COUNTBLANK($N19)=0,"Stepped",COUNTBLANK($W19)=0,"Flat",TRUE,"")</f>
        <v>Derived</v>
      </c>
    </row>
    <row r="20" spans="1:26">
      <c r="A20" s="207" t="s">
        <v>3390</v>
      </c>
      <c r="B20" s="195" t="s">
        <v>6</v>
      </c>
      <c r="C20" s="301">
        <v>0.02</v>
      </c>
      <c r="D20" s="195" t="s">
        <v>7</v>
      </c>
      <c r="V20" s="301">
        <v>0.1</v>
      </c>
      <c r="Y20" s="240" t="str">
        <f>IF(OR(COUNTBLANK(AttributeFilter) = 1,AttributeFilter="(Select)"),A20, IF(OR($B20=AttributeFilter,$E20=AttributeFilter,$L20=AttributeFilter,$N20=AttributeFilter,$R20=AttributeFilter,$W20=AttributeFilter), $A20, ""))</f>
        <v>Simple Sharpening Stone</v>
      </c>
      <c r="Z20" s="315" t="str" cm="1">
        <f t="array" ref="Z20">_xlfn.IFS(COUNTBLANK($B20)=0,"Derived",COUNTBLANK($L20)=0,"Healthy",COUNTBLANK($N20)=0,"Stepped",COUNTBLANK($W20)=0,"Flat",TRUE,"")</f>
        <v>Derived</v>
      </c>
    </row>
    <row r="21" spans="1:26">
      <c r="A21" s="207" t="s">
        <v>3391</v>
      </c>
      <c r="B21" s="195" t="s">
        <v>6</v>
      </c>
      <c r="C21" s="301">
        <v>0.02</v>
      </c>
      <c r="D21" s="195" t="s">
        <v>7</v>
      </c>
      <c r="V21" s="301">
        <v>0.1</v>
      </c>
      <c r="Y21" s="240" t="str">
        <f>IF(OR(COUNTBLANK(AttributeFilter) = 1,AttributeFilter="(Select)"),A21, IF(OR($B21=AttributeFilter,$E21=AttributeFilter,$L21=AttributeFilter,$N21=AttributeFilter,$R21=AttributeFilter,$W21=AttributeFilter), $A21, ""))</f>
        <v>Potent Simple Sharpening Stone</v>
      </c>
      <c r="Z21" s="315" t="str" cm="1">
        <f t="array" ref="Z21">_xlfn.IFS(COUNTBLANK($B21)=0,"Derived",COUNTBLANK($L21)=0,"Healthy",COUNTBLANK($N21)=0,"Stepped",COUNTBLANK($W21)=0,"Flat",TRUE,"")</f>
        <v>Derived</v>
      </c>
    </row>
    <row r="22" spans="1:26">
      <c r="A22" s="207" t="s">
        <v>3392</v>
      </c>
      <c r="U22" s="301">
        <v>0.1</v>
      </c>
      <c r="Y22" s="240" t="str">
        <f>IF(OR(COUNTBLANK(AttributeFilter) = 1,AttributeFilter="(Select)"),A22, IF(OR($B22=AttributeFilter,$E22=AttributeFilter,$L22=AttributeFilter,$N22=AttributeFilter,$R22=AttributeFilter,$W22=AttributeFilter), $A22, ""))</f>
        <v>Swift Moa Feather</v>
      </c>
      <c r="Z22" s="315" t="str" cm="1">
        <f t="array" ref="Z22">_xlfn.IFS(COUNTBLANK($B22)=0,"Derived",COUNTBLANK($L22)=0,"Healthy",COUNTBLANK($N22)=0,"Stepped",COUNTBLANK($W22)=0,"Flat",TRUE,"")</f>
        <v/>
      </c>
    </row>
    <row r="23" spans="1:26">
      <c r="A23" s="207" t="s">
        <v>3393</v>
      </c>
      <c r="K23" s="195">
        <v>60</v>
      </c>
      <c r="L23" s="195" t="s">
        <v>7</v>
      </c>
      <c r="V23" s="301">
        <v>0.1</v>
      </c>
      <c r="Y23" s="240" t="str">
        <f>IF(OR(COUNTBLANK(AttributeFilter) = 1,AttributeFilter="(Select)"),A23, IF(OR($B23=AttributeFilter,$E23=AttributeFilter,$L23=AttributeFilter,$N23=AttributeFilter,$R23=AttributeFilter,$W23=AttributeFilter), $A23, ""))</f>
        <v>Thesis on Accuracy</v>
      </c>
      <c r="Z23" s="315" t="str" cm="1">
        <f t="array" ref="Z23">_xlfn.IFS(COUNTBLANK($B23)=0,"Derived",COUNTBLANK($L23)=0,"Healthy",COUNTBLANK($N23)=0,"Stepped",COUNTBLANK($W23)=0,"Flat",TRUE,"")</f>
        <v>Healthy</v>
      </c>
    </row>
    <row r="24" spans="1:26">
      <c r="A24" s="207" t="s">
        <v>3394</v>
      </c>
      <c r="K24" s="195">
        <v>60</v>
      </c>
      <c r="L24" s="195" t="s">
        <v>11</v>
      </c>
      <c r="V24" s="301">
        <v>0.1</v>
      </c>
      <c r="Y24" s="240" t="str">
        <f>IF(OR(COUNTBLANK(AttributeFilter) = 1,AttributeFilter="(Select)"),A24, IF(OR($B24=AttributeFilter,$E24=AttributeFilter,$L24=AttributeFilter,$N24=AttributeFilter,$R24=AttributeFilter,$W24=AttributeFilter), $A24, ""))</f>
        <v>Thesis on Malice</v>
      </c>
      <c r="Z24" s="315" t="str" cm="1">
        <f t="array" ref="Z24">_xlfn.IFS(COUNTBLANK($B24)=0,"Derived",COUNTBLANK($L24)=0,"Healthy",COUNTBLANK($N24)=0,"Stepped",COUNTBLANK($W24)=0,"Flat",TRUE,"")</f>
        <v>Healthy</v>
      </c>
    </row>
    <row r="25" spans="1:26">
      <c r="A25" s="207" t="s">
        <v>3395</v>
      </c>
      <c r="U25" s="301">
        <v>0.1</v>
      </c>
      <c r="V25" s="301">
        <v>0.1</v>
      </c>
      <c r="Y25" s="240" t="str">
        <f>IF(OR(COUNTBLANK(AttributeFilter) = 1,AttributeFilter="(Select)"),A25, IF(OR($B25=AttributeFilter,$E25=AttributeFilter,$L25=AttributeFilter,$N25=AttributeFilter,$R25=AttributeFilter,$W25=AttributeFilter), $A25, ""))</f>
        <v>Thesis on Basic Speed</v>
      </c>
      <c r="Z25" s="315" t="str" cm="1">
        <f t="array" ref="Z25">_xlfn.IFS(COUNTBLANK($B25)=0,"Derived",COUNTBLANK($L25)=0,"Healthy",COUNTBLANK($N25)=0,"Stepped",COUNTBLANK($W25)=0,"Flat",TRUE,"")</f>
        <v/>
      </c>
    </row>
    <row r="26" spans="1:26">
      <c r="A26" s="207" t="s">
        <v>3396</v>
      </c>
      <c r="K26" s="195">
        <v>60</v>
      </c>
      <c r="L26" s="195" t="s">
        <v>6</v>
      </c>
      <c r="V26" s="301">
        <v>0.1</v>
      </c>
      <c r="Y26" s="240" t="str">
        <f>IF(OR(COUNTBLANK(AttributeFilter) = 1,AttributeFilter="(Select)"),A26, IF(OR($B26=AttributeFilter,$E26=AttributeFilter,$L26=AttributeFilter,$N26=AttributeFilter,$R26=AttributeFilter,$W26=AttributeFilter), $A26, ""))</f>
        <v>Thesis on Strength</v>
      </c>
      <c r="Z26" s="315" t="str" cm="1">
        <f t="array" ref="Z26">_xlfn.IFS(COUNTBLANK($B26)=0,"Derived",COUNTBLANK($L26)=0,"Healthy",COUNTBLANK($N26)=0,"Stepped",COUNTBLANK($W26)=0,"Flat",TRUE,"")</f>
        <v>Healthy</v>
      </c>
    </row>
    <row r="27" spans="1:26">
      <c r="A27" s="207" t="s">
        <v>3397</v>
      </c>
      <c r="K27" s="195">
        <v>60</v>
      </c>
      <c r="L27" s="195" t="s">
        <v>7</v>
      </c>
      <c r="V27" s="301">
        <v>0.1</v>
      </c>
      <c r="Y27" s="240" t="str">
        <f>IF(OR(COUNTBLANK(AttributeFilter) = 1,AttributeFilter="(Select)"),A27, IF(OR($B27=AttributeFilter,$E27=AttributeFilter,$L27=AttributeFilter,$N27=AttributeFilter,$R27=AttributeFilter,$W27=AttributeFilter), $A27, ""))</f>
        <v>Writ of Accuracy</v>
      </c>
      <c r="Z27" s="315" t="str" cm="1">
        <f t="array" ref="Z27">_xlfn.IFS(COUNTBLANK($B27)=0,"Derived",COUNTBLANK($L27)=0,"Healthy",COUNTBLANK($N27)=0,"Stepped",COUNTBLANK($W27)=0,"Flat",TRUE,"")</f>
        <v>Healthy</v>
      </c>
    </row>
    <row r="28" spans="1:26">
      <c r="A28" s="207" t="s">
        <v>3398</v>
      </c>
      <c r="U28" s="301">
        <v>0.1</v>
      </c>
      <c r="V28" s="301">
        <v>0.1</v>
      </c>
      <c r="Y28" s="240" t="str">
        <f>IF(OR(COUNTBLANK(AttributeFilter) = 1,AttributeFilter="(Select)"),A28, IF(OR($B28=AttributeFilter,$E28=AttributeFilter,$L28=AttributeFilter,$N28=AttributeFilter,$R28=AttributeFilter,$W28=AttributeFilter), $A28, ""))</f>
        <v>Writ of Basic Speed</v>
      </c>
      <c r="Z28" s="315" t="str" cm="1">
        <f t="array" ref="Z28">_xlfn.IFS(COUNTBLANK($B28)=0,"Derived",COUNTBLANK($L28)=0,"Healthy",COUNTBLANK($N28)=0,"Stepped",COUNTBLANK($W28)=0,"Flat",TRUE,"")</f>
        <v/>
      </c>
    </row>
    <row r="29" spans="1:26">
      <c r="A29" s="207" t="s">
        <v>3399</v>
      </c>
      <c r="K29" s="195">
        <v>60</v>
      </c>
      <c r="L29" s="195" t="s">
        <v>11</v>
      </c>
      <c r="V29" s="301">
        <v>0.1</v>
      </c>
      <c r="Y29" s="240" t="str">
        <f>IF(OR(COUNTBLANK(AttributeFilter) = 1,AttributeFilter="(Select)"),A29, IF(OR($B29=AttributeFilter,$E29=AttributeFilter,$L29=AttributeFilter,$N29=AttributeFilter,$R29=AttributeFilter,$W29=AttributeFilter), $A29, ""))</f>
        <v>Writ of Malice</v>
      </c>
      <c r="Z29" s="315" t="str" cm="1">
        <f t="array" ref="Z29">_xlfn.IFS(COUNTBLANK($B29)=0,"Derived",COUNTBLANK($L29)=0,"Healthy",COUNTBLANK($N29)=0,"Stepped",COUNTBLANK($W29)=0,"Flat",TRUE,"")</f>
        <v>Healthy</v>
      </c>
    </row>
    <row r="30" spans="1:26">
      <c r="A30" s="207" t="s">
        <v>3400</v>
      </c>
      <c r="K30" s="195">
        <v>60</v>
      </c>
      <c r="L30" s="195" t="s">
        <v>6</v>
      </c>
      <c r="V30" s="301">
        <v>0.1</v>
      </c>
      <c r="Y30" s="240" t="str">
        <f>IF(OR(COUNTBLANK(AttributeFilter) = 1,AttributeFilter="(Select)"),A30, IF(OR($B30=AttributeFilter,$E30=AttributeFilter,$L30=AttributeFilter,$N30=AttributeFilter,$R30=AttributeFilter,$W30=AttributeFilter), $A30, ""))</f>
        <v>Writ of Strength</v>
      </c>
      <c r="Z30" s="315" t="str" cm="1">
        <f t="array" ref="Z30">_xlfn.IFS(COUNTBLANK($B30)=0,"Derived",COUNTBLANK($L30)=0,"Healthy",COUNTBLANK($N30)=0,"Stepped",COUNTBLANK($W30)=0,"Flat",TRUE,"")</f>
        <v>Healthy</v>
      </c>
    </row>
    <row r="31" spans="1:26">
      <c r="A31" s="207" t="s">
        <v>3401</v>
      </c>
      <c r="B31" s="195" t="s">
        <v>10</v>
      </c>
      <c r="C31" s="301">
        <v>0.01</v>
      </c>
      <c r="D31" s="195" t="s">
        <v>7</v>
      </c>
      <c r="E31" s="195" t="s">
        <v>10</v>
      </c>
      <c r="F31" s="301">
        <v>0.02</v>
      </c>
      <c r="G31" s="195" t="s">
        <v>14</v>
      </c>
      <c r="V31" s="301">
        <v>0.1</v>
      </c>
      <c r="Y31" s="240" t="str">
        <f>IF(OR(COUNTBLANK(AttributeFilter) = 1,AttributeFilter="(Select)"),A31, IF(OR($B31=AttributeFilter,$E31=AttributeFilter,$L31=AttributeFilter,$N31=AttributeFilter,$R31=AttributeFilter,$W31=AttributeFilter), $A31, ""))</f>
        <v>Standard Maintenance Oil</v>
      </c>
      <c r="Z31" s="315" t="str" cm="1">
        <f t="array" ref="Z31">_xlfn.IFS(COUNTBLANK($B31)=0,"Derived",COUNTBLANK($L31)=0,"Healthy",COUNTBLANK($N31)=0,"Stepped",COUNTBLANK($W31)=0,"Flat",TRUE,"")</f>
        <v>Derived</v>
      </c>
    </row>
    <row r="32" spans="1:26">
      <c r="A32" s="207" t="s">
        <v>3402</v>
      </c>
      <c r="B32" s="195" t="s">
        <v>6</v>
      </c>
      <c r="C32" s="301">
        <v>0.01</v>
      </c>
      <c r="D32" s="195" t="s">
        <v>7</v>
      </c>
      <c r="E32" s="195" t="s">
        <v>6</v>
      </c>
      <c r="F32" s="301">
        <v>0.03</v>
      </c>
      <c r="G32" s="195" t="s">
        <v>13</v>
      </c>
      <c r="V32" s="301">
        <v>0.1</v>
      </c>
      <c r="Y32" s="240" t="str">
        <f>IF(OR(COUNTBLANK(AttributeFilter) = 1,AttributeFilter="(Select)"),A32, IF(OR($B32=AttributeFilter,$E32=AttributeFilter,$L32=AttributeFilter,$N32=AttributeFilter,$R32=AttributeFilter,$W32=AttributeFilter), $A32, ""))</f>
        <v>Potent Standard Sharpening Stone</v>
      </c>
      <c r="Z32" s="315" t="str" cm="1">
        <f t="array" ref="Z32">_xlfn.IFS(COUNTBLANK($B32)=0,"Derived",COUNTBLANK($L32)=0,"Healthy",COUNTBLANK($N32)=0,"Stepped",COUNTBLANK($W32)=0,"Flat",TRUE,"")</f>
        <v>Derived</v>
      </c>
    </row>
    <row r="33" spans="1:26">
      <c r="A33" s="207" t="s">
        <v>3403</v>
      </c>
      <c r="B33" s="195" t="s">
        <v>6</v>
      </c>
      <c r="C33" s="301">
        <v>0.01</v>
      </c>
      <c r="D33" s="195" t="s">
        <v>7</v>
      </c>
      <c r="E33" s="195" t="s">
        <v>6</v>
      </c>
      <c r="F33" s="301">
        <v>0.03</v>
      </c>
      <c r="G33" s="195" t="s">
        <v>13</v>
      </c>
      <c r="V33" s="301">
        <v>0.1</v>
      </c>
      <c r="Y33" s="240" t="str">
        <f>IF(OR(COUNTBLANK(AttributeFilter) = 1,AttributeFilter="(Select)"),A33, IF(OR($B33=AttributeFilter,$E33=AttributeFilter,$L33=AttributeFilter,$N33=AttributeFilter,$R33=AttributeFilter,$W33=AttributeFilter), $A33, ""))</f>
        <v>Standard Sharpening Stone</v>
      </c>
      <c r="Z33" s="315" t="str" cm="1">
        <f t="array" ref="Z33">_xlfn.IFS(COUNTBLANK($B33)=0,"Derived",COUNTBLANK($L33)=0,"Healthy",COUNTBLANK($N33)=0,"Stepped",COUNTBLANK($W33)=0,"Flat",TRUE,"")</f>
        <v>Derived</v>
      </c>
    </row>
    <row r="34" spans="1:26">
      <c r="A34" s="207" t="s">
        <v>3404</v>
      </c>
      <c r="B34" s="195" t="s">
        <v>11</v>
      </c>
      <c r="C34" s="301">
        <v>0.01</v>
      </c>
      <c r="D34" s="195" t="s">
        <v>7</v>
      </c>
      <c r="E34" s="195" t="s">
        <v>11</v>
      </c>
      <c r="F34" s="301">
        <v>0.03</v>
      </c>
      <c r="G34" s="195" t="s">
        <v>12</v>
      </c>
      <c r="V34" s="301">
        <v>0.1</v>
      </c>
      <c r="Y34" s="240" t="str">
        <f>IF(OR(COUNTBLANK(AttributeFilter) = 1,AttributeFilter="(Select)"),A34, IF(OR($B34=AttributeFilter,$E34=AttributeFilter,$L34=AttributeFilter,$N34=AttributeFilter,$R34=AttributeFilter,$W34=AttributeFilter), $A34, ""))</f>
        <v>Standard Tuning Crystal</v>
      </c>
      <c r="Z34" s="315" t="str" cm="1">
        <f t="array" ref="Z34">_xlfn.IFS(COUNTBLANK($B34)=0,"Derived",COUNTBLANK($L34)=0,"Healthy",COUNTBLANK($N34)=0,"Stepped",COUNTBLANK($W34)=0,"Flat",TRUE,"")</f>
        <v>Derived</v>
      </c>
    </row>
    <row r="35" spans="1:26">
      <c r="A35" s="207" t="s">
        <v>3405</v>
      </c>
      <c r="K35" s="195">
        <v>100</v>
      </c>
      <c r="L35" s="195" t="s">
        <v>7</v>
      </c>
      <c r="V35" s="301">
        <v>0.1</v>
      </c>
      <c r="Y35" s="240" t="str">
        <f>IF(OR(COUNTBLANK(AttributeFilter) = 1,AttributeFilter="(Select)"),A35, IF(OR($B35=AttributeFilter,$E35=AttributeFilter,$L35=AttributeFilter,$N35=AttributeFilter,$R35=AttributeFilter,$W35=AttributeFilter), $A35, ""))</f>
        <v>Thesis on Studied Accuracy</v>
      </c>
      <c r="Z35" s="315" t="str" cm="1">
        <f t="array" ref="Z35">_xlfn.IFS(COUNTBLANK($B35)=0,"Derived",COUNTBLANK($L35)=0,"Healthy",COUNTBLANK($N35)=0,"Stepped",COUNTBLANK($W35)=0,"Flat",TRUE,"")</f>
        <v>Healthy</v>
      </c>
    </row>
    <row r="36" spans="1:26">
      <c r="A36" s="207" t="s">
        <v>3406</v>
      </c>
      <c r="K36" s="195">
        <v>100</v>
      </c>
      <c r="L36" s="195" t="s">
        <v>11</v>
      </c>
      <c r="V36" s="301">
        <v>0.1</v>
      </c>
      <c r="Y36" s="240" t="str">
        <f>IF(OR(COUNTBLANK(AttributeFilter) = 1,AttributeFilter="(Select)"),A36, IF(OR($B36=AttributeFilter,$E36=AttributeFilter,$L36=AttributeFilter,$N36=AttributeFilter,$R36=AttributeFilter,$W36=AttributeFilter), $A36, ""))</f>
        <v>Thesis on Studied Malice</v>
      </c>
      <c r="Z36" s="315" t="str" cm="1">
        <f t="array" ref="Z36">_xlfn.IFS(COUNTBLANK($B36)=0,"Derived",COUNTBLANK($L36)=0,"Healthy",COUNTBLANK($N36)=0,"Stepped",COUNTBLANK($W36)=0,"Flat",TRUE,"")</f>
        <v>Healthy</v>
      </c>
    </row>
    <row r="37" spans="1:26">
      <c r="A37" s="207" t="s">
        <v>3407</v>
      </c>
      <c r="K37" s="195">
        <v>100</v>
      </c>
      <c r="L37" s="195" t="s">
        <v>6</v>
      </c>
      <c r="V37" s="301">
        <v>0.1</v>
      </c>
      <c r="Y37" s="240" t="str">
        <f>IF(OR(COUNTBLANK(AttributeFilter) = 1,AttributeFilter="(Select)"),A37, IF(OR($B37=AttributeFilter,$E37=AttributeFilter,$L37=AttributeFilter,$N37=AttributeFilter,$R37=AttributeFilter,$W37=AttributeFilter), $A37, ""))</f>
        <v>Thesis on Studied Strength</v>
      </c>
      <c r="Z37" s="315" t="str" cm="1">
        <f t="array" ref="Z37">_xlfn.IFS(COUNTBLANK($B37)=0,"Derived",COUNTBLANK($L37)=0,"Healthy",COUNTBLANK($N37)=0,"Stepped",COUNTBLANK($W37)=0,"Flat",TRUE,"")</f>
        <v>Healthy</v>
      </c>
    </row>
    <row r="38" spans="1:26">
      <c r="A38" s="207" t="s">
        <v>3408</v>
      </c>
      <c r="K38" s="195">
        <v>100</v>
      </c>
      <c r="L38" s="195" t="s">
        <v>7</v>
      </c>
      <c r="V38" s="301">
        <v>0.1</v>
      </c>
      <c r="Y38" s="240" t="str">
        <f>IF(OR(COUNTBLANK(AttributeFilter) = 1,AttributeFilter="(Select)"),A38, IF(OR($B38=AttributeFilter,$E38=AttributeFilter,$L38=AttributeFilter,$N38=AttributeFilter,$R38=AttributeFilter,$W38=AttributeFilter), $A38, ""))</f>
        <v>Writ of Studied Accuracy</v>
      </c>
      <c r="Z38" s="315" t="str" cm="1">
        <f t="array" ref="Z38">_xlfn.IFS(COUNTBLANK($B38)=0,"Derived",COUNTBLANK($L38)=0,"Healthy",COUNTBLANK($N38)=0,"Stepped",COUNTBLANK($W38)=0,"Flat",TRUE,"")</f>
        <v>Healthy</v>
      </c>
    </row>
    <row r="39" spans="1:26">
      <c r="A39" s="207" t="s">
        <v>3409</v>
      </c>
      <c r="K39" s="195">
        <v>100</v>
      </c>
      <c r="L39" s="195" t="s">
        <v>11</v>
      </c>
      <c r="V39" s="301">
        <v>0.1</v>
      </c>
      <c r="Y39" s="240" t="str">
        <f>IF(OR(COUNTBLANK(AttributeFilter) = 1,AttributeFilter="(Select)"),A39, IF(OR($B39=AttributeFilter,$E39=AttributeFilter,$L39=AttributeFilter,$N39=AttributeFilter,$R39=AttributeFilter,$W39=AttributeFilter), $A39, ""))</f>
        <v>Writ of Studied Malice</v>
      </c>
      <c r="Z39" s="315" t="str" cm="1">
        <f t="array" ref="Z39">_xlfn.IFS(COUNTBLANK($B39)=0,"Derived",COUNTBLANK($L39)=0,"Healthy",COUNTBLANK($N39)=0,"Stepped",COUNTBLANK($W39)=0,"Flat",TRUE,"")</f>
        <v>Healthy</v>
      </c>
    </row>
    <row r="40" spans="1:26">
      <c r="A40" s="207" t="s">
        <v>3410</v>
      </c>
      <c r="K40" s="195">
        <v>100</v>
      </c>
      <c r="L40" s="195" t="s">
        <v>6</v>
      </c>
      <c r="V40" s="301">
        <v>0.1</v>
      </c>
      <c r="Y40" s="240" t="str">
        <f>IF(OR(COUNTBLANK(AttributeFilter) = 1,AttributeFilter="(Select)"),A40, IF(OR($B40=AttributeFilter,$E40=AttributeFilter,$L40=AttributeFilter,$N40=AttributeFilter,$R40=AttributeFilter,$W40=AttributeFilter), $A40, ""))</f>
        <v>Writ of Studied Strength</v>
      </c>
      <c r="Z40" s="315" t="str" cm="1">
        <f t="array" ref="Z40">_xlfn.IFS(COUNTBLANK($B40)=0,"Derived",COUNTBLANK($L40)=0,"Healthy",COUNTBLANK($N40)=0,"Stepped",COUNTBLANK($W40)=0,"Flat",TRUE,"")</f>
        <v>Healthy</v>
      </c>
    </row>
    <row r="41" spans="1:26">
      <c r="A41" s="207" t="s">
        <v>3411</v>
      </c>
      <c r="B41" s="195" t="s">
        <v>10</v>
      </c>
      <c r="C41" s="301">
        <v>0.02</v>
      </c>
      <c r="D41" s="195" t="s">
        <v>7</v>
      </c>
      <c r="E41" s="195" t="s">
        <v>10</v>
      </c>
      <c r="F41" s="301">
        <v>0.02</v>
      </c>
      <c r="G41" s="195" t="s">
        <v>14</v>
      </c>
      <c r="V41" s="301">
        <v>0.1</v>
      </c>
      <c r="Y41" s="240" t="str">
        <f>IF(OR(COUNTBLANK(AttributeFilter) = 1,AttributeFilter="(Select)"),A41, IF(OR($B41=AttributeFilter,$E41=AttributeFilter,$L41=AttributeFilter,$N41=AttributeFilter,$R41=AttributeFilter,$W41=AttributeFilter), $A41, ""))</f>
        <v>Artisan Maintenance Oil</v>
      </c>
      <c r="Z41" s="315" t="str" cm="1">
        <f t="array" ref="Z41">_xlfn.IFS(COUNTBLANK($B41)=0,"Derived",COUNTBLANK($L41)=0,"Healthy",COUNTBLANK($N41)=0,"Stepped",COUNTBLANK($W41)=0,"Flat",TRUE,"")</f>
        <v>Derived</v>
      </c>
    </row>
    <row r="42" spans="1:26">
      <c r="A42" s="207" t="s">
        <v>3412</v>
      </c>
      <c r="B42" s="195" t="s">
        <v>11</v>
      </c>
      <c r="C42" s="301">
        <v>0.02</v>
      </c>
      <c r="D42" s="195" t="s">
        <v>7</v>
      </c>
      <c r="E42" s="195" t="s">
        <v>11</v>
      </c>
      <c r="F42" s="301">
        <v>0.03</v>
      </c>
      <c r="G42" s="195" t="s">
        <v>12</v>
      </c>
      <c r="V42" s="301">
        <v>0.1</v>
      </c>
      <c r="Y42" s="240" t="str">
        <f>IF(OR(COUNTBLANK(AttributeFilter) = 1,AttributeFilter="(Select)"),A42, IF(OR($B42=AttributeFilter,$E42=AttributeFilter,$L42=AttributeFilter,$N42=AttributeFilter,$R42=AttributeFilter,$W42=AttributeFilter), $A42, ""))</f>
        <v>Artisan Tuning Crystal</v>
      </c>
      <c r="Z42" s="315" t="str" cm="1">
        <f t="array" ref="Z42">_xlfn.IFS(COUNTBLANK($B42)=0,"Derived",COUNTBLANK($L42)=0,"Healthy",COUNTBLANK($N42)=0,"Stepped",COUNTBLANK($W42)=0,"Flat",TRUE,"")</f>
        <v>Derived</v>
      </c>
    </row>
    <row r="43" spans="1:26">
      <c r="A43" s="207" t="s">
        <v>3413</v>
      </c>
      <c r="B43" s="195" t="s">
        <v>6</v>
      </c>
      <c r="C43" s="301">
        <v>0.02</v>
      </c>
      <c r="D43" s="195" t="s">
        <v>7</v>
      </c>
      <c r="E43" s="195" t="s">
        <v>6</v>
      </c>
      <c r="F43" s="301">
        <v>0.02</v>
      </c>
      <c r="G43" s="195" t="s">
        <v>13</v>
      </c>
      <c r="V43" s="301">
        <v>0.1</v>
      </c>
      <c r="Y43" s="240" t="str">
        <f>IF(OR(COUNTBLANK(AttributeFilter) = 1,AttributeFilter="(Select)"),A43, IF(OR($B43=AttributeFilter,$E43=AttributeFilter,$L43=AttributeFilter,$N43=AttributeFilter,$R43=AttributeFilter,$W43=AttributeFilter), $A43, ""))</f>
        <v>Potent Quality Sharpening Stone</v>
      </c>
      <c r="Z43" s="315" t="str" cm="1">
        <f t="array" ref="Z43">_xlfn.IFS(COUNTBLANK($B43)=0,"Derived",COUNTBLANK($L43)=0,"Healthy",COUNTBLANK($N43)=0,"Stepped",COUNTBLANK($W43)=0,"Flat",TRUE,"")</f>
        <v>Derived</v>
      </c>
    </row>
    <row r="44" spans="1:26">
      <c r="A44" s="207" t="s">
        <v>3414</v>
      </c>
      <c r="B44" s="195" t="s">
        <v>6</v>
      </c>
      <c r="C44" s="301">
        <v>0.02</v>
      </c>
      <c r="D44" s="195" t="s">
        <v>7</v>
      </c>
      <c r="E44" s="195" t="s">
        <v>6</v>
      </c>
      <c r="F44" s="301">
        <v>0.02</v>
      </c>
      <c r="G44" s="195" t="s">
        <v>13</v>
      </c>
      <c r="V44" s="301">
        <v>0.1</v>
      </c>
      <c r="Y44" s="240" t="str">
        <f>IF(OR(COUNTBLANK(AttributeFilter) = 1,AttributeFilter="(Select)"),A44, IF(OR($B44=AttributeFilter,$E44=AttributeFilter,$L44=AttributeFilter,$N44=AttributeFilter,$R44=AttributeFilter,$W44=AttributeFilter), $A44, ""))</f>
        <v>Quality Sharpening Stone</v>
      </c>
      <c r="Z44" s="315" t="str" cm="1">
        <f t="array" ref="Z44">_xlfn.IFS(COUNTBLANK($B44)=0,"Derived",COUNTBLANK($L44)=0,"Healthy",COUNTBLANK($N44)=0,"Stepped",COUNTBLANK($W44)=0,"Flat",TRUE,"")</f>
        <v>Derived</v>
      </c>
    </row>
    <row r="45" spans="1:26">
      <c r="A45" s="207" t="s">
        <v>3415</v>
      </c>
      <c r="K45" s="195">
        <v>120</v>
      </c>
      <c r="L45" s="195" t="s">
        <v>7</v>
      </c>
      <c r="V45" s="301">
        <v>0.1</v>
      </c>
      <c r="Y45" s="240" t="str">
        <f>IF(OR(COUNTBLANK(AttributeFilter) = 1,AttributeFilter="(Select)"),A45, IF(OR($B45=AttributeFilter,$E45=AttributeFilter,$L45=AttributeFilter,$N45=AttributeFilter,$R45=AttributeFilter,$W45=AttributeFilter), $A45, ""))</f>
        <v>Thesis on Calculated Accuracy</v>
      </c>
      <c r="Z45" s="315" t="str" cm="1">
        <f t="array" ref="Z45">_xlfn.IFS(COUNTBLANK($B45)=0,"Derived",COUNTBLANK($L45)=0,"Healthy",COUNTBLANK($N45)=0,"Stepped",COUNTBLANK($W45)=0,"Flat",TRUE,"")</f>
        <v>Healthy</v>
      </c>
    </row>
    <row r="46" spans="1:26">
      <c r="A46" s="207" t="s">
        <v>3416</v>
      </c>
      <c r="K46" s="195">
        <v>120</v>
      </c>
      <c r="L46" s="195" t="s">
        <v>11</v>
      </c>
      <c r="V46" s="301">
        <v>0.1</v>
      </c>
      <c r="Y46" s="240" t="str">
        <f>IF(OR(COUNTBLANK(AttributeFilter) = 1,AttributeFilter="(Select)"),A46, IF(OR($B46=AttributeFilter,$E46=AttributeFilter,$L46=AttributeFilter,$N46=AttributeFilter,$R46=AttributeFilter,$W46=AttributeFilter), $A46, ""))</f>
        <v>Thesis on Calculated Malice</v>
      </c>
      <c r="Z46" s="315" t="str" cm="1">
        <f t="array" ref="Z46">_xlfn.IFS(COUNTBLANK($B46)=0,"Derived",COUNTBLANK($L46)=0,"Healthy",COUNTBLANK($N46)=0,"Stepped",COUNTBLANK($W46)=0,"Flat",TRUE,"")</f>
        <v>Healthy</v>
      </c>
    </row>
    <row r="47" spans="1:26">
      <c r="A47" s="207" t="s">
        <v>3417</v>
      </c>
      <c r="K47" s="195">
        <v>120</v>
      </c>
      <c r="L47" s="195" t="s">
        <v>6</v>
      </c>
      <c r="V47" s="301">
        <v>0.1</v>
      </c>
      <c r="Y47" s="240" t="str">
        <f>IF(OR(COUNTBLANK(AttributeFilter) = 1,AttributeFilter="(Select)"),A47, IF(OR($B47=AttributeFilter,$E47=AttributeFilter,$L47=AttributeFilter,$N47=AttributeFilter,$R47=AttributeFilter,$W47=AttributeFilter), $A47, ""))</f>
        <v>Thesis on Calculated Strength</v>
      </c>
      <c r="Z47" s="315" t="str" cm="1">
        <f t="array" ref="Z47">_xlfn.IFS(COUNTBLANK($B47)=0,"Derived",COUNTBLANK($L47)=0,"Healthy",COUNTBLANK($N47)=0,"Stepped",COUNTBLANK($W47)=0,"Flat",TRUE,"")</f>
        <v>Healthy</v>
      </c>
    </row>
    <row r="48" spans="1:26">
      <c r="A48" s="207" t="s">
        <v>3418</v>
      </c>
      <c r="K48" s="195">
        <v>120</v>
      </c>
      <c r="L48" s="195" t="s">
        <v>7</v>
      </c>
      <c r="V48" s="301">
        <v>0.1</v>
      </c>
      <c r="Y48" s="240" t="str">
        <f>IF(OR(COUNTBLANK(AttributeFilter) = 1,AttributeFilter="(Select)"),A48, IF(OR($B48=AttributeFilter,$E48=AttributeFilter,$L48=AttributeFilter,$N48=AttributeFilter,$R48=AttributeFilter,$W48=AttributeFilter), $A48, ""))</f>
        <v>Writ of Calculated Accuracy</v>
      </c>
      <c r="Z48" s="315" t="str" cm="1">
        <f t="array" ref="Z48">_xlfn.IFS(COUNTBLANK($B48)=0,"Derived",COUNTBLANK($L48)=0,"Healthy",COUNTBLANK($N48)=0,"Stepped",COUNTBLANK($W48)=0,"Flat",TRUE,"")</f>
        <v>Healthy</v>
      </c>
    </row>
    <row r="49" spans="1:26">
      <c r="A49" s="207" t="s">
        <v>3419</v>
      </c>
      <c r="K49" s="195">
        <v>120</v>
      </c>
      <c r="L49" s="195" t="s">
        <v>11</v>
      </c>
      <c r="V49" s="301">
        <v>0.1</v>
      </c>
      <c r="Y49" s="240" t="str">
        <f>IF(OR(COUNTBLANK(AttributeFilter) = 1,AttributeFilter="(Select)"),A49, IF(OR($B49=AttributeFilter,$E49=AttributeFilter,$L49=AttributeFilter,$N49=AttributeFilter,$R49=AttributeFilter,$W49=AttributeFilter), $A49, ""))</f>
        <v>Writ of Calculated Malice</v>
      </c>
      <c r="Z49" s="315" t="str" cm="1">
        <f t="array" ref="Z49">_xlfn.IFS(COUNTBLANK($B49)=0,"Derived",COUNTBLANK($L49)=0,"Healthy",COUNTBLANK($N49)=0,"Stepped",COUNTBLANK($W49)=0,"Flat",TRUE,"")</f>
        <v>Healthy</v>
      </c>
    </row>
    <row r="50" spans="1:26">
      <c r="A50" s="207" t="s">
        <v>3420</v>
      </c>
      <c r="K50" s="195">
        <v>120</v>
      </c>
      <c r="L50" s="195" t="s">
        <v>6</v>
      </c>
      <c r="V50" s="301">
        <v>0.1</v>
      </c>
      <c r="Y50" s="240" t="str">
        <f>IF(OR(COUNTBLANK(AttributeFilter) = 1,AttributeFilter="(Select)"),A50, IF(OR($B50=AttributeFilter,$E50=AttributeFilter,$L50=AttributeFilter,$N50=AttributeFilter,$R50=AttributeFilter,$W50=AttributeFilter), $A50, ""))</f>
        <v>Writ of Calculated Strength</v>
      </c>
      <c r="Z50" s="315" t="str" cm="1">
        <f t="array" ref="Z50">_xlfn.IFS(COUNTBLANK($B50)=0,"Derived",COUNTBLANK($L50)=0,"Healthy",COUNTBLANK($N50)=0,"Stepped",COUNTBLANK($W50)=0,"Flat",TRUE,"")</f>
        <v>Healthy</v>
      </c>
    </row>
    <row r="51" spans="1:26">
      <c r="A51" s="207" t="s">
        <v>3421</v>
      </c>
      <c r="B51" s="195" t="s">
        <v>6</v>
      </c>
      <c r="C51" s="301">
        <v>0.02</v>
      </c>
      <c r="D51" s="195" t="s">
        <v>7</v>
      </c>
      <c r="E51" s="195" t="s">
        <v>6</v>
      </c>
      <c r="F51" s="301">
        <v>0.04</v>
      </c>
      <c r="G51" s="195" t="s">
        <v>13</v>
      </c>
      <c r="V51" s="301">
        <v>0.1</v>
      </c>
      <c r="Y51" s="240" t="str">
        <f>IF(OR(COUNTBLANK(AttributeFilter) = 1,AttributeFilter="(Select)"),A51, IF(OR($B51=AttributeFilter,$E51=AttributeFilter,$L51=AttributeFilter,$N51=AttributeFilter,$R51=AttributeFilter,$W51=AttributeFilter), $A51, ""))</f>
        <v>Hardened Sharpening Stone</v>
      </c>
      <c r="Z51" s="315" t="str" cm="1">
        <f t="array" ref="Z51">_xlfn.IFS(COUNTBLANK($B51)=0,"Derived",COUNTBLANK($L51)=0,"Healthy",COUNTBLANK($N51)=0,"Stepped",COUNTBLANK($W51)=0,"Flat",TRUE,"")</f>
        <v>Derived</v>
      </c>
    </row>
    <row r="52" spans="1:26">
      <c r="A52" s="207" t="s">
        <v>3422</v>
      </c>
      <c r="B52" s="195" t="s">
        <v>6</v>
      </c>
      <c r="C52" s="301">
        <v>0.02</v>
      </c>
      <c r="D52" s="195" t="s">
        <v>7</v>
      </c>
      <c r="E52" s="195" t="s">
        <v>6</v>
      </c>
      <c r="F52" s="301">
        <v>0.04</v>
      </c>
      <c r="G52" s="195" t="s">
        <v>13</v>
      </c>
      <c r="V52" s="301">
        <v>0.1</v>
      </c>
      <c r="Y52" s="240" t="str">
        <f>IF(OR(COUNTBLANK(AttributeFilter) = 1,AttributeFilter="(Select)"),A52, IF(OR($B52=AttributeFilter,$E52=AttributeFilter,$L52=AttributeFilter,$N52=AttributeFilter,$R52=AttributeFilter,$W52=AttributeFilter), $A52, ""))</f>
        <v>Potent Hardened Sharpening Stone</v>
      </c>
      <c r="Z52" s="315" t="str" cm="1">
        <f t="array" ref="Z52">_xlfn.IFS(COUNTBLANK($B52)=0,"Derived",COUNTBLANK($L52)=0,"Healthy",COUNTBLANK($N52)=0,"Stepped",COUNTBLANK($W52)=0,"Flat",TRUE,"")</f>
        <v>Derived</v>
      </c>
    </row>
    <row r="53" spans="1:26">
      <c r="A53" s="207" t="s">
        <v>3423</v>
      </c>
      <c r="B53" s="195" t="s">
        <v>10</v>
      </c>
      <c r="C53" s="301">
        <v>0.02</v>
      </c>
      <c r="D53" s="195" t="s">
        <v>7</v>
      </c>
      <c r="E53" s="195" t="s">
        <v>10</v>
      </c>
      <c r="F53" s="301">
        <v>0.04</v>
      </c>
      <c r="G53" s="195" t="s">
        <v>14</v>
      </c>
      <c r="V53" s="301">
        <v>0.1</v>
      </c>
      <c r="Y53" s="240" t="str">
        <f>IF(OR(COUNTBLANK(AttributeFilter) = 1,AttributeFilter="(Select)"),A53, IF(OR($B53=AttributeFilter,$E53=AttributeFilter,$L53=AttributeFilter,$N53=AttributeFilter,$R53=AttributeFilter,$W53=AttributeFilter), $A53, ""))</f>
        <v>Quality Maintenance Oil</v>
      </c>
      <c r="Z53" s="315" t="str" cm="1">
        <f t="array" ref="Z53">_xlfn.IFS(COUNTBLANK($B53)=0,"Derived",COUNTBLANK($L53)=0,"Healthy",COUNTBLANK($N53)=0,"Stepped",COUNTBLANK($W53)=0,"Flat",TRUE,"")</f>
        <v>Derived</v>
      </c>
    </row>
    <row r="54" spans="1:26">
      <c r="A54" s="207" t="s">
        <v>3424</v>
      </c>
      <c r="B54" s="195" t="s">
        <v>11</v>
      </c>
      <c r="C54" s="301">
        <v>0.02</v>
      </c>
      <c r="D54" s="195" t="s">
        <v>7</v>
      </c>
      <c r="E54" s="195" t="s">
        <v>11</v>
      </c>
      <c r="F54" s="301">
        <v>0.05</v>
      </c>
      <c r="G54" s="195" t="s">
        <v>12</v>
      </c>
      <c r="V54" s="301">
        <v>0.1</v>
      </c>
      <c r="Y54" s="240" t="str">
        <f>IF(OR(COUNTBLANK(AttributeFilter) = 1,AttributeFilter="(Select)"),A54, IF(OR($B54=AttributeFilter,$E54=AttributeFilter,$L54=AttributeFilter,$N54=AttributeFilter,$R54=AttributeFilter,$W54=AttributeFilter), $A54, ""))</f>
        <v>Quality Tuning Crystal</v>
      </c>
      <c r="Z54" s="315" t="str" cm="1">
        <f t="array" ref="Z54">_xlfn.IFS(COUNTBLANK($B54)=0,"Derived",COUNTBLANK($L54)=0,"Healthy",COUNTBLANK($N54)=0,"Stepped",COUNTBLANK($W54)=0,"Flat",TRUE,"")</f>
        <v>Derived</v>
      </c>
    </row>
    <row r="55" spans="1:26">
      <c r="A55" s="207" t="s">
        <v>3425</v>
      </c>
      <c r="U55" s="301">
        <v>0.15</v>
      </c>
      <c r="V55" s="301">
        <v>0.1</v>
      </c>
      <c r="Y55" s="240" t="str">
        <f>IF(OR(COUNTBLANK(AttributeFilter) = 1,AttributeFilter="(Select)"),A55, IF(OR($B55=AttributeFilter,$E55=AttributeFilter,$L55=AttributeFilter,$N55=AttributeFilter,$R55=AttributeFilter,$W55=AttributeFilter), $A55, ""))</f>
        <v>Writ of Studied Speed</v>
      </c>
      <c r="Z55" s="315" t="str" cm="1">
        <f t="array" ref="Z55">_xlfn.IFS(COUNTBLANK($B55)=0,"Derived",COUNTBLANK($L55)=0,"Healthy",COUNTBLANK($N55)=0,"Stepped",COUNTBLANK($W55)=0,"Flat",TRUE,"")</f>
        <v/>
      </c>
    </row>
    <row r="56" spans="1:26">
      <c r="A56" s="207" t="s">
        <v>3426</v>
      </c>
      <c r="K56" s="195">
        <v>160</v>
      </c>
      <c r="L56" s="195" t="s">
        <v>7</v>
      </c>
      <c r="V56" s="301">
        <v>0.1</v>
      </c>
      <c r="Y56" s="240" t="str">
        <f>IF(OR(COUNTBLANK(AttributeFilter) = 1,AttributeFilter="(Select)"),A56, IF(OR($B56=AttributeFilter,$E56=AttributeFilter,$L56=AttributeFilter,$N56=AttributeFilter,$R56=AttributeFilter,$W56=AttributeFilter), $A56, ""))</f>
        <v>Thesis on Learned Accuracy</v>
      </c>
      <c r="Z56" s="315" t="str" cm="1">
        <f t="array" ref="Z56">_xlfn.IFS(COUNTBLANK($B56)=0,"Derived",COUNTBLANK($L56)=0,"Healthy",COUNTBLANK($N56)=0,"Stepped",COUNTBLANK($W56)=0,"Flat",TRUE,"")</f>
        <v>Healthy</v>
      </c>
    </row>
    <row r="57" spans="1:26">
      <c r="A57" s="207" t="s">
        <v>3427</v>
      </c>
      <c r="K57" s="195">
        <v>160</v>
      </c>
      <c r="L57" s="195" t="s">
        <v>11</v>
      </c>
      <c r="V57" s="301">
        <v>0.1</v>
      </c>
      <c r="Y57" s="240" t="str">
        <f>IF(OR(COUNTBLANK(AttributeFilter) = 1,AttributeFilter="(Select)"),A57, IF(OR($B57=AttributeFilter,$E57=AttributeFilter,$L57=AttributeFilter,$N57=AttributeFilter,$R57=AttributeFilter,$W57=AttributeFilter), $A57, ""))</f>
        <v>Thesis on Learned Malice</v>
      </c>
      <c r="Z57" s="315" t="str" cm="1">
        <f t="array" ref="Z57">_xlfn.IFS(COUNTBLANK($B57)=0,"Derived",COUNTBLANK($L57)=0,"Healthy",COUNTBLANK($N57)=0,"Stepped",COUNTBLANK($W57)=0,"Flat",TRUE,"")</f>
        <v>Healthy</v>
      </c>
    </row>
    <row r="58" spans="1:26">
      <c r="A58" s="207" t="s">
        <v>3428</v>
      </c>
      <c r="U58" s="301">
        <v>0.15</v>
      </c>
      <c r="V58" s="301">
        <v>0.1</v>
      </c>
      <c r="Y58" s="240" t="str">
        <f>IF(OR(COUNTBLANK(AttributeFilter) = 1,AttributeFilter="(Select)"),A58, IF(OR($B58=AttributeFilter,$E58=AttributeFilter,$L58=AttributeFilter,$N58=AttributeFilter,$R58=AttributeFilter,$W58=AttributeFilter), $A58, ""))</f>
        <v>Thesis on Speed</v>
      </c>
      <c r="Z58" s="315" t="str" cm="1">
        <f t="array" ref="Z58">_xlfn.IFS(COUNTBLANK($B58)=0,"Derived",COUNTBLANK($L58)=0,"Healthy",COUNTBLANK($N58)=0,"Stepped",COUNTBLANK($W58)=0,"Flat",TRUE,"")</f>
        <v/>
      </c>
    </row>
    <row r="59" spans="1:26">
      <c r="A59" s="207" t="s">
        <v>3429</v>
      </c>
      <c r="K59" s="195">
        <v>160</v>
      </c>
      <c r="L59" s="195" t="s">
        <v>6</v>
      </c>
      <c r="V59" s="301">
        <v>0.1</v>
      </c>
      <c r="Y59" s="240" t="str">
        <f>IF(OR(COUNTBLANK(AttributeFilter) = 1,AttributeFilter="(Select)"),A59, IF(OR($B59=AttributeFilter,$E59=AttributeFilter,$L59=AttributeFilter,$N59=AttributeFilter,$R59=AttributeFilter,$W59=AttributeFilter), $A59, ""))</f>
        <v>Thesis on Learned Strength</v>
      </c>
      <c r="Z59" s="315" t="str" cm="1">
        <f t="array" ref="Z59">_xlfn.IFS(COUNTBLANK($B59)=0,"Derived",COUNTBLANK($L59)=0,"Healthy",COUNTBLANK($N59)=0,"Stepped",COUNTBLANK($W59)=0,"Flat",TRUE,"")</f>
        <v>Healthy</v>
      </c>
    </row>
    <row r="60" spans="1:26">
      <c r="A60" s="207" t="s">
        <v>3430</v>
      </c>
      <c r="K60" s="195">
        <v>160</v>
      </c>
      <c r="L60" s="195" t="s">
        <v>6</v>
      </c>
      <c r="V60" s="301">
        <v>0.1</v>
      </c>
      <c r="Y60" s="240" t="str">
        <f>IF(OR(COUNTBLANK(AttributeFilter) = 1,AttributeFilter="(Select)"),A60, IF(OR($B60=AttributeFilter,$E60=AttributeFilter,$L60=AttributeFilter,$N60=AttributeFilter,$R60=AttributeFilter,$W60=AttributeFilter), $A60, ""))</f>
        <v>Writ of Learned Strength</v>
      </c>
      <c r="Z60" s="315" t="str" cm="1">
        <f t="array" ref="Z60">_xlfn.IFS(COUNTBLANK($B60)=0,"Derived",COUNTBLANK($L60)=0,"Healthy",COUNTBLANK($N60)=0,"Stepped",COUNTBLANK($W60)=0,"Flat",TRUE,"")</f>
        <v>Healthy</v>
      </c>
    </row>
    <row r="61" spans="1:26">
      <c r="A61" s="207" t="s">
        <v>3431</v>
      </c>
      <c r="K61" s="195">
        <v>160</v>
      </c>
      <c r="L61" s="195" t="s">
        <v>11</v>
      </c>
      <c r="V61" s="301">
        <v>0.1</v>
      </c>
      <c r="Y61" s="240" t="str">
        <f>IF(OR(COUNTBLANK(AttributeFilter) = 1,AttributeFilter="(Select)"),A61, IF(OR($B61=AttributeFilter,$E61=AttributeFilter,$L61=AttributeFilter,$N61=AttributeFilter,$R61=AttributeFilter,$W61=AttributeFilter), $A61, ""))</f>
        <v>Writ of Learned Malice</v>
      </c>
      <c r="Z61" s="315" t="str" cm="1">
        <f t="array" ref="Z61">_xlfn.IFS(COUNTBLANK($B61)=0,"Derived",COUNTBLANK($L61)=0,"Healthy",COUNTBLANK($N61)=0,"Stepped",COUNTBLANK($W61)=0,"Flat",TRUE,"")</f>
        <v>Healthy</v>
      </c>
    </row>
    <row r="62" spans="1:26">
      <c r="A62" s="207" t="s">
        <v>3432</v>
      </c>
      <c r="K62" s="195">
        <v>160</v>
      </c>
      <c r="L62" s="195" t="s">
        <v>7</v>
      </c>
      <c r="V62" s="301">
        <v>0.1</v>
      </c>
      <c r="Y62" s="240" t="str">
        <f>IF(OR(COUNTBLANK(AttributeFilter) = 1,AttributeFilter="(Select)"),A62, IF(OR($B62=AttributeFilter,$E62=AttributeFilter,$L62=AttributeFilter,$N62=AttributeFilter,$R62=AttributeFilter,$W62=AttributeFilter), $A62, ""))</f>
        <v>Writ of Learned Accuracy</v>
      </c>
      <c r="Z62" s="315" t="str" cm="1">
        <f t="array" ref="Z62">_xlfn.IFS(COUNTBLANK($B62)=0,"Derived",COUNTBLANK($L62)=0,"Healthy",COUNTBLANK($N62)=0,"Stepped",COUNTBLANK($W62)=0,"Flat",TRUE,"")</f>
        <v>Healthy</v>
      </c>
    </row>
    <row r="63" spans="1:26">
      <c r="A63" s="207" t="s">
        <v>3433</v>
      </c>
      <c r="B63" s="195" t="s">
        <v>6</v>
      </c>
      <c r="C63" s="301">
        <v>0.02</v>
      </c>
      <c r="D63" s="195" t="s">
        <v>9</v>
      </c>
      <c r="E63" s="195" t="s">
        <v>6</v>
      </c>
      <c r="F63" s="301">
        <v>0.02</v>
      </c>
      <c r="G63" s="195" t="s">
        <v>8</v>
      </c>
      <c r="Y63" s="240" t="str">
        <f>IF(OR(COUNTBLANK(AttributeFilter) = 1,AttributeFilter="(Select)"),A63, IF(OR($B63=AttributeFilter,$E63=AttributeFilter,$L63=AttributeFilter,$N63=AttributeFilter,$R63=AttributeFilter,$W63=AttributeFilter), $A63, ""))</f>
        <v>Compact Hardened Sharpening Stone</v>
      </c>
      <c r="Z63" s="315" t="str" cm="1">
        <f t="array" ref="Z63">_xlfn.IFS(COUNTBLANK($B63)=0,"Derived",COUNTBLANK($L63)=0,"Healthy",COUNTBLANK($N63)=0,"Stepped",COUNTBLANK($W63)=0,"Flat",TRUE,"")</f>
        <v>Derived</v>
      </c>
    </row>
    <row r="64" spans="1:26">
      <c r="A64" s="207" t="s">
        <v>3434</v>
      </c>
      <c r="B64" s="195" t="s">
        <v>10</v>
      </c>
      <c r="C64" s="301">
        <v>0.02</v>
      </c>
      <c r="D64" s="195" t="s">
        <v>9</v>
      </c>
      <c r="E64" s="195" t="s">
        <v>10</v>
      </c>
      <c r="F64" s="301">
        <v>0.02</v>
      </c>
      <c r="G64" s="195" t="s">
        <v>8</v>
      </c>
      <c r="Y64" s="240" t="str">
        <f>IF(OR(COUNTBLANK(AttributeFilter) = 1,AttributeFilter="(Select)"),A64, IF(OR($B64=AttributeFilter,$E64=AttributeFilter,$L64=AttributeFilter,$N64=AttributeFilter,$R64=AttributeFilter,$W64=AttributeFilter), $A64, ""))</f>
        <v>Compact Quality Maintenance Oil</v>
      </c>
      <c r="Z64" s="315" t="str" cm="1">
        <f t="array" ref="Z64">_xlfn.IFS(COUNTBLANK($B64)=0,"Derived",COUNTBLANK($L64)=0,"Healthy",COUNTBLANK($N64)=0,"Stepped",COUNTBLANK($W64)=0,"Flat",TRUE,"")</f>
        <v>Derived</v>
      </c>
    </row>
    <row r="65" spans="1:26">
      <c r="A65" s="207" t="s">
        <v>3435</v>
      </c>
      <c r="B65" s="195" t="s">
        <v>11</v>
      </c>
      <c r="C65" s="301">
        <v>0.02</v>
      </c>
      <c r="D65" s="195" t="s">
        <v>9</v>
      </c>
      <c r="E65" s="195" t="s">
        <v>11</v>
      </c>
      <c r="F65" s="301">
        <v>0.02</v>
      </c>
      <c r="G65" s="195" t="s">
        <v>8</v>
      </c>
      <c r="Y65" s="240" t="str">
        <f>IF(OR(COUNTBLANK(AttributeFilter) = 1,AttributeFilter="(Select)"),A65, IF(OR($B65=AttributeFilter,$E65=AttributeFilter,$L65=AttributeFilter,$N65=AttributeFilter,$R65=AttributeFilter,$W65=AttributeFilter), $A65, ""))</f>
        <v>Compact Quality Tuning Crystal</v>
      </c>
      <c r="Z65" s="315" t="str" cm="1">
        <f t="array" ref="Z65">_xlfn.IFS(COUNTBLANK($B65)=0,"Derived",COUNTBLANK($L65)=0,"Healthy",COUNTBLANK($N65)=0,"Stepped",COUNTBLANK($W65)=0,"Flat",TRUE,"")</f>
        <v>Derived</v>
      </c>
    </row>
    <row r="66" spans="1:26">
      <c r="A66" s="207" t="s">
        <v>3436</v>
      </c>
      <c r="B66" s="195" t="s">
        <v>6</v>
      </c>
      <c r="C66" s="301">
        <v>0.03</v>
      </c>
      <c r="D66" s="195" t="s">
        <v>8</v>
      </c>
      <c r="E66" s="195" t="s">
        <v>12</v>
      </c>
      <c r="F66" s="301">
        <v>0.03</v>
      </c>
      <c r="G66" s="195" t="s">
        <v>8</v>
      </c>
      <c r="V66" s="301">
        <v>0.1</v>
      </c>
      <c r="Y66" s="240" t="str">
        <f>IF(OR(COUNTBLANK(AttributeFilter) = 1,AttributeFilter="(Select)"),A66, IF(OR($B66=AttributeFilter,$E66=AttributeFilter,$L66=AttributeFilter,$N66=AttributeFilter,$R66=AttributeFilter,$W66=AttributeFilter), $A66, ""))</f>
        <v>Corsair Sharpening Stone</v>
      </c>
      <c r="Z66" s="315" t="str" cm="1">
        <f t="array" ref="Z66">_xlfn.IFS(COUNTBLANK($B66)=0,"Derived",COUNTBLANK($L66)=0,"Healthy",COUNTBLANK($N66)=0,"Stepped",COUNTBLANK($W66)=0,"Flat",TRUE,"")</f>
        <v>Derived</v>
      </c>
    </row>
    <row r="67" spans="1:26">
      <c r="A67" s="207" t="s">
        <v>3437</v>
      </c>
      <c r="B67" s="195" t="s">
        <v>11</v>
      </c>
      <c r="C67" s="301">
        <v>0.03</v>
      </c>
      <c r="D67" s="195" t="s">
        <v>8</v>
      </c>
      <c r="E67" s="195" t="s">
        <v>12</v>
      </c>
      <c r="F67" s="301">
        <v>0.03</v>
      </c>
      <c r="G67" s="195" t="s">
        <v>8</v>
      </c>
      <c r="V67" s="301">
        <v>0.1</v>
      </c>
      <c r="Y67" s="240" t="str">
        <f>IF(OR(COUNTBLANK(AttributeFilter) = 1,AttributeFilter="(Select)"),A67, IF(OR($B67=AttributeFilter,$E67=AttributeFilter,$L67=AttributeFilter,$N67=AttributeFilter,$R67=AttributeFilter,$W67=AttributeFilter), $A67, ""))</f>
        <v>Corsair Tuning Crystal</v>
      </c>
      <c r="Z67" s="315" t="str" cm="1">
        <f t="array" ref="Z67">_xlfn.IFS(COUNTBLANK($B67)=0,"Derived",COUNTBLANK($L67)=0,"Healthy",COUNTBLANK($N67)=0,"Stepped",COUNTBLANK($W67)=0,"Flat",TRUE,"")</f>
        <v>Derived</v>
      </c>
    </row>
    <row r="68" spans="1:26">
      <c r="A68" s="207" t="s">
        <v>3438</v>
      </c>
      <c r="B68" s="195" t="s">
        <v>10</v>
      </c>
      <c r="C68" s="301">
        <v>0.06</v>
      </c>
      <c r="D68" s="195" t="s">
        <v>2167</v>
      </c>
      <c r="E68" s="195" t="s">
        <v>10</v>
      </c>
      <c r="F68" s="301">
        <v>0.03</v>
      </c>
      <c r="G68" s="195" t="s">
        <v>7</v>
      </c>
      <c r="V68" s="301">
        <v>0.1</v>
      </c>
      <c r="Y68" s="240" t="str">
        <f>IF(OR(COUNTBLANK(AttributeFilter) = 1,AttributeFilter="(Select)"),A68, IF(OR($B68=AttributeFilter,$E68=AttributeFilter,$L68=AttributeFilter,$N68=AttributeFilter,$R68=AttributeFilter,$W68=AttributeFilter), $A68, ""))</f>
        <v>Enhanced Lucent Oil</v>
      </c>
      <c r="Z68" s="315" t="str" cm="1">
        <f t="array" ref="Z68">_xlfn.IFS(COUNTBLANK($B68)=0,"Derived",COUNTBLANK($L68)=0,"Healthy",COUNTBLANK($N68)=0,"Stepped",COUNTBLANK($W68)=0,"Flat",TRUE,"")</f>
        <v>Derived</v>
      </c>
    </row>
    <row r="69" spans="1:26">
      <c r="A69" s="207" t="s">
        <v>3439</v>
      </c>
      <c r="I69" s="301">
        <v>0.3</v>
      </c>
      <c r="V69" s="301">
        <v>0.1</v>
      </c>
      <c r="Y69" s="240" t="str">
        <f>IF(OR(COUNTBLANK(AttributeFilter) = 1,AttributeFilter="(Select)"),A69, IF(OR($B69=AttributeFilter,$E69=AttributeFilter,$L69=AttributeFilter,$N69=AttributeFilter,$R69=AttributeFilter,$W69=AttributeFilter), $A69, ""))</f>
        <v>Flask of Pumpkin Oil</v>
      </c>
      <c r="Z69" s="315" t="str" cm="1">
        <f t="array" ref="Z69">_xlfn.IFS(COUNTBLANK($B69)=0,"Derived",COUNTBLANK($L69)=0,"Healthy",COUNTBLANK($N69)=0,"Stepped",COUNTBLANK($W69)=0,"Flat",TRUE,"")</f>
        <v/>
      </c>
    </row>
    <row r="70" spans="1:26">
      <c r="A70" s="207" t="s">
        <v>3440</v>
      </c>
      <c r="B70" s="195" t="s">
        <v>11</v>
      </c>
      <c r="C70" s="301">
        <v>0.08</v>
      </c>
      <c r="D70" s="195" t="s">
        <v>10</v>
      </c>
      <c r="E70" s="195" t="s">
        <v>10</v>
      </c>
      <c r="F70" s="301">
        <v>0.03</v>
      </c>
      <c r="G70" s="195" t="s">
        <v>7</v>
      </c>
      <c r="V70" s="301">
        <v>0.1</v>
      </c>
      <c r="Y70" s="240" t="str">
        <f>IF(OR(COUNTBLANK(AttributeFilter) = 1,AttributeFilter="(Select)"),A70, IF(OR($B70=AttributeFilter,$E70=AttributeFilter,$L70=AttributeFilter,$N70=AttributeFilter,$R70=AttributeFilter,$W70=AttributeFilter), $A70, ""))</f>
        <v>Holographic Super Apple</v>
      </c>
      <c r="Z70" s="315" t="str" cm="1">
        <f t="array" ref="Z70">_xlfn.IFS(COUNTBLANK($B70)=0,"Derived",COUNTBLANK($L70)=0,"Healthy",COUNTBLANK($N70)=0,"Stepped",COUNTBLANK($W70)=0,"Flat",TRUE,"")</f>
        <v>Derived</v>
      </c>
    </row>
    <row r="71" spans="1:26">
      <c r="A71" s="207" t="s">
        <v>3441</v>
      </c>
      <c r="B71" s="195" t="s">
        <v>6</v>
      </c>
      <c r="C71" s="301">
        <v>0.08</v>
      </c>
      <c r="D71" s="195" t="s">
        <v>10</v>
      </c>
      <c r="E71" s="195" t="s">
        <v>10</v>
      </c>
      <c r="F71" s="301">
        <v>0.03</v>
      </c>
      <c r="G71" s="195" t="s">
        <v>7</v>
      </c>
      <c r="V71" s="301">
        <v>0.1</v>
      </c>
      <c r="Y71" s="240" t="str">
        <f>IF(OR(COUNTBLANK(AttributeFilter) = 1,AttributeFilter="(Select)"),A71, IF(OR($B71=AttributeFilter,$E71=AttributeFilter,$L71=AttributeFilter,$N71=AttributeFilter,$R71=AttributeFilter,$W71=AttributeFilter), $A71, ""))</f>
        <v>Holographic Super Cheese</v>
      </c>
      <c r="Z71" s="315" t="str" cm="1">
        <f t="array" ref="Z71">_xlfn.IFS(COUNTBLANK($B71)=0,"Derived",COUNTBLANK($L71)=0,"Healthy",COUNTBLANK($N71)=0,"Stepped",COUNTBLANK($W71)=0,"Flat",TRUE,"")</f>
        <v>Derived</v>
      </c>
    </row>
    <row r="72" spans="1:26">
      <c r="A72" s="207" t="s">
        <v>3442</v>
      </c>
      <c r="B72" s="195" t="s">
        <v>14</v>
      </c>
      <c r="C72" s="301">
        <v>0.08</v>
      </c>
      <c r="D72" s="195" t="s">
        <v>10</v>
      </c>
      <c r="E72" s="195" t="s">
        <v>10</v>
      </c>
      <c r="F72" s="301">
        <v>0.03</v>
      </c>
      <c r="G72" s="195" t="s">
        <v>7</v>
      </c>
      <c r="V72" s="301">
        <v>0.1</v>
      </c>
      <c r="Y72" s="240" t="str">
        <f>IF(OR(COUNTBLANK(AttributeFilter) = 1,AttributeFilter="(Select)"),A72, IF(OR($B72=AttributeFilter,$E72=AttributeFilter,$L72=AttributeFilter,$N72=AttributeFilter,$R72=AttributeFilter,$W72=AttributeFilter), $A72, ""))</f>
        <v>Holographic Super Drumstick</v>
      </c>
      <c r="Z72" s="315" t="str" cm="1">
        <f t="array" ref="Z72">_xlfn.IFS(COUNTBLANK($B72)=0,"Derived",COUNTBLANK($L72)=0,"Healthy",COUNTBLANK($N72)=0,"Stepped",COUNTBLANK($W72)=0,"Flat",TRUE,"")</f>
        <v>Derived</v>
      </c>
    </row>
    <row r="73" spans="1:26">
      <c r="A73" s="207" t="s">
        <v>3443</v>
      </c>
      <c r="I73" s="301">
        <v>0.3</v>
      </c>
      <c r="V73" s="301">
        <v>0.1</v>
      </c>
      <c r="Y73" s="240" t="str">
        <f>IF(OR(COUNTBLANK(AttributeFilter) = 1,AttributeFilter="(Select)"),A73, IF(OR($B73=AttributeFilter,$E73=AttributeFilter,$L73=AttributeFilter,$N73=AttributeFilter,$R73=AttributeFilter,$W73=AttributeFilter), $A73, ""))</f>
        <v>Lump of Crystallized Nougat</v>
      </c>
      <c r="Z73" s="315" t="str" cm="1">
        <f t="array" ref="Z73">_xlfn.IFS(COUNTBLANK($B73)=0,"Derived",COUNTBLANK($L73)=0,"Healthy",COUNTBLANK($N73)=0,"Stepped",COUNTBLANK($W73)=0,"Flat",TRUE,"")</f>
        <v/>
      </c>
    </row>
    <row r="74" spans="1:26">
      <c r="A74" s="207" t="s">
        <v>3444</v>
      </c>
      <c r="B74" s="195" t="s">
        <v>10</v>
      </c>
      <c r="C74" s="301">
        <v>0.03</v>
      </c>
      <c r="D74" s="195" t="s">
        <v>8</v>
      </c>
      <c r="E74" s="195" t="s">
        <v>12</v>
      </c>
      <c r="F74" s="301">
        <v>0.03</v>
      </c>
      <c r="G74" s="195" t="s">
        <v>8</v>
      </c>
      <c r="V74" s="301">
        <v>0.1</v>
      </c>
      <c r="Y74" s="240" t="str">
        <f>IF(OR(COUNTBLANK(AttributeFilter) = 1,AttributeFilter="(Select)"),A74, IF(OR($B74=AttributeFilter,$E74=AttributeFilter,$L74=AttributeFilter,$N74=AttributeFilter,$R74=AttributeFilter,$W74=AttributeFilter), $A74, ""))</f>
        <v>Corsair Maintenance Oil</v>
      </c>
      <c r="Z74" s="315" t="str" cm="1">
        <f t="array" ref="Z74">_xlfn.IFS(COUNTBLANK($B74)=0,"Derived",COUNTBLANK($L74)=0,"Healthy",COUNTBLANK($N74)=0,"Stepped",COUNTBLANK($W74)=0,"Flat",TRUE,"")</f>
        <v>Derived</v>
      </c>
    </row>
    <row r="75" spans="1:26">
      <c r="A75" s="207" t="s">
        <v>3445</v>
      </c>
      <c r="B75" s="195" t="s">
        <v>10</v>
      </c>
      <c r="C75" s="301">
        <v>0.03</v>
      </c>
      <c r="D75" s="195" t="s">
        <v>9</v>
      </c>
      <c r="E75" s="195" t="s">
        <v>10</v>
      </c>
      <c r="F75" s="301">
        <v>0.03</v>
      </c>
      <c r="G75" s="195" t="s">
        <v>8</v>
      </c>
      <c r="V75" s="301">
        <v>0.1</v>
      </c>
      <c r="Y75" s="240" t="str">
        <f>IF(OR(COUNTBLANK(AttributeFilter) = 1,AttributeFilter="(Select)"),A75, IF(OR($B75=AttributeFilter,$E75=AttributeFilter,$L75=AttributeFilter,$N75=AttributeFilter,$R75=AttributeFilter,$W75=AttributeFilter), $A75, ""))</f>
        <v>Magnanimous Maintenance Oil</v>
      </c>
      <c r="Z75" s="315" t="str" cm="1">
        <f t="array" ref="Z75">_xlfn.IFS(COUNTBLANK($B75)=0,"Derived",COUNTBLANK($L75)=0,"Healthy",COUNTBLANK($N75)=0,"Stepped",COUNTBLANK($W75)=0,"Flat",TRUE,"")</f>
        <v>Derived</v>
      </c>
    </row>
    <row r="76" spans="1:26">
      <c r="A76" s="207" t="s">
        <v>3446</v>
      </c>
      <c r="B76" s="195" t="s">
        <v>6</v>
      </c>
      <c r="C76" s="301">
        <v>0.03</v>
      </c>
      <c r="D76" s="195" t="s">
        <v>9</v>
      </c>
      <c r="E76" s="195" t="s">
        <v>6</v>
      </c>
      <c r="F76" s="301">
        <v>0.03</v>
      </c>
      <c r="G76" s="195" t="s">
        <v>8</v>
      </c>
      <c r="V76" s="301">
        <v>0.1</v>
      </c>
      <c r="Y76" s="240" t="str">
        <f>IF(OR(COUNTBLANK(AttributeFilter) = 1,AttributeFilter="(Select)"),A76, IF(OR($B76=AttributeFilter,$E76=AttributeFilter,$L76=AttributeFilter,$N76=AttributeFilter,$R76=AttributeFilter,$W76=AttributeFilter), $A76, ""))</f>
        <v>Magnanimous Sharpening Stone</v>
      </c>
      <c r="Z76" s="315" t="str" cm="1">
        <f t="array" ref="Z76">_xlfn.IFS(COUNTBLANK($B76)=0,"Derived",COUNTBLANK($L76)=0,"Healthy",COUNTBLANK($N76)=0,"Stepped",COUNTBLANK($W76)=0,"Flat",TRUE,"")</f>
        <v>Derived</v>
      </c>
    </row>
    <row r="77" spans="1:26">
      <c r="A77" s="207" t="s">
        <v>3447</v>
      </c>
      <c r="B77" s="195" t="s">
        <v>11</v>
      </c>
      <c r="C77" s="301">
        <v>0.03</v>
      </c>
      <c r="D77" s="195" t="s">
        <v>9</v>
      </c>
      <c r="E77" s="195" t="s">
        <v>11</v>
      </c>
      <c r="F77" s="301">
        <v>0.03</v>
      </c>
      <c r="G77" s="195" t="s">
        <v>8</v>
      </c>
      <c r="V77" s="301">
        <v>0.1</v>
      </c>
      <c r="Y77" s="240" t="str">
        <f>IF(OR(COUNTBLANK(AttributeFilter) = 1,AttributeFilter="(Select)"),A77, IF(OR($B77=AttributeFilter,$E77=AttributeFilter,$L77=AttributeFilter,$N77=AttributeFilter,$R77=AttributeFilter,$W77=AttributeFilter), $A77, ""))</f>
        <v>Magnanimous Tuning Crystal</v>
      </c>
      <c r="Z77" s="315" t="str" cm="1">
        <f t="array" ref="Z77">_xlfn.IFS(COUNTBLANK($B77)=0,"Derived",COUNTBLANK($L77)=0,"Healthy",COUNTBLANK($N77)=0,"Stepped",COUNTBLANK($W77)=0,"Flat",TRUE,"")</f>
        <v>Derived</v>
      </c>
    </row>
    <row r="78" spans="1:26">
      <c r="A78" s="207" t="s">
        <v>3448</v>
      </c>
      <c r="B78" s="195" t="s">
        <v>10</v>
      </c>
      <c r="C78" s="301">
        <v>0.03</v>
      </c>
      <c r="D78" s="195" t="s">
        <v>9</v>
      </c>
      <c r="E78" s="195" t="s">
        <v>10</v>
      </c>
      <c r="F78" s="301">
        <v>0.03</v>
      </c>
      <c r="G78" s="195" t="s">
        <v>8</v>
      </c>
      <c r="V78" s="301">
        <v>0.1</v>
      </c>
      <c r="Y78" s="240" t="str">
        <f>IF(OR(COUNTBLANK(AttributeFilter) = 1,AttributeFilter="(Select)"),A78, IF(OR($B78=AttributeFilter,$E78=AttributeFilter,$L78=AttributeFilter,$N78=AttributeFilter,$R78=AttributeFilter,$W78=AttributeFilter), $A78, ""))</f>
        <v>Magnanimous Maintenance Oil Station</v>
      </c>
      <c r="Z78" s="315" t="str" cm="1">
        <f t="array" ref="Z78">_xlfn.IFS(COUNTBLANK($B78)=0,"Derived",COUNTBLANK($L78)=0,"Healthy",COUNTBLANK($N78)=0,"Stepped",COUNTBLANK($W78)=0,"Flat",TRUE,"")</f>
        <v>Derived</v>
      </c>
    </row>
    <row r="79" spans="1:26" ht="23.25">
      <c r="A79" s="207" t="s">
        <v>3449</v>
      </c>
      <c r="M79" s="215">
        <v>6.0000000000000001E-3</v>
      </c>
      <c r="N79" s="195" t="s">
        <v>3450</v>
      </c>
      <c r="O79" s="195">
        <v>100</v>
      </c>
      <c r="P79" s="195" t="s">
        <v>14</v>
      </c>
      <c r="Q79" s="215">
        <v>8.0000000000000002E-3</v>
      </c>
      <c r="R79" s="195" t="s">
        <v>3450</v>
      </c>
      <c r="S79" s="195">
        <v>100</v>
      </c>
      <c r="T79" s="195" t="s">
        <v>10</v>
      </c>
      <c r="V79" s="301">
        <v>0.1</v>
      </c>
      <c r="Y79" s="240" t="str">
        <f>IF(OR(COUNTBLANK(AttributeFilter) = 1,AttributeFilter="(Select)"),A79, IF(OR($B79=AttributeFilter,$E79=AttributeFilter,$L79=AttributeFilter,$N79=AttributeFilter,$R79=AttributeFilter,$W79=AttributeFilter), $A79, ""))</f>
        <v>Bountiful Maintenance Oil Station</v>
      </c>
      <c r="Z79" s="315" t="str" cm="1">
        <f t="array" ref="Z79">_xlfn.IFS(COUNTBLANK($B79)=0,"Derived",COUNTBLANK($L79)=0,"Healthy",COUNTBLANK($N79)=0,"Stepped",COUNTBLANK($W79)=0,"Flat",TRUE,"")</f>
        <v>Stepped</v>
      </c>
    </row>
    <row r="80" spans="1:26">
      <c r="A80" s="207" t="s">
        <v>3451</v>
      </c>
      <c r="B80" s="195" t="s">
        <v>10</v>
      </c>
      <c r="C80" s="301">
        <v>0.03</v>
      </c>
      <c r="D80" s="195" t="s">
        <v>7</v>
      </c>
      <c r="E80" s="195" t="s">
        <v>10</v>
      </c>
      <c r="F80" s="301">
        <v>0.06</v>
      </c>
      <c r="G80" s="195" t="s">
        <v>14</v>
      </c>
      <c r="V80" s="301">
        <v>0.1</v>
      </c>
      <c r="Y80" s="240" t="str">
        <f>IF(OR(COUNTBLANK(AttributeFilter) = 1,AttributeFilter="(Select)"),A80, IF(OR($B80=AttributeFilter,$E80=AttributeFilter,$L80=AttributeFilter,$N80=AttributeFilter,$R80=AttributeFilter,$W80=AttributeFilter), $A80, ""))</f>
        <v>Maintenance Oil Station</v>
      </c>
      <c r="Z80" s="315" t="str" cm="1">
        <f t="array" ref="Z80">_xlfn.IFS(COUNTBLANK($B80)=0,"Derived",COUNTBLANK($L80)=0,"Healthy",COUNTBLANK($N80)=0,"Stepped",COUNTBLANK($W80)=0,"Flat",TRUE,"")</f>
        <v>Derived</v>
      </c>
    </row>
    <row r="81" spans="1:26">
      <c r="A81" s="207" t="s">
        <v>3452</v>
      </c>
      <c r="B81" s="195" t="s">
        <v>10</v>
      </c>
      <c r="C81" s="301">
        <v>0.03</v>
      </c>
      <c r="D81" s="195" t="s">
        <v>7</v>
      </c>
      <c r="E81" s="195" t="s">
        <v>14</v>
      </c>
      <c r="F81" s="301">
        <v>0.03</v>
      </c>
      <c r="G81" s="195" t="s">
        <v>7</v>
      </c>
      <c r="V81" s="301">
        <v>0.1</v>
      </c>
      <c r="Y81" s="240" t="str">
        <f>IF(OR(COUNTBLANK(AttributeFilter) = 1,AttributeFilter="(Select)"),A81, IF(OR($B81=AttributeFilter,$E81=AttributeFilter,$L81=AttributeFilter,$N81=AttributeFilter,$R81=AttributeFilter,$W81=AttributeFilter), $A81, ""))</f>
        <v>Furious Maintenance Oil</v>
      </c>
      <c r="Z81" s="315" t="str" cm="1">
        <f t="array" ref="Z81">_xlfn.IFS(COUNTBLANK($B81)=0,"Derived",COUNTBLANK($L81)=0,"Healthy",COUNTBLANK($N81)=0,"Stepped",COUNTBLANK($W81)=0,"Flat",TRUE,"")</f>
        <v>Derived</v>
      </c>
    </row>
    <row r="82" spans="1:26" ht="23.25">
      <c r="A82" s="207" t="s">
        <v>3453</v>
      </c>
      <c r="M82" s="215">
        <v>6.0000000000000001E-3</v>
      </c>
      <c r="N82" s="195" t="s">
        <v>3450</v>
      </c>
      <c r="O82" s="195">
        <v>100</v>
      </c>
      <c r="P82" s="195" t="s">
        <v>14</v>
      </c>
      <c r="Q82" s="215">
        <v>8.0000000000000002E-3</v>
      </c>
      <c r="R82" s="195" t="s">
        <v>3450</v>
      </c>
      <c r="S82" s="195">
        <v>100</v>
      </c>
      <c r="T82" s="195" t="s">
        <v>10</v>
      </c>
      <c r="V82" s="301">
        <v>0.1</v>
      </c>
      <c r="Y82" s="240" t="str">
        <f>IF(OR(COUNTBLANK(AttributeFilter) = 1,AttributeFilter="(Select)"),A82, IF(OR($B82=AttributeFilter,$E82=AttributeFilter,$L82=AttributeFilter,$N82=AttributeFilter,$R82=AttributeFilter,$W82=AttributeFilter), $A82, ""))</f>
        <v>Mist-Infused Maintenance Oil</v>
      </c>
      <c r="Z82" s="315" t="str" cm="1">
        <f t="array" ref="Z82">_xlfn.IFS(COUNTBLANK($B82)=0,"Derived",COUNTBLANK($L82)=0,"Healthy",COUNTBLANK($N82)=0,"Stepped",COUNTBLANK($W82)=0,"Flat",TRUE,"")</f>
        <v>Stepped</v>
      </c>
    </row>
    <row r="83" spans="1:26">
      <c r="A83" s="207" t="s">
        <v>3454</v>
      </c>
      <c r="B83" s="195" t="s">
        <v>10</v>
      </c>
      <c r="C83" s="301">
        <v>0.03</v>
      </c>
      <c r="D83" s="195" t="s">
        <v>7</v>
      </c>
      <c r="E83" s="195" t="s">
        <v>10</v>
      </c>
      <c r="F83" s="301">
        <v>0.06</v>
      </c>
      <c r="G83" s="195" t="s">
        <v>14</v>
      </c>
      <c r="V83" s="301">
        <v>0.1</v>
      </c>
      <c r="Y83" s="240" t="str">
        <f>IF(OR(COUNTBLANK(AttributeFilter) = 1,AttributeFilter="(Select)"),A83, IF(OR($B83=AttributeFilter,$E83=AttributeFilter,$L83=AttributeFilter,$N83=AttributeFilter,$R83=AttributeFilter,$W83=AttributeFilter), $A83, ""))</f>
        <v>Master Maintenance Oil</v>
      </c>
      <c r="Z83" s="315" t="str" cm="1">
        <f t="array" ref="Z83">_xlfn.IFS(COUNTBLANK($B83)=0,"Derived",COUNTBLANK($L83)=0,"Healthy",COUNTBLANK($N83)=0,"Stepped",COUNTBLANK($W83)=0,"Flat",TRUE,"")</f>
        <v>Derived</v>
      </c>
    </row>
    <row r="84" spans="1:26">
      <c r="A84" s="207" t="s">
        <v>3455</v>
      </c>
      <c r="B84" s="195" t="s">
        <v>10</v>
      </c>
      <c r="C84" s="301">
        <v>0.03</v>
      </c>
      <c r="D84" s="195" t="s">
        <v>7</v>
      </c>
      <c r="E84" s="195" t="s">
        <v>10</v>
      </c>
      <c r="F84" s="301">
        <v>0.06</v>
      </c>
      <c r="G84" s="195" t="s">
        <v>14</v>
      </c>
      <c r="V84" s="301">
        <v>0.1</v>
      </c>
      <c r="Y84" s="240" t="str">
        <f>IF(OR(COUNTBLANK(AttributeFilter) = 1,AttributeFilter="(Select)"),A84, IF(OR($B84=AttributeFilter,$E84=AttributeFilter,$L84=AttributeFilter,$N84=AttributeFilter,$R84=AttributeFilter,$W84=AttributeFilter), $A84, ""))</f>
        <v>Potent Master Maintenance Oil</v>
      </c>
      <c r="Z84" s="315" t="str" cm="1">
        <f t="array" ref="Z84">_xlfn.IFS(COUNTBLANK($B84)=0,"Derived",COUNTBLANK($L84)=0,"Healthy",COUNTBLANK($N84)=0,"Stepped",COUNTBLANK($W84)=0,"Flat",TRUE,"")</f>
        <v>Derived</v>
      </c>
    </row>
    <row r="85" spans="1:26" ht="23.25">
      <c r="A85" s="207" t="s">
        <v>3456</v>
      </c>
      <c r="M85" s="215">
        <v>6.0000000000000001E-3</v>
      </c>
      <c r="N85" s="195" t="s">
        <v>3450</v>
      </c>
      <c r="O85" s="195">
        <v>100</v>
      </c>
      <c r="P85" s="195" t="s">
        <v>14</v>
      </c>
      <c r="Q85" s="215">
        <v>8.0000000000000002E-3</v>
      </c>
      <c r="R85" s="195" t="s">
        <v>3450</v>
      </c>
      <c r="S85" s="195">
        <v>100</v>
      </c>
      <c r="T85" s="195" t="s">
        <v>10</v>
      </c>
      <c r="V85" s="301">
        <v>0.1</v>
      </c>
      <c r="Y85" s="240" t="str">
        <f>IF(OR(COUNTBLANK(AttributeFilter) = 1,AttributeFilter="(Select)"),A85, IF(OR($B85=AttributeFilter,$E85=AttributeFilter,$L85=AttributeFilter,$N85=AttributeFilter,$R85=AttributeFilter,$W85=AttributeFilter), $A85, ""))</f>
        <v>Bountiful Maintenance Oil</v>
      </c>
      <c r="Z85" s="315" t="str" cm="1">
        <f t="array" ref="Z85">_xlfn.IFS(COUNTBLANK($B85)=0,"Derived",COUNTBLANK($L85)=0,"Healthy",COUNTBLANK($N85)=0,"Stepped",COUNTBLANK($W85)=0,"Flat",TRUE,"")</f>
        <v>Stepped</v>
      </c>
    </row>
    <row r="86" spans="1:26">
      <c r="A86" s="207" t="s">
        <v>3457</v>
      </c>
      <c r="B86" s="195" t="s">
        <v>10</v>
      </c>
      <c r="C86" s="301">
        <v>0.03</v>
      </c>
      <c r="D86" s="195" t="s">
        <v>7</v>
      </c>
      <c r="E86" s="195" t="s">
        <v>10</v>
      </c>
      <c r="F86" s="301">
        <v>0.06</v>
      </c>
      <c r="G86" s="195" t="s">
        <v>14</v>
      </c>
      <c r="V86" s="301">
        <v>0.1</v>
      </c>
      <c r="Y86" s="240" t="str">
        <f>IF(OR(COUNTBLANK(AttributeFilter) = 1,AttributeFilter="(Select)"),A86, IF(OR($B86=AttributeFilter,$E86=AttributeFilter,$L86=AttributeFilter,$N86=AttributeFilter,$R86=AttributeFilter,$W86=AttributeFilter), $A86, ""))</f>
        <v>Hylek Maintenance Oil</v>
      </c>
      <c r="Z86" s="315" t="str" cm="1">
        <f t="array" ref="Z86">_xlfn.IFS(COUNTBLANK($B86)=0,"Derived",COUNTBLANK($L86)=0,"Healthy",COUNTBLANK($N86)=0,"Stepped",COUNTBLANK($W86)=0,"Flat",TRUE,"")</f>
        <v>Derived</v>
      </c>
    </row>
    <row r="87" spans="1:26">
      <c r="A87" s="207" t="s">
        <v>3458</v>
      </c>
      <c r="B87" s="195" t="s">
        <v>11</v>
      </c>
      <c r="C87" s="301">
        <v>0.03</v>
      </c>
      <c r="D87" s="195" t="s">
        <v>7</v>
      </c>
      <c r="E87" s="195" t="s">
        <v>11</v>
      </c>
      <c r="F87" s="301">
        <v>0.08</v>
      </c>
      <c r="G87" s="195" t="s">
        <v>12</v>
      </c>
      <c r="V87" s="301">
        <v>0.1</v>
      </c>
      <c r="Y87" s="240" t="str">
        <f>IF(OR(COUNTBLANK(AttributeFilter) = 1,AttributeFilter="(Select)"),A87, IF(OR($B87=AttributeFilter,$E87=AttributeFilter,$L87=AttributeFilter,$N87=AttributeFilter,$R87=AttributeFilter,$W87=AttributeFilter), $A87, ""))</f>
        <v>Master Tuning Crystal</v>
      </c>
      <c r="Z87" s="315" t="str" cm="1">
        <f t="array" ref="Z87">_xlfn.IFS(COUNTBLANK($B87)=0,"Derived",COUNTBLANK($L87)=0,"Healthy",COUNTBLANK($N87)=0,"Stepped",COUNTBLANK($W87)=0,"Flat",TRUE,"")</f>
        <v>Derived</v>
      </c>
    </row>
    <row r="88" spans="1:26">
      <c r="A88" s="207" t="s">
        <v>3459</v>
      </c>
      <c r="B88" s="195" t="s">
        <v>11</v>
      </c>
      <c r="C88" s="301">
        <v>0.03</v>
      </c>
      <c r="D88" s="195" t="s">
        <v>7</v>
      </c>
      <c r="E88" s="195" t="s">
        <v>11</v>
      </c>
      <c r="F88" s="301">
        <v>0.08</v>
      </c>
      <c r="G88" s="195" t="s">
        <v>12</v>
      </c>
      <c r="V88" s="301">
        <v>0.1</v>
      </c>
      <c r="Y88" s="240" t="str">
        <f>IF(OR(COUNTBLANK(AttributeFilter) = 1,AttributeFilter="(Select)"),A88, IF(OR($B88=AttributeFilter,$E88=AttributeFilter,$L88=AttributeFilter,$N88=AttributeFilter,$R88=AttributeFilter,$W88=AttributeFilter), $A88, ""))</f>
        <v>Potent Master Tuning Crystal</v>
      </c>
      <c r="Z88" s="315" t="str" cm="1">
        <f t="array" ref="Z88">_xlfn.IFS(COUNTBLANK($B88)=0,"Derived",COUNTBLANK($L88)=0,"Healthy",COUNTBLANK($N88)=0,"Stepped",COUNTBLANK($W88)=0,"Flat",TRUE,"")</f>
        <v>Derived</v>
      </c>
    </row>
    <row r="89" spans="1:26">
      <c r="A89" s="207" t="s">
        <v>3460</v>
      </c>
      <c r="B89" s="195" t="s">
        <v>11</v>
      </c>
      <c r="C89" s="301">
        <v>0.06</v>
      </c>
      <c r="D89" s="195" t="s">
        <v>14</v>
      </c>
      <c r="E89" s="195" t="s">
        <v>11</v>
      </c>
      <c r="F89" s="301">
        <v>0.08</v>
      </c>
      <c r="G89" s="195" t="s">
        <v>10</v>
      </c>
      <c r="V89" s="301">
        <v>0.1</v>
      </c>
      <c r="Y89" s="240" t="str">
        <f>IF(OR(COUNTBLANK(AttributeFilter) = 1,AttributeFilter="(Select)"),A89, IF(OR($B89=AttributeFilter,$E89=AttributeFilter,$L89=AttributeFilter,$N89=AttributeFilter,$R89=AttributeFilter,$W89=AttributeFilter), $A89, ""))</f>
        <v>Bountiful Tuning Crystal</v>
      </c>
      <c r="Z89" s="315" t="str" cm="1">
        <f t="array" ref="Z89">_xlfn.IFS(COUNTBLANK($B89)=0,"Derived",COUNTBLANK($L89)=0,"Healthy",COUNTBLANK($N89)=0,"Stepped",COUNTBLANK($W89)=0,"Flat",TRUE,"")</f>
        <v>Derived</v>
      </c>
    </row>
    <row r="90" spans="1:26">
      <c r="A90" s="207" t="s">
        <v>3461</v>
      </c>
      <c r="B90" s="195" t="s">
        <v>11</v>
      </c>
      <c r="C90" s="301">
        <v>0.03</v>
      </c>
      <c r="D90" s="195" t="s">
        <v>7</v>
      </c>
      <c r="E90" s="195" t="s">
        <v>11</v>
      </c>
      <c r="F90" s="301">
        <v>0.08</v>
      </c>
      <c r="G90" s="195" t="s">
        <v>12</v>
      </c>
      <c r="V90" s="301">
        <v>0.1</v>
      </c>
      <c r="Y90" s="240" t="str">
        <f>IF(OR(COUNTBLANK(AttributeFilter) = 1,AttributeFilter="(Select)"),A90, IF(OR($B90=AttributeFilter,$E90=AttributeFilter,$L90=AttributeFilter,$N90=AttributeFilter,$R90=AttributeFilter,$W90=AttributeFilter), $A90, ""))</f>
        <v>Mist-Infused Master Tuning Crystal</v>
      </c>
      <c r="Z90" s="315" t="str" cm="1">
        <f t="array" ref="Z90">_xlfn.IFS(COUNTBLANK($B90)=0,"Derived",COUNTBLANK($L90)=0,"Healthy",COUNTBLANK($N90)=0,"Stepped",COUNTBLANK($W90)=0,"Flat",TRUE,"")</f>
        <v>Derived</v>
      </c>
    </row>
    <row r="91" spans="1:26">
      <c r="A91" s="207" t="s">
        <v>3462</v>
      </c>
      <c r="B91" s="195" t="s">
        <v>11</v>
      </c>
      <c r="C91" s="301">
        <v>0.03</v>
      </c>
      <c r="D91" s="195" t="s">
        <v>7</v>
      </c>
      <c r="E91" s="195" t="s">
        <v>12</v>
      </c>
      <c r="F91" s="301">
        <v>0.03</v>
      </c>
      <c r="G91" s="195" t="s">
        <v>7</v>
      </c>
      <c r="V91" s="301">
        <v>0.1</v>
      </c>
      <c r="Y91" s="240" t="str">
        <f>IF(OR(COUNTBLANK(AttributeFilter) = 1,AttributeFilter="(Select)"),A91, IF(OR($B91=AttributeFilter,$E91=AttributeFilter,$L91=AttributeFilter,$N91=AttributeFilter,$R91=AttributeFilter,$W91=AttributeFilter), $A91, ""))</f>
        <v>Furious Tuning Crystal</v>
      </c>
      <c r="Z91" s="315" t="str" cm="1">
        <f t="array" ref="Z91">_xlfn.IFS(COUNTBLANK($B91)=0,"Derived",COUNTBLANK($L91)=0,"Healthy",COUNTBLANK($N91)=0,"Stepped",COUNTBLANK($W91)=0,"Flat",TRUE,"")</f>
        <v>Derived</v>
      </c>
    </row>
    <row r="92" spans="1:26">
      <c r="A92" s="207" t="s">
        <v>3463</v>
      </c>
      <c r="B92" s="195" t="s">
        <v>11</v>
      </c>
      <c r="C92" s="301">
        <v>0.03</v>
      </c>
      <c r="D92" s="195" t="s">
        <v>7</v>
      </c>
      <c r="E92" s="195" t="s">
        <v>11</v>
      </c>
      <c r="F92" s="301">
        <v>0.08</v>
      </c>
      <c r="G92" s="195" t="s">
        <v>12</v>
      </c>
      <c r="V92" s="301">
        <v>0.1</v>
      </c>
      <c r="Y92" s="240" t="str">
        <f>IF(OR(COUNTBLANK(AttributeFilter) = 1,AttributeFilter="(Select)"),A92, IF(OR($B92=AttributeFilter,$E92=AttributeFilter,$L92=AttributeFilter,$N92=AttributeFilter,$R92=AttributeFilter,$W92=AttributeFilter), $A92, ""))</f>
        <v>Krait Tuning Crystal</v>
      </c>
      <c r="Z92" s="315" t="str" cm="1">
        <f t="array" ref="Z92">_xlfn.IFS(COUNTBLANK($B92)=0,"Derived",COUNTBLANK($L92)=0,"Healthy",COUNTBLANK($N92)=0,"Stepped",COUNTBLANK($W92)=0,"Flat",TRUE,"")</f>
        <v>Derived</v>
      </c>
    </row>
    <row r="93" spans="1:26">
      <c r="A93" s="207" t="s">
        <v>3464</v>
      </c>
      <c r="B93" s="195" t="s">
        <v>10</v>
      </c>
      <c r="C93" s="301">
        <v>0.03</v>
      </c>
      <c r="D93" s="195" t="s">
        <v>7</v>
      </c>
      <c r="E93" s="195" t="s">
        <v>10</v>
      </c>
      <c r="F93" s="301">
        <v>0.06</v>
      </c>
      <c r="G93" s="195" t="s">
        <v>14</v>
      </c>
      <c r="H93" s="301">
        <v>0.1</v>
      </c>
      <c r="V93" s="301">
        <v>0.1</v>
      </c>
      <c r="Y93" s="240" t="str">
        <f>IF(OR(COUNTBLANK(AttributeFilter) = 1,AttributeFilter="(Select)"),A93, IF(OR($B93=AttributeFilter,$E93=AttributeFilter,$L93=AttributeFilter,$N93=AttributeFilter,$R93=AttributeFilter,$W93=AttributeFilter), $A93, ""))</f>
        <v>Peppermint Oil</v>
      </c>
      <c r="Z93" s="315" t="str" cm="1">
        <f t="array" ref="Z93">_xlfn.IFS(COUNTBLANK($B93)=0,"Derived",COUNTBLANK($L93)=0,"Healthy",COUNTBLANK($N93)=0,"Stepped",COUNTBLANK($W93)=0,"Flat",TRUE,"")</f>
        <v>Derived</v>
      </c>
    </row>
    <row r="94" spans="1:26">
      <c r="A94" s="207" t="s">
        <v>3465</v>
      </c>
      <c r="B94" s="195" t="s">
        <v>10</v>
      </c>
      <c r="C94" s="301">
        <v>0.03</v>
      </c>
      <c r="D94" s="195" t="s">
        <v>6</v>
      </c>
      <c r="E94" s="195" t="s">
        <v>10</v>
      </c>
      <c r="F94" s="301">
        <v>0.03</v>
      </c>
      <c r="G94" s="195" t="s">
        <v>7</v>
      </c>
      <c r="V94" s="301">
        <v>0.1</v>
      </c>
      <c r="Y94" s="240" t="str">
        <f>IF(OR(COUNTBLANK(AttributeFilter) = 1,AttributeFilter="(Select)"),A94, IF(OR($B94=AttributeFilter,$E94=AttributeFilter,$L94=AttributeFilter,$N94=AttributeFilter,$R94=AttributeFilter,$W94=AttributeFilter), $A94, ""))</f>
        <v>Potent Lucent Oil</v>
      </c>
      <c r="Z94" s="315" t="str" cm="1">
        <f t="array" ref="Z94">_xlfn.IFS(COUNTBLANK($B94)=0,"Derived",COUNTBLANK($L94)=0,"Healthy",COUNTBLANK($N94)=0,"Stepped",COUNTBLANK($W94)=0,"Flat",TRUE,"")</f>
        <v>Derived</v>
      </c>
    </row>
    <row r="95" spans="1:26">
      <c r="A95" s="207" t="s">
        <v>3466</v>
      </c>
      <c r="U95" s="301">
        <v>0.25</v>
      </c>
      <c r="V95" s="301">
        <v>0.1</v>
      </c>
      <c r="Y95" s="240" t="str">
        <f>IF(OR(COUNTBLANK(AttributeFilter) = 1,AttributeFilter="(Select)"),A95, IF(OR($B95=AttributeFilter,$E95=AttributeFilter,$L95=AttributeFilter,$N95=AttributeFilter,$R95=AttributeFilter,$W95=AttributeFilter), $A95, ""))</f>
        <v>Writ of Masterful Speed</v>
      </c>
      <c r="Z95" s="315" t="str" cm="1">
        <f t="array" ref="Z95">_xlfn.IFS(COUNTBLANK($B95)=0,"Derived",COUNTBLANK($L95)=0,"Healthy",COUNTBLANK($N95)=0,"Stepped",COUNTBLANK($W95)=0,"Flat",TRUE,"")</f>
        <v/>
      </c>
    </row>
    <row r="96" spans="1:26">
      <c r="A96" s="207" t="s">
        <v>3467</v>
      </c>
      <c r="I96" s="301">
        <v>0.3</v>
      </c>
      <c r="V96" s="301">
        <v>0.1</v>
      </c>
      <c r="Y96" s="240" t="str">
        <f>IF(OR(COUNTBLANK(AttributeFilter) = 1,AttributeFilter="(Select)"),A96, IF(OR($B96=AttributeFilter,$E96=AttributeFilter,$L96=AttributeFilter,$N96=AttributeFilter,$R96=AttributeFilter,$W96=AttributeFilter), $A96, ""))</f>
        <v>Sharpening Skull</v>
      </c>
      <c r="Z96" s="315" t="str" cm="1">
        <f t="array" ref="Z96">_xlfn.IFS(COUNTBLANK($B96)=0,"Derived",COUNTBLANK($L96)=0,"Healthy",COUNTBLANK($N96)=0,"Stepped",COUNTBLANK($W96)=0,"Flat",TRUE,"")</f>
        <v/>
      </c>
    </row>
    <row r="97" spans="1:26">
      <c r="A97" s="207" t="s">
        <v>3468</v>
      </c>
      <c r="Y97" s="240" t="str">
        <f>IF(OR(COUNTBLANK(AttributeFilter) = 1,AttributeFilter="(Select)"),A97, IF(OR($B97=AttributeFilter,$E97=AttributeFilter,$L97=AttributeFilter,$N97=AttributeFilter,$R97=AttributeFilter,$W97=AttributeFilter), $A97, ""))</f>
        <v>Karka Toughness Station</v>
      </c>
      <c r="Z97" s="315" t="str" cm="1">
        <f t="array" ref="Z97">_xlfn.IFS(COUNTBLANK($B97)=0,"Derived",COUNTBLANK($L97)=0,"Healthy",COUNTBLANK($N97)=0,"Stepped",COUNTBLANK($W97)=0,"Flat",TRUE,"")</f>
        <v/>
      </c>
    </row>
    <row r="98" spans="1:26">
      <c r="A98" s="207" t="s">
        <v>3469</v>
      </c>
      <c r="V98" s="301">
        <v>0.1</v>
      </c>
      <c r="Y98" s="240" t="str">
        <f>IF(OR(COUNTBLANK(AttributeFilter) = 1,AttributeFilter="(Select)"),A98, IF(OR($B98=AttributeFilter,$E98=AttributeFilter,$L98=AttributeFilter,$N98=AttributeFilter,$R98=AttributeFilter,$W98=AttributeFilter), $A98, ""))</f>
        <v>Demon-Slaying Station</v>
      </c>
      <c r="Z98" s="315" t="str" cm="1">
        <f t="array" ref="Z98">_xlfn.IFS(COUNTBLANK($B98)=0,"Derived",COUNTBLANK($L98)=0,"Healthy",COUNTBLANK($N98)=0,"Stepped",COUNTBLANK($W98)=0,"Flat",TRUE,"")</f>
        <v/>
      </c>
    </row>
    <row r="99" spans="1:26">
      <c r="A99" s="207" t="s">
        <v>3470</v>
      </c>
      <c r="B99" s="195" t="s">
        <v>6</v>
      </c>
      <c r="C99" s="301">
        <v>0.03</v>
      </c>
      <c r="D99" s="195" t="s">
        <v>7</v>
      </c>
      <c r="E99" s="195" t="s">
        <v>6</v>
      </c>
      <c r="F99" s="301">
        <v>0.06</v>
      </c>
      <c r="G99" s="195" t="s">
        <v>13</v>
      </c>
      <c r="V99" s="301">
        <v>0.1</v>
      </c>
      <c r="Y99" s="240" t="str">
        <f>IF(OR(COUNTBLANK(AttributeFilter) = 1,AttributeFilter="(Select)"),A99, IF(OR($B99=AttributeFilter,$E99=AttributeFilter,$L99=AttributeFilter,$N99=AttributeFilter,$R99=AttributeFilter,$W99=AttributeFilter), $A99, ""))</f>
        <v>Sharpening Stone Station</v>
      </c>
      <c r="Z99" s="315" t="str" cm="1">
        <f t="array" ref="Z99">_xlfn.IFS(COUNTBLANK($B99)=0,"Derived",COUNTBLANK($L99)=0,"Healthy",COUNTBLANK($N99)=0,"Stepped",COUNTBLANK($W99)=0,"Flat",TRUE,"")</f>
        <v>Derived</v>
      </c>
    </row>
    <row r="100" spans="1:26">
      <c r="A100" s="207" t="s">
        <v>3471</v>
      </c>
      <c r="B100" s="195" t="s">
        <v>6</v>
      </c>
      <c r="C100" s="301">
        <v>0.03</v>
      </c>
      <c r="D100" s="195" t="s">
        <v>7</v>
      </c>
      <c r="E100" s="195" t="s">
        <v>6</v>
      </c>
      <c r="F100" s="301">
        <v>0.06</v>
      </c>
      <c r="G100" s="195" t="s">
        <v>13</v>
      </c>
      <c r="V100" s="301">
        <v>0.1</v>
      </c>
      <c r="Y100" s="240" t="str">
        <f>IF(OR(COUNTBLANK(AttributeFilter) = 1,AttributeFilter="(Select)"),A100, IF(OR($B100=AttributeFilter,$E100=AttributeFilter,$L100=AttributeFilter,$N100=AttributeFilter,$R100=AttributeFilter,$W100=AttributeFilter), $A100, ""))</f>
        <v>Potent Superior Sharpening Stone</v>
      </c>
      <c r="Z100" s="315" t="str" cm="1">
        <f t="array" ref="Z100">_xlfn.IFS(COUNTBLANK($B100)=0,"Derived",COUNTBLANK($L100)=0,"Healthy",COUNTBLANK($N100)=0,"Stepped",COUNTBLANK($W100)=0,"Flat",TRUE,"")</f>
        <v>Derived</v>
      </c>
    </row>
    <row r="101" spans="1:26">
      <c r="A101" s="207" t="s">
        <v>3472</v>
      </c>
      <c r="B101" s="195" t="s">
        <v>6</v>
      </c>
      <c r="C101" s="301">
        <v>0.03</v>
      </c>
      <c r="D101" s="195" t="s">
        <v>7</v>
      </c>
      <c r="E101" s="195" t="s">
        <v>13</v>
      </c>
      <c r="F101" s="301">
        <v>0.03</v>
      </c>
      <c r="G101" s="195" t="s">
        <v>7</v>
      </c>
      <c r="V101" s="301">
        <v>0.1</v>
      </c>
      <c r="Y101" s="240" t="str">
        <f>IF(OR(COUNTBLANK(AttributeFilter) = 1,AttributeFilter="(Select)"),A101, IF(OR($B101=AttributeFilter,$E101=AttributeFilter,$L101=AttributeFilter,$N101=AttributeFilter,$R101=AttributeFilter,$W101=AttributeFilter), $A101, ""))</f>
        <v>Furious Sharpening Stone</v>
      </c>
      <c r="Z101" s="315" t="str" cm="1">
        <f t="array" ref="Z101">_xlfn.IFS(COUNTBLANK($B101)=0,"Derived",COUNTBLANK($L101)=0,"Healthy",COUNTBLANK($N101)=0,"Stepped",COUNTBLANK($W101)=0,"Flat",TRUE,"")</f>
        <v>Derived</v>
      </c>
    </row>
    <row r="102" spans="1:26">
      <c r="A102" s="207" t="s">
        <v>3473</v>
      </c>
      <c r="B102" s="195" t="s">
        <v>6</v>
      </c>
      <c r="C102" s="301">
        <v>0.03</v>
      </c>
      <c r="D102" s="195" t="s">
        <v>7</v>
      </c>
      <c r="E102" s="195" t="s">
        <v>6</v>
      </c>
      <c r="F102" s="301">
        <v>0.06</v>
      </c>
      <c r="G102" s="195" t="s">
        <v>13</v>
      </c>
      <c r="V102" s="301">
        <v>0.1</v>
      </c>
      <c r="Y102" s="240" t="str">
        <f>IF(OR(COUNTBLANK(AttributeFilter) = 1,AttributeFilter="(Select)"),A102, IF(OR($B102=AttributeFilter,$E102=AttributeFilter,$L102=AttributeFilter,$N102=AttributeFilter,$R102=AttributeFilter,$W102=AttributeFilter), $A102, ""))</f>
        <v>Superior Sharpening Stone</v>
      </c>
      <c r="Z102" s="315" t="str" cm="1">
        <f t="array" ref="Z102">_xlfn.IFS(COUNTBLANK($B102)=0,"Derived",COUNTBLANK($L102)=0,"Healthy",COUNTBLANK($N102)=0,"Stepped",COUNTBLANK($W102)=0,"Flat",TRUE,"")</f>
        <v>Derived</v>
      </c>
    </row>
    <row r="103" spans="1:26">
      <c r="A103" s="207" t="s">
        <v>3474</v>
      </c>
      <c r="B103" s="195" t="s">
        <v>6</v>
      </c>
      <c r="C103" s="301">
        <v>0.03</v>
      </c>
      <c r="D103" s="195" t="s">
        <v>7</v>
      </c>
      <c r="E103" s="195" t="s">
        <v>6</v>
      </c>
      <c r="F103" s="301">
        <v>0.06</v>
      </c>
      <c r="G103" s="195" t="s">
        <v>13</v>
      </c>
      <c r="V103" s="301">
        <v>0.1</v>
      </c>
      <c r="Y103" s="240" t="str">
        <f>IF(OR(COUNTBLANK(AttributeFilter) = 1,AttributeFilter="(Select)"),A103, IF(OR($B103=AttributeFilter,$E103=AttributeFilter,$L103=AttributeFilter,$N103=AttributeFilter,$R103=AttributeFilter,$W103=AttributeFilter), $A103, ""))</f>
        <v>Ogre Sharpening Stone</v>
      </c>
      <c r="Z103" s="315" t="str" cm="1">
        <f t="array" ref="Z103">_xlfn.IFS(COUNTBLANK($B103)=0,"Derived",COUNTBLANK($L103)=0,"Healthy",COUNTBLANK($N103)=0,"Stepped",COUNTBLANK($W103)=0,"Flat",TRUE,"")</f>
        <v>Derived</v>
      </c>
    </row>
    <row r="104" spans="1:26">
      <c r="A104" s="207" t="s">
        <v>3475</v>
      </c>
      <c r="B104" s="195" t="s">
        <v>6</v>
      </c>
      <c r="C104" s="301">
        <v>0.06</v>
      </c>
      <c r="D104" s="195" t="s">
        <v>14</v>
      </c>
      <c r="E104" s="195" t="s">
        <v>6</v>
      </c>
      <c r="F104" s="301">
        <v>0.08</v>
      </c>
      <c r="G104" s="195" t="s">
        <v>10</v>
      </c>
      <c r="V104" s="301">
        <v>0.1</v>
      </c>
      <c r="Y104" s="240" t="str">
        <f>IF(OR(COUNTBLANK(AttributeFilter) = 1,AttributeFilter="(Select)"),A104, IF(OR($B104=AttributeFilter,$E104=AttributeFilter,$L104=AttributeFilter,$N104=AttributeFilter,$R104=AttributeFilter,$W104=AttributeFilter), $A104, ""))</f>
        <v>Bountiful Sharpening Stone</v>
      </c>
      <c r="Z104" s="315" t="str" cm="1">
        <f t="array" ref="Z104">_xlfn.IFS(COUNTBLANK($B104)=0,"Derived",COUNTBLANK($L104)=0,"Healthy",COUNTBLANK($N104)=0,"Stepped",COUNTBLANK($W104)=0,"Flat",TRUE,"")</f>
        <v>Derived</v>
      </c>
    </row>
    <row r="105" spans="1:26">
      <c r="A105" s="207" t="s">
        <v>3476</v>
      </c>
      <c r="B105" s="195" t="s">
        <v>6</v>
      </c>
      <c r="C105" s="301">
        <v>0.03</v>
      </c>
      <c r="D105" s="195" t="s">
        <v>7</v>
      </c>
      <c r="E105" s="195" t="s">
        <v>6</v>
      </c>
      <c r="F105" s="301">
        <v>0.06</v>
      </c>
      <c r="G105" s="195" t="s">
        <v>13</v>
      </c>
      <c r="V105" s="301">
        <v>0.1</v>
      </c>
      <c r="Y105" s="240" t="str">
        <f>IF(OR(COUNTBLANK(AttributeFilter) = 1,AttributeFilter="(Select)"),A105, IF(OR($B105=AttributeFilter,$E105=AttributeFilter,$L105=AttributeFilter,$N105=AttributeFilter,$R105=AttributeFilter,$W105=AttributeFilter), $A105, ""))</f>
        <v>Mist-Infused Sharpening Stone</v>
      </c>
      <c r="Z105" s="315" t="str" cm="1">
        <f t="array" ref="Z105">_xlfn.IFS(COUNTBLANK($B105)=0,"Derived",COUNTBLANK($L105)=0,"Healthy",COUNTBLANK($N105)=0,"Stepped",COUNTBLANK($W105)=0,"Flat",TRUE,"")</f>
        <v>Derived</v>
      </c>
    </row>
    <row r="106" spans="1:26">
      <c r="A106" s="207" t="s">
        <v>3477</v>
      </c>
      <c r="K106" s="195">
        <v>200</v>
      </c>
      <c r="L106" s="195" t="s">
        <v>7</v>
      </c>
      <c r="V106" s="301">
        <v>0.1</v>
      </c>
      <c r="Y106" s="240" t="str">
        <f>IF(OR(COUNTBLANK(AttributeFilter) = 1,AttributeFilter="(Select)"),A106, IF(OR($B106=AttributeFilter,$E106=AttributeFilter,$L106=AttributeFilter,$N106=AttributeFilter,$R106=AttributeFilter,$W106=AttributeFilter), $A106, ""))</f>
        <v>Thesis on Masterful Accuracy</v>
      </c>
      <c r="Z106" s="315" t="str" cm="1">
        <f t="array" ref="Z106">_xlfn.IFS(COUNTBLANK($B106)=0,"Derived",COUNTBLANK($L106)=0,"Healthy",COUNTBLANK($N106)=0,"Stepped",COUNTBLANK($W106)=0,"Flat",TRUE,"")</f>
        <v>Healthy</v>
      </c>
    </row>
    <row r="107" spans="1:26">
      <c r="A107" s="207" t="s">
        <v>3478</v>
      </c>
      <c r="V107" s="301">
        <v>0.1</v>
      </c>
      <c r="Y107" s="240" t="str">
        <f>IF(OR(COUNTBLANK(AttributeFilter) = 1,AttributeFilter="(Select)"),A107, IF(OR($B107=AttributeFilter,$E107=AttributeFilter,$L107=AttributeFilter,$N107=AttributeFilter,$R107=AttributeFilter,$W107=AttributeFilter), $A107, ""))</f>
        <v>Thesis on Masterful Malice</v>
      </c>
      <c r="Z107" s="315" t="str" cm="1">
        <f t="array" ref="Z107">_xlfn.IFS(COUNTBLANK($B107)=0,"Derived",COUNTBLANK($L107)=0,"Healthy",COUNTBLANK($N107)=0,"Stepped",COUNTBLANK($W107)=0,"Flat",TRUE,"")</f>
        <v/>
      </c>
    </row>
    <row r="108" spans="1:26">
      <c r="A108" s="207" t="s">
        <v>3479</v>
      </c>
      <c r="U108" s="301">
        <v>0.25</v>
      </c>
      <c r="V108" s="301">
        <v>0.1</v>
      </c>
      <c r="Y108" s="240" t="str">
        <f>IF(OR(COUNTBLANK(AttributeFilter) = 1,AttributeFilter="(Select)"),A108, IF(OR($B108=AttributeFilter,$E108=AttributeFilter,$L108=AttributeFilter,$N108=AttributeFilter,$R108=AttributeFilter,$W108=AttributeFilter), $A108, ""))</f>
        <v>Thesis on Studied Speed</v>
      </c>
      <c r="Z108" s="315" t="str" cm="1">
        <f t="array" ref="Z108">_xlfn.IFS(COUNTBLANK($B108)=0,"Derived",COUNTBLANK($L108)=0,"Healthy",COUNTBLANK($N108)=0,"Stepped",COUNTBLANK($W108)=0,"Flat",TRUE,"")</f>
        <v/>
      </c>
    </row>
    <row r="109" spans="1:26">
      <c r="A109" s="207" t="s">
        <v>3480</v>
      </c>
      <c r="K109" s="195">
        <v>200</v>
      </c>
      <c r="L109" s="195" t="s">
        <v>6</v>
      </c>
      <c r="V109" s="301">
        <v>0.1</v>
      </c>
      <c r="Y109" s="240" t="str">
        <f>IF(OR(COUNTBLANK(AttributeFilter) = 1,AttributeFilter="(Select)"),A109, IF(OR($B109=AttributeFilter,$E109=AttributeFilter,$L109=AttributeFilter,$N109=AttributeFilter,$R109=AttributeFilter,$W109=AttributeFilter), $A109, ""))</f>
        <v>Thesis on Masterful Strength</v>
      </c>
      <c r="Z109" s="315" t="str" cm="1">
        <f t="array" ref="Z109">_xlfn.IFS(COUNTBLANK($B109)=0,"Derived",COUNTBLANK($L109)=0,"Healthy",COUNTBLANK($N109)=0,"Stepped",COUNTBLANK($W109)=0,"Flat",TRUE,"")</f>
        <v>Healthy</v>
      </c>
    </row>
    <row r="110" spans="1:26">
      <c r="A110" s="207" t="s">
        <v>3481</v>
      </c>
      <c r="B110" s="195" t="s">
        <v>6</v>
      </c>
      <c r="C110" s="301">
        <v>0.03</v>
      </c>
      <c r="D110" s="195" t="s">
        <v>7</v>
      </c>
      <c r="E110" s="195" t="s">
        <v>6</v>
      </c>
      <c r="F110" s="301">
        <v>0.06</v>
      </c>
      <c r="G110" s="195" t="s">
        <v>13</v>
      </c>
      <c r="H110" s="301">
        <v>0.1</v>
      </c>
      <c r="V110" s="301">
        <v>0.1</v>
      </c>
      <c r="Y110" s="240" t="str">
        <f>IF(OR(COUNTBLANK(AttributeFilter) = 1,AttributeFilter="(Select)"),A110, IF(OR($B110=AttributeFilter,$E110=AttributeFilter,$L110=AttributeFilter,$N110=AttributeFilter,$R110=AttributeFilter,$W110=AttributeFilter), $A110, ""))</f>
        <v>Tin of Fruitcake</v>
      </c>
      <c r="Z110" s="315" t="str" cm="1">
        <f t="array" ref="Z110">_xlfn.IFS(COUNTBLANK($B110)=0,"Derived",COUNTBLANK($L110)=0,"Healthy",COUNTBLANK($N110)=0,"Stepped",COUNTBLANK($W110)=0,"Flat",TRUE,"")</f>
        <v>Derived</v>
      </c>
    </row>
    <row r="111" spans="1:26">
      <c r="A111" s="207" t="s">
        <v>3482</v>
      </c>
      <c r="B111" s="195" t="s">
        <v>10</v>
      </c>
      <c r="C111" s="301">
        <v>0.03</v>
      </c>
      <c r="D111" s="195" t="s">
        <v>6</v>
      </c>
      <c r="E111" s="195" t="s">
        <v>10</v>
      </c>
      <c r="F111" s="301">
        <v>0.06</v>
      </c>
      <c r="G111" s="195" t="s">
        <v>2167</v>
      </c>
      <c r="V111" s="301">
        <v>0.1</v>
      </c>
      <c r="Y111" s="240" t="str">
        <f>IF(OR(COUNTBLANK(AttributeFilter) = 1,AttributeFilter="(Select)"),A111, IF(OR($B111=AttributeFilter,$E111=AttributeFilter,$L111=AttributeFilter,$N111=AttributeFilter,$R111=AttributeFilter,$W111=AttributeFilter), $A111, ""))</f>
        <v>Toxic Maintenance Oil</v>
      </c>
      <c r="Z111" s="315" t="str" cm="1">
        <f t="array" ref="Z111">_xlfn.IFS(COUNTBLANK($B111)=0,"Derived",COUNTBLANK($L111)=0,"Healthy",COUNTBLANK($N111)=0,"Stepped",COUNTBLANK($W111)=0,"Flat",TRUE,"")</f>
        <v>Derived</v>
      </c>
    </row>
    <row r="112" spans="1:26">
      <c r="A112" s="207" t="s">
        <v>3483</v>
      </c>
      <c r="B112" s="195" t="s">
        <v>6</v>
      </c>
      <c r="C112" s="301">
        <v>0.06</v>
      </c>
      <c r="D112" s="195" t="s">
        <v>2167</v>
      </c>
      <c r="E112" s="195" t="s">
        <v>6</v>
      </c>
      <c r="F112" s="301">
        <v>0.08</v>
      </c>
      <c r="G112" s="195" t="s">
        <v>12</v>
      </c>
      <c r="V112" s="301">
        <v>0.1</v>
      </c>
      <c r="Y112" s="240" t="str">
        <f>IF(OR(COUNTBLANK(AttributeFilter) = 1,AttributeFilter="(Select)"),A112, IF(OR($B112=AttributeFilter,$E112=AttributeFilter,$L112=AttributeFilter,$N112=AttributeFilter,$R112=AttributeFilter,$W112=AttributeFilter), $A112, ""))</f>
        <v>Toxic Sharpening Stone</v>
      </c>
      <c r="Z112" s="315" t="str" cm="1">
        <f t="array" ref="Z112">_xlfn.IFS(COUNTBLANK($B112)=0,"Derived",COUNTBLANK($L112)=0,"Healthy",COUNTBLANK($N112)=0,"Stepped",COUNTBLANK($W112)=0,"Flat",TRUE,"")</f>
        <v>Derived</v>
      </c>
    </row>
    <row r="113" spans="1:26">
      <c r="A113" s="207" t="s">
        <v>3484</v>
      </c>
      <c r="B113" s="195" t="s">
        <v>11</v>
      </c>
      <c r="C113" s="301">
        <v>0.03</v>
      </c>
      <c r="D113" s="195" t="s">
        <v>6</v>
      </c>
      <c r="E113" s="195" t="s">
        <v>11</v>
      </c>
      <c r="F113" s="301">
        <v>0.03</v>
      </c>
      <c r="G113" s="195" t="s">
        <v>7</v>
      </c>
      <c r="V113" s="301">
        <v>0.1</v>
      </c>
      <c r="Y113" s="240" t="str">
        <f>IF(OR(COUNTBLANK(AttributeFilter) = 1,AttributeFilter="(Select)"),A113, IF(OR($B113=AttributeFilter,$E113=AttributeFilter,$L113=AttributeFilter,$N113=AttributeFilter,$R113=AttributeFilter,$W113=AttributeFilter), $A113, ""))</f>
        <v>Toxic Tuning Crystal</v>
      </c>
      <c r="Z113" s="315" t="str" cm="1">
        <f t="array" ref="Z113">_xlfn.IFS(COUNTBLANK($B113)=0,"Derived",COUNTBLANK($L113)=0,"Healthy",COUNTBLANK($N113)=0,"Stepped",COUNTBLANK($W113)=0,"Flat",TRUE,"")</f>
        <v>Derived</v>
      </c>
    </row>
    <row r="114" spans="1:26">
      <c r="A114" s="207" t="s">
        <v>3485</v>
      </c>
      <c r="B114" s="195" t="s">
        <v>11</v>
      </c>
      <c r="C114" s="301">
        <v>0.03</v>
      </c>
      <c r="D114" s="195" t="s">
        <v>7</v>
      </c>
      <c r="E114" s="195" t="s">
        <v>11</v>
      </c>
      <c r="F114" s="301">
        <v>0.08</v>
      </c>
      <c r="G114" s="195" t="s">
        <v>12</v>
      </c>
      <c r="V114" s="301">
        <v>0.1</v>
      </c>
      <c r="Y114" s="240" t="str">
        <f>IF(OR(COUNTBLANK(AttributeFilter) = 1,AttributeFilter="(Select)"),A114, IF(OR($B114=AttributeFilter,$E114=AttributeFilter,$L114=AttributeFilter,$N114=AttributeFilter,$R114=AttributeFilter,$W114=AttributeFilter), $A114, ""))</f>
        <v>Tuning Crystal Station</v>
      </c>
      <c r="Z114" s="315" t="str" cm="1">
        <f t="array" ref="Z114">_xlfn.IFS(COUNTBLANK($B114)=0,"Derived",COUNTBLANK($L114)=0,"Healthy",COUNTBLANK($N114)=0,"Stepped",COUNTBLANK($W114)=0,"Flat",TRUE,"")</f>
        <v>Derived</v>
      </c>
    </row>
    <row r="115" spans="1:26">
      <c r="A115" s="207" t="s">
        <v>3486</v>
      </c>
      <c r="B115" s="195" t="s">
        <v>11</v>
      </c>
      <c r="C115" s="301">
        <v>0.03</v>
      </c>
      <c r="D115" s="195" t="s">
        <v>6</v>
      </c>
      <c r="E115" s="195" t="s">
        <v>11</v>
      </c>
      <c r="F115" s="301">
        <v>0.03</v>
      </c>
      <c r="G115" s="195" t="s">
        <v>7</v>
      </c>
      <c r="V115" s="301">
        <v>0.1</v>
      </c>
      <c r="Y115" s="240" t="str">
        <f>IF(OR(COUNTBLANK(AttributeFilter) = 1,AttributeFilter="(Select)"),A115, IF(OR($B115=AttributeFilter,$E115=AttributeFilter,$L115=AttributeFilter,$N115=AttributeFilter,$R115=AttributeFilter,$W115=AttributeFilter), $A115, ""))</f>
        <v>Toxic Tuning Crystal Station</v>
      </c>
      <c r="Z115" s="315" t="str" cm="1">
        <f t="array" ref="Z115">_xlfn.IFS(COUNTBLANK($B115)=0,"Derived",COUNTBLANK($L115)=0,"Healthy",COUNTBLANK($N115)=0,"Stepped",COUNTBLANK($W115)=0,"Flat",TRUE,"")</f>
        <v>Derived</v>
      </c>
    </row>
    <row r="116" spans="1:26">
      <c r="A116" s="207" t="s">
        <v>3487</v>
      </c>
      <c r="B116" s="195" t="s">
        <v>11</v>
      </c>
      <c r="C116" s="301">
        <v>0.03</v>
      </c>
      <c r="D116" s="195" t="s">
        <v>9</v>
      </c>
      <c r="E116" s="195" t="s">
        <v>11</v>
      </c>
      <c r="F116" s="301">
        <v>0.03</v>
      </c>
      <c r="G116" s="195" t="s">
        <v>8</v>
      </c>
      <c r="V116" s="301">
        <v>0.1</v>
      </c>
      <c r="Y116" s="240" t="str">
        <f>IF(OR(COUNTBLANK(AttributeFilter) = 1,AttributeFilter="(Select)"),A116, IF(OR($B116=AttributeFilter,$E116=AttributeFilter,$L116=AttributeFilter,$N116=AttributeFilter,$R116=AttributeFilter,$W116=AttributeFilter), $A116, ""))</f>
        <v>Magnanimous Tuning Crystal Station</v>
      </c>
      <c r="Z116" s="315" t="str" cm="1">
        <f t="array" ref="Z116">_xlfn.IFS(COUNTBLANK($B116)=0,"Derived",COUNTBLANK($L116)=0,"Healthy",COUNTBLANK($N116)=0,"Stepped",COUNTBLANK($W116)=0,"Flat",TRUE,"")</f>
        <v>Derived</v>
      </c>
    </row>
    <row r="117" spans="1:26">
      <c r="A117" s="207" t="s">
        <v>3488</v>
      </c>
      <c r="B117" s="195" t="s">
        <v>11</v>
      </c>
      <c r="C117" s="301">
        <v>0.03</v>
      </c>
      <c r="D117" s="195" t="s">
        <v>7</v>
      </c>
      <c r="E117" s="195" t="s">
        <v>11</v>
      </c>
      <c r="F117" s="301">
        <v>0.08</v>
      </c>
      <c r="G117" s="195" t="s">
        <v>12</v>
      </c>
      <c r="H117" s="301">
        <v>0.1</v>
      </c>
      <c r="V117" s="301">
        <v>0.1</v>
      </c>
      <c r="Y117" s="240" t="str">
        <f>IF(OR(COUNTBLANK(AttributeFilter) = 1,AttributeFilter="(Select)"),A117, IF(OR($B117=AttributeFilter,$E117=AttributeFilter,$L117=AttributeFilter,$N117=AttributeFilter,$R117=AttributeFilter,$W117=AttributeFilter), $A117, ""))</f>
        <v>Tuning Icicle</v>
      </c>
      <c r="Z117" s="315" t="str" cm="1">
        <f t="array" ref="Z117">_xlfn.IFS(COUNTBLANK($B117)=0,"Derived",COUNTBLANK($L117)=0,"Healthy",COUNTBLANK($N117)=0,"Stepped",COUNTBLANK($W117)=0,"Flat",TRUE,"")</f>
        <v>Derived</v>
      </c>
    </row>
    <row r="118" spans="1:26">
      <c r="A118" s="207" t="s">
        <v>3489</v>
      </c>
      <c r="K118" s="195">
        <v>200</v>
      </c>
      <c r="L118" s="195" t="s">
        <v>7</v>
      </c>
      <c r="V118" s="301">
        <v>0.1</v>
      </c>
      <c r="Y118" s="240" t="str">
        <f>IF(OR(COUNTBLANK(AttributeFilter) = 1,AttributeFilter="(Select)"),A118, IF(OR($B118=AttributeFilter,$E118=AttributeFilter,$L118=AttributeFilter,$N118=AttributeFilter,$R118=AttributeFilter,$W118=AttributeFilter), $A118, ""))</f>
        <v>Writ of Masterful Accuracy</v>
      </c>
      <c r="Z118" s="315" t="str" cm="1">
        <f t="array" ref="Z118">_xlfn.IFS(COUNTBLANK($B118)=0,"Derived",COUNTBLANK($L118)=0,"Healthy",COUNTBLANK($N118)=0,"Stepped",COUNTBLANK($W118)=0,"Flat",TRUE,"")</f>
        <v>Healthy</v>
      </c>
    </row>
    <row r="119" spans="1:26">
      <c r="A119" s="207" t="s">
        <v>3490</v>
      </c>
      <c r="V119" s="301">
        <v>0.1</v>
      </c>
      <c r="Y119" s="240" t="str">
        <f>IF(OR(COUNTBLANK(AttributeFilter) = 1,AttributeFilter="(Select)"),A119, IF(OR($B119=AttributeFilter,$E119=AttributeFilter,$L119=AttributeFilter,$N119=AttributeFilter,$R119=AttributeFilter,$W119=AttributeFilter), $A119, ""))</f>
        <v>Writ of Masterful Malice</v>
      </c>
      <c r="Z119" s="315" t="str" cm="1">
        <f t="array" ref="Z119">_xlfn.IFS(COUNTBLANK($B119)=0,"Derived",COUNTBLANK($L119)=0,"Healthy",COUNTBLANK($N119)=0,"Stepped",COUNTBLANK($W119)=0,"Flat",TRUE,"")</f>
        <v/>
      </c>
    </row>
    <row r="120" spans="1:26">
      <c r="A120" s="207" t="s">
        <v>3491</v>
      </c>
      <c r="K120" s="195">
        <v>200</v>
      </c>
      <c r="L120" s="195" t="s">
        <v>6</v>
      </c>
      <c r="V120" s="301">
        <v>0.1</v>
      </c>
      <c r="Y120" s="240" t="str">
        <f>IF(OR(COUNTBLANK(AttributeFilter) = 1,AttributeFilter="(Select)"),A120, IF(OR($B120=AttributeFilter,$E120=AttributeFilter,$L120=AttributeFilter,$N120=AttributeFilter,$R120=AttributeFilter,$W120=AttributeFilter), $A120, ""))</f>
        <v>Writ of Masterful Strength</v>
      </c>
      <c r="Z120" s="315" t="str" cm="1">
        <f t="array" ref="Z120">_xlfn.IFS(COUNTBLANK($B120)=0,"Derived",COUNTBLANK($L120)=0,"Healthy",COUNTBLANK($N120)=0,"Stepped",COUNTBLANK($W120)=0,"Flat",TRUE,"")</f>
        <v>Healthy</v>
      </c>
    </row>
    <row r="121" spans="1:26">
      <c r="A121" s="207" t="s">
        <v>3492</v>
      </c>
      <c r="H121" s="301">
        <v>0.1</v>
      </c>
      <c r="I121" s="301">
        <v>0.1</v>
      </c>
      <c r="J121" s="301">
        <v>0.1</v>
      </c>
      <c r="V121" s="301">
        <v>0.1</v>
      </c>
      <c r="Y121" s="240" t="str">
        <f>IF(OR(COUNTBLANK(AttributeFilter) = 1,AttributeFilter="(Select)"),A121, IF(OR($B121=AttributeFilter,$E121=AttributeFilter,$L121=AttributeFilter,$N121=AttributeFilter,$R121=AttributeFilter,$W121=AttributeFilter), $A121, ""))</f>
        <v>Decade Enhancement Station</v>
      </c>
      <c r="Z121" s="315" t="str" cm="1">
        <f t="array" ref="Z121">_xlfn.IFS(COUNTBLANK($B121)=0,"Derived",COUNTBLANK($L121)=0,"Healthy",COUNTBLANK($N121)=0,"Stepped",COUNTBLANK($W121)=0,"Flat",TRUE,"")</f>
        <v/>
      </c>
    </row>
    <row r="122" spans="1:26">
      <c r="A122" s="207" t="s">
        <v>3493</v>
      </c>
      <c r="W122" s="195" t="s">
        <v>8</v>
      </c>
      <c r="X122" s="195">
        <v>150</v>
      </c>
      <c r="Y122" s="240" t="str">
        <f>IF(OR(COUNTBLANK(AttributeFilter) = 1,AttributeFilter="(Select)"),A122, IF(OR($B122=AttributeFilter,$E122=AttributeFilter,$L122=AttributeFilter,$N122=AttributeFilter,$R122=AttributeFilter,$W122=AttributeFilter), $A122, ""))</f>
        <v>Potion Of Karka Toughness</v>
      </c>
      <c r="Z122" s="315" t="str" cm="1">
        <f t="array" ref="Z122">_xlfn.IFS(COUNTBLANK($B122)=0,"Derived",COUNTBLANK($L122)=0,"Healthy",COUNTBLANK($N122)=0,"Stepped",COUNTBLANK($W122)=0,"Flat",TRUE,"")</f>
        <v>Flat</v>
      </c>
    </row>
  </sheetData>
  <sheetProtection sheet="1" objects="1" scenarios="1"/>
  <autoFilter ref="Z1:Z122" xr:uid="{D993595A-2DCE-44C1-A5BB-A30DABF03B88}"/>
  <mergeCells count="6">
    <mergeCell ref="W1:X1"/>
    <mergeCell ref="B1:D1"/>
    <mergeCell ref="E1:G1"/>
    <mergeCell ref="K1:L1"/>
    <mergeCell ref="M1:P1"/>
    <mergeCell ref="Q1:T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87" id="{5298BFB5-5497-4159-A614-BE979C7BFE46}">
            <xm:f>$A3 = 'Build &amp; Totals'!$B$51</xm:f>
            <x14:dxf>
              <font>
                <color theme="1" tint="4.9989318521683403E-2"/>
              </font>
              <fill>
                <patternFill patternType="solid">
                  <bgColor rgb="FFFFFDED"/>
                </patternFill>
              </fill>
              <border>
                <top style="thin">
                  <color theme="2" tint="-0.249977111117893"/>
                </top>
                <bottom style="thin">
                  <color theme="2" tint="-0.249977111117893"/>
                </bottom>
              </border>
            </x14:dxf>
          </x14:cfRule>
          <xm:sqref>A3:Z122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D3196-1D9E-4513-9FE1-A64DC71B745D}">
  <dimension ref="A1:AC135"/>
  <sheetViews>
    <sheetView workbookViewId="0">
      <selection activeCell="P127" sqref="P127:X127"/>
    </sheetView>
  </sheetViews>
  <sheetFormatPr defaultRowHeight="14.25"/>
  <cols>
    <col min="1" max="1" width="17.7109375" style="28" customWidth="1"/>
    <col min="2" max="2" width="18" style="28" bestFit="1" customWidth="1"/>
    <col min="3" max="3" width="18.85546875" style="28" bestFit="1" customWidth="1"/>
    <col min="4" max="4" width="12.85546875" style="28" customWidth="1"/>
    <col min="5" max="5" width="11.28515625" style="28" customWidth="1"/>
    <col min="6" max="6" width="15.7109375" style="28" customWidth="1"/>
    <col min="7" max="7" width="16.7109375" style="28" customWidth="1"/>
    <col min="8" max="8" width="8.140625" style="28" bestFit="1" customWidth="1"/>
    <col min="9" max="9" width="12.42578125" style="28" customWidth="1"/>
    <col min="10" max="10" width="17.5703125" style="28" bestFit="1" customWidth="1"/>
    <col min="11" max="11" width="17.5703125" style="28" customWidth="1"/>
    <col min="12" max="12" width="14.5703125" style="28" customWidth="1"/>
    <col min="13" max="13" width="23" style="28" customWidth="1"/>
    <col min="14" max="14" width="41.7109375" style="28" bestFit="1" customWidth="1"/>
    <col min="15" max="15" width="13.7109375" style="28" customWidth="1"/>
    <col min="16" max="27" width="17" style="28" customWidth="1"/>
    <col min="28" max="28" width="36.5703125" style="28" bestFit="1" customWidth="1"/>
    <col min="29" max="29" width="42.7109375" style="28" bestFit="1" customWidth="1"/>
    <col min="30" max="30" width="12.42578125" style="28" customWidth="1"/>
    <col min="31" max="31" width="9" style="28" bestFit="1" customWidth="1"/>
    <col min="32" max="32" width="17.28515625" style="28" bestFit="1" customWidth="1"/>
    <col min="33" max="33" width="12.5703125" style="28" customWidth="1"/>
    <col min="34" max="34" width="11.5703125" style="28" bestFit="1" customWidth="1"/>
    <col min="35" max="35" width="18.5703125" style="28" customWidth="1"/>
    <col min="36" max="36" width="14.28515625" style="28" customWidth="1"/>
    <col min="37" max="37" width="12" style="28" customWidth="1"/>
    <col min="38" max="38" width="10.140625" style="28" bestFit="1" customWidth="1"/>
    <col min="39" max="39" width="14" style="28" customWidth="1"/>
    <col min="40" max="40" width="11" style="28" bestFit="1" customWidth="1"/>
    <col min="41" max="41" width="11.5703125" style="28" bestFit="1" customWidth="1"/>
    <col min="42" max="42" width="17.140625" style="28" bestFit="1" customWidth="1"/>
    <col min="43" max="16384" width="9.140625" style="28"/>
  </cols>
  <sheetData>
    <row r="1" spans="1:29" ht="28.5">
      <c r="A1" s="563" t="s">
        <v>3494</v>
      </c>
      <c r="B1" s="564"/>
      <c r="C1" s="408" t="s">
        <v>90</v>
      </c>
      <c r="D1" s="172" t="s">
        <v>103</v>
      </c>
      <c r="E1" s="172" t="s">
        <v>3495</v>
      </c>
      <c r="F1" s="172" t="s">
        <v>105</v>
      </c>
      <c r="G1" s="172" t="s">
        <v>2162</v>
      </c>
      <c r="H1" s="172" t="s">
        <v>3496</v>
      </c>
      <c r="I1" s="172" t="s">
        <v>3497</v>
      </c>
      <c r="J1" s="172" t="s">
        <v>3498</v>
      </c>
      <c r="K1" s="172" t="s">
        <v>3499</v>
      </c>
      <c r="L1" s="172" t="s">
        <v>2167</v>
      </c>
      <c r="M1" s="172" t="s">
        <v>2168</v>
      </c>
      <c r="N1" s="172" t="s">
        <v>2169</v>
      </c>
      <c r="O1" s="220" t="s">
        <v>2170</v>
      </c>
      <c r="P1" s="408" t="s">
        <v>6</v>
      </c>
      <c r="Q1" s="172" t="s">
        <v>7</v>
      </c>
      <c r="R1" s="172" t="s">
        <v>8</v>
      </c>
      <c r="S1" s="172" t="s">
        <v>9</v>
      </c>
      <c r="T1" s="172" t="s">
        <v>10</v>
      </c>
      <c r="U1" s="221" t="s">
        <v>11</v>
      </c>
      <c r="V1" s="172" t="s">
        <v>12</v>
      </c>
      <c r="W1" s="172" t="s">
        <v>13</v>
      </c>
      <c r="X1" s="221" t="s">
        <v>14</v>
      </c>
      <c r="Y1" s="221" t="s">
        <v>2197</v>
      </c>
      <c r="Z1" s="221" t="s">
        <v>2232</v>
      </c>
      <c r="AA1" s="222" t="s">
        <v>86</v>
      </c>
    </row>
    <row r="2" spans="1:29" ht="14.25" customHeight="1">
      <c r="A2" s="568" t="str">
        <f>Spec1</f>
        <v>Illusions</v>
      </c>
      <c r="B2" s="554" t="s">
        <v>94</v>
      </c>
      <c r="C2" s="187" t="str" cm="1">
        <f t="array" ref="C2">IF(OR(Spec1MinorAdeptCondition="(Select)",Spec1MinorAdeptCondition=""),_xlfn._xlws.FILTER(TraitStats,(TraitStatsTable[Name]=Spec1MinorAdept)*(TraitStatsTable[Condition]=""),"No stat bonus"),_xlfn._xlws.FILTER(TraitStats,(TraitStatsTable[Name]=Spec1MinorAdept)*((TraitStatsTable[Condition]=Spec1MinorAdeptCondition)+(TraitStatsTable[Condition]="")),"No stat bonus"))</f>
        <v>No stat bonus</v>
      </c>
      <c r="D2" s="188"/>
      <c r="E2" s="188"/>
      <c r="F2" s="188"/>
      <c r="G2" s="188"/>
      <c r="H2" s="188"/>
      <c r="I2" s="188"/>
      <c r="J2" s="188"/>
      <c r="K2" s="188"/>
      <c r="L2" s="188"/>
      <c r="M2" s="188"/>
      <c r="N2" s="188"/>
      <c r="O2" s="189"/>
      <c r="P2" s="190" t="str" cm="1">
        <f t="array" ref="P2">_xlfn.LET(_xlpm.flatSubtotal,INDEX(StatSubtotals,1,MATCH(P$1,StatList,0)),_xlpm.PercentCheck,IF(OR(P$1="Crit Chance",P$1="Crit Damage",P$1="Condition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P$1,AND(_xlpm.PercentCheck=0,$G2="All")),_xlfn.IFS(AND($I2="Flat",$J2=0),_xlpm.Flat,AND($I2="Percentage",$J2=0),_xlpm.Percentage,$J2="Derived",_xlpm.Derived,$J2="Boon Enhancement",_xlpm.BoonEnhancement,$J2="Stacking",_xlpm.Stacking),""))</f>
        <v/>
      </c>
      <c r="Q2" s="190" t="str" cm="1">
        <f t="array" ref="Q2">_xlfn.LET(_xlpm.flatSubtotal,INDEX(StatSubtotals,1,MATCH(Q$1,StatList,0)),_xlpm.PercentCheck,IF(OR(Q$1="Crit Chance",Q$1="Crit Damage",Q$1="Condition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Q$1,AND(_xlpm.PercentCheck=0,$G2="All")),_xlfn.IFS(AND($I2="Flat",$J2=0),_xlpm.Flat,AND($I2="Percentage",$J2=0),_xlpm.Percentage,$J2="Derived",_xlpm.Derived,$J2="Boon Enhancement",_xlpm.BoonEnhancement,$J2="Stacking",_xlpm.Stacking),""))</f>
        <v/>
      </c>
      <c r="R2" s="190" t="str" cm="1">
        <f t="array" ref="R2">_xlfn.LET(_xlpm.flatSubtotal,INDEX(StatSubtotals,1,MATCH(R$1,StatList,0)),_xlpm.PercentCheck,IF(OR(R$1="Crit Chance",R$1="Crit Damage",R$1="Condition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R$1,AND(_xlpm.PercentCheck=0,$G2="All")),_xlfn.IFS(AND($I2="Flat",$J2=0),_xlpm.Flat,AND($I2="Percentage",$J2=0),_xlpm.Percentage,$J2="Derived",_xlpm.Derived,$J2="Boon Enhancement",_xlpm.BoonEnhancement,$J2="Stacking",_xlpm.Stacking),""))</f>
        <v/>
      </c>
      <c r="S2" s="190" t="str" cm="1">
        <f t="array" ref="S2">_xlfn.LET(_xlpm.flatSubtotal,INDEX(StatSubtotals,1,MATCH(S$1,StatList,0)),_xlpm.PercentCheck,IF(OR(S$1="Crit Chance",S$1="Crit Damage",S$1="Condition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S$1,AND(_xlpm.PercentCheck=0,$G2="All")),_xlfn.IFS(AND($I2="Flat",$J2=0),_xlpm.Flat,AND($I2="Percentage",$J2=0),_xlpm.Percentage,$J2="Derived",_xlpm.Derived,$J2="Boon Enhancement",_xlpm.BoonEnhancement,$J2="Stacking",_xlpm.Stacking),""))</f>
        <v/>
      </c>
      <c r="T2" s="190" t="str" cm="1">
        <f t="array" ref="T2">_xlfn.LET(_xlpm.flatSubtotal,INDEX(StatSubtotals,1,MATCH(T$1,StatList,0)),_xlpm.PercentCheck,IF(OR(T$1="Crit Chance",T$1="Crit Damage",T$1="Condition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T$1,AND(_xlpm.PercentCheck=0,$G2="All")),_xlfn.IFS(AND($I2="Flat",$J2=0),_xlpm.Flat,AND($I2="Percentage",$J2=0),_xlpm.Percentage,$J2="Derived",_xlpm.Derived,$J2="Boon Enhancement",_xlpm.BoonEnhancement,$J2="Stacking",_xlpm.Stacking),""))</f>
        <v/>
      </c>
      <c r="U2" s="190" t="str" cm="1">
        <f t="array" ref="U2">_xlfn.LET(_xlpm.flatSubtotal,INDEX(StatSubtotals,1,MATCH(U$1,StatList,0)),_xlpm.PercentCheck,IF(OR(U$1="Crit Chance",U$1="Crit Damage",U$1="Condition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U$1,AND(_xlpm.PercentCheck=0,$G2="All")),_xlfn.IFS(AND($I2="Flat",$J2=0),_xlpm.Flat,AND($I2="Percentage",$J2=0),_xlpm.Percentage,$J2="Derived",_xlpm.Derived,$J2="Boon Enhancement",_xlpm.BoonEnhancement,$J2="Stacking",_xlpm.Stacking),""))</f>
        <v/>
      </c>
      <c r="V2" s="190" t="str" cm="1">
        <f t="array" ref="V2">_xlfn.LET(_xlpm.flatSubtotal,INDEX(StatSubtotals,1,MATCH(V$1,StatList,0)),_xlpm.PercentCheck,IF(OR(V$1="Crit Chance",V$1="Crit Damage",V$1="Condition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V$1,AND(_xlpm.PercentCheck=0,$G2="All")),_xlfn.IFS(AND($I2="Flat",$J2=0),_xlpm.Flat,AND($I2="Percentage",$J2=0),_xlpm.Percentage,$J2="Derived",_xlpm.Derived,$J2="Boon Enhancement",_xlpm.BoonEnhancement,$J2="Stacking",_xlpm.Stacking),""))</f>
        <v/>
      </c>
      <c r="W2" s="190" t="str" cm="1">
        <f t="array" ref="W2">_xlfn.LET(_xlpm.flatSubtotal,INDEX(StatSubtotals,1,MATCH(W$1,StatList,0)),_xlpm.PercentCheck,IF(OR(W$1="Crit Chance",W$1="Crit Damage",W$1="Condition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W$1,AND(_xlpm.PercentCheck=0,$G2="All")),_xlfn.IFS(AND($I2="Flat",$J2=0),_xlpm.Flat,AND($I2="Percentage",$J2=0),_xlpm.Percentage,$J2="Derived",_xlpm.Derived,$J2="Boon Enhancement",_xlpm.BoonEnhancement,$J2="Stacking",_xlpm.Stacking),""))</f>
        <v/>
      </c>
      <c r="X2" s="190" t="str" cm="1">
        <f t="array" ref="X2">_xlfn.LET(_xlpm.flatSubtotal,INDEX(StatSubtotals,1,MATCH(X$1,StatList,0)),_xlpm.PercentCheck,IF(OR(X$1="Crit Chance",X$1="Crit Damage",X$1="Condition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X$1,AND(_xlpm.PercentCheck=0,$G2="All")),_xlfn.IFS(AND($I2="Flat",$J2=0),_xlpm.Flat,AND($I2="Percentage",$J2=0),_xlpm.Percentage,$J2="Derived",_xlpm.Derived,$J2="Boon Enhancement",_xlpm.BoonEnhancement,$J2="Stacking",_xlpm.Stacking),""))</f>
        <v/>
      </c>
      <c r="Y2" s="190" t="str" cm="1">
        <f t="array" ref="Y2">_xlfn.LET(_xlpm.flatSubtotal,INDEX(StatSubtotals,1,MATCH(Y$1,StatList,0)),_xlpm.PercentCheck,IF(OR(Y$1="Crit Chance",Y$1="Crit Damage",Y$1="Condition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Y$1,AND(_xlpm.PercentCheck=0,$G2="All")),_xlfn.IFS(AND($I2="Flat",$J2=0),_xlpm.Flat,AND($I2="Percentage",$J2=0),_xlpm.Percentage,$J2="Derived",_xlpm.Derived,$J2="Boon Enhancement",_xlpm.BoonEnhancement,$J2="Stacking",_xlpm.Stacking),""))</f>
        <v/>
      </c>
      <c r="Z2" s="190" t="str" cm="1">
        <f t="array" ref="Z2">_xlfn.LET(_xlpm.flatSubtotal,INDEX(StatSubtotals,1,MATCH(Z$1,StatList,0)),_xlpm.PercentCheck,IF(OR(Z$1="Crit Chance",Z$1="Crit Damage",Z$1="Condition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Z$1,AND(_xlpm.PercentCheck=0,$G2="All")),_xlfn.IFS(AND($I2="Flat",$J2=0),_xlpm.Flat,AND($I2="Percentage",$J2=0),_xlpm.Percentage,$J2="Derived",_xlpm.Derived,$J2="Boon Enhancement",_xlpm.BoonEnhancement,$J2="Stacking",_xlpm.Stacking),""))</f>
        <v/>
      </c>
      <c r="AA2" s="190" t="str" cm="1">
        <f t="array" ref="AA2">_xlfn.LET(_xlpm.flatSubtotal,INDEX(StatSubtotals,1,MATCH(AA$1,StatList,0)),_xlpm.PercentCheck,IF(OR(AA$1="Crit Chance",AA$1="Crit Damage",AA$1="Condition Duration"),1,0),_xlpm.Flat,$H2,_xlpm.Percentage,$H2*_xlpm.flatSubtotal,_xlpm.Derived,$H2*_xlpm.flatSubtotal,_xlpm.BoonType,VLOOKUP($M2,BoonToggles,2,0),_xlpm.BoonEnhancement,IF(AND(ISLOGICAL(_xlpm.BoonType),_xlpm.BoonType=TRUE),IF($I2="Flat",$H2,_xlpm.Percentage),IF($I2="Flat",$H2*_xlpm.BoonType,_xlpm.Percentage*_xlpm.BoonType)),_xlpm.Stacking,IF($I2="Flat",$H2*Spec1MinorAdeptStacks,IF(_xlpm.PercentCheck=1,"",_xlpm.Percentage*Spec1MinorAdeptStacks)),IF(OR($G2=AA$1,AND(_xlpm.PercentCheck=0,$G2="All")),_xlfn.IFS(AND($I2="Flat",$J2=0),_xlpm.Flat,AND($I2="Percentage",$J2=0),_xlpm.Percentage,$J2="Derived",_xlpm.Derived,$J2="Boon Enhancement",_xlpm.BoonEnhancement,$J2="Stacking",_xlpm.Stacking),""))</f>
        <v/>
      </c>
    </row>
    <row r="3" spans="1:29" ht="14.25" customHeight="1">
      <c r="A3" s="566"/>
      <c r="B3" s="554"/>
      <c r="C3" s="191"/>
      <c r="D3" s="192"/>
      <c r="E3" s="192"/>
      <c r="F3" s="192"/>
      <c r="G3" s="192"/>
      <c r="H3" s="192"/>
      <c r="I3" s="192"/>
      <c r="J3" s="192"/>
      <c r="K3" s="192"/>
      <c r="L3" s="192"/>
      <c r="M3" s="192"/>
      <c r="N3" s="192"/>
      <c r="O3" s="193"/>
      <c r="P3" s="190" t="str" cm="1">
        <f t="array" ref="P3">_xlfn.LET(_xlpm.flatSubtotal,INDEX(StatSubtotals,1,MATCH(P$1,StatList,0)),_xlpm.PercentCheck,IF(OR(P$1="Crit Chance",P$1="Crit Damage",P$1="Condition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P$1,AND(_xlpm.PercentCheck=0,$G3="All")),_xlfn.IFS(AND($I3="Flat",$J3=0),_xlpm.Flat,AND($I3="Percentage",$J3=0),_xlpm.Percentage,$J3="Derived",_xlpm.Derived,$J3="Boon Enhancement",_xlpm.BoonEnhancement,$J3="Stacking",_xlpm.Stacking),""))</f>
        <v/>
      </c>
      <c r="Q3" s="190" t="str" cm="1">
        <f t="array" ref="Q3">_xlfn.LET(_xlpm.flatSubtotal,INDEX(StatSubtotals,1,MATCH(Q$1,StatList,0)),_xlpm.PercentCheck,IF(OR(Q$1="Crit Chance",Q$1="Crit Damage",Q$1="Condition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Q$1,AND(_xlpm.PercentCheck=0,$G3="All")),_xlfn.IFS(AND($I3="Flat",$J3=0),_xlpm.Flat,AND($I3="Percentage",$J3=0),_xlpm.Percentage,$J3="Derived",_xlpm.Derived,$J3="Boon Enhancement",_xlpm.BoonEnhancement,$J3="Stacking",_xlpm.Stacking),""))</f>
        <v/>
      </c>
      <c r="R3" s="190" t="str" cm="1">
        <f t="array" ref="R3">_xlfn.LET(_xlpm.flatSubtotal,INDEX(StatSubtotals,1,MATCH(R$1,StatList,0)),_xlpm.PercentCheck,IF(OR(R$1="Crit Chance",R$1="Crit Damage",R$1="Condition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R$1,AND(_xlpm.PercentCheck=0,$G3="All")),_xlfn.IFS(AND($I3="Flat",$J3=0),_xlpm.Flat,AND($I3="Percentage",$J3=0),_xlpm.Percentage,$J3="Derived",_xlpm.Derived,$J3="Boon Enhancement",_xlpm.BoonEnhancement,$J3="Stacking",_xlpm.Stacking),""))</f>
        <v/>
      </c>
      <c r="S3" s="190" t="str" cm="1">
        <f t="array" ref="S3">_xlfn.LET(_xlpm.flatSubtotal,INDEX(StatSubtotals,1,MATCH(S$1,StatList,0)),_xlpm.PercentCheck,IF(OR(S$1="Crit Chance",S$1="Crit Damage",S$1="Condition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S$1,AND(_xlpm.PercentCheck=0,$G3="All")),_xlfn.IFS(AND($I3="Flat",$J3=0),_xlpm.Flat,AND($I3="Percentage",$J3=0),_xlpm.Percentage,$J3="Derived",_xlpm.Derived,$J3="Boon Enhancement",_xlpm.BoonEnhancement,$J3="Stacking",_xlpm.Stacking),""))</f>
        <v/>
      </c>
      <c r="T3" s="190" t="str" cm="1">
        <f t="array" ref="T3">_xlfn.LET(_xlpm.flatSubtotal,INDEX(StatSubtotals,1,MATCH(T$1,StatList,0)),_xlpm.PercentCheck,IF(OR(T$1="Crit Chance",T$1="Crit Damage",T$1="Condition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T$1,AND(_xlpm.PercentCheck=0,$G3="All")),_xlfn.IFS(AND($I3="Flat",$J3=0),_xlpm.Flat,AND($I3="Percentage",$J3=0),_xlpm.Percentage,$J3="Derived",_xlpm.Derived,$J3="Boon Enhancement",_xlpm.BoonEnhancement,$J3="Stacking",_xlpm.Stacking),""))</f>
        <v/>
      </c>
      <c r="U3" s="190" t="str" cm="1">
        <f t="array" ref="U3">_xlfn.LET(_xlpm.flatSubtotal,INDEX(StatSubtotals,1,MATCH(U$1,StatList,0)),_xlpm.PercentCheck,IF(OR(U$1="Crit Chance",U$1="Crit Damage",U$1="Condition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U$1,AND(_xlpm.PercentCheck=0,$G3="All")),_xlfn.IFS(AND($I3="Flat",$J3=0),_xlpm.Flat,AND($I3="Percentage",$J3=0),_xlpm.Percentage,$J3="Derived",_xlpm.Derived,$J3="Boon Enhancement",_xlpm.BoonEnhancement,$J3="Stacking",_xlpm.Stacking),""))</f>
        <v/>
      </c>
      <c r="V3" s="190" t="str" cm="1">
        <f t="array" ref="V3">_xlfn.LET(_xlpm.flatSubtotal,INDEX(StatSubtotals,1,MATCH(V$1,StatList,0)),_xlpm.PercentCheck,IF(OR(V$1="Crit Chance",V$1="Crit Damage",V$1="Condition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V$1,AND(_xlpm.PercentCheck=0,$G3="All")),_xlfn.IFS(AND($I3="Flat",$J3=0),_xlpm.Flat,AND($I3="Percentage",$J3=0),_xlpm.Percentage,$J3="Derived",_xlpm.Derived,$J3="Boon Enhancement",_xlpm.BoonEnhancement,$J3="Stacking",_xlpm.Stacking),""))</f>
        <v/>
      </c>
      <c r="W3" s="190" t="str" cm="1">
        <f t="array" ref="W3">_xlfn.LET(_xlpm.flatSubtotal,INDEX(StatSubtotals,1,MATCH(W$1,StatList,0)),_xlpm.PercentCheck,IF(OR(W$1="Crit Chance",W$1="Crit Damage",W$1="Condition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W$1,AND(_xlpm.PercentCheck=0,$G3="All")),_xlfn.IFS(AND($I3="Flat",$J3=0),_xlpm.Flat,AND($I3="Percentage",$J3=0),_xlpm.Percentage,$J3="Derived",_xlpm.Derived,$J3="Boon Enhancement",_xlpm.BoonEnhancement,$J3="Stacking",_xlpm.Stacking),""))</f>
        <v/>
      </c>
      <c r="X3" s="190" t="str" cm="1">
        <f t="array" ref="X3">_xlfn.LET(_xlpm.flatSubtotal,INDEX(StatSubtotals,1,MATCH(X$1,StatList,0)),_xlpm.PercentCheck,IF(OR(X$1="Crit Chance",X$1="Crit Damage",X$1="Condition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X$1,AND(_xlpm.PercentCheck=0,$G3="All")),_xlfn.IFS(AND($I3="Flat",$J3=0),_xlpm.Flat,AND($I3="Percentage",$J3=0),_xlpm.Percentage,$J3="Derived",_xlpm.Derived,$J3="Boon Enhancement",_xlpm.BoonEnhancement,$J3="Stacking",_xlpm.Stacking),""))</f>
        <v/>
      </c>
      <c r="Y3" s="190" t="str" cm="1">
        <f t="array" ref="Y3">_xlfn.LET(_xlpm.flatSubtotal,INDEX(StatSubtotals,1,MATCH(Y$1,StatList,0)),_xlpm.PercentCheck,IF(OR(Y$1="Crit Chance",Y$1="Crit Damage",Y$1="Condition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Y$1,AND(_xlpm.PercentCheck=0,$G3="All")),_xlfn.IFS(AND($I3="Flat",$J3=0),_xlpm.Flat,AND($I3="Percentage",$J3=0),_xlpm.Percentage,$J3="Derived",_xlpm.Derived,$J3="Boon Enhancement",_xlpm.BoonEnhancement,$J3="Stacking",_xlpm.Stacking),""))</f>
        <v/>
      </c>
      <c r="Z3" s="190" t="str" cm="1">
        <f t="array" ref="Z3">_xlfn.LET(_xlpm.flatSubtotal,INDEX(StatSubtotals,1,MATCH(Z$1,StatList,0)),_xlpm.PercentCheck,IF(OR(Z$1="Crit Chance",Z$1="Crit Damage",Z$1="Condition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Z$1,AND(_xlpm.PercentCheck=0,$G3="All")),_xlfn.IFS(AND($I3="Flat",$J3=0),_xlpm.Flat,AND($I3="Percentage",$J3=0),_xlpm.Percentage,$J3="Derived",_xlpm.Derived,$J3="Boon Enhancement",_xlpm.BoonEnhancement,$J3="Stacking",_xlpm.Stacking),""))</f>
        <v/>
      </c>
      <c r="AA3" s="190" t="str" cm="1">
        <f t="array" ref="AA3">_xlfn.LET(_xlpm.flatSubtotal,INDEX(StatSubtotals,1,MATCH(AA$1,StatList,0)),_xlpm.PercentCheck,IF(OR(AA$1="Crit Chance",AA$1="Crit Damage",AA$1="Condition Duration"),1,0),_xlpm.Flat,$H3,_xlpm.Percentage,$H3*_xlpm.flatSubtotal,_xlpm.Derived,$H3*_xlpm.flatSubtotal,_xlpm.BoonType,VLOOKUP($M3,BoonToggles,2,0),_xlpm.BoonEnhancement,IF(AND(ISLOGICAL(_xlpm.BoonType),_xlpm.BoonType=TRUE),IF($I3="Flat",$H3,_xlpm.Percentage),IF($I3="Flat",$H3*_xlpm.BoonType,_xlpm.Percentage*_xlpm.BoonType)),_xlpm.Stacking,IF($I3="Flat",$H3*Spec1MinorAdeptStacks,IF(_xlpm.PercentCheck=1,"",_xlpm.Percentage*Spec1MinorAdeptStacks)),IF(OR($G3=AA$1,AND(_xlpm.PercentCheck=0,$G3="All")),_xlfn.IFS(AND($I3="Flat",$J3=0),_xlpm.Flat,AND($I3="Percentage",$J3=0),_xlpm.Percentage,$J3="Derived",_xlpm.Derived,$J3="Boon Enhancement",_xlpm.BoonEnhancement,$J3="Stacking",_xlpm.Stacking),""))</f>
        <v/>
      </c>
    </row>
    <row r="4" spans="1:29" ht="14.25" customHeight="1">
      <c r="A4" s="566"/>
      <c r="B4" s="554"/>
      <c r="C4" s="194"/>
      <c r="D4" s="195"/>
      <c r="E4" s="195"/>
      <c r="F4" s="195"/>
      <c r="G4" s="195"/>
      <c r="H4" s="195"/>
      <c r="I4" s="195"/>
      <c r="J4" s="195"/>
      <c r="K4" s="195"/>
      <c r="L4" s="195"/>
      <c r="M4" s="195"/>
      <c r="N4" s="195"/>
      <c r="O4" s="196"/>
      <c r="P4" s="190" t="str" cm="1">
        <f t="array" ref="P4">_xlfn.LET(_xlpm.flatSubtotal,INDEX(StatSubtotals,1,MATCH(P$1,StatList,0)),_xlpm.PercentCheck,IF(OR(P$1="Crit Chance",P$1="Crit Damage",P$1="Condition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P$1,AND(_xlpm.PercentCheck=0,$G4="All")),_xlfn.IFS(AND($I4="Flat",$J4=0),_xlpm.Flat,AND($I4="Percentage",$J4=0),_xlpm.Percentage,$J4="Derived",_xlpm.Derived,$J4="Boon Enhancement",_xlpm.BoonEnhancement,$J4="Stacking",_xlpm.Stacking),""))</f>
        <v/>
      </c>
      <c r="Q4" s="190" t="str" cm="1">
        <f t="array" ref="Q4">_xlfn.LET(_xlpm.flatSubtotal,INDEX(StatSubtotals,1,MATCH(Q$1,StatList,0)),_xlpm.PercentCheck,IF(OR(Q$1="Crit Chance",Q$1="Crit Damage",Q$1="Condition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Q$1,AND(_xlpm.PercentCheck=0,$G4="All")),_xlfn.IFS(AND($I4="Flat",$J4=0),_xlpm.Flat,AND($I4="Percentage",$J4=0),_xlpm.Percentage,$J4="Derived",_xlpm.Derived,$J4="Boon Enhancement",_xlpm.BoonEnhancement,$J4="Stacking",_xlpm.Stacking),""))</f>
        <v/>
      </c>
      <c r="R4" s="190" t="str" cm="1">
        <f t="array" ref="R4">_xlfn.LET(_xlpm.flatSubtotal,INDEX(StatSubtotals,1,MATCH(R$1,StatList,0)),_xlpm.PercentCheck,IF(OR(R$1="Crit Chance",R$1="Crit Damage",R$1="Condition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R$1,AND(_xlpm.PercentCheck=0,$G4="All")),_xlfn.IFS(AND($I4="Flat",$J4=0),_xlpm.Flat,AND($I4="Percentage",$J4=0),_xlpm.Percentage,$J4="Derived",_xlpm.Derived,$J4="Boon Enhancement",_xlpm.BoonEnhancement,$J4="Stacking",_xlpm.Stacking),""))</f>
        <v/>
      </c>
      <c r="S4" s="190" t="str" cm="1">
        <f t="array" ref="S4">_xlfn.LET(_xlpm.flatSubtotal,INDEX(StatSubtotals,1,MATCH(S$1,StatList,0)),_xlpm.PercentCheck,IF(OR(S$1="Crit Chance",S$1="Crit Damage",S$1="Condition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S$1,AND(_xlpm.PercentCheck=0,$G4="All")),_xlfn.IFS(AND($I4="Flat",$J4=0),_xlpm.Flat,AND($I4="Percentage",$J4=0),_xlpm.Percentage,$J4="Derived",_xlpm.Derived,$J4="Boon Enhancement",_xlpm.BoonEnhancement,$J4="Stacking",_xlpm.Stacking),""))</f>
        <v/>
      </c>
      <c r="T4" s="190" t="str" cm="1">
        <f t="array" ref="T4">_xlfn.LET(_xlpm.flatSubtotal,INDEX(StatSubtotals,1,MATCH(T$1,StatList,0)),_xlpm.PercentCheck,IF(OR(T$1="Crit Chance",T$1="Crit Damage",T$1="Condition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T$1,AND(_xlpm.PercentCheck=0,$G4="All")),_xlfn.IFS(AND($I4="Flat",$J4=0),_xlpm.Flat,AND($I4="Percentage",$J4=0),_xlpm.Percentage,$J4="Derived",_xlpm.Derived,$J4="Boon Enhancement",_xlpm.BoonEnhancement,$J4="Stacking",_xlpm.Stacking),""))</f>
        <v/>
      </c>
      <c r="U4" s="190" t="str" cm="1">
        <f t="array" ref="U4">_xlfn.LET(_xlpm.flatSubtotal,INDEX(StatSubtotals,1,MATCH(U$1,StatList,0)),_xlpm.PercentCheck,IF(OR(U$1="Crit Chance",U$1="Crit Damage",U$1="Condition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U$1,AND(_xlpm.PercentCheck=0,$G4="All")),_xlfn.IFS(AND($I4="Flat",$J4=0),_xlpm.Flat,AND($I4="Percentage",$J4=0),_xlpm.Percentage,$J4="Derived",_xlpm.Derived,$J4="Boon Enhancement",_xlpm.BoonEnhancement,$J4="Stacking",_xlpm.Stacking),""))</f>
        <v/>
      </c>
      <c r="V4" s="190" t="str" cm="1">
        <f t="array" ref="V4">_xlfn.LET(_xlpm.flatSubtotal,INDEX(StatSubtotals,1,MATCH(V$1,StatList,0)),_xlpm.PercentCheck,IF(OR(V$1="Crit Chance",V$1="Crit Damage",V$1="Condition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V$1,AND(_xlpm.PercentCheck=0,$G4="All")),_xlfn.IFS(AND($I4="Flat",$J4=0),_xlpm.Flat,AND($I4="Percentage",$J4=0),_xlpm.Percentage,$J4="Derived",_xlpm.Derived,$J4="Boon Enhancement",_xlpm.BoonEnhancement,$J4="Stacking",_xlpm.Stacking),""))</f>
        <v/>
      </c>
      <c r="W4" s="190" t="str" cm="1">
        <f t="array" ref="W4">_xlfn.LET(_xlpm.flatSubtotal,INDEX(StatSubtotals,1,MATCH(W$1,StatList,0)),_xlpm.PercentCheck,IF(OR(W$1="Crit Chance",W$1="Crit Damage",W$1="Condition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W$1,AND(_xlpm.PercentCheck=0,$G4="All")),_xlfn.IFS(AND($I4="Flat",$J4=0),_xlpm.Flat,AND($I4="Percentage",$J4=0),_xlpm.Percentage,$J4="Derived",_xlpm.Derived,$J4="Boon Enhancement",_xlpm.BoonEnhancement,$J4="Stacking",_xlpm.Stacking),""))</f>
        <v/>
      </c>
      <c r="X4" s="190" t="str" cm="1">
        <f t="array" ref="X4">_xlfn.LET(_xlpm.flatSubtotal,INDEX(StatSubtotals,1,MATCH(X$1,StatList,0)),_xlpm.PercentCheck,IF(OR(X$1="Crit Chance",X$1="Crit Damage",X$1="Condition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X$1,AND(_xlpm.PercentCheck=0,$G4="All")),_xlfn.IFS(AND($I4="Flat",$J4=0),_xlpm.Flat,AND($I4="Percentage",$J4=0),_xlpm.Percentage,$J4="Derived",_xlpm.Derived,$J4="Boon Enhancement",_xlpm.BoonEnhancement,$J4="Stacking",_xlpm.Stacking),""))</f>
        <v/>
      </c>
      <c r="Y4" s="190" t="str" cm="1">
        <f t="array" ref="Y4">_xlfn.LET(_xlpm.flatSubtotal,INDEX(StatSubtotals,1,MATCH(Y$1,StatList,0)),_xlpm.PercentCheck,IF(OR(Y$1="Crit Chance",Y$1="Crit Damage",Y$1="Condition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Y$1,AND(_xlpm.PercentCheck=0,$G4="All")),_xlfn.IFS(AND($I4="Flat",$J4=0),_xlpm.Flat,AND($I4="Percentage",$J4=0),_xlpm.Percentage,$J4="Derived",_xlpm.Derived,$J4="Boon Enhancement",_xlpm.BoonEnhancement,$J4="Stacking",_xlpm.Stacking),""))</f>
        <v/>
      </c>
      <c r="Z4" s="190" t="str" cm="1">
        <f t="array" ref="Z4">_xlfn.LET(_xlpm.flatSubtotal,INDEX(StatSubtotals,1,MATCH(Z$1,StatList,0)),_xlpm.PercentCheck,IF(OR(Z$1="Crit Chance",Z$1="Crit Damage",Z$1="Condition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Z$1,AND(_xlpm.PercentCheck=0,$G4="All")),_xlfn.IFS(AND($I4="Flat",$J4=0),_xlpm.Flat,AND($I4="Percentage",$J4=0),_xlpm.Percentage,$J4="Derived",_xlpm.Derived,$J4="Boon Enhancement",_xlpm.BoonEnhancement,$J4="Stacking",_xlpm.Stacking),""))</f>
        <v/>
      </c>
      <c r="AA4" s="190" t="str" cm="1">
        <f t="array" ref="AA4">_xlfn.LET(_xlpm.flatSubtotal,INDEX(StatSubtotals,1,MATCH(AA$1,StatList,0)),_xlpm.PercentCheck,IF(OR(AA$1="Crit Chance",AA$1="Crit Damage",AA$1="Condition Duration"),1,0),_xlpm.Flat,$H4,_xlpm.Percentage,$H4*_xlpm.flatSubtotal,_xlpm.Derived,$H4*_xlpm.flatSubtotal,_xlpm.BoonType,VLOOKUP($M4,BoonToggles,2,0),_xlpm.BoonEnhancement,IF(AND(ISLOGICAL(_xlpm.BoonType),_xlpm.BoonType=TRUE),IF($I4="Flat",$H4,_xlpm.Percentage),IF($I4="Flat",$H4*_xlpm.BoonType,_xlpm.Percentage*_xlpm.BoonType)),_xlpm.Stacking,IF($I4="Flat",$H4*Spec1MinorAdeptStacks,IF(_xlpm.PercentCheck=1,"",_xlpm.Percentage*Spec1MinorAdeptStacks)),IF(OR($G4=AA$1,AND(_xlpm.PercentCheck=0,$G4="All")),_xlfn.IFS(AND($I4="Flat",$J4=0),_xlpm.Flat,AND($I4="Percentage",$J4=0),_xlpm.Percentage,$J4="Derived",_xlpm.Derived,$J4="Boon Enhancement",_xlpm.BoonEnhancement,$J4="Stacking",_xlpm.Stacking),""))</f>
        <v/>
      </c>
    </row>
    <row r="5" spans="1:29" ht="14.25" customHeight="1">
      <c r="A5" s="566"/>
      <c r="B5" s="554"/>
      <c r="C5" s="194"/>
      <c r="D5" s="195"/>
      <c r="E5" s="195"/>
      <c r="F5" s="195"/>
      <c r="G5" s="195"/>
      <c r="H5" s="195"/>
      <c r="I5" s="195"/>
      <c r="J5" s="195"/>
      <c r="K5" s="195"/>
      <c r="L5" s="195"/>
      <c r="M5" s="195"/>
      <c r="N5" s="195"/>
      <c r="O5" s="196"/>
      <c r="P5" s="190" t="str" cm="1">
        <f t="array" ref="P5">_xlfn.LET(_xlpm.flatSubtotal,INDEX(StatSubtotals,1,MATCH(P$1,StatList,0)),_xlpm.PercentCheck,IF(OR(P$1="Crit Chance",P$1="Crit Damage",P$1="Condition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P$1,AND(_xlpm.PercentCheck=0,$G5="All")),_xlfn.IFS(AND($I5="Flat",$J5=0),_xlpm.Flat,AND($I5="Percentage",$J5=0),_xlpm.Percentage,$J5="Derived",_xlpm.Derived,$J5="Boon Enhancement",_xlpm.BoonEnhancement,$J5="Stacking",_xlpm.Stacking),""))</f>
        <v/>
      </c>
      <c r="Q5" s="190" t="str" cm="1">
        <f t="array" ref="Q5">_xlfn.LET(_xlpm.flatSubtotal,INDEX(StatSubtotals,1,MATCH(Q$1,StatList,0)),_xlpm.PercentCheck,IF(OR(Q$1="Crit Chance",Q$1="Crit Damage",Q$1="Condition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Q$1,AND(_xlpm.PercentCheck=0,$G5="All")),_xlfn.IFS(AND($I5="Flat",$J5=0),_xlpm.Flat,AND($I5="Percentage",$J5=0),_xlpm.Percentage,$J5="Derived",_xlpm.Derived,$J5="Boon Enhancement",_xlpm.BoonEnhancement,$J5="Stacking",_xlpm.Stacking),""))</f>
        <v/>
      </c>
      <c r="R5" s="190" t="str" cm="1">
        <f t="array" ref="R5">_xlfn.LET(_xlpm.flatSubtotal,INDEX(StatSubtotals,1,MATCH(R$1,StatList,0)),_xlpm.PercentCheck,IF(OR(R$1="Crit Chance",R$1="Crit Damage",R$1="Condition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R$1,AND(_xlpm.PercentCheck=0,$G5="All")),_xlfn.IFS(AND($I5="Flat",$J5=0),_xlpm.Flat,AND($I5="Percentage",$J5=0),_xlpm.Percentage,$J5="Derived",_xlpm.Derived,$J5="Boon Enhancement",_xlpm.BoonEnhancement,$J5="Stacking",_xlpm.Stacking),""))</f>
        <v/>
      </c>
      <c r="S5" s="190" t="str" cm="1">
        <f t="array" ref="S5">_xlfn.LET(_xlpm.flatSubtotal,INDEX(StatSubtotals,1,MATCH(S$1,StatList,0)),_xlpm.PercentCheck,IF(OR(S$1="Crit Chance",S$1="Crit Damage",S$1="Condition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S$1,AND(_xlpm.PercentCheck=0,$G5="All")),_xlfn.IFS(AND($I5="Flat",$J5=0),_xlpm.Flat,AND($I5="Percentage",$J5=0),_xlpm.Percentage,$J5="Derived",_xlpm.Derived,$J5="Boon Enhancement",_xlpm.BoonEnhancement,$J5="Stacking",_xlpm.Stacking),""))</f>
        <v/>
      </c>
      <c r="T5" s="190" t="str" cm="1">
        <f t="array" ref="T5">_xlfn.LET(_xlpm.flatSubtotal,INDEX(StatSubtotals,1,MATCH(T$1,StatList,0)),_xlpm.PercentCheck,IF(OR(T$1="Crit Chance",T$1="Crit Damage",T$1="Condition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T$1,AND(_xlpm.PercentCheck=0,$G5="All")),_xlfn.IFS(AND($I5="Flat",$J5=0),_xlpm.Flat,AND($I5="Percentage",$J5=0),_xlpm.Percentage,$J5="Derived",_xlpm.Derived,$J5="Boon Enhancement",_xlpm.BoonEnhancement,$J5="Stacking",_xlpm.Stacking),""))</f>
        <v/>
      </c>
      <c r="U5" s="190" t="str" cm="1">
        <f t="array" ref="U5">_xlfn.LET(_xlpm.flatSubtotal,INDEX(StatSubtotals,1,MATCH(U$1,StatList,0)),_xlpm.PercentCheck,IF(OR(U$1="Crit Chance",U$1="Crit Damage",U$1="Condition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U$1,AND(_xlpm.PercentCheck=0,$G5="All")),_xlfn.IFS(AND($I5="Flat",$J5=0),_xlpm.Flat,AND($I5="Percentage",$J5=0),_xlpm.Percentage,$J5="Derived",_xlpm.Derived,$J5="Boon Enhancement",_xlpm.BoonEnhancement,$J5="Stacking",_xlpm.Stacking),""))</f>
        <v/>
      </c>
      <c r="V5" s="190" t="str" cm="1">
        <f t="array" ref="V5">_xlfn.LET(_xlpm.flatSubtotal,INDEX(StatSubtotals,1,MATCH(V$1,StatList,0)),_xlpm.PercentCheck,IF(OR(V$1="Crit Chance",V$1="Crit Damage",V$1="Condition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V$1,AND(_xlpm.PercentCheck=0,$G5="All")),_xlfn.IFS(AND($I5="Flat",$J5=0),_xlpm.Flat,AND($I5="Percentage",$J5=0),_xlpm.Percentage,$J5="Derived",_xlpm.Derived,$J5="Boon Enhancement",_xlpm.BoonEnhancement,$J5="Stacking",_xlpm.Stacking),""))</f>
        <v/>
      </c>
      <c r="W5" s="190" t="str" cm="1">
        <f t="array" ref="W5">_xlfn.LET(_xlpm.flatSubtotal,INDEX(StatSubtotals,1,MATCH(W$1,StatList,0)),_xlpm.PercentCheck,IF(OR(W$1="Crit Chance",W$1="Crit Damage",W$1="Condition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W$1,AND(_xlpm.PercentCheck=0,$G5="All")),_xlfn.IFS(AND($I5="Flat",$J5=0),_xlpm.Flat,AND($I5="Percentage",$J5=0),_xlpm.Percentage,$J5="Derived",_xlpm.Derived,$J5="Boon Enhancement",_xlpm.BoonEnhancement,$J5="Stacking",_xlpm.Stacking),""))</f>
        <v/>
      </c>
      <c r="X5" s="190" t="str" cm="1">
        <f t="array" ref="X5">_xlfn.LET(_xlpm.flatSubtotal,INDEX(StatSubtotals,1,MATCH(X$1,StatList,0)),_xlpm.PercentCheck,IF(OR(X$1="Crit Chance",X$1="Crit Damage",X$1="Condition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X$1,AND(_xlpm.PercentCheck=0,$G5="All")),_xlfn.IFS(AND($I5="Flat",$J5=0),_xlpm.Flat,AND($I5="Percentage",$J5=0),_xlpm.Percentage,$J5="Derived",_xlpm.Derived,$J5="Boon Enhancement",_xlpm.BoonEnhancement,$J5="Stacking",_xlpm.Stacking),""))</f>
        <v/>
      </c>
      <c r="Y5" s="190" t="str" cm="1">
        <f t="array" ref="Y5">_xlfn.LET(_xlpm.flatSubtotal,INDEX(StatSubtotals,1,MATCH(Y$1,StatList,0)),_xlpm.PercentCheck,IF(OR(Y$1="Crit Chance",Y$1="Crit Damage",Y$1="Condition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Y$1,AND(_xlpm.PercentCheck=0,$G5="All")),_xlfn.IFS(AND($I5="Flat",$J5=0),_xlpm.Flat,AND($I5="Percentage",$J5=0),_xlpm.Percentage,$J5="Derived",_xlpm.Derived,$J5="Boon Enhancement",_xlpm.BoonEnhancement,$J5="Stacking",_xlpm.Stacking),""))</f>
        <v/>
      </c>
      <c r="Z5" s="190" t="str" cm="1">
        <f t="array" ref="Z5">_xlfn.LET(_xlpm.flatSubtotal,INDEX(StatSubtotals,1,MATCH(Z$1,StatList,0)),_xlpm.PercentCheck,IF(OR(Z$1="Crit Chance",Z$1="Crit Damage",Z$1="Condition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Z$1,AND(_xlpm.PercentCheck=0,$G5="All")),_xlfn.IFS(AND($I5="Flat",$J5=0),_xlpm.Flat,AND($I5="Percentage",$J5=0),_xlpm.Percentage,$J5="Derived",_xlpm.Derived,$J5="Boon Enhancement",_xlpm.BoonEnhancement,$J5="Stacking",_xlpm.Stacking),""))</f>
        <v/>
      </c>
      <c r="AA5" s="190" t="str" cm="1">
        <f t="array" ref="AA5">_xlfn.LET(_xlpm.flatSubtotal,INDEX(StatSubtotals,1,MATCH(AA$1,StatList,0)),_xlpm.PercentCheck,IF(OR(AA$1="Crit Chance",AA$1="Crit Damage",AA$1="Condition Duration"),1,0),_xlpm.Flat,$H5,_xlpm.Percentage,$H5*_xlpm.flatSubtotal,_xlpm.Derived,$H5*_xlpm.flatSubtotal,_xlpm.BoonType,VLOOKUP($M5,BoonToggles,2,0),_xlpm.BoonEnhancement,IF(AND(ISLOGICAL(_xlpm.BoonType),_xlpm.BoonType=TRUE),IF($I5="Flat",$H5,_xlpm.Percentage),IF($I5="Flat",$H5*_xlpm.BoonType,_xlpm.Percentage*_xlpm.BoonType)),_xlpm.Stacking,IF($I5="Flat",$H5*Spec1MinorAdeptStacks,IF(_xlpm.PercentCheck=1,"",_xlpm.Percentage*Spec1MinorAdeptStacks)),IF(OR($G5=AA$1,AND(_xlpm.PercentCheck=0,$G5="All")),_xlfn.IFS(AND($I5="Flat",$J5=0),_xlpm.Flat,AND($I5="Percentage",$J5=0),_xlpm.Percentage,$J5="Derived",_xlpm.Derived,$J5="Boon Enhancement",_xlpm.BoonEnhancement,$J5="Stacking",_xlpm.Stacking),""))</f>
        <v/>
      </c>
    </row>
    <row r="6" spans="1:29" ht="14.25" customHeight="1">
      <c r="A6" s="566"/>
      <c r="B6" s="554"/>
      <c r="C6" s="194"/>
      <c r="D6" s="195"/>
      <c r="E6" s="195"/>
      <c r="F6" s="195"/>
      <c r="G6" s="195"/>
      <c r="H6" s="195"/>
      <c r="I6" s="195"/>
      <c r="J6" s="195"/>
      <c r="K6" s="195"/>
      <c r="L6" s="195"/>
      <c r="M6" s="195"/>
      <c r="N6" s="195"/>
      <c r="O6" s="196"/>
      <c r="P6" s="190" t="str" cm="1">
        <f t="array" ref="P6">_xlfn.LET(_xlpm.flatSubtotal,INDEX(StatSubtotals,1,MATCH(P$1,StatList,0)),_xlpm.PercentCheck,IF(OR(P$1="Crit Chance",P$1="Crit Damage",P$1="Condition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P$1,AND(_xlpm.PercentCheck=0,$G6="All")),_xlfn.IFS(AND($I6="Flat",$J6=0),_xlpm.Flat,AND($I6="Percentage",$J6=0),_xlpm.Percentage,$J6="Derived",_xlpm.Derived,$J6="Boon Enhancement",_xlpm.BoonEnhancement,$J6="Stacking",_xlpm.Stacking),""))</f>
        <v/>
      </c>
      <c r="Q6" s="190" t="str" cm="1">
        <f t="array" ref="Q6">_xlfn.LET(_xlpm.flatSubtotal,INDEX(StatSubtotals,1,MATCH(Q$1,StatList,0)),_xlpm.PercentCheck,IF(OR(Q$1="Crit Chance",Q$1="Crit Damage",Q$1="Condition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Q$1,AND(_xlpm.PercentCheck=0,$G6="All")),_xlfn.IFS(AND($I6="Flat",$J6=0),_xlpm.Flat,AND($I6="Percentage",$J6=0),_xlpm.Percentage,$J6="Derived",_xlpm.Derived,$J6="Boon Enhancement",_xlpm.BoonEnhancement,$J6="Stacking",_xlpm.Stacking),""))</f>
        <v/>
      </c>
      <c r="R6" s="190" t="str" cm="1">
        <f t="array" ref="R6">_xlfn.LET(_xlpm.flatSubtotal,INDEX(StatSubtotals,1,MATCH(R$1,StatList,0)),_xlpm.PercentCheck,IF(OR(R$1="Crit Chance",R$1="Crit Damage",R$1="Condition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R$1,AND(_xlpm.PercentCheck=0,$G6="All")),_xlfn.IFS(AND($I6="Flat",$J6=0),_xlpm.Flat,AND($I6="Percentage",$J6=0),_xlpm.Percentage,$J6="Derived",_xlpm.Derived,$J6="Boon Enhancement",_xlpm.BoonEnhancement,$J6="Stacking",_xlpm.Stacking),""))</f>
        <v/>
      </c>
      <c r="S6" s="190" t="str" cm="1">
        <f t="array" ref="S6">_xlfn.LET(_xlpm.flatSubtotal,INDEX(StatSubtotals,1,MATCH(S$1,StatList,0)),_xlpm.PercentCheck,IF(OR(S$1="Crit Chance",S$1="Crit Damage",S$1="Condition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S$1,AND(_xlpm.PercentCheck=0,$G6="All")),_xlfn.IFS(AND($I6="Flat",$J6=0),_xlpm.Flat,AND($I6="Percentage",$J6=0),_xlpm.Percentage,$J6="Derived",_xlpm.Derived,$J6="Boon Enhancement",_xlpm.BoonEnhancement,$J6="Stacking",_xlpm.Stacking),""))</f>
        <v/>
      </c>
      <c r="T6" s="190" t="str" cm="1">
        <f t="array" ref="T6">_xlfn.LET(_xlpm.flatSubtotal,INDEX(StatSubtotals,1,MATCH(T$1,StatList,0)),_xlpm.PercentCheck,IF(OR(T$1="Crit Chance",T$1="Crit Damage",T$1="Condition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T$1,AND(_xlpm.PercentCheck=0,$G6="All")),_xlfn.IFS(AND($I6="Flat",$J6=0),_xlpm.Flat,AND($I6="Percentage",$J6=0),_xlpm.Percentage,$J6="Derived",_xlpm.Derived,$J6="Boon Enhancement",_xlpm.BoonEnhancement,$J6="Stacking",_xlpm.Stacking),""))</f>
        <v/>
      </c>
      <c r="U6" s="190" t="str" cm="1">
        <f t="array" ref="U6">_xlfn.LET(_xlpm.flatSubtotal,INDEX(StatSubtotals,1,MATCH(U$1,StatList,0)),_xlpm.PercentCheck,IF(OR(U$1="Crit Chance",U$1="Crit Damage",U$1="Condition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U$1,AND(_xlpm.PercentCheck=0,$G6="All")),_xlfn.IFS(AND($I6="Flat",$J6=0),_xlpm.Flat,AND($I6="Percentage",$J6=0),_xlpm.Percentage,$J6="Derived",_xlpm.Derived,$J6="Boon Enhancement",_xlpm.BoonEnhancement,$J6="Stacking",_xlpm.Stacking),""))</f>
        <v/>
      </c>
      <c r="V6" s="190" t="str" cm="1">
        <f t="array" ref="V6">_xlfn.LET(_xlpm.flatSubtotal,INDEX(StatSubtotals,1,MATCH(V$1,StatList,0)),_xlpm.PercentCheck,IF(OR(V$1="Crit Chance",V$1="Crit Damage",V$1="Condition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V$1,AND(_xlpm.PercentCheck=0,$G6="All")),_xlfn.IFS(AND($I6="Flat",$J6=0),_xlpm.Flat,AND($I6="Percentage",$J6=0),_xlpm.Percentage,$J6="Derived",_xlpm.Derived,$J6="Boon Enhancement",_xlpm.BoonEnhancement,$J6="Stacking",_xlpm.Stacking),""))</f>
        <v/>
      </c>
      <c r="W6" s="190" t="str" cm="1">
        <f t="array" ref="W6">_xlfn.LET(_xlpm.flatSubtotal,INDEX(StatSubtotals,1,MATCH(W$1,StatList,0)),_xlpm.PercentCheck,IF(OR(W$1="Crit Chance",W$1="Crit Damage",W$1="Condition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W$1,AND(_xlpm.PercentCheck=0,$G6="All")),_xlfn.IFS(AND($I6="Flat",$J6=0),_xlpm.Flat,AND($I6="Percentage",$J6=0),_xlpm.Percentage,$J6="Derived",_xlpm.Derived,$J6="Boon Enhancement",_xlpm.BoonEnhancement,$J6="Stacking",_xlpm.Stacking),""))</f>
        <v/>
      </c>
      <c r="X6" s="190" t="str" cm="1">
        <f t="array" ref="X6">_xlfn.LET(_xlpm.flatSubtotal,INDEX(StatSubtotals,1,MATCH(X$1,StatList,0)),_xlpm.PercentCheck,IF(OR(X$1="Crit Chance",X$1="Crit Damage",X$1="Condition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X$1,AND(_xlpm.PercentCheck=0,$G6="All")),_xlfn.IFS(AND($I6="Flat",$J6=0),_xlpm.Flat,AND($I6="Percentage",$J6=0),_xlpm.Percentage,$J6="Derived",_xlpm.Derived,$J6="Boon Enhancement",_xlpm.BoonEnhancement,$J6="Stacking",_xlpm.Stacking),""))</f>
        <v/>
      </c>
      <c r="Y6" s="190" t="str" cm="1">
        <f t="array" ref="Y6">_xlfn.LET(_xlpm.flatSubtotal,INDEX(StatSubtotals,1,MATCH(Y$1,StatList,0)),_xlpm.PercentCheck,IF(OR(Y$1="Crit Chance",Y$1="Crit Damage",Y$1="Condition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Y$1,AND(_xlpm.PercentCheck=0,$G6="All")),_xlfn.IFS(AND($I6="Flat",$J6=0),_xlpm.Flat,AND($I6="Percentage",$J6=0),_xlpm.Percentage,$J6="Derived",_xlpm.Derived,$J6="Boon Enhancement",_xlpm.BoonEnhancement,$J6="Stacking",_xlpm.Stacking),""))</f>
        <v/>
      </c>
      <c r="Z6" s="190" t="str" cm="1">
        <f t="array" ref="Z6">_xlfn.LET(_xlpm.flatSubtotal,INDEX(StatSubtotals,1,MATCH(Z$1,StatList,0)),_xlpm.PercentCheck,IF(OR(Z$1="Crit Chance",Z$1="Crit Damage",Z$1="Condition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Z$1,AND(_xlpm.PercentCheck=0,$G6="All")),_xlfn.IFS(AND($I6="Flat",$J6=0),_xlpm.Flat,AND($I6="Percentage",$J6=0),_xlpm.Percentage,$J6="Derived",_xlpm.Derived,$J6="Boon Enhancement",_xlpm.BoonEnhancement,$J6="Stacking",_xlpm.Stacking),""))</f>
        <v/>
      </c>
      <c r="AA6" s="190" t="str" cm="1">
        <f t="array" ref="AA6">_xlfn.LET(_xlpm.flatSubtotal,INDEX(StatSubtotals,1,MATCH(AA$1,StatList,0)),_xlpm.PercentCheck,IF(OR(AA$1="Crit Chance",AA$1="Crit Damage",AA$1="Condition Duration"),1,0),_xlpm.Flat,$H6,_xlpm.Percentage,$H6*_xlpm.flatSubtotal,_xlpm.Derived,$H6*_xlpm.flatSubtotal,_xlpm.BoonType,VLOOKUP($M6,BoonToggles,2,0),_xlpm.BoonEnhancement,IF(AND(ISLOGICAL(_xlpm.BoonType),_xlpm.BoonType=TRUE),IF($I6="Flat",$H6,_xlpm.Percentage),IF($I6="Flat",$H6*_xlpm.BoonType,_xlpm.Percentage*_xlpm.BoonType)),_xlpm.Stacking,IF($I6="Flat",$H6*Spec1MinorAdeptStacks,IF(_xlpm.PercentCheck=1,"",_xlpm.Percentage*Spec1MinorAdeptStacks)),IF(OR($G6=AA$1,AND(_xlpm.PercentCheck=0,$G6="All")),_xlfn.IFS(AND($I6="Flat",$J6=0),_xlpm.Flat,AND($I6="Percentage",$J6=0),_xlpm.Percentage,$J6="Derived",_xlpm.Derived,$J6="Boon Enhancement",_xlpm.BoonEnhancement,$J6="Stacking",_xlpm.Stacking),""))</f>
        <v/>
      </c>
    </row>
    <row r="7" spans="1:29" s="171" customFormat="1" ht="14.25" customHeight="1">
      <c r="A7" s="566"/>
      <c r="B7" s="559" t="s">
        <v>3500</v>
      </c>
      <c r="C7" s="559"/>
      <c r="D7" s="559"/>
      <c r="E7" s="559"/>
      <c r="F7" s="559"/>
      <c r="G7" s="559"/>
      <c r="H7" s="559"/>
      <c r="I7" s="559"/>
      <c r="J7" s="559"/>
      <c r="K7" s="559"/>
      <c r="L7" s="559"/>
      <c r="M7" s="559"/>
      <c r="N7" s="559"/>
      <c r="O7" s="560"/>
      <c r="P7" s="197">
        <f>SUM(P2:P6)</f>
        <v>0</v>
      </c>
      <c r="Q7" s="198">
        <f t="shared" ref="Q7:X7" si="0">SUM(Q2:Q6)</f>
        <v>0</v>
      </c>
      <c r="R7" s="198">
        <f t="shared" si="0"/>
        <v>0</v>
      </c>
      <c r="S7" s="198">
        <f t="shared" si="0"/>
        <v>0</v>
      </c>
      <c r="T7" s="198">
        <f t="shared" si="0"/>
        <v>0</v>
      </c>
      <c r="U7" s="198">
        <f t="shared" si="0"/>
        <v>0</v>
      </c>
      <c r="V7" s="198">
        <f t="shared" si="0"/>
        <v>0</v>
      </c>
      <c r="W7" s="198">
        <f t="shared" si="0"/>
        <v>0</v>
      </c>
      <c r="X7" s="198">
        <f t="shared" si="0"/>
        <v>0</v>
      </c>
      <c r="Y7" s="199">
        <f t="shared" ref="Y7" si="1">SUM(Y2:Y6)</f>
        <v>0</v>
      </c>
      <c r="Z7" s="199">
        <f t="shared" ref="Z7" si="2">SUM(Z2:Z6)</f>
        <v>0</v>
      </c>
      <c r="AA7" s="199">
        <f>SUM(AA2:AA6)</f>
        <v>0</v>
      </c>
    </row>
    <row r="8" spans="1:29" s="171" customFormat="1" ht="14.25" customHeight="1">
      <c r="A8" s="566"/>
      <c r="B8" s="559" t="s">
        <v>3501</v>
      </c>
      <c r="C8" s="559"/>
      <c r="D8" s="559"/>
      <c r="E8" s="559"/>
      <c r="F8" s="559"/>
      <c r="G8" s="559"/>
      <c r="H8" s="559"/>
      <c r="I8" s="559"/>
      <c r="J8" s="559"/>
      <c r="K8" s="559"/>
      <c r="L8" s="559"/>
      <c r="M8" s="559"/>
      <c r="N8" s="559"/>
      <c r="O8" s="560"/>
      <c r="P8" s="197">
        <f>SUM(INDEX(StatSubtotals,1,MATCH(P$1,StatList,0)),SUMIFS(P$2:P$6,$I$2:$I$6,"Percentage",$J$2:$J$6,"&lt;&gt;Derived"))</f>
        <v>1657</v>
      </c>
      <c r="Q8" s="197">
        <f>SUM(INDEX(StatSubtotals,1,MATCH(Q$1,StatList,0)),SUMIFS(Q$2:Q$6,$I$2:$I$6,"Percentage",$J$2:$J$6,"&lt;&gt;Derived"))</f>
        <v>1594</v>
      </c>
      <c r="R8" s="197">
        <f>SUM(INDEX(StatSubtotals,1,MATCH(R$1,StatList,0)),SUMIFS(R$2:R$6,$I$2:$I$6,"Percentage",$J$2:$J$6,"&lt;&gt;Derived"))</f>
        <v>1221</v>
      </c>
      <c r="S8" s="197">
        <f>SUM(INDEX(StatSubtotals,1,MATCH(S$1,StatList,0)),SUMIFS(S$2:S$6,$I$2:$I$6,"Percentage",$J$2:$J$6,"&lt;&gt;Derived"))</f>
        <v>1156</v>
      </c>
      <c r="T8" s="197">
        <f>SUM(INDEX(StatSubtotals,1,MATCH(T$1,StatList,0)),SUMIFS(T$2:T$6,$I$2:$I$6,"Percentage",$J$2:$J$6,"&lt;&gt;Derived"))</f>
        <v>10</v>
      </c>
      <c r="U8" s="197">
        <f>SUM(INDEX(StatSubtotals,1,MATCH(U$1,StatList,0)),SUMIFS(U$2:U$6,$I$2:$I$6,"Percentage",$J$2:$J$6,"&lt;&gt;Derived"))</f>
        <v>240</v>
      </c>
      <c r="V8" s="197">
        <f>SUM(INDEX(StatSubtotals,1,MATCH(V$1,StatList,0)),SUMIFS(V$2:V$6,$I$2:$I$6,"Percentage",$J$2:$J$6,"&lt;&gt;Derived"))</f>
        <v>260</v>
      </c>
      <c r="W8" s="197">
        <f>SUM(INDEX(StatSubtotals,1,MATCH(W$1,StatList,0)),SUMIFS(W$2:W$6,$I$2:$I$6,"Percentage",$J$2:$J$6,"&lt;&gt;Derived"))</f>
        <v>248</v>
      </c>
      <c r="X8" s="197">
        <f>SUM(INDEX(StatSubtotals,1,MATCH(X$1,StatList,0)),SUMIFS(X$2:X$6,$I$2:$I$6,"Percentage",$J$2:$J$6,"&lt;&gt;Derived"))</f>
        <v>47</v>
      </c>
      <c r="Y8" s="480"/>
      <c r="Z8" s="480"/>
      <c r="AA8" s="480"/>
    </row>
    <row r="9" spans="1:29" ht="14.25" customHeight="1">
      <c r="A9" s="566"/>
      <c r="B9" s="553" t="s">
        <v>19</v>
      </c>
      <c r="C9" s="194" t="str" cm="1">
        <f t="array" ref="C9">IF(OR(Spec1MajorAdeptCondition="(Select)",Spec1MajorAdeptCondition=""),_xlfn._xlws.FILTER(TraitStats,(TraitStatsTable[Name]=Spec1MajorAdept)*(TraitStatsTable[Condition]=""),"No stat bonus"),_xlfn._xlws.FILTER(TraitStats,(TraitStatsTable[Name]=Spec1MajorAdept)*((TraitStatsTable[Condition]=Spec1MajorAdeptCondition)+(TraitStatsTable[Condition]="")),"No stat bonus"))</f>
        <v>No stat bonus</v>
      </c>
      <c r="D9" s="195"/>
      <c r="E9" s="195"/>
      <c r="F9" s="195"/>
      <c r="G9" s="195"/>
      <c r="H9" s="195"/>
      <c r="I9" s="195"/>
      <c r="J9" s="195"/>
      <c r="K9" s="195"/>
      <c r="L9" s="195"/>
      <c r="M9" s="195"/>
      <c r="N9" s="195"/>
      <c r="O9" s="196"/>
      <c r="P9" s="190" t="str" cm="1">
        <f t="array" ref="P9">_xlfn.LET(_xlpm.PercentCheck,IF(OR(P$1="Crit Chance",P$1="Crit Damage",P$1="Condition Duration"),1,0),_xlpm.Flat,$H9,_xlpm.Percentage,$H9*P$8,_xlpm.Derived,$H9*P$8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P$1,AND(_xlpm.PercentCheck=0,$G9="All")),_xlfn.IFS(AND($I9="Flat",$J9=0),_xlpm.Flat,AND($I9="Percentage",$J9=0),_xlpm.Percentage,$J9="Derived",_xlpm.Derived,$J9="Boon Enhancement",_xlpm.BoonEnhancement,$J9="Stacking",_xlpm.Stacking),""))</f>
        <v/>
      </c>
      <c r="Q9" s="190" t="str" cm="1">
        <f t="array" ref="Q9">_xlfn.LET(_xlpm.PercentCheck,IF(OR(Q$1="Crit Chance",Q$1="Crit Damage",Q$1="Condition Duration"),1,0),_xlpm.Flat,$H9,_xlpm.Percentage,$H9*Q$8,_xlpm.Derived,$H9*Q$8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Q$1,AND(_xlpm.PercentCheck=0,$G9="All")),_xlfn.IFS(AND($I9="Flat",$J9=0),_xlpm.Flat,AND($I9="Percentage",$J9=0),_xlpm.Percentage,$J9="Derived",_xlpm.Derived,$J9="Boon Enhancement",_xlpm.BoonEnhancement,$J9="Stacking",_xlpm.Stacking),""))</f>
        <v/>
      </c>
      <c r="R9" s="190" t="str" cm="1">
        <f t="array" ref="R9">_xlfn.LET(_xlpm.PercentCheck,IF(OR(R$1="Crit Chance",R$1="Crit Damage",R$1="Condition Duration"),1,0),_xlpm.Flat,$H9,_xlpm.Percentage,$H9*R$8,_xlpm.Derived,$H9*R$8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R$1,AND(_xlpm.PercentCheck=0,$G9="All")),_xlfn.IFS(AND($I9="Flat",$J9=0),_xlpm.Flat,AND($I9="Percentage",$J9=0),_xlpm.Percentage,$J9="Derived",_xlpm.Derived,$J9="Boon Enhancement",_xlpm.BoonEnhancement,$J9="Stacking",_xlpm.Stacking),""))</f>
        <v/>
      </c>
      <c r="S9" s="190" t="str" cm="1">
        <f t="array" ref="S9">_xlfn.LET(_xlpm.PercentCheck,IF(OR(S$1="Crit Chance",S$1="Crit Damage",S$1="Condition Duration"),1,0),_xlpm.Flat,$H9,_xlpm.Percentage,$H9*S$8,_xlpm.Derived,$H9*S$8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S$1,AND(_xlpm.PercentCheck=0,$G9="All")),_xlfn.IFS(AND($I9="Flat",$J9=0),_xlpm.Flat,AND($I9="Percentage",$J9=0),_xlpm.Percentage,$J9="Derived",_xlpm.Derived,$J9="Boon Enhancement",_xlpm.BoonEnhancement,$J9="Stacking",_xlpm.Stacking),""))</f>
        <v/>
      </c>
      <c r="T9" s="190" t="str" cm="1">
        <f t="array" ref="T9">_xlfn.LET(_xlpm.PercentCheck,IF(OR(T$1="Crit Chance",T$1="Crit Damage",T$1="Condition Duration"),1,0),_xlpm.Flat,$H9,_xlpm.Percentage,$H9*T$8,_xlpm.Derived,$H9*T$8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T$1,AND(_xlpm.PercentCheck=0,$G9="All")),_xlfn.IFS(AND($I9="Flat",$J9=0),_xlpm.Flat,AND($I9="Percentage",$J9=0),_xlpm.Percentage,$J9="Derived",_xlpm.Derived,$J9="Boon Enhancement",_xlpm.BoonEnhancement,$J9="Stacking",_xlpm.Stacking),""))</f>
        <v/>
      </c>
      <c r="U9" s="190" t="str" cm="1">
        <f t="array" ref="U9">_xlfn.LET(_xlpm.PercentCheck,IF(OR(U$1="Crit Chance",U$1="Crit Damage",U$1="Condition Duration"),1,0),_xlpm.Flat,$H9,_xlpm.Percentage,$H9*U$8,_xlpm.Derived,$H9*U$8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U$1,AND(_xlpm.PercentCheck=0,$G9="All")),_xlfn.IFS(AND($I9="Flat",$J9=0),_xlpm.Flat,AND($I9="Percentage",$J9=0),_xlpm.Percentage,$J9="Derived",_xlpm.Derived,$J9="Boon Enhancement",_xlpm.BoonEnhancement,$J9="Stacking",_xlpm.Stacking),""))</f>
        <v/>
      </c>
      <c r="V9" s="190" t="str" cm="1">
        <f t="array" ref="V9">_xlfn.LET(_xlpm.PercentCheck,IF(OR(V$1="Crit Chance",V$1="Crit Damage",V$1="Condition Duration"),1,0),_xlpm.Flat,$H9,_xlpm.Percentage,$H9*V$8,_xlpm.Derived,$H9*V$8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V$1,AND(_xlpm.PercentCheck=0,$G9="All")),_xlfn.IFS(AND($I9="Flat",$J9=0),_xlpm.Flat,AND($I9="Percentage",$J9=0),_xlpm.Percentage,$J9="Derived",_xlpm.Derived,$J9="Boon Enhancement",_xlpm.BoonEnhancement,$J9="Stacking",_xlpm.Stacking),""))</f>
        <v/>
      </c>
      <c r="W9" s="190" t="str" cm="1">
        <f t="array" ref="W9">_xlfn.LET(_xlpm.PercentCheck,IF(OR(W$1="Crit Chance",W$1="Crit Damage",W$1="Condition Duration"),1,0),_xlpm.Flat,$H9,_xlpm.Percentage,$H9*W$8,_xlpm.Derived,$H9*W$8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W$1,AND(_xlpm.PercentCheck=0,$G9="All")),_xlfn.IFS(AND($I9="Flat",$J9=0),_xlpm.Flat,AND($I9="Percentage",$J9=0),_xlpm.Percentage,$J9="Derived",_xlpm.Derived,$J9="Boon Enhancement",_xlpm.BoonEnhancement,$J9="Stacking",_xlpm.Stacking),""))</f>
        <v/>
      </c>
      <c r="X9" s="190" t="str" cm="1">
        <f t="array" ref="X9">_xlfn.LET(_xlpm.PercentCheck,IF(OR(X$1="Crit Chance",X$1="Crit Damage",X$1="Condition Duration"),1,0),_xlpm.Flat,$H9,_xlpm.Percentage,$H9*X$8,_xlpm.Derived,$H9*X$8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X$1,AND(_xlpm.PercentCheck=0,$G9="All")),_xlfn.IFS(AND($I9="Flat",$J9=0),_xlpm.Flat,AND($I9="Percentage",$J9=0),_xlpm.Percentage,$J9="Derived",_xlpm.Derived,$J9="Boon Enhancement",_xlpm.BoonEnhancement,$J9="Stacking",_xlpm.Stacking),""))</f>
        <v/>
      </c>
      <c r="Y9" s="190" t="str" cm="1">
        <f t="array" ref="Y9">_xlfn.LET(_xlpm.PercentCheck,IF(OR(Y$1="Crit Chance",Y$1="Crit Damage",Y$1="Condition Duration"),1,0),_xlpm.Flat,$H9,_xlpm.Percentage,$H9*Y$8,_xlpm.Derived,$H9*Y$8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Y$1,AND(_xlpm.PercentCheck=0,$G9="All")),_xlfn.IFS(AND($I9="Flat",$J9=0),_xlpm.Flat,AND($I9="Percentage",$J9=0),_xlpm.Percentage,$J9="Derived",_xlpm.Derived,$J9="Boon Enhancement",_xlpm.BoonEnhancement,$J9="Stacking",_xlpm.Stacking),""))</f>
        <v/>
      </c>
      <c r="Z9" s="190" t="str" cm="1">
        <f t="array" ref="Z9">_xlfn.LET(_xlpm.PercentCheck,IF(OR(Z$1="Crit Chance",Z$1="Crit Damage",Z$1="Condition Duration"),1,0),_xlpm.Flat,$H9,_xlpm.Percentage,$H9*Z$8,_xlpm.Derived,$H9*Z$8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Z$1,AND(_xlpm.PercentCheck=0,$G9="All")),_xlfn.IFS(AND($I9="Flat",$J9=0),_xlpm.Flat,AND($I9="Percentage",$J9=0),_xlpm.Percentage,$J9="Derived",_xlpm.Derived,$J9="Boon Enhancement",_xlpm.BoonEnhancement,$J9="Stacking",_xlpm.Stacking),""))</f>
        <v/>
      </c>
      <c r="AA9" s="190" t="str" cm="1">
        <f t="array" ref="AA9">_xlfn.LET(_xlpm.PercentCheck,IF(OR(AA$1="Crit Chance",AA$1="Crit Damage",AA$1="Condition Duration"),1,0),_xlpm.Flat,$H9,_xlpm.Percentage,$H9*AA$8,_xlpm.Derived,$H9*AA$8,_xlpm.BoonType,VLOOKUP($M9,BoonToggles,2,0),_xlpm.BoonEnhancement,IF(AND(ISLOGICAL(_xlpm.BoonType),_xlpm.BoonType=TRUE),IF($I9="Flat",$H9,_xlpm.Percentage),IF($I9="Flat",$H9*_xlpm.BoonType,_xlpm.Percentage*_xlpm.BoonType)),_xlpm.Stacking,IF($I9="Flat",$H9*Spec1MajorAdeptStacks,IF(_xlpm.PercentCheck=1,"",_xlpm.Percentage*Spec1MajorAdeptStacks)),IF(OR($G9=AA$1,AND(_xlpm.PercentCheck=0,$G9="All")),_xlfn.IFS(AND($I9="Flat",$J9=0),_xlpm.Flat,AND($I9="Percentage",$J9=0),_xlpm.Percentage,$J9="Derived",_xlpm.Derived,$J9="Boon Enhancement",_xlpm.BoonEnhancement,$J9="Stacking",_xlpm.Stacking),""))</f>
        <v/>
      </c>
    </row>
    <row r="10" spans="1:29" ht="14.25" customHeight="1">
      <c r="A10" s="566"/>
      <c r="B10" s="554"/>
      <c r="C10" s="194"/>
      <c r="D10" s="195"/>
      <c r="E10" s="195"/>
      <c r="F10" s="195"/>
      <c r="G10" s="195"/>
      <c r="H10" s="195"/>
      <c r="I10" s="195"/>
      <c r="J10" s="195"/>
      <c r="K10" s="195"/>
      <c r="L10" s="195"/>
      <c r="M10" s="195"/>
      <c r="N10" s="195"/>
      <c r="O10" s="196"/>
      <c r="P10" s="190" t="str" cm="1">
        <f t="array" ref="P10">_xlfn.LET(_xlpm.PercentCheck,IF(OR(P$1="Crit Chance",P$1="Crit Damage",P$1="Condition Duration"),1,0),_xlpm.Flat,$H10,_xlpm.Percentage,$H10*P$8,_xlpm.Derived,$H10*P$8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P$1,AND(_xlpm.PercentCheck=0,$G10="All")),_xlfn.IFS(AND($I10="Flat",$J10=0),_xlpm.Flat,AND($I10="Percentage",$J10=0),_xlpm.Percentage,$J10="Derived",_xlpm.Derived,$J10="Boon Enhancement",_xlpm.BoonEnhancement,$J10="Stacking",_xlpm.Stacking),""))</f>
        <v/>
      </c>
      <c r="Q10" s="190" t="str" cm="1">
        <f t="array" ref="Q10">_xlfn.LET(_xlpm.PercentCheck,IF(OR(Q$1="Crit Chance",Q$1="Crit Damage",Q$1="Condition Duration"),1,0),_xlpm.Flat,$H10,_xlpm.Percentage,$H10*Q$8,_xlpm.Derived,$H10*Q$8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Q$1,AND(_xlpm.PercentCheck=0,$G10="All")),_xlfn.IFS(AND($I10="Flat",$J10=0),_xlpm.Flat,AND($I10="Percentage",$J10=0),_xlpm.Percentage,$J10="Derived",_xlpm.Derived,$J10="Boon Enhancement",_xlpm.BoonEnhancement,$J10="Stacking",_xlpm.Stacking),""))</f>
        <v/>
      </c>
      <c r="R10" s="190" t="str" cm="1">
        <f t="array" ref="R10">_xlfn.LET(_xlpm.PercentCheck,IF(OR(R$1="Crit Chance",R$1="Crit Damage",R$1="Condition Duration"),1,0),_xlpm.Flat,$H10,_xlpm.Percentage,$H10*R$8,_xlpm.Derived,$H10*R$8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R$1,AND(_xlpm.PercentCheck=0,$G10="All")),_xlfn.IFS(AND($I10="Flat",$J10=0),_xlpm.Flat,AND($I10="Percentage",$J10=0),_xlpm.Percentage,$J10="Derived",_xlpm.Derived,$J10="Boon Enhancement",_xlpm.BoonEnhancement,$J10="Stacking",_xlpm.Stacking),""))</f>
        <v/>
      </c>
      <c r="S10" s="190" t="str" cm="1">
        <f t="array" ref="S10">_xlfn.LET(_xlpm.PercentCheck,IF(OR(S$1="Crit Chance",S$1="Crit Damage",S$1="Condition Duration"),1,0),_xlpm.Flat,$H10,_xlpm.Percentage,$H10*S$8,_xlpm.Derived,$H10*S$8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S$1,AND(_xlpm.PercentCheck=0,$G10="All")),_xlfn.IFS(AND($I10="Flat",$J10=0),_xlpm.Flat,AND($I10="Percentage",$J10=0),_xlpm.Percentage,$J10="Derived",_xlpm.Derived,$J10="Boon Enhancement",_xlpm.BoonEnhancement,$J10="Stacking",_xlpm.Stacking),""))</f>
        <v/>
      </c>
      <c r="T10" s="190" t="str" cm="1">
        <f t="array" ref="T10">_xlfn.LET(_xlpm.PercentCheck,IF(OR(T$1="Crit Chance",T$1="Crit Damage",T$1="Condition Duration"),1,0),_xlpm.Flat,$H10,_xlpm.Percentage,$H10*T$8,_xlpm.Derived,$H10*T$8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T$1,AND(_xlpm.PercentCheck=0,$G10="All")),_xlfn.IFS(AND($I10="Flat",$J10=0),_xlpm.Flat,AND($I10="Percentage",$J10=0),_xlpm.Percentage,$J10="Derived",_xlpm.Derived,$J10="Boon Enhancement",_xlpm.BoonEnhancement,$J10="Stacking",_xlpm.Stacking),""))</f>
        <v/>
      </c>
      <c r="U10" s="190" t="str" cm="1">
        <f t="array" ref="U10">_xlfn.LET(_xlpm.PercentCheck,IF(OR(U$1="Crit Chance",U$1="Crit Damage",U$1="Condition Duration"),1,0),_xlpm.Flat,$H10,_xlpm.Percentage,$H10*U$8,_xlpm.Derived,$H10*U$8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U$1,AND(_xlpm.PercentCheck=0,$G10="All")),_xlfn.IFS(AND($I10="Flat",$J10=0),_xlpm.Flat,AND($I10="Percentage",$J10=0),_xlpm.Percentage,$J10="Derived",_xlpm.Derived,$J10="Boon Enhancement",_xlpm.BoonEnhancement,$J10="Stacking",_xlpm.Stacking),""))</f>
        <v/>
      </c>
      <c r="V10" s="190" t="str" cm="1">
        <f t="array" ref="V10">_xlfn.LET(_xlpm.PercentCheck,IF(OR(V$1="Crit Chance",V$1="Crit Damage",V$1="Condition Duration"),1,0),_xlpm.Flat,$H10,_xlpm.Percentage,$H10*V$8,_xlpm.Derived,$H10*V$8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V$1,AND(_xlpm.PercentCheck=0,$G10="All")),_xlfn.IFS(AND($I10="Flat",$J10=0),_xlpm.Flat,AND($I10="Percentage",$J10=0),_xlpm.Percentage,$J10="Derived",_xlpm.Derived,$J10="Boon Enhancement",_xlpm.BoonEnhancement,$J10="Stacking",_xlpm.Stacking),""))</f>
        <v/>
      </c>
      <c r="W10" s="190" t="str" cm="1">
        <f t="array" ref="W10">_xlfn.LET(_xlpm.PercentCheck,IF(OR(W$1="Crit Chance",W$1="Crit Damage",W$1="Condition Duration"),1,0),_xlpm.Flat,$H10,_xlpm.Percentage,$H10*W$8,_xlpm.Derived,$H10*W$8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W$1,AND(_xlpm.PercentCheck=0,$G10="All")),_xlfn.IFS(AND($I10="Flat",$J10=0),_xlpm.Flat,AND($I10="Percentage",$J10=0),_xlpm.Percentage,$J10="Derived",_xlpm.Derived,$J10="Boon Enhancement",_xlpm.BoonEnhancement,$J10="Stacking",_xlpm.Stacking),""))</f>
        <v/>
      </c>
      <c r="X10" s="190" t="str" cm="1">
        <f t="array" ref="X10">_xlfn.LET(_xlpm.PercentCheck,IF(OR(X$1="Crit Chance",X$1="Crit Damage",X$1="Condition Duration"),1,0),_xlpm.Flat,$H10,_xlpm.Percentage,$H10*X$8,_xlpm.Derived,$H10*X$8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X$1,AND(_xlpm.PercentCheck=0,$G10="All")),_xlfn.IFS(AND($I10="Flat",$J10=0),_xlpm.Flat,AND($I10="Percentage",$J10=0),_xlpm.Percentage,$J10="Derived",_xlpm.Derived,$J10="Boon Enhancement",_xlpm.BoonEnhancement,$J10="Stacking",_xlpm.Stacking),""))</f>
        <v/>
      </c>
      <c r="Y10" s="190" t="str" cm="1">
        <f t="array" ref="Y10">_xlfn.LET(_xlpm.PercentCheck,IF(OR(Y$1="Crit Chance",Y$1="Crit Damage",Y$1="Condition Duration"),1,0),_xlpm.Flat,$H10,_xlpm.Percentage,$H10*Y$8,_xlpm.Derived,$H10*Y$8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Y$1,AND(_xlpm.PercentCheck=0,$G10="All")),_xlfn.IFS(AND($I10="Flat",$J10=0),_xlpm.Flat,AND($I10="Percentage",$J10=0),_xlpm.Percentage,$J10="Derived",_xlpm.Derived,$J10="Boon Enhancement",_xlpm.BoonEnhancement,$J10="Stacking",_xlpm.Stacking),""))</f>
        <v/>
      </c>
      <c r="Z10" s="190" t="str" cm="1">
        <f t="array" ref="Z10">_xlfn.LET(_xlpm.PercentCheck,IF(OR(Z$1="Crit Chance",Z$1="Crit Damage",Z$1="Condition Duration"),1,0),_xlpm.Flat,$H10,_xlpm.Percentage,$H10*Z$8,_xlpm.Derived,$H10*Z$8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Z$1,AND(_xlpm.PercentCheck=0,$G10="All")),_xlfn.IFS(AND($I10="Flat",$J10=0),_xlpm.Flat,AND($I10="Percentage",$J10=0),_xlpm.Percentage,$J10="Derived",_xlpm.Derived,$J10="Boon Enhancement",_xlpm.BoonEnhancement,$J10="Stacking",_xlpm.Stacking),""))</f>
        <v/>
      </c>
      <c r="AA10" s="190" t="str" cm="1">
        <f t="array" ref="AA10">_xlfn.LET(_xlpm.PercentCheck,IF(OR(AA$1="Crit Chance",AA$1="Crit Damage",AA$1="Condition Duration"),1,0),_xlpm.Flat,$H10,_xlpm.Percentage,$H10*AA$8,_xlpm.Derived,$H10*AA$8,_xlpm.BoonType,VLOOKUP($M10,BoonToggles,2,0),_xlpm.BoonEnhancement,IF(AND(ISLOGICAL(_xlpm.BoonType),_xlpm.BoonType=TRUE),IF($I10="Flat",$H10,_xlpm.Percentage),IF($I10="Flat",$H10*_xlpm.BoonType,_xlpm.Percentage*_xlpm.BoonType)),_xlpm.Stacking,IF($I10="Flat",$H10*Spec1MajorAdeptStacks,IF(_xlpm.PercentCheck=1,"",_xlpm.Percentage*Spec1MajorAdeptStacks)),IF(OR($G10=AA$1,AND(_xlpm.PercentCheck=0,$G10="All")),_xlfn.IFS(AND($I10="Flat",$J10=0),_xlpm.Flat,AND($I10="Percentage",$J10=0),_xlpm.Percentage,$J10="Derived",_xlpm.Derived,$J10="Boon Enhancement",_xlpm.BoonEnhancement,$J10="Stacking",_xlpm.Stacking),""))</f>
        <v/>
      </c>
    </row>
    <row r="11" spans="1:29" ht="14.25" customHeight="1">
      <c r="A11" s="566"/>
      <c r="B11" s="554"/>
      <c r="C11" s="200"/>
      <c r="D11" s="195"/>
      <c r="E11" s="195"/>
      <c r="F11" s="195"/>
      <c r="G11" s="195"/>
      <c r="H11" s="195"/>
      <c r="I11" s="195"/>
      <c r="J11" s="195"/>
      <c r="K11" s="195"/>
      <c r="L11" s="195"/>
      <c r="M11" s="195"/>
      <c r="N11" s="195"/>
      <c r="O11" s="196"/>
      <c r="P11" s="190" t="str" cm="1">
        <f t="array" ref="P11">_xlfn.LET(_xlpm.PercentCheck,IF(OR(P$1="Crit Chance",P$1="Crit Damage",P$1="Condition Duration"),1,0),_xlpm.Flat,$H11,_xlpm.Percentage,$H11*P$8,_xlpm.Derived,$H11*P$8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P$1,AND(_xlpm.PercentCheck=0,$G11="All")),_xlfn.IFS(AND($I11="Flat",$J11=0),_xlpm.Flat,AND($I11="Percentage",$J11=0),_xlpm.Percentage,$J11="Derived",_xlpm.Derived,$J11="Boon Enhancement",_xlpm.BoonEnhancement,$J11="Stacking",_xlpm.Stacking),""))</f>
        <v/>
      </c>
      <c r="Q11" s="190" t="str" cm="1">
        <f t="array" ref="Q11">_xlfn.LET(_xlpm.PercentCheck,IF(OR(Q$1="Crit Chance",Q$1="Crit Damage",Q$1="Condition Duration"),1,0),_xlpm.Flat,$H11,_xlpm.Percentage,$H11*Q$8,_xlpm.Derived,$H11*Q$8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Q$1,AND(_xlpm.PercentCheck=0,$G11="All")),_xlfn.IFS(AND($I11="Flat",$J11=0),_xlpm.Flat,AND($I11="Percentage",$J11=0),_xlpm.Percentage,$J11="Derived",_xlpm.Derived,$J11="Boon Enhancement",_xlpm.BoonEnhancement,$J11="Stacking",_xlpm.Stacking),""))</f>
        <v/>
      </c>
      <c r="R11" s="190" t="str" cm="1">
        <f t="array" ref="R11">_xlfn.LET(_xlpm.PercentCheck,IF(OR(R$1="Crit Chance",R$1="Crit Damage",R$1="Condition Duration"),1,0),_xlpm.Flat,$H11,_xlpm.Percentage,$H11*R$8,_xlpm.Derived,$H11*R$8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R$1,AND(_xlpm.PercentCheck=0,$G11="All")),_xlfn.IFS(AND($I11="Flat",$J11=0),_xlpm.Flat,AND($I11="Percentage",$J11=0),_xlpm.Percentage,$J11="Derived",_xlpm.Derived,$J11="Boon Enhancement",_xlpm.BoonEnhancement,$J11="Stacking",_xlpm.Stacking),""))</f>
        <v/>
      </c>
      <c r="S11" s="190" t="str" cm="1">
        <f t="array" ref="S11">_xlfn.LET(_xlpm.PercentCheck,IF(OR(S$1="Crit Chance",S$1="Crit Damage",S$1="Condition Duration"),1,0),_xlpm.Flat,$H11,_xlpm.Percentage,$H11*S$8,_xlpm.Derived,$H11*S$8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S$1,AND(_xlpm.PercentCheck=0,$G11="All")),_xlfn.IFS(AND($I11="Flat",$J11=0),_xlpm.Flat,AND($I11="Percentage",$J11=0),_xlpm.Percentage,$J11="Derived",_xlpm.Derived,$J11="Boon Enhancement",_xlpm.BoonEnhancement,$J11="Stacking",_xlpm.Stacking),""))</f>
        <v/>
      </c>
      <c r="T11" s="190" t="str" cm="1">
        <f t="array" ref="T11">_xlfn.LET(_xlpm.PercentCheck,IF(OR(T$1="Crit Chance",T$1="Crit Damage",T$1="Condition Duration"),1,0),_xlpm.Flat,$H11,_xlpm.Percentage,$H11*T$8,_xlpm.Derived,$H11*T$8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T$1,AND(_xlpm.PercentCheck=0,$G11="All")),_xlfn.IFS(AND($I11="Flat",$J11=0),_xlpm.Flat,AND($I11="Percentage",$J11=0),_xlpm.Percentage,$J11="Derived",_xlpm.Derived,$J11="Boon Enhancement",_xlpm.BoonEnhancement,$J11="Stacking",_xlpm.Stacking),""))</f>
        <v/>
      </c>
      <c r="U11" s="190" t="str" cm="1">
        <f t="array" ref="U11">_xlfn.LET(_xlpm.PercentCheck,IF(OR(U$1="Crit Chance",U$1="Crit Damage",U$1="Condition Duration"),1,0),_xlpm.Flat,$H11,_xlpm.Percentage,$H11*U$8,_xlpm.Derived,$H11*U$8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U$1,AND(_xlpm.PercentCheck=0,$G11="All")),_xlfn.IFS(AND($I11="Flat",$J11=0),_xlpm.Flat,AND($I11="Percentage",$J11=0),_xlpm.Percentage,$J11="Derived",_xlpm.Derived,$J11="Boon Enhancement",_xlpm.BoonEnhancement,$J11="Stacking",_xlpm.Stacking),""))</f>
        <v/>
      </c>
      <c r="V11" s="190" t="str" cm="1">
        <f t="array" ref="V11">_xlfn.LET(_xlpm.PercentCheck,IF(OR(V$1="Crit Chance",V$1="Crit Damage",V$1="Condition Duration"),1,0),_xlpm.Flat,$H11,_xlpm.Percentage,$H11*V$8,_xlpm.Derived,$H11*V$8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V$1,AND(_xlpm.PercentCheck=0,$G11="All")),_xlfn.IFS(AND($I11="Flat",$J11=0),_xlpm.Flat,AND($I11="Percentage",$J11=0),_xlpm.Percentage,$J11="Derived",_xlpm.Derived,$J11="Boon Enhancement",_xlpm.BoonEnhancement,$J11="Stacking",_xlpm.Stacking),""))</f>
        <v/>
      </c>
      <c r="W11" s="190" t="str" cm="1">
        <f t="array" ref="W11">_xlfn.LET(_xlpm.PercentCheck,IF(OR(W$1="Crit Chance",W$1="Crit Damage",W$1="Condition Duration"),1,0),_xlpm.Flat,$H11,_xlpm.Percentage,$H11*W$8,_xlpm.Derived,$H11*W$8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W$1,AND(_xlpm.PercentCheck=0,$G11="All")),_xlfn.IFS(AND($I11="Flat",$J11=0),_xlpm.Flat,AND($I11="Percentage",$J11=0),_xlpm.Percentage,$J11="Derived",_xlpm.Derived,$J11="Boon Enhancement",_xlpm.BoonEnhancement,$J11="Stacking",_xlpm.Stacking),""))</f>
        <v/>
      </c>
      <c r="X11" s="190" t="str" cm="1">
        <f t="array" ref="X11">_xlfn.LET(_xlpm.PercentCheck,IF(OR(X$1="Crit Chance",X$1="Crit Damage",X$1="Condition Duration"),1,0),_xlpm.Flat,$H11,_xlpm.Percentage,$H11*X$8,_xlpm.Derived,$H11*X$8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X$1,AND(_xlpm.PercentCheck=0,$G11="All")),_xlfn.IFS(AND($I11="Flat",$J11=0),_xlpm.Flat,AND($I11="Percentage",$J11=0),_xlpm.Percentage,$J11="Derived",_xlpm.Derived,$J11="Boon Enhancement",_xlpm.BoonEnhancement,$J11="Stacking",_xlpm.Stacking),""))</f>
        <v/>
      </c>
      <c r="Y11" s="190" t="str" cm="1">
        <f t="array" ref="Y11">_xlfn.LET(_xlpm.PercentCheck,IF(OR(Y$1="Crit Chance",Y$1="Crit Damage",Y$1="Condition Duration"),1,0),_xlpm.Flat,$H11,_xlpm.Percentage,$H11*Y$8,_xlpm.Derived,$H11*Y$8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Y$1,AND(_xlpm.PercentCheck=0,$G11="All")),_xlfn.IFS(AND($I11="Flat",$J11=0),_xlpm.Flat,AND($I11="Percentage",$J11=0),_xlpm.Percentage,$J11="Derived",_xlpm.Derived,$J11="Boon Enhancement",_xlpm.BoonEnhancement,$J11="Stacking",_xlpm.Stacking),""))</f>
        <v/>
      </c>
      <c r="Z11" s="190" t="str" cm="1">
        <f t="array" ref="Z11">_xlfn.LET(_xlpm.PercentCheck,IF(OR(Z$1="Crit Chance",Z$1="Crit Damage",Z$1="Condition Duration"),1,0),_xlpm.Flat,$H11,_xlpm.Percentage,$H11*Z$8,_xlpm.Derived,$H11*Z$8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Z$1,AND(_xlpm.PercentCheck=0,$G11="All")),_xlfn.IFS(AND($I11="Flat",$J11=0),_xlpm.Flat,AND($I11="Percentage",$J11=0),_xlpm.Percentage,$J11="Derived",_xlpm.Derived,$J11="Boon Enhancement",_xlpm.BoonEnhancement,$J11="Stacking",_xlpm.Stacking),""))</f>
        <v/>
      </c>
      <c r="AA11" s="190" t="str" cm="1">
        <f t="array" ref="AA11">_xlfn.LET(_xlpm.PercentCheck,IF(OR(AA$1="Crit Chance",AA$1="Crit Damage",AA$1="Condition Duration"),1,0),_xlpm.Flat,$H11,_xlpm.Percentage,$H11*AA$8,_xlpm.Derived,$H11*AA$8,_xlpm.BoonType,VLOOKUP($M11,BoonToggles,2,0),_xlpm.BoonEnhancement,IF(AND(ISLOGICAL(_xlpm.BoonType),_xlpm.BoonType=TRUE),IF($I11="Flat",$H11,_xlpm.Percentage),IF($I11="Flat",$H11*_xlpm.BoonType,_xlpm.Percentage*_xlpm.BoonType)),_xlpm.Stacking,IF($I11="Flat",$H11*Spec1MajorAdeptStacks,IF(_xlpm.PercentCheck=1,"",_xlpm.Percentage*Spec1MajorAdeptStacks)),IF(OR($G11=AA$1,AND(_xlpm.PercentCheck=0,$G11="All")),_xlfn.IFS(AND($I11="Flat",$J11=0),_xlpm.Flat,AND($I11="Percentage",$J11=0),_xlpm.Percentage,$J11="Derived",_xlpm.Derived,$J11="Boon Enhancement",_xlpm.BoonEnhancement,$J11="Stacking",_xlpm.Stacking),""))</f>
        <v/>
      </c>
    </row>
    <row r="12" spans="1:29" ht="14.25" customHeight="1">
      <c r="A12" s="566"/>
      <c r="B12" s="554"/>
      <c r="C12" s="194"/>
      <c r="D12" s="195"/>
      <c r="E12" s="195"/>
      <c r="F12" s="195"/>
      <c r="G12" s="195"/>
      <c r="H12" s="195"/>
      <c r="I12" s="195"/>
      <c r="J12" s="195"/>
      <c r="K12" s="195"/>
      <c r="L12" s="195"/>
      <c r="M12" s="195"/>
      <c r="N12" s="195"/>
      <c r="O12" s="196"/>
      <c r="P12" s="190" t="str" cm="1">
        <f t="array" ref="P12">_xlfn.LET(_xlpm.PercentCheck,IF(OR(P$1="Crit Chance",P$1="Crit Damage",P$1="Condition Duration"),1,0),_xlpm.Flat,$H12,_xlpm.Percentage,$H12*P$8,_xlpm.Derived,$H12*P$8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P$1,AND(_xlpm.PercentCheck=0,$G12="All")),_xlfn.IFS(AND($I12="Flat",$J12=0),_xlpm.Flat,AND($I12="Percentage",$J12=0),_xlpm.Percentage,$J12="Derived",_xlpm.Derived,$J12="Boon Enhancement",_xlpm.BoonEnhancement,$J12="Stacking",_xlpm.Stacking),""))</f>
        <v/>
      </c>
      <c r="Q12" s="190" t="str" cm="1">
        <f t="array" ref="Q12">_xlfn.LET(_xlpm.PercentCheck,IF(OR(Q$1="Crit Chance",Q$1="Crit Damage",Q$1="Condition Duration"),1,0),_xlpm.Flat,$H12,_xlpm.Percentage,$H12*Q$8,_xlpm.Derived,$H12*Q$8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Q$1,AND(_xlpm.PercentCheck=0,$G12="All")),_xlfn.IFS(AND($I12="Flat",$J12=0),_xlpm.Flat,AND($I12="Percentage",$J12=0),_xlpm.Percentage,$J12="Derived",_xlpm.Derived,$J12="Boon Enhancement",_xlpm.BoonEnhancement,$J12="Stacking",_xlpm.Stacking),""))</f>
        <v/>
      </c>
      <c r="R12" s="190" t="str" cm="1">
        <f t="array" ref="R12">_xlfn.LET(_xlpm.PercentCheck,IF(OR(R$1="Crit Chance",R$1="Crit Damage",R$1="Condition Duration"),1,0),_xlpm.Flat,$H12,_xlpm.Percentage,$H12*R$8,_xlpm.Derived,$H12*R$8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R$1,AND(_xlpm.PercentCheck=0,$G12="All")),_xlfn.IFS(AND($I12="Flat",$J12=0),_xlpm.Flat,AND($I12="Percentage",$J12=0),_xlpm.Percentage,$J12="Derived",_xlpm.Derived,$J12="Boon Enhancement",_xlpm.BoonEnhancement,$J12="Stacking",_xlpm.Stacking),""))</f>
        <v/>
      </c>
      <c r="S12" s="190" t="str" cm="1">
        <f t="array" ref="S12">_xlfn.LET(_xlpm.PercentCheck,IF(OR(S$1="Crit Chance",S$1="Crit Damage",S$1="Condition Duration"),1,0),_xlpm.Flat,$H12,_xlpm.Percentage,$H12*S$8,_xlpm.Derived,$H12*S$8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S$1,AND(_xlpm.PercentCheck=0,$G12="All")),_xlfn.IFS(AND($I12="Flat",$J12=0),_xlpm.Flat,AND($I12="Percentage",$J12=0),_xlpm.Percentage,$J12="Derived",_xlpm.Derived,$J12="Boon Enhancement",_xlpm.BoonEnhancement,$J12="Stacking",_xlpm.Stacking),""))</f>
        <v/>
      </c>
      <c r="T12" s="190" t="str" cm="1">
        <f t="array" ref="T12">_xlfn.LET(_xlpm.PercentCheck,IF(OR(T$1="Crit Chance",T$1="Crit Damage",T$1="Condition Duration"),1,0),_xlpm.Flat,$H12,_xlpm.Percentage,$H12*T$8,_xlpm.Derived,$H12*T$8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T$1,AND(_xlpm.PercentCheck=0,$G12="All")),_xlfn.IFS(AND($I12="Flat",$J12=0),_xlpm.Flat,AND($I12="Percentage",$J12=0),_xlpm.Percentage,$J12="Derived",_xlpm.Derived,$J12="Boon Enhancement",_xlpm.BoonEnhancement,$J12="Stacking",_xlpm.Stacking),""))</f>
        <v/>
      </c>
      <c r="U12" s="190" t="str" cm="1">
        <f t="array" ref="U12">_xlfn.LET(_xlpm.PercentCheck,IF(OR(U$1="Crit Chance",U$1="Crit Damage",U$1="Condition Duration"),1,0),_xlpm.Flat,$H12,_xlpm.Percentage,$H12*U$8,_xlpm.Derived,$H12*U$8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U$1,AND(_xlpm.PercentCheck=0,$G12="All")),_xlfn.IFS(AND($I12="Flat",$J12=0),_xlpm.Flat,AND($I12="Percentage",$J12=0),_xlpm.Percentage,$J12="Derived",_xlpm.Derived,$J12="Boon Enhancement",_xlpm.BoonEnhancement,$J12="Stacking",_xlpm.Stacking),""))</f>
        <v/>
      </c>
      <c r="V12" s="190" t="str" cm="1">
        <f t="array" ref="V12">_xlfn.LET(_xlpm.PercentCheck,IF(OR(V$1="Crit Chance",V$1="Crit Damage",V$1="Condition Duration"),1,0),_xlpm.Flat,$H12,_xlpm.Percentage,$H12*V$8,_xlpm.Derived,$H12*V$8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V$1,AND(_xlpm.PercentCheck=0,$G12="All")),_xlfn.IFS(AND($I12="Flat",$J12=0),_xlpm.Flat,AND($I12="Percentage",$J12=0),_xlpm.Percentage,$J12="Derived",_xlpm.Derived,$J12="Boon Enhancement",_xlpm.BoonEnhancement,$J12="Stacking",_xlpm.Stacking),""))</f>
        <v/>
      </c>
      <c r="W12" s="190" t="str" cm="1">
        <f t="array" ref="W12">_xlfn.LET(_xlpm.PercentCheck,IF(OR(W$1="Crit Chance",W$1="Crit Damage",W$1="Condition Duration"),1,0),_xlpm.Flat,$H12,_xlpm.Percentage,$H12*W$8,_xlpm.Derived,$H12*W$8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W$1,AND(_xlpm.PercentCheck=0,$G12="All")),_xlfn.IFS(AND($I12="Flat",$J12=0),_xlpm.Flat,AND($I12="Percentage",$J12=0),_xlpm.Percentage,$J12="Derived",_xlpm.Derived,$J12="Boon Enhancement",_xlpm.BoonEnhancement,$J12="Stacking",_xlpm.Stacking),""))</f>
        <v/>
      </c>
      <c r="X12" s="190" t="str" cm="1">
        <f t="array" ref="X12">_xlfn.LET(_xlpm.PercentCheck,IF(OR(X$1="Crit Chance",X$1="Crit Damage",X$1="Condition Duration"),1,0),_xlpm.Flat,$H12,_xlpm.Percentage,$H12*X$8,_xlpm.Derived,$H12*X$8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X$1,AND(_xlpm.PercentCheck=0,$G12="All")),_xlfn.IFS(AND($I12="Flat",$J12=0),_xlpm.Flat,AND($I12="Percentage",$J12=0),_xlpm.Percentage,$J12="Derived",_xlpm.Derived,$J12="Boon Enhancement",_xlpm.BoonEnhancement,$J12="Stacking",_xlpm.Stacking),""))</f>
        <v/>
      </c>
      <c r="Y12" s="190" t="str" cm="1">
        <f t="array" ref="Y12">_xlfn.LET(_xlpm.PercentCheck,IF(OR(Y$1="Crit Chance",Y$1="Crit Damage",Y$1="Condition Duration"),1,0),_xlpm.Flat,$H12,_xlpm.Percentage,$H12*Y$8,_xlpm.Derived,$H12*Y$8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Y$1,AND(_xlpm.PercentCheck=0,$G12="All")),_xlfn.IFS(AND($I12="Flat",$J12=0),_xlpm.Flat,AND($I12="Percentage",$J12=0),_xlpm.Percentage,$J12="Derived",_xlpm.Derived,$J12="Boon Enhancement",_xlpm.BoonEnhancement,$J12="Stacking",_xlpm.Stacking),""))</f>
        <v/>
      </c>
      <c r="Z12" s="190" t="str" cm="1">
        <f t="array" ref="Z12">_xlfn.LET(_xlpm.PercentCheck,IF(OR(Z$1="Crit Chance",Z$1="Crit Damage",Z$1="Condition Duration"),1,0),_xlpm.Flat,$H12,_xlpm.Percentage,$H12*Z$8,_xlpm.Derived,$H12*Z$8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Z$1,AND(_xlpm.PercentCheck=0,$G12="All")),_xlfn.IFS(AND($I12="Flat",$J12=0),_xlpm.Flat,AND($I12="Percentage",$J12=0),_xlpm.Percentage,$J12="Derived",_xlpm.Derived,$J12="Boon Enhancement",_xlpm.BoonEnhancement,$J12="Stacking",_xlpm.Stacking),""))</f>
        <v/>
      </c>
      <c r="AA12" s="190" t="str" cm="1">
        <f t="array" ref="AA12">_xlfn.LET(_xlpm.PercentCheck,IF(OR(AA$1="Crit Chance",AA$1="Crit Damage",AA$1="Condition Duration"),1,0),_xlpm.Flat,$H12,_xlpm.Percentage,$H12*AA$8,_xlpm.Derived,$H12*AA$8,_xlpm.BoonType,VLOOKUP($M12,BoonToggles,2,0),_xlpm.BoonEnhancement,IF(AND(ISLOGICAL(_xlpm.BoonType),_xlpm.BoonType=TRUE),IF($I12="Flat",$H12,_xlpm.Percentage),IF($I12="Flat",$H12*_xlpm.BoonType,_xlpm.Percentage*_xlpm.BoonType)),_xlpm.Stacking,IF($I12="Flat",$H12*Spec1MajorAdeptStacks,IF(_xlpm.PercentCheck=1,"",_xlpm.Percentage*Spec1MajorAdeptStacks)),IF(OR($G12=AA$1,AND(_xlpm.PercentCheck=0,$G12="All")),_xlfn.IFS(AND($I12="Flat",$J12=0),_xlpm.Flat,AND($I12="Percentage",$J12=0),_xlpm.Percentage,$J12="Derived",_xlpm.Derived,$J12="Boon Enhancement",_xlpm.BoonEnhancement,$J12="Stacking",_xlpm.Stacking),""))</f>
        <v/>
      </c>
    </row>
    <row r="13" spans="1:29" ht="14.25" customHeight="1">
      <c r="A13" s="566"/>
      <c r="B13" s="555"/>
      <c r="C13" s="194"/>
      <c r="D13" s="195"/>
      <c r="E13" s="195"/>
      <c r="F13" s="195"/>
      <c r="G13" s="195"/>
      <c r="H13" s="195"/>
      <c r="I13" s="195"/>
      <c r="J13" s="195"/>
      <c r="K13" s="195"/>
      <c r="L13" s="195"/>
      <c r="M13" s="195"/>
      <c r="N13" s="195"/>
      <c r="O13" s="196"/>
      <c r="P13" s="190" t="str" cm="1">
        <f t="array" ref="P13">_xlfn.LET(_xlpm.PercentCheck,IF(OR(P$1="Crit Chance",P$1="Crit Damage",P$1="Condition Duration"),1,0),_xlpm.Flat,$H13,_xlpm.Percentage,$H13*P$8,_xlpm.Derived,$H13*P$8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P$1,AND(_xlpm.PercentCheck=0,$G13="All")),_xlfn.IFS(AND($I13="Flat",$J13=0),_xlpm.Flat,AND($I13="Percentage",$J13=0),_xlpm.Percentage,$J13="Derived",_xlpm.Derived,$J13="Boon Enhancement",_xlpm.BoonEnhancement,$J13="Stacking",_xlpm.Stacking),""))</f>
        <v/>
      </c>
      <c r="Q13" s="190" t="str" cm="1">
        <f t="array" ref="Q13">_xlfn.LET(_xlpm.PercentCheck,IF(OR(Q$1="Crit Chance",Q$1="Crit Damage",Q$1="Condition Duration"),1,0),_xlpm.Flat,$H13,_xlpm.Percentage,$H13*Q$8,_xlpm.Derived,$H13*Q$8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Q$1,AND(_xlpm.PercentCheck=0,$G13="All")),_xlfn.IFS(AND($I13="Flat",$J13=0),_xlpm.Flat,AND($I13="Percentage",$J13=0),_xlpm.Percentage,$J13="Derived",_xlpm.Derived,$J13="Boon Enhancement",_xlpm.BoonEnhancement,$J13="Stacking",_xlpm.Stacking),""))</f>
        <v/>
      </c>
      <c r="R13" s="190" t="str" cm="1">
        <f t="array" ref="R13">_xlfn.LET(_xlpm.PercentCheck,IF(OR(R$1="Crit Chance",R$1="Crit Damage",R$1="Condition Duration"),1,0),_xlpm.Flat,$H13,_xlpm.Percentage,$H13*R$8,_xlpm.Derived,$H13*R$8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R$1,AND(_xlpm.PercentCheck=0,$G13="All")),_xlfn.IFS(AND($I13="Flat",$J13=0),_xlpm.Flat,AND($I13="Percentage",$J13=0),_xlpm.Percentage,$J13="Derived",_xlpm.Derived,$J13="Boon Enhancement",_xlpm.BoonEnhancement,$J13="Stacking",_xlpm.Stacking),""))</f>
        <v/>
      </c>
      <c r="S13" s="190" t="str" cm="1">
        <f t="array" ref="S13">_xlfn.LET(_xlpm.PercentCheck,IF(OR(S$1="Crit Chance",S$1="Crit Damage",S$1="Condition Duration"),1,0),_xlpm.Flat,$H13,_xlpm.Percentage,$H13*S$8,_xlpm.Derived,$H13*S$8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S$1,AND(_xlpm.PercentCheck=0,$G13="All")),_xlfn.IFS(AND($I13="Flat",$J13=0),_xlpm.Flat,AND($I13="Percentage",$J13=0),_xlpm.Percentage,$J13="Derived",_xlpm.Derived,$J13="Boon Enhancement",_xlpm.BoonEnhancement,$J13="Stacking",_xlpm.Stacking),""))</f>
        <v/>
      </c>
      <c r="T13" s="190" t="str" cm="1">
        <f t="array" ref="T13">_xlfn.LET(_xlpm.PercentCheck,IF(OR(T$1="Crit Chance",T$1="Crit Damage",T$1="Condition Duration"),1,0),_xlpm.Flat,$H13,_xlpm.Percentage,$H13*T$8,_xlpm.Derived,$H13*T$8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T$1,AND(_xlpm.PercentCheck=0,$G13="All")),_xlfn.IFS(AND($I13="Flat",$J13=0),_xlpm.Flat,AND($I13="Percentage",$J13=0),_xlpm.Percentage,$J13="Derived",_xlpm.Derived,$J13="Boon Enhancement",_xlpm.BoonEnhancement,$J13="Stacking",_xlpm.Stacking),""))</f>
        <v/>
      </c>
      <c r="U13" s="190" t="str" cm="1">
        <f t="array" ref="U13">_xlfn.LET(_xlpm.PercentCheck,IF(OR(U$1="Crit Chance",U$1="Crit Damage",U$1="Condition Duration"),1,0),_xlpm.Flat,$H13,_xlpm.Percentage,$H13*U$8,_xlpm.Derived,$H13*U$8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U$1,AND(_xlpm.PercentCheck=0,$G13="All")),_xlfn.IFS(AND($I13="Flat",$J13=0),_xlpm.Flat,AND($I13="Percentage",$J13=0),_xlpm.Percentage,$J13="Derived",_xlpm.Derived,$J13="Boon Enhancement",_xlpm.BoonEnhancement,$J13="Stacking",_xlpm.Stacking),""))</f>
        <v/>
      </c>
      <c r="V13" s="190" t="str" cm="1">
        <f t="array" ref="V13">_xlfn.LET(_xlpm.PercentCheck,IF(OR(V$1="Crit Chance",V$1="Crit Damage",V$1="Condition Duration"),1,0),_xlpm.Flat,$H13,_xlpm.Percentage,$H13*V$8,_xlpm.Derived,$H13*V$8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V$1,AND(_xlpm.PercentCheck=0,$G13="All")),_xlfn.IFS(AND($I13="Flat",$J13=0),_xlpm.Flat,AND($I13="Percentage",$J13=0),_xlpm.Percentage,$J13="Derived",_xlpm.Derived,$J13="Boon Enhancement",_xlpm.BoonEnhancement,$J13="Stacking",_xlpm.Stacking),""))</f>
        <v/>
      </c>
      <c r="W13" s="190" t="str" cm="1">
        <f t="array" ref="W13">_xlfn.LET(_xlpm.PercentCheck,IF(OR(W$1="Crit Chance",W$1="Crit Damage",W$1="Condition Duration"),1,0),_xlpm.Flat,$H13,_xlpm.Percentage,$H13*W$8,_xlpm.Derived,$H13*W$8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W$1,AND(_xlpm.PercentCheck=0,$G13="All")),_xlfn.IFS(AND($I13="Flat",$J13=0),_xlpm.Flat,AND($I13="Percentage",$J13=0),_xlpm.Percentage,$J13="Derived",_xlpm.Derived,$J13="Boon Enhancement",_xlpm.BoonEnhancement,$J13="Stacking",_xlpm.Stacking),""))</f>
        <v/>
      </c>
      <c r="X13" s="190" t="str" cm="1">
        <f t="array" ref="X13">_xlfn.LET(_xlpm.PercentCheck,IF(OR(X$1="Crit Chance",X$1="Crit Damage",X$1="Condition Duration"),1,0),_xlpm.Flat,$H13,_xlpm.Percentage,$H13*X$8,_xlpm.Derived,$H13*X$8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X$1,AND(_xlpm.PercentCheck=0,$G13="All")),_xlfn.IFS(AND($I13="Flat",$J13=0),_xlpm.Flat,AND($I13="Percentage",$J13=0),_xlpm.Percentage,$J13="Derived",_xlpm.Derived,$J13="Boon Enhancement",_xlpm.BoonEnhancement,$J13="Stacking",_xlpm.Stacking),""))</f>
        <v/>
      </c>
      <c r="Y13" s="190" t="str" cm="1">
        <f t="array" ref="Y13">_xlfn.LET(_xlpm.PercentCheck,IF(OR(Y$1="Crit Chance",Y$1="Crit Damage",Y$1="Condition Duration"),1,0),_xlpm.Flat,$H13,_xlpm.Percentage,$H13*Y$8,_xlpm.Derived,$H13*Y$8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Y$1,AND(_xlpm.PercentCheck=0,$G13="All")),_xlfn.IFS(AND($I13="Flat",$J13=0),_xlpm.Flat,AND($I13="Percentage",$J13=0),_xlpm.Percentage,$J13="Derived",_xlpm.Derived,$J13="Boon Enhancement",_xlpm.BoonEnhancement,$J13="Stacking",_xlpm.Stacking),""))</f>
        <v/>
      </c>
      <c r="Z13" s="190" t="str" cm="1">
        <f t="array" ref="Z13">_xlfn.LET(_xlpm.PercentCheck,IF(OR(Z$1="Crit Chance",Z$1="Crit Damage",Z$1="Condition Duration"),1,0),_xlpm.Flat,$H13,_xlpm.Percentage,$H13*Z$8,_xlpm.Derived,$H13*Z$8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Z$1,AND(_xlpm.PercentCheck=0,$G13="All")),_xlfn.IFS(AND($I13="Flat",$J13=0),_xlpm.Flat,AND($I13="Percentage",$J13=0),_xlpm.Percentage,$J13="Derived",_xlpm.Derived,$J13="Boon Enhancement",_xlpm.BoonEnhancement,$J13="Stacking",_xlpm.Stacking),""))</f>
        <v/>
      </c>
      <c r="AA13" s="190" t="str" cm="1">
        <f t="array" ref="AA13">_xlfn.LET(_xlpm.PercentCheck,IF(OR(AA$1="Crit Chance",AA$1="Crit Damage",AA$1="Condition Duration"),1,0),_xlpm.Flat,$H13,_xlpm.Percentage,$H13*AA$8,_xlpm.Derived,$H13*AA$8,_xlpm.BoonType,VLOOKUP($M13,BoonToggles,2,0),_xlpm.BoonEnhancement,IF(AND(ISLOGICAL(_xlpm.BoonType),_xlpm.BoonType=TRUE),IF($I13="Flat",$H13,_xlpm.Percentage),IF($I13="Flat",$H13*_xlpm.BoonType,_xlpm.Percentage*_xlpm.BoonType)),_xlpm.Stacking,IF($I13="Flat",$H13*Spec1MajorAdeptStacks,IF(_xlpm.PercentCheck=1,"",_xlpm.Percentage*Spec1MajorAdeptStacks)),IF(OR($G13=AA$1,AND(_xlpm.PercentCheck=0,$G13="All")),_xlfn.IFS(AND($I13="Flat",$J13=0),_xlpm.Flat,AND($I13="Percentage",$J13=0),_xlpm.Percentage,$J13="Derived",_xlpm.Derived,$J13="Boon Enhancement",_xlpm.BoonEnhancement,$J13="Stacking",_xlpm.Stacking),""))</f>
        <v/>
      </c>
    </row>
    <row r="14" spans="1:29" s="171" customFormat="1" ht="14.25" customHeight="1">
      <c r="A14" s="566"/>
      <c r="B14" s="559" t="s">
        <v>3500</v>
      </c>
      <c r="C14" s="559"/>
      <c r="D14" s="559"/>
      <c r="E14" s="559"/>
      <c r="F14" s="559"/>
      <c r="G14" s="559"/>
      <c r="H14" s="559"/>
      <c r="I14" s="559"/>
      <c r="J14" s="559"/>
      <c r="K14" s="559"/>
      <c r="L14" s="559"/>
      <c r="M14" s="559"/>
      <c r="N14" s="559"/>
      <c r="O14" s="560"/>
      <c r="P14" s="197">
        <f>SUM(P9:P13)</f>
        <v>0</v>
      </c>
      <c r="Q14" s="198">
        <f t="shared" ref="Q14" si="3">SUM(Q9:Q13)</f>
        <v>0</v>
      </c>
      <c r="R14" s="198">
        <f t="shared" ref="R14" si="4">SUM(R9:R13)</f>
        <v>0</v>
      </c>
      <c r="S14" s="198">
        <f t="shared" ref="S14" si="5">SUM(S9:S13)</f>
        <v>0</v>
      </c>
      <c r="T14" s="198">
        <f t="shared" ref="T14" si="6">SUM(T9:T13)</f>
        <v>0</v>
      </c>
      <c r="U14" s="198">
        <f t="shared" ref="U14" si="7">SUM(U9:U13)</f>
        <v>0</v>
      </c>
      <c r="V14" s="198">
        <f t="shared" ref="V14" si="8">SUM(V9:V13)</f>
        <v>0</v>
      </c>
      <c r="W14" s="198">
        <f t="shared" ref="W14" si="9">SUM(W9:W13)</f>
        <v>0</v>
      </c>
      <c r="X14" s="198">
        <f>SUM(X9:X13)</f>
        <v>0</v>
      </c>
      <c r="Y14" s="199">
        <f t="shared" ref="Y14:AA14" si="10">SUM(Y9:Y13)</f>
        <v>0</v>
      </c>
      <c r="Z14" s="199">
        <f t="shared" si="10"/>
        <v>0</v>
      </c>
      <c r="AA14" s="199">
        <f t="shared" si="10"/>
        <v>0</v>
      </c>
      <c r="AC14" s="171">
        <f>0.02*144*5</f>
        <v>14.399999999999999</v>
      </c>
    </row>
    <row r="15" spans="1:29" s="171" customFormat="1" ht="14.25" customHeight="1">
      <c r="A15" s="566"/>
      <c r="B15" s="559" t="s">
        <v>3501</v>
      </c>
      <c r="C15" s="559"/>
      <c r="D15" s="559"/>
      <c r="E15" s="559"/>
      <c r="F15" s="559"/>
      <c r="G15" s="559"/>
      <c r="H15" s="559"/>
      <c r="I15" s="559"/>
      <c r="J15" s="559"/>
      <c r="K15" s="559"/>
      <c r="L15" s="559"/>
      <c r="M15" s="559"/>
      <c r="N15" s="559"/>
      <c r="O15" s="560"/>
      <c r="P15" s="197">
        <f t="shared" ref="P15:T15" si="11">SUM(P$8,SUMIFS(P$9:P$13,$I$9:$I$13,"Percentage",$J$9:$J$13,"&lt;&gt;Derived"))</f>
        <v>1657</v>
      </c>
      <c r="Q15" s="197">
        <f t="shared" si="11"/>
        <v>1594</v>
      </c>
      <c r="R15" s="197">
        <f t="shared" si="11"/>
        <v>1221</v>
      </c>
      <c r="S15" s="197">
        <f t="shared" si="11"/>
        <v>1156</v>
      </c>
      <c r="T15" s="197">
        <f t="shared" si="11"/>
        <v>10</v>
      </c>
      <c r="U15" s="197">
        <f>SUM(U$8,SUMIFS(U$9:U$13,$I$9:$I$13,"Percentage",$J$9:$J$13,"&lt;&gt;Derived"))</f>
        <v>240</v>
      </c>
      <c r="V15" s="197">
        <f t="shared" ref="V15:X15" si="12">SUM(V$8,SUMIFS(V$9:V$13,$I$9:$I$13,"Percentage",$J$9:$J$13,"&lt;&gt;Derived"))</f>
        <v>260</v>
      </c>
      <c r="W15" s="197">
        <f t="shared" si="12"/>
        <v>248</v>
      </c>
      <c r="X15" s="197">
        <f t="shared" si="12"/>
        <v>47</v>
      </c>
      <c r="Y15" s="480"/>
      <c r="Z15" s="480"/>
      <c r="AA15" s="480"/>
    </row>
    <row r="16" spans="1:29" ht="14.25" customHeight="1">
      <c r="A16" s="566"/>
      <c r="B16" s="553" t="s">
        <v>95</v>
      </c>
      <c r="C16" s="200" t="str" cm="1">
        <f t="array" ref="C16:O16">IF(OR(Spec1MinorMasterCondition="(Select)",Spec1MinorMasterCondition=""),_xlfn._xlws.FILTER(TraitStats,(TraitStatsTable[Name]=Spec1MinorMaster)*(TraitStatsTable[Condition]=""),"No stat bonus"),_xlfn._xlws.FILTER(TraitStats,(TraitStatsTable[Name]=Spec1MinorMaster)*((TraitStatsTable[Condition]=Spec1MinorMasterCondition)+(TraitStatsTable[Condition]="")),"No stat bonus"))</f>
        <v>Compounding Power</v>
      </c>
      <c r="D16" s="195" t="str">
        <v>Mesmer</v>
      </c>
      <c r="E16" s="195" t="str">
        <v>Illusions</v>
      </c>
      <c r="F16" s="195" t="str">
        <v>Minor Master</v>
      </c>
      <c r="G16" s="195" t="str">
        <v>Condition Damage</v>
      </c>
      <c r="H16" s="195">
        <v>0.02</v>
      </c>
      <c r="I16" s="195" t="str">
        <v>Percentage</v>
      </c>
      <c r="J16" s="195" t="str">
        <v>Stacking</v>
      </c>
      <c r="K16" s="195" t="str">
        <v>Yes</v>
      </c>
      <c r="L16" s="195" t="str">
        <v>Illusion created</v>
      </c>
      <c r="M16" s="195">
        <v>0</v>
      </c>
      <c r="N16" s="195" t="str">
        <v>+2% Condition Damage per stack when creating Illusion</v>
      </c>
      <c r="O16" s="196">
        <v>5</v>
      </c>
      <c r="P16" s="190" t="str" cm="1">
        <f t="array" ref="P16">_xlfn.LET(_xlpm.PercentCheck,IF(OR(P$1="Crit Chance",P$1="Crit Damage",P$1="Condition Duration"),1,0),_xlpm.Flat,$H16,_xlpm.Percentage,$H16*P$15,_xlpm.Derived,$H16*P$15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P$1,AND($G16="All",_xlpm.PercentCheck=0)),_xlfn.IFS(AND($I16="Flat",$J16=0),_xlpm.Flat,AND($I16="Percentage",$J16=0),_xlpm.Percentage,$J16="Derived",_xlpm.Derived,$J16="Boon Enhancement",_xlpm.BoonEnhancement,$J16="Stacking",_xlpm.Stacking),""))</f>
        <v/>
      </c>
      <c r="Q16" s="190" t="str" cm="1">
        <f t="array" ref="Q16">_xlfn.LET(_xlpm.PercentCheck,IF(OR(Q$1="Crit Chance",Q$1="Crit Damage",Q$1="Condition Duration"),1,0),_xlpm.Flat,$H16,_xlpm.Percentage,$H16*Q$15,_xlpm.Derived,$H16*Q$15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Q$1,AND($G16="All",_xlpm.PercentCheck=0)),_xlfn.IFS(AND($I16="Flat",$J16=0),_xlpm.Flat,AND($I16="Percentage",$J16=0),_xlpm.Percentage,$J16="Derived",_xlpm.Derived,$J16="Boon Enhancement",_xlpm.BoonEnhancement,$J16="Stacking",_xlpm.Stacking),""))</f>
        <v/>
      </c>
      <c r="R16" s="190" t="str" cm="1">
        <f t="array" ref="R16">_xlfn.LET(_xlpm.PercentCheck,IF(OR(R$1="Crit Chance",R$1="Crit Damage",R$1="Condition Duration"),1,0),_xlpm.Flat,$H16,_xlpm.Percentage,$H16*R$15,_xlpm.Derived,$H16*R$15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R$1,AND($G16="All",_xlpm.PercentCheck=0)),_xlfn.IFS(AND($I16="Flat",$J16=0),_xlpm.Flat,AND($I16="Percentage",$J16=0),_xlpm.Percentage,$J16="Derived",_xlpm.Derived,$J16="Boon Enhancement",_xlpm.BoonEnhancement,$J16="Stacking",_xlpm.Stacking),""))</f>
        <v/>
      </c>
      <c r="S16" s="190" t="str" cm="1">
        <f t="array" ref="S16">_xlfn.LET(_xlpm.PercentCheck,IF(OR(S$1="Crit Chance",S$1="Crit Damage",S$1="Condition Duration"),1,0),_xlpm.Flat,$H16,_xlpm.Percentage,$H16*S$15,_xlpm.Derived,$H16*S$15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S$1,AND($G16="All",_xlpm.PercentCheck=0)),_xlfn.IFS(AND($I16="Flat",$J16=0),_xlpm.Flat,AND($I16="Percentage",$J16=0),_xlpm.Percentage,$J16="Derived",_xlpm.Derived,$J16="Boon Enhancement",_xlpm.BoonEnhancement,$J16="Stacking",_xlpm.Stacking),""))</f>
        <v/>
      </c>
      <c r="T16" s="190" t="str" cm="1">
        <f t="array" ref="T16">_xlfn.LET(_xlpm.PercentCheck,IF(OR(T$1="Crit Chance",T$1="Crit Damage",T$1="Condition Duration"),1,0),_xlpm.Flat,$H16,_xlpm.Percentage,$H16*T$15,_xlpm.Derived,$H16*T$15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T$1,AND($G16="All",_xlpm.PercentCheck=0)),_xlfn.IFS(AND($I16="Flat",$J16=0),_xlpm.Flat,AND($I16="Percentage",$J16=0),_xlpm.Percentage,$J16="Derived",_xlpm.Derived,$J16="Boon Enhancement",_xlpm.BoonEnhancement,$J16="Stacking",_xlpm.Stacking),""))</f>
        <v/>
      </c>
      <c r="U16" s="190" cm="1">
        <f t="array" ref="U16">_xlfn.LET(_xlpm.PercentCheck,IF(OR(U$1="Crit Chance",U$1="Crit Damage",U$1="Condition Duration"),1,0),_xlpm.Flat,$H16,_xlpm.Percentage,$H16*U$15,_xlpm.Derived,$H16*U$15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U$1,AND($G16="All",_xlpm.PercentCheck=0)),_xlfn.IFS(AND($I16="Flat",$J16=0),_xlpm.Flat,AND($I16="Percentage",$J16=0),_xlpm.Percentage,$J16="Derived",_xlpm.Derived,$J16="Boon Enhancement",_xlpm.BoonEnhancement,$J16="Stacking",_xlpm.Stacking),""))</f>
        <v>9.6</v>
      </c>
      <c r="V16" s="190" t="str" cm="1">
        <f t="array" ref="V16">_xlfn.LET(_xlpm.PercentCheck,IF(OR(V$1="Crit Chance",V$1="Crit Damage",V$1="Condition Duration"),1,0),_xlpm.Flat,$H16,_xlpm.Percentage,$H16*V$15,_xlpm.Derived,$H16*V$15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V$1,AND($G16="All",_xlpm.PercentCheck=0)),_xlfn.IFS(AND($I16="Flat",$J16=0),_xlpm.Flat,AND($I16="Percentage",$J16=0),_xlpm.Percentage,$J16="Derived",_xlpm.Derived,$J16="Boon Enhancement",_xlpm.BoonEnhancement,$J16="Stacking",_xlpm.Stacking),""))</f>
        <v/>
      </c>
      <c r="W16" s="190" t="str" cm="1">
        <f t="array" ref="W16">_xlfn.LET(_xlpm.PercentCheck,IF(OR(W$1="Crit Chance",W$1="Crit Damage",W$1="Condition Duration"),1,0),_xlpm.Flat,$H16,_xlpm.Percentage,$H16*W$15,_xlpm.Derived,$H16*W$15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W$1,AND($G16="All",_xlpm.PercentCheck=0)),_xlfn.IFS(AND($I16="Flat",$J16=0),_xlpm.Flat,AND($I16="Percentage",$J16=0),_xlpm.Percentage,$J16="Derived",_xlpm.Derived,$J16="Boon Enhancement",_xlpm.BoonEnhancement,$J16="Stacking",_xlpm.Stacking),""))</f>
        <v/>
      </c>
      <c r="X16" s="190" t="str" cm="1">
        <f t="array" ref="X16">_xlfn.LET(_xlpm.PercentCheck,IF(OR(X$1="Crit Chance",X$1="Crit Damage",X$1="Condition Duration"),1,0),_xlpm.Flat,$H16,_xlpm.Percentage,$H16*X$15,_xlpm.Derived,$H16*X$15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X$1,AND($G16="All",_xlpm.PercentCheck=0)),_xlfn.IFS(AND($I16="Flat",$J16=0),_xlpm.Flat,AND($I16="Percentage",$J16=0),_xlpm.Percentage,$J16="Derived",_xlpm.Derived,$J16="Boon Enhancement",_xlpm.BoonEnhancement,$J16="Stacking",_xlpm.Stacking),""))</f>
        <v/>
      </c>
      <c r="Y16" s="190" t="str" cm="1">
        <f t="array" ref="Y16">_xlfn.LET(_xlpm.PercentCheck,IF(OR(Y$1="Crit Chance",Y$1="Crit Damage",Y$1="Condition Duration"),1,0),_xlpm.Flat,$H16,_xlpm.Percentage,$H16*Y$15,_xlpm.Derived,$H16*Y$15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Y$1,AND($G16="All",_xlpm.PercentCheck=0)),_xlfn.IFS(AND($I16="Flat",$J16=0),_xlpm.Flat,AND($I16="Percentage",$J16=0),_xlpm.Percentage,$J16="Derived",_xlpm.Derived,$J16="Boon Enhancement",_xlpm.BoonEnhancement,$J16="Stacking",_xlpm.Stacking),""))</f>
        <v/>
      </c>
      <c r="Z16" s="190" t="str" cm="1">
        <f t="array" ref="Z16">_xlfn.LET(_xlpm.PercentCheck,IF(OR(Z$1="Crit Chance",Z$1="Crit Damage",Z$1="Condition Duration"),1,0),_xlpm.Flat,$H16,_xlpm.Percentage,$H16*Z$15,_xlpm.Derived,$H16*Z$15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Z$1,AND($G16="All",_xlpm.PercentCheck=0)),_xlfn.IFS(AND($I16="Flat",$J16=0),_xlpm.Flat,AND($I16="Percentage",$J16=0),_xlpm.Percentage,$J16="Derived",_xlpm.Derived,$J16="Boon Enhancement",_xlpm.BoonEnhancement,$J16="Stacking",_xlpm.Stacking),""))</f>
        <v/>
      </c>
      <c r="AA16" s="190" t="str" cm="1">
        <f t="array" ref="AA16">_xlfn.LET(_xlpm.PercentCheck,IF(OR(AA$1="Crit Chance",AA$1="Crit Damage",AA$1="Condition Duration"),1,0),_xlpm.Flat,$H16,_xlpm.Percentage,$H16*AA$15,_xlpm.Derived,$H16*AA$15,_xlpm.BoonType,VLOOKUP($M16,BoonToggles,2,0),_xlpm.BoonEnhancement,IF(AND(ISLOGICAL(_xlpm.BoonType),_xlpm.BoonType=TRUE),IF($I16="Flat",$H16,_xlpm.Percentage),IF($I16="Flat",$H16*_xlpm.BoonType,_xlpm.Percentage*_xlpm.BoonType)),_xlpm.Stacking,IF($I16="Flat",$H16*Spec1MinorMasterStacks,IF(_xlpm.PercentCheck=1,"",_xlpm.Percentage*Spec1MinorMasterStacks)),IF(OR($G16=AA$1,AND($G16="All",_xlpm.PercentCheck=0)),_xlfn.IFS(AND($I16="Flat",$J16=0),_xlpm.Flat,AND($I16="Percentage",$J16=0),_xlpm.Percentage,$J16="Derived",_xlpm.Derived,$J16="Boon Enhancement",_xlpm.BoonEnhancement,$J16="Stacking",_xlpm.Stacking),""))</f>
        <v/>
      </c>
      <c r="AC16" s="28">
        <f>(0.02*142)*5</f>
        <v>14.2</v>
      </c>
    </row>
    <row r="17" spans="1:27" ht="14.25" customHeight="1">
      <c r="A17" s="566"/>
      <c r="B17" s="554"/>
      <c r="C17" s="194"/>
      <c r="D17" s="195"/>
      <c r="E17" s="195"/>
      <c r="F17" s="195"/>
      <c r="G17" s="195"/>
      <c r="H17" s="195"/>
      <c r="I17" s="195"/>
      <c r="J17" s="195"/>
      <c r="K17" s="195"/>
      <c r="L17" s="195"/>
      <c r="M17" s="195"/>
      <c r="N17" s="195"/>
      <c r="O17" s="196"/>
      <c r="P17" s="190" t="str" cm="1">
        <f t="array" ref="P17">_xlfn.LET(_xlpm.PercentCheck,IF(OR(P$1="Crit Chance",P$1="Crit Damage",P$1="Condition Duration"),1,0),_xlpm.Flat,$H17,_xlpm.Percentage,$H17*P$15,_xlpm.Derived,$H17*P$15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P$1,AND($G17="All",_xlpm.PercentCheck=0)),_xlfn.IFS(AND($I17="Flat",$J17=0),_xlpm.Flat,AND($I17="Percentage",$J17=0),_xlpm.Percentage,$J17="Derived",_xlpm.Derived,$J17="Boon Enhancement",_xlpm.BoonEnhancement,$J17="Stacking",_xlpm.Stacking),""))</f>
        <v/>
      </c>
      <c r="Q17" s="190" t="str" cm="1">
        <f t="array" ref="Q17">_xlfn.LET(_xlpm.PercentCheck,IF(OR(Q$1="Crit Chance",Q$1="Crit Damage",Q$1="Condition Duration"),1,0),_xlpm.Flat,$H17,_xlpm.Percentage,$H17*Q$15,_xlpm.Derived,$H17*Q$15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Q$1,AND($G17="All",_xlpm.PercentCheck=0)),_xlfn.IFS(AND($I17="Flat",$J17=0),_xlpm.Flat,AND($I17="Percentage",$J17=0),_xlpm.Percentage,$J17="Derived",_xlpm.Derived,$J17="Boon Enhancement",_xlpm.BoonEnhancement,$J17="Stacking",_xlpm.Stacking),""))</f>
        <v/>
      </c>
      <c r="R17" s="190" t="str" cm="1">
        <f t="array" ref="R17">_xlfn.LET(_xlpm.PercentCheck,IF(OR(R$1="Crit Chance",R$1="Crit Damage",R$1="Condition Duration"),1,0),_xlpm.Flat,$H17,_xlpm.Percentage,$H17*R$15,_xlpm.Derived,$H17*R$15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R$1,AND($G17="All",_xlpm.PercentCheck=0)),_xlfn.IFS(AND($I17="Flat",$J17=0),_xlpm.Flat,AND($I17="Percentage",$J17=0),_xlpm.Percentage,$J17="Derived",_xlpm.Derived,$J17="Boon Enhancement",_xlpm.BoonEnhancement,$J17="Stacking",_xlpm.Stacking),""))</f>
        <v/>
      </c>
      <c r="S17" s="190" t="str" cm="1">
        <f t="array" ref="S17">_xlfn.LET(_xlpm.PercentCheck,IF(OR(S$1="Crit Chance",S$1="Crit Damage",S$1="Condition Duration"),1,0),_xlpm.Flat,$H17,_xlpm.Percentage,$H17*S$15,_xlpm.Derived,$H17*S$15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S$1,AND($G17="All",_xlpm.PercentCheck=0)),_xlfn.IFS(AND($I17="Flat",$J17=0),_xlpm.Flat,AND($I17="Percentage",$J17=0),_xlpm.Percentage,$J17="Derived",_xlpm.Derived,$J17="Boon Enhancement",_xlpm.BoonEnhancement,$J17="Stacking",_xlpm.Stacking),""))</f>
        <v/>
      </c>
      <c r="T17" s="190" t="str" cm="1">
        <f t="array" ref="T17">_xlfn.LET(_xlpm.PercentCheck,IF(OR(T$1="Crit Chance",T$1="Crit Damage",T$1="Condition Duration"),1,0),_xlpm.Flat,$H17,_xlpm.Percentage,$H17*T$15,_xlpm.Derived,$H17*T$15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T$1,AND($G17="All",_xlpm.PercentCheck=0)),_xlfn.IFS(AND($I17="Flat",$J17=0),_xlpm.Flat,AND($I17="Percentage",$J17=0),_xlpm.Percentage,$J17="Derived",_xlpm.Derived,$J17="Boon Enhancement",_xlpm.BoonEnhancement,$J17="Stacking",_xlpm.Stacking),""))</f>
        <v/>
      </c>
      <c r="U17" s="190" t="str" cm="1">
        <f t="array" ref="U17">_xlfn.LET(_xlpm.PercentCheck,IF(OR(U$1="Crit Chance",U$1="Crit Damage",U$1="Condition Duration"),1,0),_xlpm.Flat,$H17,_xlpm.Percentage,$H17*U$15,_xlpm.Derived,$H17*U$15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U$1,AND($G17="All",_xlpm.PercentCheck=0)),_xlfn.IFS(AND($I17="Flat",$J17=0),_xlpm.Flat,AND($I17="Percentage",$J17=0),_xlpm.Percentage,$J17="Derived",_xlpm.Derived,$J17="Boon Enhancement",_xlpm.BoonEnhancement,$J17="Stacking",_xlpm.Stacking),""))</f>
        <v/>
      </c>
      <c r="V17" s="190" t="str" cm="1">
        <f t="array" ref="V17">_xlfn.LET(_xlpm.PercentCheck,IF(OR(V$1="Crit Chance",V$1="Crit Damage",V$1="Condition Duration"),1,0),_xlpm.Flat,$H17,_xlpm.Percentage,$H17*V$15,_xlpm.Derived,$H17*V$15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V$1,AND($G17="All",_xlpm.PercentCheck=0)),_xlfn.IFS(AND($I17="Flat",$J17=0),_xlpm.Flat,AND($I17="Percentage",$J17=0),_xlpm.Percentage,$J17="Derived",_xlpm.Derived,$J17="Boon Enhancement",_xlpm.BoonEnhancement,$J17="Stacking",_xlpm.Stacking),""))</f>
        <v/>
      </c>
      <c r="W17" s="190" t="str" cm="1">
        <f t="array" ref="W17">_xlfn.LET(_xlpm.PercentCheck,IF(OR(W$1="Crit Chance",W$1="Crit Damage",W$1="Condition Duration"),1,0),_xlpm.Flat,$H17,_xlpm.Percentage,$H17*W$15,_xlpm.Derived,$H17*W$15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W$1,AND($G17="All",_xlpm.PercentCheck=0)),_xlfn.IFS(AND($I17="Flat",$J17=0),_xlpm.Flat,AND($I17="Percentage",$J17=0),_xlpm.Percentage,$J17="Derived",_xlpm.Derived,$J17="Boon Enhancement",_xlpm.BoonEnhancement,$J17="Stacking",_xlpm.Stacking),""))</f>
        <v/>
      </c>
      <c r="X17" s="190" t="str" cm="1">
        <f t="array" ref="X17">_xlfn.LET(_xlpm.PercentCheck,IF(OR(X$1="Crit Chance",X$1="Crit Damage",X$1="Condition Duration"),1,0),_xlpm.Flat,$H17,_xlpm.Percentage,$H17*X$15,_xlpm.Derived,$H17*X$15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X$1,AND($G17="All",_xlpm.PercentCheck=0)),_xlfn.IFS(AND($I17="Flat",$J17=0),_xlpm.Flat,AND($I17="Percentage",$J17=0),_xlpm.Percentage,$J17="Derived",_xlpm.Derived,$J17="Boon Enhancement",_xlpm.BoonEnhancement,$J17="Stacking",_xlpm.Stacking),""))</f>
        <v/>
      </c>
      <c r="Y17" s="190" t="str" cm="1">
        <f t="array" ref="Y17">_xlfn.LET(_xlpm.PercentCheck,IF(OR(Y$1="Crit Chance",Y$1="Crit Damage",Y$1="Condition Duration"),1,0),_xlpm.Flat,$H17,_xlpm.Percentage,$H17*Y$15,_xlpm.Derived,$H17*Y$15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Y$1,AND($G17="All",_xlpm.PercentCheck=0)),_xlfn.IFS(AND($I17="Flat",$J17=0),_xlpm.Flat,AND($I17="Percentage",$J17=0),_xlpm.Percentage,$J17="Derived",_xlpm.Derived,$J17="Boon Enhancement",_xlpm.BoonEnhancement,$J17="Stacking",_xlpm.Stacking),""))</f>
        <v/>
      </c>
      <c r="Z17" s="190" t="str" cm="1">
        <f t="array" ref="Z17">_xlfn.LET(_xlpm.PercentCheck,IF(OR(Z$1="Crit Chance",Z$1="Crit Damage",Z$1="Condition Duration"),1,0),_xlpm.Flat,$H17,_xlpm.Percentage,$H17*Z$15,_xlpm.Derived,$H17*Z$15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Z$1,AND($G17="All",_xlpm.PercentCheck=0)),_xlfn.IFS(AND($I17="Flat",$J17=0),_xlpm.Flat,AND($I17="Percentage",$J17=0),_xlpm.Percentage,$J17="Derived",_xlpm.Derived,$J17="Boon Enhancement",_xlpm.BoonEnhancement,$J17="Stacking",_xlpm.Stacking),""))</f>
        <v/>
      </c>
      <c r="AA17" s="190" t="str" cm="1">
        <f t="array" ref="AA17">_xlfn.LET(_xlpm.PercentCheck,IF(OR(AA$1="Crit Chance",AA$1="Crit Damage",AA$1="Condition Duration"),1,0),_xlpm.Flat,$H17,_xlpm.Percentage,$H17*AA$15,_xlpm.Derived,$H17*AA$15,_xlpm.BoonType,VLOOKUP($M17,BoonToggles,2,0),_xlpm.BoonEnhancement,IF(AND(ISLOGICAL(_xlpm.BoonType),_xlpm.BoonType=TRUE),IF($I17="Flat",$H17,_xlpm.Percentage),IF($I17="Flat",$H17*_xlpm.BoonType,_xlpm.Percentage*_xlpm.BoonType)),_xlpm.Stacking,IF($I17="Flat",$H17*Spec1MinorMasterStacks,IF(_xlpm.PercentCheck=1,"",_xlpm.Percentage*Spec1MinorMasterStacks)),IF(OR($G17=AA$1,AND($G17="All",_xlpm.PercentCheck=0)),_xlfn.IFS(AND($I17="Flat",$J17=0),_xlpm.Flat,AND($I17="Percentage",$J17=0),_xlpm.Percentage,$J17="Derived",_xlpm.Derived,$J17="Boon Enhancement",_xlpm.BoonEnhancement,$J17="Stacking",_xlpm.Stacking),""))</f>
        <v/>
      </c>
    </row>
    <row r="18" spans="1:27" ht="14.25" customHeight="1">
      <c r="A18" s="566"/>
      <c r="B18" s="554"/>
      <c r="C18" s="194"/>
      <c r="D18" s="195"/>
      <c r="E18" s="195"/>
      <c r="F18" s="195"/>
      <c r="G18" s="195"/>
      <c r="H18" s="195"/>
      <c r="I18" s="195"/>
      <c r="J18" s="195"/>
      <c r="K18" s="195"/>
      <c r="L18" s="195"/>
      <c r="M18" s="195"/>
      <c r="N18" s="195"/>
      <c r="O18" s="196"/>
      <c r="P18" s="190" t="str" cm="1">
        <f t="array" ref="P18">_xlfn.LET(_xlpm.PercentCheck,IF(OR(P$1="Crit Chance",P$1="Crit Damage",P$1="Condition Duration"),1,0),_xlpm.Flat,$H18,_xlpm.Percentage,$H18*P$15,_xlpm.Derived,$H18*P$15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P$1,AND($G18="All",_xlpm.PercentCheck=0)),_xlfn.IFS(AND($I18="Flat",$J18=0),_xlpm.Flat,AND($I18="Percentage",$J18=0),_xlpm.Percentage,$J18="Derived",_xlpm.Derived,$J18="Boon Enhancement",_xlpm.BoonEnhancement,$J18="Stacking",_xlpm.Stacking),""))</f>
        <v/>
      </c>
      <c r="Q18" s="190" t="str" cm="1">
        <f t="array" ref="Q18">_xlfn.LET(_xlpm.PercentCheck,IF(OR(Q$1="Crit Chance",Q$1="Crit Damage",Q$1="Condition Duration"),1,0),_xlpm.Flat,$H18,_xlpm.Percentage,$H18*Q$15,_xlpm.Derived,$H18*Q$15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Q$1,AND($G18="All",_xlpm.PercentCheck=0)),_xlfn.IFS(AND($I18="Flat",$J18=0),_xlpm.Flat,AND($I18="Percentage",$J18=0),_xlpm.Percentage,$J18="Derived",_xlpm.Derived,$J18="Boon Enhancement",_xlpm.BoonEnhancement,$J18="Stacking",_xlpm.Stacking),""))</f>
        <v/>
      </c>
      <c r="R18" s="190" t="str" cm="1">
        <f t="array" ref="R18">_xlfn.LET(_xlpm.PercentCheck,IF(OR(R$1="Crit Chance",R$1="Crit Damage",R$1="Condition Duration"),1,0),_xlpm.Flat,$H18,_xlpm.Percentage,$H18*R$15,_xlpm.Derived,$H18*R$15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R$1,AND($G18="All",_xlpm.PercentCheck=0)),_xlfn.IFS(AND($I18="Flat",$J18=0),_xlpm.Flat,AND($I18="Percentage",$J18=0),_xlpm.Percentage,$J18="Derived",_xlpm.Derived,$J18="Boon Enhancement",_xlpm.BoonEnhancement,$J18="Stacking",_xlpm.Stacking),""))</f>
        <v/>
      </c>
      <c r="S18" s="190" t="str" cm="1">
        <f t="array" ref="S18">_xlfn.LET(_xlpm.PercentCheck,IF(OR(S$1="Crit Chance",S$1="Crit Damage",S$1="Condition Duration"),1,0),_xlpm.Flat,$H18,_xlpm.Percentage,$H18*S$15,_xlpm.Derived,$H18*S$15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S$1,AND($G18="All",_xlpm.PercentCheck=0)),_xlfn.IFS(AND($I18="Flat",$J18=0),_xlpm.Flat,AND($I18="Percentage",$J18=0),_xlpm.Percentage,$J18="Derived",_xlpm.Derived,$J18="Boon Enhancement",_xlpm.BoonEnhancement,$J18="Stacking",_xlpm.Stacking),""))</f>
        <v/>
      </c>
      <c r="T18" s="190" t="str" cm="1">
        <f t="array" ref="T18">_xlfn.LET(_xlpm.PercentCheck,IF(OR(T$1="Crit Chance",T$1="Crit Damage",T$1="Condition Duration"),1,0),_xlpm.Flat,$H18,_xlpm.Percentage,$H18*T$15,_xlpm.Derived,$H18*T$15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T$1,AND($G18="All",_xlpm.PercentCheck=0)),_xlfn.IFS(AND($I18="Flat",$J18=0),_xlpm.Flat,AND($I18="Percentage",$J18=0),_xlpm.Percentage,$J18="Derived",_xlpm.Derived,$J18="Boon Enhancement",_xlpm.BoonEnhancement,$J18="Stacking",_xlpm.Stacking),""))</f>
        <v/>
      </c>
      <c r="U18" s="190" t="str" cm="1">
        <f t="array" ref="U18">_xlfn.LET(_xlpm.PercentCheck,IF(OR(U$1="Crit Chance",U$1="Crit Damage",U$1="Condition Duration"),1,0),_xlpm.Flat,$H18,_xlpm.Percentage,$H18*U$15,_xlpm.Derived,$H18*U$15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U$1,AND($G18="All",_xlpm.PercentCheck=0)),_xlfn.IFS(AND($I18="Flat",$J18=0),_xlpm.Flat,AND($I18="Percentage",$J18=0),_xlpm.Percentage,$J18="Derived",_xlpm.Derived,$J18="Boon Enhancement",_xlpm.BoonEnhancement,$J18="Stacking",_xlpm.Stacking),""))</f>
        <v/>
      </c>
      <c r="V18" s="190" t="str" cm="1">
        <f t="array" ref="V18">_xlfn.LET(_xlpm.PercentCheck,IF(OR(V$1="Crit Chance",V$1="Crit Damage",V$1="Condition Duration"),1,0),_xlpm.Flat,$H18,_xlpm.Percentage,$H18*V$15,_xlpm.Derived,$H18*V$15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V$1,AND($G18="All",_xlpm.PercentCheck=0)),_xlfn.IFS(AND($I18="Flat",$J18=0),_xlpm.Flat,AND($I18="Percentage",$J18=0),_xlpm.Percentage,$J18="Derived",_xlpm.Derived,$J18="Boon Enhancement",_xlpm.BoonEnhancement,$J18="Stacking",_xlpm.Stacking),""))</f>
        <v/>
      </c>
      <c r="W18" s="190" t="str" cm="1">
        <f t="array" ref="W18">_xlfn.LET(_xlpm.PercentCheck,IF(OR(W$1="Crit Chance",W$1="Crit Damage",W$1="Condition Duration"),1,0),_xlpm.Flat,$H18,_xlpm.Percentage,$H18*W$15,_xlpm.Derived,$H18*W$15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W$1,AND($G18="All",_xlpm.PercentCheck=0)),_xlfn.IFS(AND($I18="Flat",$J18=0),_xlpm.Flat,AND($I18="Percentage",$J18=0),_xlpm.Percentage,$J18="Derived",_xlpm.Derived,$J18="Boon Enhancement",_xlpm.BoonEnhancement,$J18="Stacking",_xlpm.Stacking),""))</f>
        <v/>
      </c>
      <c r="X18" s="190" t="str" cm="1">
        <f t="array" ref="X18">_xlfn.LET(_xlpm.PercentCheck,IF(OR(X$1="Crit Chance",X$1="Crit Damage",X$1="Condition Duration"),1,0),_xlpm.Flat,$H18,_xlpm.Percentage,$H18*X$15,_xlpm.Derived,$H18*X$15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X$1,AND($G18="All",_xlpm.PercentCheck=0)),_xlfn.IFS(AND($I18="Flat",$J18=0),_xlpm.Flat,AND($I18="Percentage",$J18=0),_xlpm.Percentage,$J18="Derived",_xlpm.Derived,$J18="Boon Enhancement",_xlpm.BoonEnhancement,$J18="Stacking",_xlpm.Stacking),""))</f>
        <v/>
      </c>
      <c r="Y18" s="190" t="str" cm="1">
        <f t="array" ref="Y18">_xlfn.LET(_xlpm.PercentCheck,IF(OR(Y$1="Crit Chance",Y$1="Crit Damage",Y$1="Condition Duration"),1,0),_xlpm.Flat,$H18,_xlpm.Percentage,$H18*Y$15,_xlpm.Derived,$H18*Y$15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Y$1,AND($G18="All",_xlpm.PercentCheck=0)),_xlfn.IFS(AND($I18="Flat",$J18=0),_xlpm.Flat,AND($I18="Percentage",$J18=0),_xlpm.Percentage,$J18="Derived",_xlpm.Derived,$J18="Boon Enhancement",_xlpm.BoonEnhancement,$J18="Stacking",_xlpm.Stacking),""))</f>
        <v/>
      </c>
      <c r="Z18" s="190" t="str" cm="1">
        <f t="array" ref="Z18">_xlfn.LET(_xlpm.PercentCheck,IF(OR(Z$1="Crit Chance",Z$1="Crit Damage",Z$1="Condition Duration"),1,0),_xlpm.Flat,$H18,_xlpm.Percentage,$H18*Z$15,_xlpm.Derived,$H18*Z$15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Z$1,AND($G18="All",_xlpm.PercentCheck=0)),_xlfn.IFS(AND($I18="Flat",$J18=0),_xlpm.Flat,AND($I18="Percentage",$J18=0),_xlpm.Percentage,$J18="Derived",_xlpm.Derived,$J18="Boon Enhancement",_xlpm.BoonEnhancement,$J18="Stacking",_xlpm.Stacking),""))</f>
        <v/>
      </c>
      <c r="AA18" s="190" t="str" cm="1">
        <f t="array" ref="AA18">_xlfn.LET(_xlpm.PercentCheck,IF(OR(AA$1="Crit Chance",AA$1="Crit Damage",AA$1="Condition Duration"),1,0),_xlpm.Flat,$H18,_xlpm.Percentage,$H18*AA$15,_xlpm.Derived,$H18*AA$15,_xlpm.BoonType,VLOOKUP($M18,BoonToggles,2,0),_xlpm.BoonEnhancement,IF(AND(ISLOGICAL(_xlpm.BoonType),_xlpm.BoonType=TRUE),IF($I18="Flat",$H18,_xlpm.Percentage),IF($I18="Flat",$H18*_xlpm.BoonType,_xlpm.Percentage*_xlpm.BoonType)),_xlpm.Stacking,IF($I18="Flat",$H18*Spec1MinorMasterStacks,IF(_xlpm.PercentCheck=1,"",_xlpm.Percentage*Spec1MinorMasterStacks)),IF(OR($G18=AA$1,AND($G18="All",_xlpm.PercentCheck=0)),_xlfn.IFS(AND($I18="Flat",$J18=0),_xlpm.Flat,AND($I18="Percentage",$J18=0),_xlpm.Percentage,$J18="Derived",_xlpm.Derived,$J18="Boon Enhancement",_xlpm.BoonEnhancement,$J18="Stacking",_xlpm.Stacking),""))</f>
        <v/>
      </c>
    </row>
    <row r="19" spans="1:27" ht="14.25" customHeight="1">
      <c r="A19" s="566"/>
      <c r="B19" s="554"/>
      <c r="C19" s="194"/>
      <c r="D19" s="195"/>
      <c r="E19" s="195"/>
      <c r="F19" s="195"/>
      <c r="G19" s="195"/>
      <c r="H19" s="195"/>
      <c r="I19" s="195"/>
      <c r="J19" s="195"/>
      <c r="K19" s="195"/>
      <c r="L19" s="195"/>
      <c r="M19" s="195"/>
      <c r="N19" s="195"/>
      <c r="O19" s="196"/>
      <c r="P19" s="190" t="str" cm="1">
        <f t="array" ref="P19">_xlfn.LET(_xlpm.PercentCheck,IF(OR(P$1="Crit Chance",P$1="Crit Damage",P$1="Condition Duration"),1,0),_xlpm.Flat,$H19,_xlpm.Percentage,$H19*P$15,_xlpm.Derived,$H19*P$15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P$1,AND($G19="All",_xlpm.PercentCheck=0)),_xlfn.IFS(AND($I19="Flat",$J19=0),_xlpm.Flat,AND($I19="Percentage",$J19=0),_xlpm.Percentage,$J19="Derived",_xlpm.Derived,$J19="Boon Enhancement",_xlpm.BoonEnhancement,$J19="Stacking",_xlpm.Stacking),""))</f>
        <v/>
      </c>
      <c r="Q19" s="190" t="str" cm="1">
        <f t="array" ref="Q19">_xlfn.LET(_xlpm.PercentCheck,IF(OR(Q$1="Crit Chance",Q$1="Crit Damage",Q$1="Condition Duration"),1,0),_xlpm.Flat,$H19,_xlpm.Percentage,$H19*Q$15,_xlpm.Derived,$H19*Q$15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Q$1,AND($G19="All",_xlpm.PercentCheck=0)),_xlfn.IFS(AND($I19="Flat",$J19=0),_xlpm.Flat,AND($I19="Percentage",$J19=0),_xlpm.Percentage,$J19="Derived",_xlpm.Derived,$J19="Boon Enhancement",_xlpm.BoonEnhancement,$J19="Stacking",_xlpm.Stacking),""))</f>
        <v/>
      </c>
      <c r="R19" s="190" t="str" cm="1">
        <f t="array" ref="R19">_xlfn.LET(_xlpm.PercentCheck,IF(OR(R$1="Crit Chance",R$1="Crit Damage",R$1="Condition Duration"),1,0),_xlpm.Flat,$H19,_xlpm.Percentage,$H19*R$15,_xlpm.Derived,$H19*R$15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R$1,AND($G19="All",_xlpm.PercentCheck=0)),_xlfn.IFS(AND($I19="Flat",$J19=0),_xlpm.Flat,AND($I19="Percentage",$J19=0),_xlpm.Percentage,$J19="Derived",_xlpm.Derived,$J19="Boon Enhancement",_xlpm.BoonEnhancement,$J19="Stacking",_xlpm.Stacking),""))</f>
        <v/>
      </c>
      <c r="S19" s="190" t="str" cm="1">
        <f t="array" ref="S19">_xlfn.LET(_xlpm.PercentCheck,IF(OR(S$1="Crit Chance",S$1="Crit Damage",S$1="Condition Duration"),1,0),_xlpm.Flat,$H19,_xlpm.Percentage,$H19*S$15,_xlpm.Derived,$H19*S$15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S$1,AND($G19="All",_xlpm.PercentCheck=0)),_xlfn.IFS(AND($I19="Flat",$J19=0),_xlpm.Flat,AND($I19="Percentage",$J19=0),_xlpm.Percentage,$J19="Derived",_xlpm.Derived,$J19="Boon Enhancement",_xlpm.BoonEnhancement,$J19="Stacking",_xlpm.Stacking),""))</f>
        <v/>
      </c>
      <c r="T19" s="190" t="str" cm="1">
        <f t="array" ref="T19">_xlfn.LET(_xlpm.PercentCheck,IF(OR(T$1="Crit Chance",T$1="Crit Damage",T$1="Condition Duration"),1,0),_xlpm.Flat,$H19,_xlpm.Percentage,$H19*T$15,_xlpm.Derived,$H19*T$15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T$1,AND($G19="All",_xlpm.PercentCheck=0)),_xlfn.IFS(AND($I19="Flat",$J19=0),_xlpm.Flat,AND($I19="Percentage",$J19=0),_xlpm.Percentage,$J19="Derived",_xlpm.Derived,$J19="Boon Enhancement",_xlpm.BoonEnhancement,$J19="Stacking",_xlpm.Stacking),""))</f>
        <v/>
      </c>
      <c r="U19" s="190" t="str" cm="1">
        <f t="array" ref="U19">_xlfn.LET(_xlpm.PercentCheck,IF(OR(U$1="Crit Chance",U$1="Crit Damage",U$1="Condition Duration"),1,0),_xlpm.Flat,$H19,_xlpm.Percentage,$H19*U$15,_xlpm.Derived,$H19*U$15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U$1,AND($G19="All",_xlpm.PercentCheck=0)),_xlfn.IFS(AND($I19="Flat",$J19=0),_xlpm.Flat,AND($I19="Percentage",$J19=0),_xlpm.Percentage,$J19="Derived",_xlpm.Derived,$J19="Boon Enhancement",_xlpm.BoonEnhancement,$J19="Stacking",_xlpm.Stacking),""))</f>
        <v/>
      </c>
      <c r="V19" s="190" t="str" cm="1">
        <f t="array" ref="V19">_xlfn.LET(_xlpm.PercentCheck,IF(OR(V$1="Crit Chance",V$1="Crit Damage",V$1="Condition Duration"),1,0),_xlpm.Flat,$H19,_xlpm.Percentage,$H19*V$15,_xlpm.Derived,$H19*V$15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V$1,AND($G19="All",_xlpm.PercentCheck=0)),_xlfn.IFS(AND($I19="Flat",$J19=0),_xlpm.Flat,AND($I19="Percentage",$J19=0),_xlpm.Percentage,$J19="Derived",_xlpm.Derived,$J19="Boon Enhancement",_xlpm.BoonEnhancement,$J19="Stacking",_xlpm.Stacking),""))</f>
        <v/>
      </c>
      <c r="W19" s="190" t="str" cm="1">
        <f t="array" ref="W19">_xlfn.LET(_xlpm.PercentCheck,IF(OR(W$1="Crit Chance",W$1="Crit Damage",W$1="Condition Duration"),1,0),_xlpm.Flat,$H19,_xlpm.Percentage,$H19*W$15,_xlpm.Derived,$H19*W$15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W$1,AND($G19="All",_xlpm.PercentCheck=0)),_xlfn.IFS(AND($I19="Flat",$J19=0),_xlpm.Flat,AND($I19="Percentage",$J19=0),_xlpm.Percentage,$J19="Derived",_xlpm.Derived,$J19="Boon Enhancement",_xlpm.BoonEnhancement,$J19="Stacking",_xlpm.Stacking),""))</f>
        <v/>
      </c>
      <c r="X19" s="190" t="str" cm="1">
        <f t="array" ref="X19">_xlfn.LET(_xlpm.PercentCheck,IF(OR(X$1="Crit Chance",X$1="Crit Damage",X$1="Condition Duration"),1,0),_xlpm.Flat,$H19,_xlpm.Percentage,$H19*X$15,_xlpm.Derived,$H19*X$15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X$1,AND($G19="All",_xlpm.PercentCheck=0)),_xlfn.IFS(AND($I19="Flat",$J19=0),_xlpm.Flat,AND($I19="Percentage",$J19=0),_xlpm.Percentage,$J19="Derived",_xlpm.Derived,$J19="Boon Enhancement",_xlpm.BoonEnhancement,$J19="Stacking",_xlpm.Stacking),""))</f>
        <v/>
      </c>
      <c r="Y19" s="190" t="str" cm="1">
        <f t="array" ref="Y19">_xlfn.LET(_xlpm.PercentCheck,IF(OR(Y$1="Crit Chance",Y$1="Crit Damage",Y$1="Condition Duration"),1,0),_xlpm.Flat,$H19,_xlpm.Percentage,$H19*Y$15,_xlpm.Derived,$H19*Y$15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Y$1,AND($G19="All",_xlpm.PercentCheck=0)),_xlfn.IFS(AND($I19="Flat",$J19=0),_xlpm.Flat,AND($I19="Percentage",$J19=0),_xlpm.Percentage,$J19="Derived",_xlpm.Derived,$J19="Boon Enhancement",_xlpm.BoonEnhancement,$J19="Stacking",_xlpm.Stacking),""))</f>
        <v/>
      </c>
      <c r="Z19" s="190" t="str" cm="1">
        <f t="array" ref="Z19">_xlfn.LET(_xlpm.PercentCheck,IF(OR(Z$1="Crit Chance",Z$1="Crit Damage",Z$1="Condition Duration"),1,0),_xlpm.Flat,$H19,_xlpm.Percentage,$H19*Z$15,_xlpm.Derived,$H19*Z$15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Z$1,AND($G19="All",_xlpm.PercentCheck=0)),_xlfn.IFS(AND($I19="Flat",$J19=0),_xlpm.Flat,AND($I19="Percentage",$J19=0),_xlpm.Percentage,$J19="Derived",_xlpm.Derived,$J19="Boon Enhancement",_xlpm.BoonEnhancement,$J19="Stacking",_xlpm.Stacking),""))</f>
        <v/>
      </c>
      <c r="AA19" s="190" t="str" cm="1">
        <f t="array" ref="AA19">_xlfn.LET(_xlpm.PercentCheck,IF(OR(AA$1="Crit Chance",AA$1="Crit Damage",AA$1="Condition Duration"),1,0),_xlpm.Flat,$H19,_xlpm.Percentage,$H19*AA$15,_xlpm.Derived,$H19*AA$15,_xlpm.BoonType,VLOOKUP($M19,BoonToggles,2,0),_xlpm.BoonEnhancement,IF(AND(ISLOGICAL(_xlpm.BoonType),_xlpm.BoonType=TRUE),IF($I19="Flat",$H19,_xlpm.Percentage),IF($I19="Flat",$H19*_xlpm.BoonType,_xlpm.Percentage*_xlpm.BoonType)),_xlpm.Stacking,IF($I19="Flat",$H19*Spec1MinorMasterStacks,IF(_xlpm.PercentCheck=1,"",_xlpm.Percentage*Spec1MinorMasterStacks)),IF(OR($G19=AA$1,AND($G19="All",_xlpm.PercentCheck=0)),_xlfn.IFS(AND($I19="Flat",$J19=0),_xlpm.Flat,AND($I19="Percentage",$J19=0),_xlpm.Percentage,$J19="Derived",_xlpm.Derived,$J19="Boon Enhancement",_xlpm.BoonEnhancement,$J19="Stacking",_xlpm.Stacking),""))</f>
        <v/>
      </c>
    </row>
    <row r="20" spans="1:27" ht="14.25" customHeight="1">
      <c r="A20" s="566"/>
      <c r="B20" s="555"/>
      <c r="C20" s="194"/>
      <c r="D20" s="195"/>
      <c r="E20" s="195"/>
      <c r="F20" s="195"/>
      <c r="G20" s="195"/>
      <c r="H20" s="195"/>
      <c r="I20" s="195"/>
      <c r="J20" s="195"/>
      <c r="K20" s="195"/>
      <c r="L20" s="195"/>
      <c r="M20" s="195"/>
      <c r="N20" s="195"/>
      <c r="O20" s="196"/>
      <c r="P20" s="190" t="str" cm="1">
        <f t="array" ref="P20">_xlfn.LET(_xlpm.PercentCheck,IF(OR(P$1="Crit Chance",P$1="Crit Damage",P$1="Condition Duration"),1,0),_xlpm.Flat,$H20,_xlpm.Percentage,$H20*P$15,_xlpm.Derived,$H20*P$15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P$1,AND($G20="All",_xlpm.PercentCheck=0)),_xlfn.IFS(AND($I20="Flat",$J20=0),_xlpm.Flat,AND($I20="Percentage",$J20=0),_xlpm.Percentage,$J20="Derived",_xlpm.Derived,$J20="Boon Enhancement",_xlpm.BoonEnhancement,$J20="Stacking",_xlpm.Stacking),""))</f>
        <v/>
      </c>
      <c r="Q20" s="190" t="str" cm="1">
        <f t="array" ref="Q20">_xlfn.LET(_xlpm.PercentCheck,IF(OR(Q$1="Crit Chance",Q$1="Crit Damage",Q$1="Condition Duration"),1,0),_xlpm.Flat,$H20,_xlpm.Percentage,$H20*Q$15,_xlpm.Derived,$H20*Q$15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Q$1,AND($G20="All",_xlpm.PercentCheck=0)),_xlfn.IFS(AND($I20="Flat",$J20=0),_xlpm.Flat,AND($I20="Percentage",$J20=0),_xlpm.Percentage,$J20="Derived",_xlpm.Derived,$J20="Boon Enhancement",_xlpm.BoonEnhancement,$J20="Stacking",_xlpm.Stacking),""))</f>
        <v/>
      </c>
      <c r="R20" s="190" t="str" cm="1">
        <f t="array" ref="R20">_xlfn.LET(_xlpm.PercentCheck,IF(OR(R$1="Crit Chance",R$1="Crit Damage",R$1="Condition Duration"),1,0),_xlpm.Flat,$H20,_xlpm.Percentage,$H20*R$15,_xlpm.Derived,$H20*R$15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R$1,AND($G20="All",_xlpm.PercentCheck=0)),_xlfn.IFS(AND($I20="Flat",$J20=0),_xlpm.Flat,AND($I20="Percentage",$J20=0),_xlpm.Percentage,$J20="Derived",_xlpm.Derived,$J20="Boon Enhancement",_xlpm.BoonEnhancement,$J20="Stacking",_xlpm.Stacking),""))</f>
        <v/>
      </c>
      <c r="S20" s="190" t="str" cm="1">
        <f t="array" ref="S20">_xlfn.LET(_xlpm.PercentCheck,IF(OR(S$1="Crit Chance",S$1="Crit Damage",S$1="Condition Duration"),1,0),_xlpm.Flat,$H20,_xlpm.Percentage,$H20*S$15,_xlpm.Derived,$H20*S$15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S$1,AND($G20="All",_xlpm.PercentCheck=0)),_xlfn.IFS(AND($I20="Flat",$J20=0),_xlpm.Flat,AND($I20="Percentage",$J20=0),_xlpm.Percentage,$J20="Derived",_xlpm.Derived,$J20="Boon Enhancement",_xlpm.BoonEnhancement,$J20="Stacking",_xlpm.Stacking),""))</f>
        <v/>
      </c>
      <c r="T20" s="190" t="str" cm="1">
        <f t="array" ref="T20">_xlfn.LET(_xlpm.PercentCheck,IF(OR(T$1="Crit Chance",T$1="Crit Damage",T$1="Condition Duration"),1,0),_xlpm.Flat,$H20,_xlpm.Percentage,$H20*T$15,_xlpm.Derived,$H20*T$15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T$1,AND($G20="All",_xlpm.PercentCheck=0)),_xlfn.IFS(AND($I20="Flat",$J20=0),_xlpm.Flat,AND($I20="Percentage",$J20=0),_xlpm.Percentage,$J20="Derived",_xlpm.Derived,$J20="Boon Enhancement",_xlpm.BoonEnhancement,$J20="Stacking",_xlpm.Stacking),""))</f>
        <v/>
      </c>
      <c r="U20" s="190" t="str" cm="1">
        <f t="array" ref="U20">_xlfn.LET(_xlpm.PercentCheck,IF(OR(U$1="Crit Chance",U$1="Crit Damage",U$1="Condition Duration"),1,0),_xlpm.Flat,$H20,_xlpm.Percentage,$H20*U$15,_xlpm.Derived,$H20*U$15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U$1,AND($G20="All",_xlpm.PercentCheck=0)),_xlfn.IFS(AND($I20="Flat",$J20=0),_xlpm.Flat,AND($I20="Percentage",$J20=0),_xlpm.Percentage,$J20="Derived",_xlpm.Derived,$J20="Boon Enhancement",_xlpm.BoonEnhancement,$J20="Stacking",_xlpm.Stacking),""))</f>
        <v/>
      </c>
      <c r="V20" s="190" t="str" cm="1">
        <f t="array" ref="V20">_xlfn.LET(_xlpm.PercentCheck,IF(OR(V$1="Crit Chance",V$1="Crit Damage",V$1="Condition Duration"),1,0),_xlpm.Flat,$H20,_xlpm.Percentage,$H20*V$15,_xlpm.Derived,$H20*V$15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V$1,AND($G20="All",_xlpm.PercentCheck=0)),_xlfn.IFS(AND($I20="Flat",$J20=0),_xlpm.Flat,AND($I20="Percentage",$J20=0),_xlpm.Percentage,$J20="Derived",_xlpm.Derived,$J20="Boon Enhancement",_xlpm.BoonEnhancement,$J20="Stacking",_xlpm.Stacking),""))</f>
        <v/>
      </c>
      <c r="W20" s="190" t="str" cm="1">
        <f t="array" ref="W20">_xlfn.LET(_xlpm.PercentCheck,IF(OR(W$1="Crit Chance",W$1="Crit Damage",W$1="Condition Duration"),1,0),_xlpm.Flat,$H20,_xlpm.Percentage,$H20*W$15,_xlpm.Derived,$H20*W$15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W$1,AND($G20="All",_xlpm.PercentCheck=0)),_xlfn.IFS(AND($I20="Flat",$J20=0),_xlpm.Flat,AND($I20="Percentage",$J20=0),_xlpm.Percentage,$J20="Derived",_xlpm.Derived,$J20="Boon Enhancement",_xlpm.BoonEnhancement,$J20="Stacking",_xlpm.Stacking),""))</f>
        <v/>
      </c>
      <c r="X20" s="190" t="str" cm="1">
        <f t="array" ref="X20">_xlfn.LET(_xlpm.PercentCheck,IF(OR(X$1="Crit Chance",X$1="Crit Damage",X$1="Condition Duration"),1,0),_xlpm.Flat,$H20,_xlpm.Percentage,$H20*X$15,_xlpm.Derived,$H20*X$15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X$1,AND($G20="All",_xlpm.PercentCheck=0)),_xlfn.IFS(AND($I20="Flat",$J20=0),_xlpm.Flat,AND($I20="Percentage",$J20=0),_xlpm.Percentage,$J20="Derived",_xlpm.Derived,$J20="Boon Enhancement",_xlpm.BoonEnhancement,$J20="Stacking",_xlpm.Stacking),""))</f>
        <v/>
      </c>
      <c r="Y20" s="190" t="str" cm="1">
        <f t="array" ref="Y20">_xlfn.LET(_xlpm.PercentCheck,IF(OR(Y$1="Crit Chance",Y$1="Crit Damage",Y$1="Condition Duration"),1,0),_xlpm.Flat,$H20,_xlpm.Percentage,$H20*Y$15,_xlpm.Derived,$H20*Y$15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Y$1,AND($G20="All",_xlpm.PercentCheck=0)),_xlfn.IFS(AND($I20="Flat",$J20=0),_xlpm.Flat,AND($I20="Percentage",$J20=0),_xlpm.Percentage,$J20="Derived",_xlpm.Derived,$J20="Boon Enhancement",_xlpm.BoonEnhancement,$J20="Stacking",_xlpm.Stacking),""))</f>
        <v/>
      </c>
      <c r="Z20" s="190" t="str" cm="1">
        <f t="array" ref="Z20">_xlfn.LET(_xlpm.PercentCheck,IF(OR(Z$1="Crit Chance",Z$1="Crit Damage",Z$1="Condition Duration"),1,0),_xlpm.Flat,$H20,_xlpm.Percentage,$H20*Z$15,_xlpm.Derived,$H20*Z$15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Z$1,AND($G20="All",_xlpm.PercentCheck=0)),_xlfn.IFS(AND($I20="Flat",$J20=0),_xlpm.Flat,AND($I20="Percentage",$J20=0),_xlpm.Percentage,$J20="Derived",_xlpm.Derived,$J20="Boon Enhancement",_xlpm.BoonEnhancement,$J20="Stacking",_xlpm.Stacking),""))</f>
        <v/>
      </c>
      <c r="AA20" s="190" t="str" cm="1">
        <f t="array" ref="AA20">_xlfn.LET(_xlpm.PercentCheck,IF(OR(AA$1="Crit Chance",AA$1="Crit Damage",AA$1="Condition Duration"),1,0),_xlpm.Flat,$H20,_xlpm.Percentage,$H20*AA$15,_xlpm.Derived,$H20*AA$15,_xlpm.BoonType,VLOOKUP($M20,BoonToggles,2,0),_xlpm.BoonEnhancement,IF(AND(ISLOGICAL(_xlpm.BoonType),_xlpm.BoonType=TRUE),IF($I20="Flat",$H20,_xlpm.Percentage),IF($I20="Flat",$H20*_xlpm.BoonType,_xlpm.Percentage*_xlpm.BoonType)),_xlpm.Stacking,IF($I20="Flat",$H20*Spec1MinorMasterStacks,IF(_xlpm.PercentCheck=1,"",_xlpm.Percentage*Spec1MinorMasterStacks)),IF(OR($G20=AA$1,AND($G20="All",_xlpm.PercentCheck=0)),_xlfn.IFS(AND($I20="Flat",$J20=0),_xlpm.Flat,AND($I20="Percentage",$J20=0),_xlpm.Percentage,$J20="Derived",_xlpm.Derived,$J20="Boon Enhancement",_xlpm.BoonEnhancement,$J20="Stacking",_xlpm.Stacking),""))</f>
        <v/>
      </c>
    </row>
    <row r="21" spans="1:27" s="171" customFormat="1" ht="14.25" customHeight="1">
      <c r="A21" s="566"/>
      <c r="B21" s="559" t="s">
        <v>3500</v>
      </c>
      <c r="C21" s="559"/>
      <c r="D21" s="559"/>
      <c r="E21" s="559"/>
      <c r="F21" s="559"/>
      <c r="G21" s="559"/>
      <c r="H21" s="559"/>
      <c r="I21" s="559"/>
      <c r="J21" s="559"/>
      <c r="K21" s="559"/>
      <c r="L21" s="559"/>
      <c r="M21" s="559"/>
      <c r="N21" s="559"/>
      <c r="O21" s="560"/>
      <c r="P21" s="197">
        <f t="shared" ref="P21:AA21" si="13">SUM(P$16:P$20)</f>
        <v>0</v>
      </c>
      <c r="Q21" s="198">
        <f>SUM(Q$16:Q$20)</f>
        <v>0</v>
      </c>
      <c r="R21" s="198">
        <f t="shared" si="13"/>
        <v>0</v>
      </c>
      <c r="S21" s="198">
        <f t="shared" si="13"/>
        <v>0</v>
      </c>
      <c r="T21" s="198">
        <f t="shared" si="13"/>
        <v>0</v>
      </c>
      <c r="U21" s="198">
        <f t="shared" si="13"/>
        <v>9.6</v>
      </c>
      <c r="V21" s="198">
        <f t="shared" si="13"/>
        <v>0</v>
      </c>
      <c r="W21" s="198">
        <f t="shared" si="13"/>
        <v>0</v>
      </c>
      <c r="X21" s="198">
        <f t="shared" si="13"/>
        <v>0</v>
      </c>
      <c r="Y21" s="199">
        <f t="shared" si="13"/>
        <v>0</v>
      </c>
      <c r="Z21" s="199">
        <f t="shared" si="13"/>
        <v>0</v>
      </c>
      <c r="AA21" s="199">
        <f t="shared" si="13"/>
        <v>0</v>
      </c>
    </row>
    <row r="22" spans="1:27" s="171" customFormat="1" ht="14.25" customHeight="1">
      <c r="A22" s="566"/>
      <c r="B22" s="559" t="s">
        <v>3501</v>
      </c>
      <c r="C22" s="559"/>
      <c r="D22" s="559"/>
      <c r="E22" s="559"/>
      <c r="F22" s="559"/>
      <c r="G22" s="559"/>
      <c r="H22" s="559"/>
      <c r="I22" s="559"/>
      <c r="J22" s="559"/>
      <c r="K22" s="559"/>
      <c r="L22" s="559"/>
      <c r="M22" s="559"/>
      <c r="N22" s="559"/>
      <c r="O22" s="560"/>
      <c r="P22" s="197">
        <f>SUM(P$15,SUMIFS(P$16:P$20,$I$16:$I$20,"Percentage",$J$16:$J$20,"&lt;&gt;Derived"))</f>
        <v>1657</v>
      </c>
      <c r="Q22" s="197">
        <f t="shared" ref="Q22:X22" si="14">SUM(Q$15,SUMIFS(Q$16:Q$20,$I$16:$I$20,"Percentage",$J$16:$J$20,"&lt;&gt;Derived"))</f>
        <v>1594</v>
      </c>
      <c r="R22" s="197">
        <f t="shared" si="14"/>
        <v>1221</v>
      </c>
      <c r="S22" s="197">
        <f t="shared" si="14"/>
        <v>1156</v>
      </c>
      <c r="T22" s="197">
        <f t="shared" si="14"/>
        <v>10</v>
      </c>
      <c r="U22" s="197">
        <f t="shared" si="14"/>
        <v>249.6</v>
      </c>
      <c r="V22" s="197">
        <f t="shared" si="14"/>
        <v>260</v>
      </c>
      <c r="W22" s="197">
        <f t="shared" si="14"/>
        <v>248</v>
      </c>
      <c r="X22" s="197">
        <f t="shared" si="14"/>
        <v>47</v>
      </c>
      <c r="Y22" s="480"/>
      <c r="Z22" s="480"/>
      <c r="AA22" s="480"/>
    </row>
    <row r="23" spans="1:27" ht="14.25" customHeight="1">
      <c r="A23" s="566"/>
      <c r="B23" s="553" t="s">
        <v>22</v>
      </c>
      <c r="C23" s="200" t="str" cm="1">
        <f t="array" ref="C23">IF(OR(Spec1MajorMasterCondition="(Select)",Spec1MajorMasterCondition=""),_xlfn._xlws.FILTER(TraitStats,(TraitStatsTable[Name]=Spec1MajorMaster)*(TraitStatsTable[Condition]=""),"No stat bonus"),_xlfn._xlws.FILTER(TraitStats,(TraitStatsTable[Name]=Spec1MajorMaster)*((TraitStatsTable[Condition]=Spec1MajorMasterCondition)+(TraitStatsTable[Condition]="")),"No stat bonus"))</f>
        <v>No stat bonus</v>
      </c>
      <c r="D23" s="195"/>
      <c r="E23" s="195"/>
      <c r="F23" s="195"/>
      <c r="G23" s="195"/>
      <c r="H23" s="195"/>
      <c r="I23" s="195"/>
      <c r="J23" s="195"/>
      <c r="K23" s="195"/>
      <c r="L23" s="195"/>
      <c r="M23" s="195"/>
      <c r="N23" s="195"/>
      <c r="O23" s="196"/>
      <c r="P23" s="190" t="str" cm="1">
        <f t="array" ref="P23">_xlfn.LET(_xlpm.PercentCheck,IF(OR(P$1="Crit Chance",P$1="Crit Damage",P$1="Condition Duration"),1,0),_xlpm.Flat,$H23,_xlpm.Percentage,$H23*P$22,_xlpm.Derived,$H23*P$22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P$1,AND($G23="All",_xlpm.PercentCheck=0)),_xlfn.IFS(AND($I23="Flat",$J23=0),_xlpm.Flat,AND($I23="Percentage",$J23=0),_xlpm.Percentage,$J23="Derived",_xlpm.Derived,$J23="Boon Enhancement",_xlpm.BoonEnhancement,$J23="Stacking",_xlpm.Stacking),""))</f>
        <v/>
      </c>
      <c r="Q23" s="190" t="str" cm="1">
        <f t="array" ref="Q23">_xlfn.LET(_xlpm.PercentCheck,IF(OR(Q$1="Crit Chance",Q$1="Crit Damage",Q$1="Condition Duration"),1,0),_xlpm.Flat,$H23,_xlpm.Percentage,$H23*Q$22,_xlpm.Derived,$H23*Q$22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Q$1,AND($G23="All",_xlpm.PercentCheck=0)),_xlfn.IFS(AND($I23="Flat",$J23=0),_xlpm.Flat,AND($I23="Percentage",$J23=0),_xlpm.Percentage,$J23="Derived",_xlpm.Derived,$J23="Boon Enhancement",_xlpm.BoonEnhancement,$J23="Stacking",_xlpm.Stacking),""))</f>
        <v/>
      </c>
      <c r="R23" s="190" t="str" cm="1">
        <f t="array" ref="R23">_xlfn.LET(_xlpm.PercentCheck,IF(OR(R$1="Crit Chance",R$1="Crit Damage",R$1="Condition Duration"),1,0),_xlpm.Flat,$H23,_xlpm.Percentage,$H23*R$22,_xlpm.Derived,$H23*R$22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R$1,AND($G23="All",_xlpm.PercentCheck=0)),_xlfn.IFS(AND($I23="Flat",$J23=0),_xlpm.Flat,AND($I23="Percentage",$J23=0),_xlpm.Percentage,$J23="Derived",_xlpm.Derived,$J23="Boon Enhancement",_xlpm.BoonEnhancement,$J23="Stacking",_xlpm.Stacking),""))</f>
        <v/>
      </c>
      <c r="S23" s="190" t="str" cm="1">
        <f t="array" ref="S23">_xlfn.LET(_xlpm.PercentCheck,IF(OR(S$1="Crit Chance",S$1="Crit Damage",S$1="Condition Duration"),1,0),_xlpm.Flat,$H23,_xlpm.Percentage,$H23*S$22,_xlpm.Derived,$H23*S$22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S$1,AND($G23="All",_xlpm.PercentCheck=0)),_xlfn.IFS(AND($I23="Flat",$J23=0),_xlpm.Flat,AND($I23="Percentage",$J23=0),_xlpm.Percentage,$J23="Derived",_xlpm.Derived,$J23="Boon Enhancement",_xlpm.BoonEnhancement,$J23="Stacking",_xlpm.Stacking),""))</f>
        <v/>
      </c>
      <c r="T23" s="190" t="str" cm="1">
        <f t="array" ref="T23">_xlfn.LET(_xlpm.PercentCheck,IF(OR(T$1="Crit Chance",T$1="Crit Damage",T$1="Condition Duration"),1,0),_xlpm.Flat,$H23,_xlpm.Percentage,$H23*T$22,_xlpm.Derived,$H23*T$22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T$1,AND($G23="All",_xlpm.PercentCheck=0)),_xlfn.IFS(AND($I23="Flat",$J23=0),_xlpm.Flat,AND($I23="Percentage",$J23=0),_xlpm.Percentage,$J23="Derived",_xlpm.Derived,$J23="Boon Enhancement",_xlpm.BoonEnhancement,$J23="Stacking",_xlpm.Stacking),""))</f>
        <v/>
      </c>
      <c r="U23" s="190" t="str" cm="1">
        <f t="array" ref="U23">_xlfn.LET(_xlpm.PercentCheck,IF(OR(U$1="Crit Chance",U$1="Crit Damage",U$1="Condition Duration"),1,0),_xlpm.Flat,$H23,_xlpm.Percentage,$H23*U$22,_xlpm.Derived,$H23*U$22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U$1,AND($G23="All",_xlpm.PercentCheck=0)),_xlfn.IFS(AND($I23="Flat",$J23=0),_xlpm.Flat,AND($I23="Percentage",$J23=0),_xlpm.Percentage,$J23="Derived",_xlpm.Derived,$J23="Boon Enhancement",_xlpm.BoonEnhancement,$J23="Stacking",_xlpm.Stacking),""))</f>
        <v/>
      </c>
      <c r="V23" s="190" t="str" cm="1">
        <f t="array" ref="V23">_xlfn.LET(_xlpm.PercentCheck,IF(OR(V$1="Crit Chance",V$1="Crit Damage",V$1="Condition Duration"),1,0),_xlpm.Flat,$H23,_xlpm.Percentage,$H23*V$22,_xlpm.Derived,$H23*V$22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V$1,AND($G23="All",_xlpm.PercentCheck=0)),_xlfn.IFS(AND($I23="Flat",$J23=0),_xlpm.Flat,AND($I23="Percentage",$J23=0),_xlpm.Percentage,$J23="Derived",_xlpm.Derived,$J23="Boon Enhancement",_xlpm.BoonEnhancement,$J23="Stacking",_xlpm.Stacking),""))</f>
        <v/>
      </c>
      <c r="W23" s="190" t="str" cm="1">
        <f t="array" ref="W23">_xlfn.LET(_xlpm.PercentCheck,IF(OR(W$1="Crit Chance",W$1="Crit Damage",W$1="Condition Duration"),1,0),_xlpm.Flat,$H23,_xlpm.Percentage,$H23*W$22,_xlpm.Derived,$H23*W$22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W$1,AND($G23="All",_xlpm.PercentCheck=0)),_xlfn.IFS(AND($I23="Flat",$J23=0),_xlpm.Flat,AND($I23="Percentage",$J23=0),_xlpm.Percentage,$J23="Derived",_xlpm.Derived,$J23="Boon Enhancement",_xlpm.BoonEnhancement,$J23="Stacking",_xlpm.Stacking),""))</f>
        <v/>
      </c>
      <c r="X23" s="190" t="str" cm="1">
        <f t="array" ref="X23">_xlfn.LET(_xlpm.PercentCheck,IF(OR(X$1="Crit Chance",X$1="Crit Damage",X$1="Condition Duration"),1,0),_xlpm.Flat,$H23,_xlpm.Percentage,$H23*X$22,_xlpm.Derived,$H23*X$22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X$1,AND($G23="All",_xlpm.PercentCheck=0)),_xlfn.IFS(AND($I23="Flat",$J23=0),_xlpm.Flat,AND($I23="Percentage",$J23=0),_xlpm.Percentage,$J23="Derived",_xlpm.Derived,$J23="Boon Enhancement",_xlpm.BoonEnhancement,$J23="Stacking",_xlpm.Stacking),""))</f>
        <v/>
      </c>
      <c r="Y23" s="190" t="str" cm="1">
        <f t="array" ref="Y23">_xlfn.LET(_xlpm.PercentCheck,IF(OR(Y$1="Crit Chance",Y$1="Crit Damage",Y$1="Condition Duration"),1,0),_xlpm.Flat,$H23,_xlpm.Percentage,$H23*Y$22,_xlpm.Derived,$H23*Y$22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Y$1,AND($G23="All",_xlpm.PercentCheck=0)),_xlfn.IFS(AND($I23="Flat",$J23=0),_xlpm.Flat,AND($I23="Percentage",$J23=0),_xlpm.Percentage,$J23="Derived",_xlpm.Derived,$J23="Boon Enhancement",_xlpm.BoonEnhancement,$J23="Stacking",_xlpm.Stacking),""))</f>
        <v/>
      </c>
      <c r="Z23" s="190" t="str" cm="1">
        <f t="array" ref="Z23">_xlfn.LET(_xlpm.PercentCheck,IF(OR(Z$1="Crit Chance",Z$1="Crit Damage",Z$1="Condition Duration"),1,0),_xlpm.Flat,$H23,_xlpm.Percentage,$H23*Z$22,_xlpm.Derived,$H23*Z$22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Z$1,AND($G23="All",_xlpm.PercentCheck=0)),_xlfn.IFS(AND($I23="Flat",$J23=0),_xlpm.Flat,AND($I23="Percentage",$J23=0),_xlpm.Percentage,$J23="Derived",_xlpm.Derived,$J23="Boon Enhancement",_xlpm.BoonEnhancement,$J23="Stacking",_xlpm.Stacking),""))</f>
        <v/>
      </c>
      <c r="AA23" s="190" t="str" cm="1">
        <f t="array" ref="AA23">_xlfn.LET(_xlpm.PercentCheck,IF(OR(AA$1="Crit Chance",AA$1="Crit Damage",AA$1="Condition Duration"),1,0),_xlpm.Flat,$H23,_xlpm.Percentage,$H23*AA$22,_xlpm.Derived,$H23*AA$22,_xlpm.BoonType,VLOOKUP($M23,BoonToggles,2,0),_xlpm.BoonEnhancement,IF(AND(ISLOGICAL(_xlpm.BoonType),_xlpm.BoonType=TRUE),IF($I23="Flat",$H23,_xlpm.Percentage),IF($I23="Flat",$H23*_xlpm.BoonType,_xlpm.Percentage*_xlpm.BoonType)),_xlpm.Stacking,IF($I23="Flat",$H23*Spec1MajorMasterStacks,IF(_xlpm.PercentCheck=1,"",_xlpm.Percentage*Spec1MajorMasterStacks)),IF(OR($G23=AA$1,AND($G23="All",_xlpm.PercentCheck=0)),_xlfn.IFS(AND($I23="Flat",$J23=0),_xlpm.Flat,AND($I23="Percentage",$J23=0),_xlpm.Percentage,$J23="Derived",_xlpm.Derived,$J23="Boon Enhancement",_xlpm.BoonEnhancement,$J23="Stacking",_xlpm.Stacking),""))</f>
        <v/>
      </c>
    </row>
    <row r="24" spans="1:27" ht="14.25" customHeight="1">
      <c r="A24" s="566"/>
      <c r="B24" s="554"/>
      <c r="C24" s="194"/>
      <c r="D24" s="195"/>
      <c r="E24" s="195"/>
      <c r="F24" s="195"/>
      <c r="G24" s="195"/>
      <c r="H24" s="195"/>
      <c r="I24" s="195"/>
      <c r="J24" s="195"/>
      <c r="K24" s="195"/>
      <c r="L24" s="195"/>
      <c r="M24" s="195"/>
      <c r="N24" s="195"/>
      <c r="O24" s="196"/>
      <c r="P24" s="190" t="str" cm="1">
        <f t="array" ref="P24">_xlfn.LET(_xlpm.PercentCheck,IF(OR(P$1="Crit Chance",P$1="Crit Damage",P$1="Condition Duration"),1,0),_xlpm.Flat,$H24,_xlpm.Percentage,$H24*P$22,_xlpm.Derived,$H24*P$22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P$1,AND($G24="All",_xlpm.PercentCheck=0)),_xlfn.IFS(AND($I24="Flat",$J24=0),_xlpm.Flat,AND($I24="Percentage",$J24=0),_xlpm.Percentage,$J24="Derived",_xlpm.Derived,$J24="Boon Enhancement",_xlpm.BoonEnhancement,$J24="Stacking",_xlpm.Stacking),""))</f>
        <v/>
      </c>
      <c r="Q24" s="190" t="str" cm="1">
        <f t="array" ref="Q24">_xlfn.LET(_xlpm.PercentCheck,IF(OR(Q$1="Crit Chance",Q$1="Crit Damage",Q$1="Condition Duration"),1,0),_xlpm.Flat,$H24,_xlpm.Percentage,$H24*Q$22,_xlpm.Derived,$H24*Q$22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Q$1,AND($G24="All",_xlpm.PercentCheck=0)),_xlfn.IFS(AND($I24="Flat",$J24=0),_xlpm.Flat,AND($I24="Percentage",$J24=0),_xlpm.Percentage,$J24="Derived",_xlpm.Derived,$J24="Boon Enhancement",_xlpm.BoonEnhancement,$J24="Stacking",_xlpm.Stacking),""))</f>
        <v/>
      </c>
      <c r="R24" s="190" t="str" cm="1">
        <f t="array" ref="R24">_xlfn.LET(_xlpm.PercentCheck,IF(OR(R$1="Crit Chance",R$1="Crit Damage",R$1="Condition Duration"),1,0),_xlpm.Flat,$H24,_xlpm.Percentage,$H24*R$22,_xlpm.Derived,$H24*R$22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R$1,AND($G24="All",_xlpm.PercentCheck=0)),_xlfn.IFS(AND($I24="Flat",$J24=0),_xlpm.Flat,AND($I24="Percentage",$J24=0),_xlpm.Percentage,$J24="Derived",_xlpm.Derived,$J24="Boon Enhancement",_xlpm.BoonEnhancement,$J24="Stacking",_xlpm.Stacking),""))</f>
        <v/>
      </c>
      <c r="S24" s="190" t="str" cm="1">
        <f t="array" ref="S24">_xlfn.LET(_xlpm.PercentCheck,IF(OR(S$1="Crit Chance",S$1="Crit Damage",S$1="Condition Duration"),1,0),_xlpm.Flat,$H24,_xlpm.Percentage,$H24*S$22,_xlpm.Derived,$H24*S$22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S$1,AND($G24="All",_xlpm.PercentCheck=0)),_xlfn.IFS(AND($I24="Flat",$J24=0),_xlpm.Flat,AND($I24="Percentage",$J24=0),_xlpm.Percentage,$J24="Derived",_xlpm.Derived,$J24="Boon Enhancement",_xlpm.BoonEnhancement,$J24="Stacking",_xlpm.Stacking),""))</f>
        <v/>
      </c>
      <c r="T24" s="190" t="str" cm="1">
        <f t="array" ref="T24">_xlfn.LET(_xlpm.PercentCheck,IF(OR(T$1="Crit Chance",T$1="Crit Damage",T$1="Condition Duration"),1,0),_xlpm.Flat,$H24,_xlpm.Percentage,$H24*T$22,_xlpm.Derived,$H24*T$22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T$1,AND($G24="All",_xlpm.PercentCheck=0)),_xlfn.IFS(AND($I24="Flat",$J24=0),_xlpm.Flat,AND($I24="Percentage",$J24=0),_xlpm.Percentage,$J24="Derived",_xlpm.Derived,$J24="Boon Enhancement",_xlpm.BoonEnhancement,$J24="Stacking",_xlpm.Stacking),""))</f>
        <v/>
      </c>
      <c r="U24" s="190" t="str" cm="1">
        <f t="array" ref="U24">_xlfn.LET(_xlpm.PercentCheck,IF(OR(U$1="Crit Chance",U$1="Crit Damage",U$1="Condition Duration"),1,0),_xlpm.Flat,$H24,_xlpm.Percentage,$H24*U$22,_xlpm.Derived,$H24*U$22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U$1,AND($G24="All",_xlpm.PercentCheck=0)),_xlfn.IFS(AND($I24="Flat",$J24=0),_xlpm.Flat,AND($I24="Percentage",$J24=0),_xlpm.Percentage,$J24="Derived",_xlpm.Derived,$J24="Boon Enhancement",_xlpm.BoonEnhancement,$J24="Stacking",_xlpm.Stacking),""))</f>
        <v/>
      </c>
      <c r="V24" s="190" t="str" cm="1">
        <f t="array" ref="V24">_xlfn.LET(_xlpm.PercentCheck,IF(OR(V$1="Crit Chance",V$1="Crit Damage",V$1="Condition Duration"),1,0),_xlpm.Flat,$H24,_xlpm.Percentage,$H24*V$22,_xlpm.Derived,$H24*V$22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V$1,AND($G24="All",_xlpm.PercentCheck=0)),_xlfn.IFS(AND($I24="Flat",$J24=0),_xlpm.Flat,AND($I24="Percentage",$J24=0),_xlpm.Percentage,$J24="Derived",_xlpm.Derived,$J24="Boon Enhancement",_xlpm.BoonEnhancement,$J24="Stacking",_xlpm.Stacking),""))</f>
        <v/>
      </c>
      <c r="W24" s="190" t="str" cm="1">
        <f t="array" ref="W24">_xlfn.LET(_xlpm.PercentCheck,IF(OR(W$1="Crit Chance",W$1="Crit Damage",W$1="Condition Duration"),1,0),_xlpm.Flat,$H24,_xlpm.Percentage,$H24*W$22,_xlpm.Derived,$H24*W$22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W$1,AND($G24="All",_xlpm.PercentCheck=0)),_xlfn.IFS(AND($I24="Flat",$J24=0),_xlpm.Flat,AND($I24="Percentage",$J24=0),_xlpm.Percentage,$J24="Derived",_xlpm.Derived,$J24="Boon Enhancement",_xlpm.BoonEnhancement,$J24="Stacking",_xlpm.Stacking),""))</f>
        <v/>
      </c>
      <c r="X24" s="190" t="str" cm="1">
        <f t="array" ref="X24">_xlfn.LET(_xlpm.PercentCheck,IF(OR(X$1="Crit Chance",X$1="Crit Damage",X$1="Condition Duration"),1,0),_xlpm.Flat,$H24,_xlpm.Percentage,$H24*X$22,_xlpm.Derived,$H24*X$22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X$1,AND($G24="All",_xlpm.PercentCheck=0)),_xlfn.IFS(AND($I24="Flat",$J24=0),_xlpm.Flat,AND($I24="Percentage",$J24=0),_xlpm.Percentage,$J24="Derived",_xlpm.Derived,$J24="Boon Enhancement",_xlpm.BoonEnhancement,$J24="Stacking",_xlpm.Stacking),""))</f>
        <v/>
      </c>
      <c r="Y24" s="190" t="str" cm="1">
        <f t="array" ref="Y24">_xlfn.LET(_xlpm.PercentCheck,IF(OR(Y$1="Crit Chance",Y$1="Crit Damage",Y$1="Condition Duration"),1,0),_xlpm.Flat,$H24,_xlpm.Percentage,$H24*Y$22,_xlpm.Derived,$H24*Y$22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Y$1,AND($G24="All",_xlpm.PercentCheck=0)),_xlfn.IFS(AND($I24="Flat",$J24=0),_xlpm.Flat,AND($I24="Percentage",$J24=0),_xlpm.Percentage,$J24="Derived",_xlpm.Derived,$J24="Boon Enhancement",_xlpm.BoonEnhancement,$J24="Stacking",_xlpm.Stacking),""))</f>
        <v/>
      </c>
      <c r="Z24" s="190" t="str" cm="1">
        <f t="array" ref="Z24">_xlfn.LET(_xlpm.PercentCheck,IF(OR(Z$1="Crit Chance",Z$1="Crit Damage",Z$1="Condition Duration"),1,0),_xlpm.Flat,$H24,_xlpm.Percentage,$H24*Z$22,_xlpm.Derived,$H24*Z$22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Z$1,AND($G24="All",_xlpm.PercentCheck=0)),_xlfn.IFS(AND($I24="Flat",$J24=0),_xlpm.Flat,AND($I24="Percentage",$J24=0),_xlpm.Percentage,$J24="Derived",_xlpm.Derived,$J24="Boon Enhancement",_xlpm.BoonEnhancement,$J24="Stacking",_xlpm.Stacking),""))</f>
        <v/>
      </c>
      <c r="AA24" s="190" t="str" cm="1">
        <f t="array" ref="AA24">_xlfn.LET(_xlpm.PercentCheck,IF(OR(AA$1="Crit Chance",AA$1="Crit Damage",AA$1="Condition Duration"),1,0),_xlpm.Flat,$H24,_xlpm.Percentage,$H24*AA$22,_xlpm.Derived,$H24*AA$22,_xlpm.BoonType,VLOOKUP($M24,BoonToggles,2,0),_xlpm.BoonEnhancement,IF(AND(ISLOGICAL(_xlpm.BoonType),_xlpm.BoonType=TRUE),IF($I24="Flat",$H24,_xlpm.Percentage),IF($I24="Flat",$H24*_xlpm.BoonType,_xlpm.Percentage*_xlpm.BoonType)),_xlpm.Stacking,IF($I24="Flat",$H24*Spec1MajorMasterStacks,IF(_xlpm.PercentCheck=1,"",_xlpm.Percentage*Spec1MajorMasterStacks)),IF(OR($G24=AA$1,AND($G24="All",_xlpm.PercentCheck=0)),_xlfn.IFS(AND($I24="Flat",$J24=0),_xlpm.Flat,AND($I24="Percentage",$J24=0),_xlpm.Percentage,$J24="Derived",_xlpm.Derived,$J24="Boon Enhancement",_xlpm.BoonEnhancement,$J24="Stacking",_xlpm.Stacking),""))</f>
        <v/>
      </c>
    </row>
    <row r="25" spans="1:27" ht="14.25" customHeight="1">
      <c r="A25" s="566"/>
      <c r="B25" s="554"/>
      <c r="C25" s="194"/>
      <c r="D25" s="195"/>
      <c r="E25" s="195"/>
      <c r="F25" s="195"/>
      <c r="G25" s="195"/>
      <c r="H25" s="195"/>
      <c r="I25" s="195"/>
      <c r="J25" s="195"/>
      <c r="K25" s="195"/>
      <c r="L25" s="195"/>
      <c r="M25" s="195"/>
      <c r="N25" s="195"/>
      <c r="O25" s="196"/>
      <c r="P25" s="190" t="str" cm="1">
        <f t="array" ref="P25">_xlfn.LET(_xlpm.PercentCheck,IF(OR(P$1="Crit Chance",P$1="Crit Damage",P$1="Condition Duration"),1,0),_xlpm.Flat,$H25,_xlpm.Percentage,$H25*P$22,_xlpm.Derived,$H25*P$22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P$1,AND($G25="All",_xlpm.PercentCheck=0)),_xlfn.IFS(AND($I25="Flat",$J25=0),_xlpm.Flat,AND($I25="Percentage",$J25=0),_xlpm.Percentage,$J25="Derived",_xlpm.Derived,$J25="Boon Enhancement",_xlpm.BoonEnhancement,$J25="Stacking",_xlpm.Stacking),""))</f>
        <v/>
      </c>
      <c r="Q25" s="190" t="str" cm="1">
        <f t="array" ref="Q25">_xlfn.LET(_xlpm.PercentCheck,IF(OR(Q$1="Crit Chance",Q$1="Crit Damage",Q$1="Condition Duration"),1,0),_xlpm.Flat,$H25,_xlpm.Percentage,$H25*Q$22,_xlpm.Derived,$H25*Q$22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Q$1,AND($G25="All",_xlpm.PercentCheck=0)),_xlfn.IFS(AND($I25="Flat",$J25=0),_xlpm.Flat,AND($I25="Percentage",$J25=0),_xlpm.Percentage,$J25="Derived",_xlpm.Derived,$J25="Boon Enhancement",_xlpm.BoonEnhancement,$J25="Stacking",_xlpm.Stacking),""))</f>
        <v/>
      </c>
      <c r="R25" s="190" t="str" cm="1">
        <f t="array" ref="R25">_xlfn.LET(_xlpm.PercentCheck,IF(OR(R$1="Crit Chance",R$1="Crit Damage",R$1="Condition Duration"),1,0),_xlpm.Flat,$H25,_xlpm.Percentage,$H25*R$22,_xlpm.Derived,$H25*R$22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R$1,AND($G25="All",_xlpm.PercentCheck=0)),_xlfn.IFS(AND($I25="Flat",$J25=0),_xlpm.Flat,AND($I25="Percentage",$J25=0),_xlpm.Percentage,$J25="Derived",_xlpm.Derived,$J25="Boon Enhancement",_xlpm.BoonEnhancement,$J25="Stacking",_xlpm.Stacking),""))</f>
        <v/>
      </c>
      <c r="S25" s="190" t="str" cm="1">
        <f t="array" ref="S25">_xlfn.LET(_xlpm.PercentCheck,IF(OR(S$1="Crit Chance",S$1="Crit Damage",S$1="Condition Duration"),1,0),_xlpm.Flat,$H25,_xlpm.Percentage,$H25*S$22,_xlpm.Derived,$H25*S$22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S$1,AND($G25="All",_xlpm.PercentCheck=0)),_xlfn.IFS(AND($I25="Flat",$J25=0),_xlpm.Flat,AND($I25="Percentage",$J25=0),_xlpm.Percentage,$J25="Derived",_xlpm.Derived,$J25="Boon Enhancement",_xlpm.BoonEnhancement,$J25="Stacking",_xlpm.Stacking),""))</f>
        <v/>
      </c>
      <c r="T25" s="190" t="str" cm="1">
        <f t="array" ref="T25">_xlfn.LET(_xlpm.PercentCheck,IF(OR(T$1="Crit Chance",T$1="Crit Damage",T$1="Condition Duration"),1,0),_xlpm.Flat,$H25,_xlpm.Percentage,$H25*T$22,_xlpm.Derived,$H25*T$22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T$1,AND($G25="All",_xlpm.PercentCheck=0)),_xlfn.IFS(AND($I25="Flat",$J25=0),_xlpm.Flat,AND($I25="Percentage",$J25=0),_xlpm.Percentage,$J25="Derived",_xlpm.Derived,$J25="Boon Enhancement",_xlpm.BoonEnhancement,$J25="Stacking",_xlpm.Stacking),""))</f>
        <v/>
      </c>
      <c r="U25" s="190" t="str" cm="1">
        <f t="array" ref="U25">_xlfn.LET(_xlpm.PercentCheck,IF(OR(U$1="Crit Chance",U$1="Crit Damage",U$1="Condition Duration"),1,0),_xlpm.Flat,$H25,_xlpm.Percentage,$H25*U$22,_xlpm.Derived,$H25*U$22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U$1,AND($G25="All",_xlpm.PercentCheck=0)),_xlfn.IFS(AND($I25="Flat",$J25=0),_xlpm.Flat,AND($I25="Percentage",$J25=0),_xlpm.Percentage,$J25="Derived",_xlpm.Derived,$J25="Boon Enhancement",_xlpm.BoonEnhancement,$J25="Stacking",_xlpm.Stacking),""))</f>
        <v/>
      </c>
      <c r="V25" s="190" t="str" cm="1">
        <f t="array" ref="V25">_xlfn.LET(_xlpm.PercentCheck,IF(OR(V$1="Crit Chance",V$1="Crit Damage",V$1="Condition Duration"),1,0),_xlpm.Flat,$H25,_xlpm.Percentage,$H25*V$22,_xlpm.Derived,$H25*V$22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V$1,AND($G25="All",_xlpm.PercentCheck=0)),_xlfn.IFS(AND($I25="Flat",$J25=0),_xlpm.Flat,AND($I25="Percentage",$J25=0),_xlpm.Percentage,$J25="Derived",_xlpm.Derived,$J25="Boon Enhancement",_xlpm.BoonEnhancement,$J25="Stacking",_xlpm.Stacking),""))</f>
        <v/>
      </c>
      <c r="W25" s="190" t="str" cm="1">
        <f t="array" ref="W25">_xlfn.LET(_xlpm.PercentCheck,IF(OR(W$1="Crit Chance",W$1="Crit Damage",W$1="Condition Duration"),1,0),_xlpm.Flat,$H25,_xlpm.Percentage,$H25*W$22,_xlpm.Derived,$H25*W$22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W$1,AND($G25="All",_xlpm.PercentCheck=0)),_xlfn.IFS(AND($I25="Flat",$J25=0),_xlpm.Flat,AND($I25="Percentage",$J25=0),_xlpm.Percentage,$J25="Derived",_xlpm.Derived,$J25="Boon Enhancement",_xlpm.BoonEnhancement,$J25="Stacking",_xlpm.Stacking),""))</f>
        <v/>
      </c>
      <c r="X25" s="190" t="str" cm="1">
        <f t="array" ref="X25">_xlfn.LET(_xlpm.PercentCheck,IF(OR(X$1="Crit Chance",X$1="Crit Damage",X$1="Condition Duration"),1,0),_xlpm.Flat,$H25,_xlpm.Percentage,$H25*X$22,_xlpm.Derived,$H25*X$22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X$1,AND($G25="All",_xlpm.PercentCheck=0)),_xlfn.IFS(AND($I25="Flat",$J25=0),_xlpm.Flat,AND($I25="Percentage",$J25=0),_xlpm.Percentage,$J25="Derived",_xlpm.Derived,$J25="Boon Enhancement",_xlpm.BoonEnhancement,$J25="Stacking",_xlpm.Stacking),""))</f>
        <v/>
      </c>
      <c r="Y25" s="190" t="str" cm="1">
        <f t="array" ref="Y25">_xlfn.LET(_xlpm.PercentCheck,IF(OR(Y$1="Crit Chance",Y$1="Crit Damage",Y$1="Condition Duration"),1,0),_xlpm.Flat,$H25,_xlpm.Percentage,$H25*Y$22,_xlpm.Derived,$H25*Y$22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Y$1,AND($G25="All",_xlpm.PercentCheck=0)),_xlfn.IFS(AND($I25="Flat",$J25=0),_xlpm.Flat,AND($I25="Percentage",$J25=0),_xlpm.Percentage,$J25="Derived",_xlpm.Derived,$J25="Boon Enhancement",_xlpm.BoonEnhancement,$J25="Stacking",_xlpm.Stacking),""))</f>
        <v/>
      </c>
      <c r="Z25" s="190" t="str" cm="1">
        <f t="array" ref="Z25">_xlfn.LET(_xlpm.PercentCheck,IF(OR(Z$1="Crit Chance",Z$1="Crit Damage",Z$1="Condition Duration"),1,0),_xlpm.Flat,$H25,_xlpm.Percentage,$H25*Z$22,_xlpm.Derived,$H25*Z$22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Z$1,AND($G25="All",_xlpm.PercentCheck=0)),_xlfn.IFS(AND($I25="Flat",$J25=0),_xlpm.Flat,AND($I25="Percentage",$J25=0),_xlpm.Percentage,$J25="Derived",_xlpm.Derived,$J25="Boon Enhancement",_xlpm.BoonEnhancement,$J25="Stacking",_xlpm.Stacking),""))</f>
        <v/>
      </c>
      <c r="AA25" s="190" t="str" cm="1">
        <f t="array" ref="AA25">_xlfn.LET(_xlpm.PercentCheck,IF(OR(AA$1="Crit Chance",AA$1="Crit Damage",AA$1="Condition Duration"),1,0),_xlpm.Flat,$H25,_xlpm.Percentage,$H25*AA$22,_xlpm.Derived,$H25*AA$22,_xlpm.BoonType,VLOOKUP($M25,BoonToggles,2,0),_xlpm.BoonEnhancement,IF(AND(ISLOGICAL(_xlpm.BoonType),_xlpm.BoonType=TRUE),IF($I25="Flat",$H25,_xlpm.Percentage),IF($I25="Flat",$H25*_xlpm.BoonType,_xlpm.Percentage*_xlpm.BoonType)),_xlpm.Stacking,IF($I25="Flat",$H25*Spec1MajorMasterStacks,IF(_xlpm.PercentCheck=1,"",_xlpm.Percentage*Spec1MajorMasterStacks)),IF(OR($G25=AA$1,AND($G25="All",_xlpm.PercentCheck=0)),_xlfn.IFS(AND($I25="Flat",$J25=0),_xlpm.Flat,AND($I25="Percentage",$J25=0),_xlpm.Percentage,$J25="Derived",_xlpm.Derived,$J25="Boon Enhancement",_xlpm.BoonEnhancement,$J25="Stacking",_xlpm.Stacking),""))</f>
        <v/>
      </c>
    </row>
    <row r="26" spans="1:27" ht="14.25" customHeight="1">
      <c r="A26" s="566"/>
      <c r="B26" s="554"/>
      <c r="C26" s="194"/>
      <c r="D26" s="195"/>
      <c r="E26" s="195"/>
      <c r="F26" s="195"/>
      <c r="G26" s="195"/>
      <c r="H26" s="195"/>
      <c r="I26" s="195"/>
      <c r="J26" s="195"/>
      <c r="K26" s="195"/>
      <c r="L26" s="195"/>
      <c r="M26" s="195"/>
      <c r="N26" s="195"/>
      <c r="O26" s="196"/>
      <c r="P26" s="190" t="str" cm="1">
        <f t="array" ref="P26">_xlfn.LET(_xlpm.PercentCheck,IF(OR(P$1="Crit Chance",P$1="Crit Damage",P$1="Condition Duration"),1,0),_xlpm.Flat,$H26,_xlpm.Percentage,$H26*P$22,_xlpm.Derived,$H26*P$22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P$1,AND($G26="All",_xlpm.PercentCheck=0)),_xlfn.IFS(AND($I26="Flat",$J26=0),_xlpm.Flat,AND($I26="Percentage",$J26=0),_xlpm.Percentage,$J26="Derived",_xlpm.Derived,$J26="Boon Enhancement",_xlpm.BoonEnhancement,$J26="Stacking",_xlpm.Stacking),""))</f>
        <v/>
      </c>
      <c r="Q26" s="190" t="str" cm="1">
        <f t="array" ref="Q26">_xlfn.LET(_xlpm.PercentCheck,IF(OR(Q$1="Crit Chance",Q$1="Crit Damage",Q$1="Condition Duration"),1,0),_xlpm.Flat,$H26,_xlpm.Percentage,$H26*Q$22,_xlpm.Derived,$H26*Q$22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Q$1,AND($G26="All",_xlpm.PercentCheck=0)),_xlfn.IFS(AND($I26="Flat",$J26=0),_xlpm.Flat,AND($I26="Percentage",$J26=0),_xlpm.Percentage,$J26="Derived",_xlpm.Derived,$J26="Boon Enhancement",_xlpm.BoonEnhancement,$J26="Stacking",_xlpm.Stacking),""))</f>
        <v/>
      </c>
      <c r="R26" s="190" t="str" cm="1">
        <f t="array" ref="R26">_xlfn.LET(_xlpm.PercentCheck,IF(OR(R$1="Crit Chance",R$1="Crit Damage",R$1="Condition Duration"),1,0),_xlpm.Flat,$H26,_xlpm.Percentage,$H26*R$22,_xlpm.Derived,$H26*R$22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R$1,AND($G26="All",_xlpm.PercentCheck=0)),_xlfn.IFS(AND($I26="Flat",$J26=0),_xlpm.Flat,AND($I26="Percentage",$J26=0),_xlpm.Percentage,$J26="Derived",_xlpm.Derived,$J26="Boon Enhancement",_xlpm.BoonEnhancement,$J26="Stacking",_xlpm.Stacking),""))</f>
        <v/>
      </c>
      <c r="S26" s="190" t="str" cm="1">
        <f t="array" ref="S26">_xlfn.LET(_xlpm.PercentCheck,IF(OR(S$1="Crit Chance",S$1="Crit Damage",S$1="Condition Duration"),1,0),_xlpm.Flat,$H26,_xlpm.Percentage,$H26*S$22,_xlpm.Derived,$H26*S$22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S$1,AND($G26="All",_xlpm.PercentCheck=0)),_xlfn.IFS(AND($I26="Flat",$J26=0),_xlpm.Flat,AND($I26="Percentage",$J26=0),_xlpm.Percentage,$J26="Derived",_xlpm.Derived,$J26="Boon Enhancement",_xlpm.BoonEnhancement,$J26="Stacking",_xlpm.Stacking),""))</f>
        <v/>
      </c>
      <c r="T26" s="190" t="str" cm="1">
        <f t="array" ref="T26">_xlfn.LET(_xlpm.PercentCheck,IF(OR(T$1="Crit Chance",T$1="Crit Damage",T$1="Condition Duration"),1,0),_xlpm.Flat,$H26,_xlpm.Percentage,$H26*T$22,_xlpm.Derived,$H26*T$22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T$1,AND($G26="All",_xlpm.PercentCheck=0)),_xlfn.IFS(AND($I26="Flat",$J26=0),_xlpm.Flat,AND($I26="Percentage",$J26=0),_xlpm.Percentage,$J26="Derived",_xlpm.Derived,$J26="Boon Enhancement",_xlpm.BoonEnhancement,$J26="Stacking",_xlpm.Stacking),""))</f>
        <v/>
      </c>
      <c r="U26" s="190" t="str" cm="1">
        <f t="array" ref="U26">_xlfn.LET(_xlpm.PercentCheck,IF(OR(U$1="Crit Chance",U$1="Crit Damage",U$1="Condition Duration"),1,0),_xlpm.Flat,$H26,_xlpm.Percentage,$H26*U$22,_xlpm.Derived,$H26*U$22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U$1,AND($G26="All",_xlpm.PercentCheck=0)),_xlfn.IFS(AND($I26="Flat",$J26=0),_xlpm.Flat,AND($I26="Percentage",$J26=0),_xlpm.Percentage,$J26="Derived",_xlpm.Derived,$J26="Boon Enhancement",_xlpm.BoonEnhancement,$J26="Stacking",_xlpm.Stacking),""))</f>
        <v/>
      </c>
      <c r="V26" s="190" t="str" cm="1">
        <f t="array" ref="V26">_xlfn.LET(_xlpm.PercentCheck,IF(OR(V$1="Crit Chance",V$1="Crit Damage",V$1="Condition Duration"),1,0),_xlpm.Flat,$H26,_xlpm.Percentage,$H26*V$22,_xlpm.Derived,$H26*V$22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V$1,AND($G26="All",_xlpm.PercentCheck=0)),_xlfn.IFS(AND($I26="Flat",$J26=0),_xlpm.Flat,AND($I26="Percentage",$J26=0),_xlpm.Percentage,$J26="Derived",_xlpm.Derived,$J26="Boon Enhancement",_xlpm.BoonEnhancement,$J26="Stacking",_xlpm.Stacking),""))</f>
        <v/>
      </c>
      <c r="W26" s="190" t="str" cm="1">
        <f t="array" ref="W26">_xlfn.LET(_xlpm.PercentCheck,IF(OR(W$1="Crit Chance",W$1="Crit Damage",W$1="Condition Duration"),1,0),_xlpm.Flat,$H26,_xlpm.Percentage,$H26*W$22,_xlpm.Derived,$H26*W$22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W$1,AND($G26="All",_xlpm.PercentCheck=0)),_xlfn.IFS(AND($I26="Flat",$J26=0),_xlpm.Flat,AND($I26="Percentage",$J26=0),_xlpm.Percentage,$J26="Derived",_xlpm.Derived,$J26="Boon Enhancement",_xlpm.BoonEnhancement,$J26="Stacking",_xlpm.Stacking),""))</f>
        <v/>
      </c>
      <c r="X26" s="190" t="str" cm="1">
        <f t="array" ref="X26">_xlfn.LET(_xlpm.PercentCheck,IF(OR(X$1="Crit Chance",X$1="Crit Damage",X$1="Condition Duration"),1,0),_xlpm.Flat,$H26,_xlpm.Percentage,$H26*X$22,_xlpm.Derived,$H26*X$22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X$1,AND($G26="All",_xlpm.PercentCheck=0)),_xlfn.IFS(AND($I26="Flat",$J26=0),_xlpm.Flat,AND($I26="Percentage",$J26=0),_xlpm.Percentage,$J26="Derived",_xlpm.Derived,$J26="Boon Enhancement",_xlpm.BoonEnhancement,$J26="Stacking",_xlpm.Stacking),""))</f>
        <v/>
      </c>
      <c r="Y26" s="190" t="str" cm="1">
        <f t="array" ref="Y26">_xlfn.LET(_xlpm.PercentCheck,IF(OR(Y$1="Crit Chance",Y$1="Crit Damage",Y$1="Condition Duration"),1,0),_xlpm.Flat,$H26,_xlpm.Percentage,$H26*Y$22,_xlpm.Derived,$H26*Y$22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Y$1,AND($G26="All",_xlpm.PercentCheck=0)),_xlfn.IFS(AND($I26="Flat",$J26=0),_xlpm.Flat,AND($I26="Percentage",$J26=0),_xlpm.Percentage,$J26="Derived",_xlpm.Derived,$J26="Boon Enhancement",_xlpm.BoonEnhancement,$J26="Stacking",_xlpm.Stacking),""))</f>
        <v/>
      </c>
      <c r="Z26" s="190" t="str" cm="1">
        <f t="array" ref="Z26">_xlfn.LET(_xlpm.PercentCheck,IF(OR(Z$1="Crit Chance",Z$1="Crit Damage",Z$1="Condition Duration"),1,0),_xlpm.Flat,$H26,_xlpm.Percentage,$H26*Z$22,_xlpm.Derived,$H26*Z$22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Z$1,AND($G26="All",_xlpm.PercentCheck=0)),_xlfn.IFS(AND($I26="Flat",$J26=0),_xlpm.Flat,AND($I26="Percentage",$J26=0),_xlpm.Percentage,$J26="Derived",_xlpm.Derived,$J26="Boon Enhancement",_xlpm.BoonEnhancement,$J26="Stacking",_xlpm.Stacking),""))</f>
        <v/>
      </c>
      <c r="AA26" s="190" t="str" cm="1">
        <f t="array" ref="AA26">_xlfn.LET(_xlpm.PercentCheck,IF(OR(AA$1="Crit Chance",AA$1="Crit Damage",AA$1="Condition Duration"),1,0),_xlpm.Flat,$H26,_xlpm.Percentage,$H26*AA$22,_xlpm.Derived,$H26*AA$22,_xlpm.BoonType,VLOOKUP($M26,BoonToggles,2,0),_xlpm.BoonEnhancement,IF(AND(ISLOGICAL(_xlpm.BoonType),_xlpm.BoonType=TRUE),IF($I26="Flat",$H26,_xlpm.Percentage),IF($I26="Flat",$H26*_xlpm.BoonType,_xlpm.Percentage*_xlpm.BoonType)),_xlpm.Stacking,IF($I26="Flat",$H26*Spec1MajorMasterStacks,IF(_xlpm.PercentCheck=1,"",_xlpm.Percentage*Spec1MajorMasterStacks)),IF(OR($G26=AA$1,AND($G26="All",_xlpm.PercentCheck=0)),_xlfn.IFS(AND($I26="Flat",$J26=0),_xlpm.Flat,AND($I26="Percentage",$J26=0),_xlpm.Percentage,$J26="Derived",_xlpm.Derived,$J26="Boon Enhancement",_xlpm.BoonEnhancement,$J26="Stacking",_xlpm.Stacking),""))</f>
        <v/>
      </c>
    </row>
    <row r="27" spans="1:27" ht="14.25" customHeight="1">
      <c r="A27" s="566"/>
      <c r="B27" s="555"/>
      <c r="C27" s="194"/>
      <c r="D27" s="195"/>
      <c r="E27" s="195"/>
      <c r="F27" s="195"/>
      <c r="G27" s="195"/>
      <c r="H27" s="195"/>
      <c r="I27" s="195"/>
      <c r="J27" s="195"/>
      <c r="K27" s="195"/>
      <c r="L27" s="195"/>
      <c r="M27" s="195"/>
      <c r="N27" s="195"/>
      <c r="O27" s="196"/>
      <c r="P27" s="190" t="str" cm="1">
        <f t="array" ref="P27">_xlfn.LET(_xlpm.PercentCheck,IF(OR(P$1="Crit Chance",P$1="Crit Damage",P$1="Condition Duration"),1,0),_xlpm.Flat,$H27,_xlpm.Percentage,$H27*P$22,_xlpm.Derived,$H27*P$22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P$1,AND($G27="All",_xlpm.PercentCheck=0)),_xlfn.IFS(AND($I27="Flat",$J27=0),_xlpm.Flat,AND($I27="Percentage",$J27=0),_xlpm.Percentage,$J27="Derived",_xlpm.Derived,$J27="Boon Enhancement",_xlpm.BoonEnhancement,$J27="Stacking",_xlpm.Stacking),""))</f>
        <v/>
      </c>
      <c r="Q27" s="190" t="str" cm="1">
        <f t="array" ref="Q27">_xlfn.LET(_xlpm.PercentCheck,IF(OR(Q$1="Crit Chance",Q$1="Crit Damage",Q$1="Condition Duration"),1,0),_xlpm.Flat,$H27,_xlpm.Percentage,$H27*Q$22,_xlpm.Derived,$H27*Q$22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Q$1,AND($G27="All",_xlpm.PercentCheck=0)),_xlfn.IFS(AND($I27="Flat",$J27=0),_xlpm.Flat,AND($I27="Percentage",$J27=0),_xlpm.Percentage,$J27="Derived",_xlpm.Derived,$J27="Boon Enhancement",_xlpm.BoonEnhancement,$J27="Stacking",_xlpm.Stacking),""))</f>
        <v/>
      </c>
      <c r="R27" s="190" t="str" cm="1">
        <f t="array" ref="R27">_xlfn.LET(_xlpm.PercentCheck,IF(OR(R$1="Crit Chance",R$1="Crit Damage",R$1="Condition Duration"),1,0),_xlpm.Flat,$H27,_xlpm.Percentage,$H27*R$22,_xlpm.Derived,$H27*R$22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R$1,AND($G27="All",_xlpm.PercentCheck=0)),_xlfn.IFS(AND($I27="Flat",$J27=0),_xlpm.Flat,AND($I27="Percentage",$J27=0),_xlpm.Percentage,$J27="Derived",_xlpm.Derived,$J27="Boon Enhancement",_xlpm.BoonEnhancement,$J27="Stacking",_xlpm.Stacking),""))</f>
        <v/>
      </c>
      <c r="S27" s="190" t="str" cm="1">
        <f t="array" ref="S27">_xlfn.LET(_xlpm.PercentCheck,IF(OR(S$1="Crit Chance",S$1="Crit Damage",S$1="Condition Duration"),1,0),_xlpm.Flat,$H27,_xlpm.Percentage,$H27*S$22,_xlpm.Derived,$H27*S$22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S$1,AND($G27="All",_xlpm.PercentCheck=0)),_xlfn.IFS(AND($I27="Flat",$J27=0),_xlpm.Flat,AND($I27="Percentage",$J27=0),_xlpm.Percentage,$J27="Derived",_xlpm.Derived,$J27="Boon Enhancement",_xlpm.BoonEnhancement,$J27="Stacking",_xlpm.Stacking),""))</f>
        <v/>
      </c>
      <c r="T27" s="190" t="str" cm="1">
        <f t="array" ref="T27">_xlfn.LET(_xlpm.PercentCheck,IF(OR(T$1="Crit Chance",T$1="Crit Damage",T$1="Condition Duration"),1,0),_xlpm.Flat,$H27,_xlpm.Percentage,$H27*T$22,_xlpm.Derived,$H27*T$22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T$1,AND($G27="All",_xlpm.PercentCheck=0)),_xlfn.IFS(AND($I27="Flat",$J27=0),_xlpm.Flat,AND($I27="Percentage",$J27=0),_xlpm.Percentage,$J27="Derived",_xlpm.Derived,$J27="Boon Enhancement",_xlpm.BoonEnhancement,$J27="Stacking",_xlpm.Stacking),""))</f>
        <v/>
      </c>
      <c r="U27" s="190" t="str" cm="1">
        <f t="array" ref="U27">_xlfn.LET(_xlpm.PercentCheck,IF(OR(U$1="Crit Chance",U$1="Crit Damage",U$1="Condition Duration"),1,0),_xlpm.Flat,$H27,_xlpm.Percentage,$H27*U$22,_xlpm.Derived,$H27*U$22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U$1,AND($G27="All",_xlpm.PercentCheck=0)),_xlfn.IFS(AND($I27="Flat",$J27=0),_xlpm.Flat,AND($I27="Percentage",$J27=0),_xlpm.Percentage,$J27="Derived",_xlpm.Derived,$J27="Boon Enhancement",_xlpm.BoonEnhancement,$J27="Stacking",_xlpm.Stacking),""))</f>
        <v/>
      </c>
      <c r="V27" s="190" t="str" cm="1">
        <f t="array" ref="V27">_xlfn.LET(_xlpm.PercentCheck,IF(OR(V$1="Crit Chance",V$1="Crit Damage",V$1="Condition Duration"),1,0),_xlpm.Flat,$H27,_xlpm.Percentage,$H27*V$22,_xlpm.Derived,$H27*V$22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V$1,AND($G27="All",_xlpm.PercentCheck=0)),_xlfn.IFS(AND($I27="Flat",$J27=0),_xlpm.Flat,AND($I27="Percentage",$J27=0),_xlpm.Percentage,$J27="Derived",_xlpm.Derived,$J27="Boon Enhancement",_xlpm.BoonEnhancement,$J27="Stacking",_xlpm.Stacking),""))</f>
        <v/>
      </c>
      <c r="W27" s="190" t="str" cm="1">
        <f t="array" ref="W27">_xlfn.LET(_xlpm.PercentCheck,IF(OR(W$1="Crit Chance",W$1="Crit Damage",W$1="Condition Duration"),1,0),_xlpm.Flat,$H27,_xlpm.Percentage,$H27*W$22,_xlpm.Derived,$H27*W$22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W$1,AND($G27="All",_xlpm.PercentCheck=0)),_xlfn.IFS(AND($I27="Flat",$J27=0),_xlpm.Flat,AND($I27="Percentage",$J27=0),_xlpm.Percentage,$J27="Derived",_xlpm.Derived,$J27="Boon Enhancement",_xlpm.BoonEnhancement,$J27="Stacking",_xlpm.Stacking),""))</f>
        <v/>
      </c>
      <c r="X27" s="190" t="str" cm="1">
        <f t="array" ref="X27">_xlfn.LET(_xlpm.PercentCheck,IF(OR(X$1="Crit Chance",X$1="Crit Damage",X$1="Condition Duration"),1,0),_xlpm.Flat,$H27,_xlpm.Percentage,$H27*X$22,_xlpm.Derived,$H27*X$22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X$1,AND($G27="All",_xlpm.PercentCheck=0)),_xlfn.IFS(AND($I27="Flat",$J27=0),_xlpm.Flat,AND($I27="Percentage",$J27=0),_xlpm.Percentage,$J27="Derived",_xlpm.Derived,$J27="Boon Enhancement",_xlpm.BoonEnhancement,$J27="Stacking",_xlpm.Stacking),""))</f>
        <v/>
      </c>
      <c r="Y27" s="190" t="str" cm="1">
        <f t="array" ref="Y27">_xlfn.LET(_xlpm.PercentCheck,IF(OR(Y$1="Crit Chance",Y$1="Crit Damage",Y$1="Condition Duration"),1,0),_xlpm.Flat,$H27,_xlpm.Percentage,$H27*Y$22,_xlpm.Derived,$H27*Y$22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Y$1,AND($G27="All",_xlpm.PercentCheck=0)),_xlfn.IFS(AND($I27="Flat",$J27=0),_xlpm.Flat,AND($I27="Percentage",$J27=0),_xlpm.Percentage,$J27="Derived",_xlpm.Derived,$J27="Boon Enhancement",_xlpm.BoonEnhancement,$J27="Stacking",_xlpm.Stacking),""))</f>
        <v/>
      </c>
      <c r="Z27" s="190" t="str" cm="1">
        <f t="array" ref="Z27">_xlfn.LET(_xlpm.PercentCheck,IF(OR(Z$1="Crit Chance",Z$1="Crit Damage",Z$1="Condition Duration"),1,0),_xlpm.Flat,$H27,_xlpm.Percentage,$H27*Z$22,_xlpm.Derived,$H27*Z$22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Z$1,AND($G27="All",_xlpm.PercentCheck=0)),_xlfn.IFS(AND($I27="Flat",$J27=0),_xlpm.Flat,AND($I27="Percentage",$J27=0),_xlpm.Percentage,$J27="Derived",_xlpm.Derived,$J27="Boon Enhancement",_xlpm.BoonEnhancement,$J27="Stacking",_xlpm.Stacking),""))</f>
        <v/>
      </c>
      <c r="AA27" s="190" t="str" cm="1">
        <f t="array" ref="AA27">_xlfn.LET(_xlpm.PercentCheck,IF(OR(AA$1="Crit Chance",AA$1="Crit Damage",AA$1="Condition Duration"),1,0),_xlpm.Flat,$H27,_xlpm.Percentage,$H27*AA$22,_xlpm.Derived,$H27*AA$22,_xlpm.BoonType,VLOOKUP($M27,BoonToggles,2,0),_xlpm.BoonEnhancement,IF(AND(ISLOGICAL(_xlpm.BoonType),_xlpm.BoonType=TRUE),IF($I27="Flat",$H27,_xlpm.Percentage),IF($I27="Flat",$H27*_xlpm.BoonType,_xlpm.Percentage*_xlpm.BoonType)),_xlpm.Stacking,IF($I27="Flat",$H27*Spec1MajorMasterStacks,IF(_xlpm.PercentCheck=1,"",_xlpm.Percentage*Spec1MajorMasterStacks)),IF(OR($G27=AA$1,AND($G27="All",_xlpm.PercentCheck=0)),_xlfn.IFS(AND($I27="Flat",$J27=0),_xlpm.Flat,AND($I27="Percentage",$J27=0),_xlpm.Percentage,$J27="Derived",_xlpm.Derived,$J27="Boon Enhancement",_xlpm.BoonEnhancement,$J27="Stacking",_xlpm.Stacking),""))</f>
        <v/>
      </c>
    </row>
    <row r="28" spans="1:27" s="171" customFormat="1" ht="14.25" customHeight="1">
      <c r="A28" s="566"/>
      <c r="B28" s="559" t="s">
        <v>3500</v>
      </c>
      <c r="C28" s="559"/>
      <c r="D28" s="559"/>
      <c r="E28" s="559"/>
      <c r="F28" s="559"/>
      <c r="G28" s="559"/>
      <c r="H28" s="559"/>
      <c r="I28" s="559"/>
      <c r="J28" s="559"/>
      <c r="K28" s="559"/>
      <c r="L28" s="559"/>
      <c r="M28" s="559"/>
      <c r="N28" s="559"/>
      <c r="O28" s="560"/>
      <c r="P28" s="197">
        <f t="shared" ref="P28:AA28" si="15">SUM(P$23:P$27)</f>
        <v>0</v>
      </c>
      <c r="Q28" s="198">
        <f t="shared" si="15"/>
        <v>0</v>
      </c>
      <c r="R28" s="198">
        <f t="shared" si="15"/>
        <v>0</v>
      </c>
      <c r="S28" s="198">
        <f t="shared" si="15"/>
        <v>0</v>
      </c>
      <c r="T28" s="198">
        <f t="shared" si="15"/>
        <v>0</v>
      </c>
      <c r="U28" s="198">
        <f t="shared" si="15"/>
        <v>0</v>
      </c>
      <c r="V28" s="198">
        <f t="shared" si="15"/>
        <v>0</v>
      </c>
      <c r="W28" s="198">
        <f t="shared" si="15"/>
        <v>0</v>
      </c>
      <c r="X28" s="198">
        <f t="shared" si="15"/>
        <v>0</v>
      </c>
      <c r="Y28" s="199">
        <f t="shared" si="15"/>
        <v>0</v>
      </c>
      <c r="Z28" s="199">
        <f t="shared" si="15"/>
        <v>0</v>
      </c>
      <c r="AA28" s="199">
        <f t="shared" si="15"/>
        <v>0</v>
      </c>
    </row>
    <row r="29" spans="1:27" s="171" customFormat="1" ht="14.25" customHeight="1">
      <c r="A29" s="566"/>
      <c r="B29" s="559" t="s">
        <v>3501</v>
      </c>
      <c r="C29" s="559"/>
      <c r="D29" s="559"/>
      <c r="E29" s="559"/>
      <c r="F29" s="559"/>
      <c r="G29" s="559"/>
      <c r="H29" s="559"/>
      <c r="I29" s="559"/>
      <c r="J29" s="559"/>
      <c r="K29" s="559"/>
      <c r="L29" s="559"/>
      <c r="M29" s="559"/>
      <c r="N29" s="559"/>
      <c r="O29" s="560"/>
      <c r="P29" s="197">
        <f>SUM(P$22,SUMIFS(P$23:P$27,$I$23:$I$27,"Percentage",$J$23:$J$27,"&lt;&gt;Derived"))</f>
        <v>1657</v>
      </c>
      <c r="Q29" s="197">
        <f t="shared" ref="Q29:X29" si="16">SUM(Q$22,SUMIFS(Q$23:Q$27,$I$23:$I$27,"Percentage",$J$23:$J$27,"&lt;&gt;Derived"))</f>
        <v>1594</v>
      </c>
      <c r="R29" s="197">
        <f t="shared" si="16"/>
        <v>1221</v>
      </c>
      <c r="S29" s="197">
        <f t="shared" si="16"/>
        <v>1156</v>
      </c>
      <c r="T29" s="197">
        <f t="shared" si="16"/>
        <v>10</v>
      </c>
      <c r="U29" s="197">
        <f t="shared" si="16"/>
        <v>249.6</v>
      </c>
      <c r="V29" s="197">
        <f t="shared" si="16"/>
        <v>260</v>
      </c>
      <c r="W29" s="197">
        <f t="shared" si="16"/>
        <v>248</v>
      </c>
      <c r="X29" s="197">
        <f t="shared" si="16"/>
        <v>47</v>
      </c>
      <c r="Y29" s="480"/>
      <c r="Z29" s="480"/>
      <c r="AA29" s="480"/>
    </row>
    <row r="30" spans="1:27" ht="14.25" customHeight="1">
      <c r="A30" s="566"/>
      <c r="B30" s="556" t="s">
        <v>98</v>
      </c>
      <c r="C30" s="200" t="str" cm="1">
        <f t="array" ref="C30">IF(OR(Spec1MinorGrandmasterCondition="(Select)",Spec1MinorGrandmasterCondition=""),_xlfn._xlws.FILTER(TraitStats,(TraitStatsTable[Name]=Spec1MinorGrandmaster)*(TraitStatsTable[Condition]=""),"No stat bonus"),_xlfn._xlws.FILTER(TraitStats,(TraitStatsTable[Name]=Spec1MinorGrandmaster)*((TraitStatsTable[Condition]=Spec1MinorGrandmasterCondition)+(TraitStatsTable[Condition]="")),"No stat bonus"))</f>
        <v>No stat bonus</v>
      </c>
      <c r="D30" s="195"/>
      <c r="E30" s="195"/>
      <c r="F30" s="195"/>
      <c r="G30" s="195"/>
      <c r="H30" s="195"/>
      <c r="I30" s="195"/>
      <c r="J30" s="195"/>
      <c r="K30" s="195"/>
      <c r="L30" s="195"/>
      <c r="M30" s="195"/>
      <c r="N30" s="195"/>
      <c r="O30" s="196"/>
      <c r="P30" s="190" t="str" cm="1">
        <f t="array" ref="P30">_xlfn.LET(_xlpm.PercentCheck,IF(OR(P$1="Crit Chance",P$1="Crit Damage",P$1="Condition Duration"),1,0),_xlpm.Flat,$H30,_xlpm.Percentage,$H30*P$29,_xlpm.Derived,$H30*P$29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P$1,AND($G30="All",_xlpm.PercentCheck=0)),_xlfn.IFS(AND($I30="Flat",$J30=0),_xlpm.Flat,AND($I30="Percentage",$J30=0),_xlpm.Percentage,$J30="Derived",_xlpm.Derived,$J30="Boon Enhancement",_xlpm.BoonEnhancement,$J30="Stacking",_xlpm.Stacking),""))</f>
        <v/>
      </c>
      <c r="Q30" s="190" t="str" cm="1">
        <f t="array" ref="Q30">_xlfn.LET(_xlpm.PercentCheck,IF(OR(Q$1="Crit Chance",Q$1="Crit Damage",Q$1="Condition Duration"),1,0),_xlpm.Flat,$H30,_xlpm.Percentage,$H30*Q$29,_xlpm.Derived,$H30*Q$29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Q$1,AND($G30="All",_xlpm.PercentCheck=0)),_xlfn.IFS(AND($I30="Flat",$J30=0),_xlpm.Flat,AND($I30="Percentage",$J30=0),_xlpm.Percentage,$J30="Derived",_xlpm.Derived,$J30="Boon Enhancement",_xlpm.BoonEnhancement,$J30="Stacking",_xlpm.Stacking),""))</f>
        <v/>
      </c>
      <c r="R30" s="190" t="str" cm="1">
        <f t="array" ref="R30">_xlfn.LET(_xlpm.PercentCheck,IF(OR(R$1="Crit Chance",R$1="Crit Damage",R$1="Condition Duration"),1,0),_xlpm.Flat,$H30,_xlpm.Percentage,$H30*R$29,_xlpm.Derived,$H30*R$29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R$1,AND($G30="All",_xlpm.PercentCheck=0)),_xlfn.IFS(AND($I30="Flat",$J30=0),_xlpm.Flat,AND($I30="Percentage",$J30=0),_xlpm.Percentage,$J30="Derived",_xlpm.Derived,$J30="Boon Enhancement",_xlpm.BoonEnhancement,$J30="Stacking",_xlpm.Stacking),""))</f>
        <v/>
      </c>
      <c r="S30" s="190" t="str" cm="1">
        <f t="array" ref="S30">_xlfn.LET(_xlpm.PercentCheck,IF(OR(S$1="Crit Chance",S$1="Crit Damage",S$1="Condition Duration"),1,0),_xlpm.Flat,$H30,_xlpm.Percentage,$H30*S$29,_xlpm.Derived,$H30*S$29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S$1,AND($G30="All",_xlpm.PercentCheck=0)),_xlfn.IFS(AND($I30="Flat",$J30=0),_xlpm.Flat,AND($I30="Percentage",$J30=0),_xlpm.Percentage,$J30="Derived",_xlpm.Derived,$J30="Boon Enhancement",_xlpm.BoonEnhancement,$J30="Stacking",_xlpm.Stacking),""))</f>
        <v/>
      </c>
      <c r="T30" s="190" t="str" cm="1">
        <f t="array" ref="T30">_xlfn.LET(_xlpm.PercentCheck,IF(OR(T$1="Crit Chance",T$1="Crit Damage",T$1="Condition Duration"),1,0),_xlpm.Flat,$H30,_xlpm.Percentage,$H30*T$29,_xlpm.Derived,$H30*T$29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T$1,AND($G30="All",_xlpm.PercentCheck=0)),_xlfn.IFS(AND($I30="Flat",$J30=0),_xlpm.Flat,AND($I30="Percentage",$J30=0),_xlpm.Percentage,$J30="Derived",_xlpm.Derived,$J30="Boon Enhancement",_xlpm.BoonEnhancement,$J30="Stacking",_xlpm.Stacking),""))</f>
        <v/>
      </c>
      <c r="U30" s="190" t="str" cm="1">
        <f t="array" ref="U30">_xlfn.LET(_xlpm.PercentCheck,IF(OR(U$1="Crit Chance",U$1="Crit Damage",U$1="Condition Duration"),1,0),_xlpm.Flat,$H30,_xlpm.Percentage,$H30*U$29,_xlpm.Derived,$H30*U$29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U$1,AND($G30="All",_xlpm.PercentCheck=0)),_xlfn.IFS(AND($I30="Flat",$J30=0),_xlpm.Flat,AND($I30="Percentage",$J30=0),_xlpm.Percentage,$J30="Derived",_xlpm.Derived,$J30="Boon Enhancement",_xlpm.BoonEnhancement,$J30="Stacking",_xlpm.Stacking),""))</f>
        <v/>
      </c>
      <c r="V30" s="190" t="str" cm="1">
        <f t="array" ref="V30">_xlfn.LET(_xlpm.PercentCheck,IF(OR(V$1="Crit Chance",V$1="Crit Damage",V$1="Condition Duration"),1,0),_xlpm.Flat,$H30,_xlpm.Percentage,$H30*V$29,_xlpm.Derived,$H30*V$29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V$1,AND($G30="All",_xlpm.PercentCheck=0)),_xlfn.IFS(AND($I30="Flat",$J30=0),_xlpm.Flat,AND($I30="Percentage",$J30=0),_xlpm.Percentage,$J30="Derived",_xlpm.Derived,$J30="Boon Enhancement",_xlpm.BoonEnhancement,$J30="Stacking",_xlpm.Stacking),""))</f>
        <v/>
      </c>
      <c r="W30" s="190" t="str" cm="1">
        <f t="array" ref="W30">_xlfn.LET(_xlpm.PercentCheck,IF(OR(W$1="Crit Chance",W$1="Crit Damage",W$1="Condition Duration"),1,0),_xlpm.Flat,$H30,_xlpm.Percentage,$H30*W$29,_xlpm.Derived,$H30*W$29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W$1,AND($G30="All",_xlpm.PercentCheck=0)),_xlfn.IFS(AND($I30="Flat",$J30=0),_xlpm.Flat,AND($I30="Percentage",$J30=0),_xlpm.Percentage,$J30="Derived",_xlpm.Derived,$J30="Boon Enhancement",_xlpm.BoonEnhancement,$J30="Stacking",_xlpm.Stacking),""))</f>
        <v/>
      </c>
      <c r="X30" s="190" t="str" cm="1">
        <f t="array" ref="X30">_xlfn.LET(_xlpm.PercentCheck,IF(OR(X$1="Crit Chance",X$1="Crit Damage",X$1="Condition Duration"),1,0),_xlpm.Flat,$H30,_xlpm.Percentage,$H30*X$29,_xlpm.Derived,$H30*X$29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X$1,AND($G30="All",_xlpm.PercentCheck=0)),_xlfn.IFS(AND($I30="Flat",$J30=0),_xlpm.Flat,AND($I30="Percentage",$J30=0),_xlpm.Percentage,$J30="Derived",_xlpm.Derived,$J30="Boon Enhancement",_xlpm.BoonEnhancement,$J30="Stacking",_xlpm.Stacking),""))</f>
        <v/>
      </c>
      <c r="Y30" s="190" t="str" cm="1">
        <f t="array" ref="Y30">_xlfn.LET(_xlpm.PercentCheck,IF(OR(Y$1="Crit Chance",Y$1="Crit Damage",Y$1="Condition Duration"),1,0),_xlpm.Flat,$H30,_xlpm.Percentage,$H30*Y$29,_xlpm.Derived,$H30*Y$29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Y$1,AND($G30="All",_xlpm.PercentCheck=0)),_xlfn.IFS(AND($I30="Flat",$J30=0),_xlpm.Flat,AND($I30="Percentage",$J30=0),_xlpm.Percentage,$J30="Derived",_xlpm.Derived,$J30="Boon Enhancement",_xlpm.BoonEnhancement,$J30="Stacking",_xlpm.Stacking),""))</f>
        <v/>
      </c>
      <c r="Z30" s="190" t="str" cm="1">
        <f t="array" ref="Z30">_xlfn.LET(_xlpm.PercentCheck,IF(OR(Z$1="Crit Chance",Z$1="Crit Damage",Z$1="Condition Duration"),1,0),_xlpm.Flat,$H30,_xlpm.Percentage,$H30*Z$29,_xlpm.Derived,$H30*Z$29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Z$1,AND($G30="All",_xlpm.PercentCheck=0)),_xlfn.IFS(AND($I30="Flat",$J30=0),_xlpm.Flat,AND($I30="Percentage",$J30=0),_xlpm.Percentage,$J30="Derived",_xlpm.Derived,$J30="Boon Enhancement",_xlpm.BoonEnhancement,$J30="Stacking",_xlpm.Stacking),""))</f>
        <v/>
      </c>
      <c r="AA30" s="190" t="str" cm="1">
        <f t="array" ref="AA30">_xlfn.LET(_xlpm.PercentCheck,IF(OR(AA$1="Crit Chance",AA$1="Crit Damage",AA$1="Condition Duration"),1,0),_xlpm.Flat,$H30,_xlpm.Percentage,$H30*AA$29,_xlpm.Derived,$H30*AA$29,_xlpm.BoonType,VLOOKUP($M30,BoonToggles,2,0),_xlpm.BoonEnhancement,IF(AND(ISLOGICAL(_xlpm.BoonType),_xlpm.BoonType=TRUE),IF($I30="Flat",$H30,_xlpm.Percentage),IF($I30="Flat",$H30*_xlpm.BoonType,_xlpm.Percentage*_xlpm.BoonType)),_xlpm.Stacking,IF($I30="Flat",$H30*Spec1MajorMasterStacks,IF(_xlpm.PercentCheck=1,"",_xlpm.Percentage*Spec1MajorMasterStacks)),IF(OR($G30=AA$1,AND($G30="All",_xlpm.PercentCheck=0)),_xlfn.IFS(AND($I30="Flat",$J30=0),_xlpm.Flat,AND($I30="Percentage",$J30=0),_xlpm.Percentage,$J30="Derived",_xlpm.Derived,$J30="Boon Enhancement",_xlpm.BoonEnhancement,$J30="Stacking",_xlpm.Stacking),""))</f>
        <v/>
      </c>
    </row>
    <row r="31" spans="1:27" ht="14.25" customHeight="1">
      <c r="A31" s="566"/>
      <c r="B31" s="556"/>
      <c r="C31" s="194"/>
      <c r="D31" s="195"/>
      <c r="E31" s="195"/>
      <c r="F31" s="195"/>
      <c r="G31" s="195"/>
      <c r="H31" s="195"/>
      <c r="I31" s="195"/>
      <c r="J31" s="195"/>
      <c r="K31" s="195"/>
      <c r="L31" s="195"/>
      <c r="M31" s="195"/>
      <c r="N31" s="195"/>
      <c r="O31" s="196"/>
      <c r="P31" s="190" t="str" cm="1">
        <f t="array" ref="P31">_xlfn.LET(_xlpm.PercentCheck,IF(OR(P$1="Crit Chance",P$1="Crit Damage",P$1="Condition Duration"),1,0),_xlpm.Flat,$H31,_xlpm.Percentage,$H31*P$29,_xlpm.Derived,$H31*P$29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P$1,AND($G31="All",_xlpm.PercentCheck=0)),_xlfn.IFS(AND($I31="Flat",$J31=0),_xlpm.Flat,AND($I31="Percentage",$J31=0),_xlpm.Percentage,$J31="Derived",_xlpm.Derived,$J31="Boon Enhancement",_xlpm.BoonEnhancement,$J31="Stacking",_xlpm.Stacking),""))</f>
        <v/>
      </c>
      <c r="Q31" s="190" t="str" cm="1">
        <f t="array" ref="Q31">_xlfn.LET(_xlpm.PercentCheck,IF(OR(Q$1="Crit Chance",Q$1="Crit Damage",Q$1="Condition Duration"),1,0),_xlpm.Flat,$H31,_xlpm.Percentage,$H31*Q$29,_xlpm.Derived,$H31*Q$29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Q$1,AND($G31="All",_xlpm.PercentCheck=0)),_xlfn.IFS(AND($I31="Flat",$J31=0),_xlpm.Flat,AND($I31="Percentage",$J31=0),_xlpm.Percentage,$J31="Derived",_xlpm.Derived,$J31="Boon Enhancement",_xlpm.BoonEnhancement,$J31="Stacking",_xlpm.Stacking),""))</f>
        <v/>
      </c>
      <c r="R31" s="190" t="str" cm="1">
        <f t="array" ref="R31">_xlfn.LET(_xlpm.PercentCheck,IF(OR(R$1="Crit Chance",R$1="Crit Damage",R$1="Condition Duration"),1,0),_xlpm.Flat,$H31,_xlpm.Percentage,$H31*R$29,_xlpm.Derived,$H31*R$29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R$1,AND($G31="All",_xlpm.PercentCheck=0)),_xlfn.IFS(AND($I31="Flat",$J31=0),_xlpm.Flat,AND($I31="Percentage",$J31=0),_xlpm.Percentage,$J31="Derived",_xlpm.Derived,$J31="Boon Enhancement",_xlpm.BoonEnhancement,$J31="Stacking",_xlpm.Stacking),""))</f>
        <v/>
      </c>
      <c r="S31" s="190" t="str" cm="1">
        <f t="array" ref="S31">_xlfn.LET(_xlpm.PercentCheck,IF(OR(S$1="Crit Chance",S$1="Crit Damage",S$1="Condition Duration"),1,0),_xlpm.Flat,$H31,_xlpm.Percentage,$H31*S$29,_xlpm.Derived,$H31*S$29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S$1,AND($G31="All",_xlpm.PercentCheck=0)),_xlfn.IFS(AND($I31="Flat",$J31=0),_xlpm.Flat,AND($I31="Percentage",$J31=0),_xlpm.Percentage,$J31="Derived",_xlpm.Derived,$J31="Boon Enhancement",_xlpm.BoonEnhancement,$J31="Stacking",_xlpm.Stacking),""))</f>
        <v/>
      </c>
      <c r="T31" s="190" t="str" cm="1">
        <f t="array" ref="T31">_xlfn.LET(_xlpm.PercentCheck,IF(OR(T$1="Crit Chance",T$1="Crit Damage",T$1="Condition Duration"),1,0),_xlpm.Flat,$H31,_xlpm.Percentage,$H31*T$29,_xlpm.Derived,$H31*T$29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T$1,AND($G31="All",_xlpm.PercentCheck=0)),_xlfn.IFS(AND($I31="Flat",$J31=0),_xlpm.Flat,AND($I31="Percentage",$J31=0),_xlpm.Percentage,$J31="Derived",_xlpm.Derived,$J31="Boon Enhancement",_xlpm.BoonEnhancement,$J31="Stacking",_xlpm.Stacking),""))</f>
        <v/>
      </c>
      <c r="U31" s="190" t="str" cm="1">
        <f t="array" ref="U31">_xlfn.LET(_xlpm.PercentCheck,IF(OR(U$1="Crit Chance",U$1="Crit Damage",U$1="Condition Duration"),1,0),_xlpm.Flat,$H31,_xlpm.Percentage,$H31*U$29,_xlpm.Derived,$H31*U$29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U$1,AND($G31="All",_xlpm.PercentCheck=0)),_xlfn.IFS(AND($I31="Flat",$J31=0),_xlpm.Flat,AND($I31="Percentage",$J31=0),_xlpm.Percentage,$J31="Derived",_xlpm.Derived,$J31="Boon Enhancement",_xlpm.BoonEnhancement,$J31="Stacking",_xlpm.Stacking),""))</f>
        <v/>
      </c>
      <c r="V31" s="190" t="str" cm="1">
        <f t="array" ref="V31">_xlfn.LET(_xlpm.PercentCheck,IF(OR(V$1="Crit Chance",V$1="Crit Damage",V$1="Condition Duration"),1,0),_xlpm.Flat,$H31,_xlpm.Percentage,$H31*V$29,_xlpm.Derived,$H31*V$29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V$1,AND($G31="All",_xlpm.PercentCheck=0)),_xlfn.IFS(AND($I31="Flat",$J31=0),_xlpm.Flat,AND($I31="Percentage",$J31=0),_xlpm.Percentage,$J31="Derived",_xlpm.Derived,$J31="Boon Enhancement",_xlpm.BoonEnhancement,$J31="Stacking",_xlpm.Stacking),""))</f>
        <v/>
      </c>
      <c r="W31" s="190" t="str" cm="1">
        <f t="array" ref="W31">_xlfn.LET(_xlpm.PercentCheck,IF(OR(W$1="Crit Chance",W$1="Crit Damage",W$1="Condition Duration"),1,0),_xlpm.Flat,$H31,_xlpm.Percentage,$H31*W$29,_xlpm.Derived,$H31*W$29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W$1,AND($G31="All",_xlpm.PercentCheck=0)),_xlfn.IFS(AND($I31="Flat",$J31=0),_xlpm.Flat,AND($I31="Percentage",$J31=0),_xlpm.Percentage,$J31="Derived",_xlpm.Derived,$J31="Boon Enhancement",_xlpm.BoonEnhancement,$J31="Stacking",_xlpm.Stacking),""))</f>
        <v/>
      </c>
      <c r="X31" s="190" t="str" cm="1">
        <f t="array" ref="X31">_xlfn.LET(_xlpm.PercentCheck,IF(OR(X$1="Crit Chance",X$1="Crit Damage",X$1="Condition Duration"),1,0),_xlpm.Flat,$H31,_xlpm.Percentage,$H31*X$29,_xlpm.Derived,$H31*X$29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X$1,AND($G31="All",_xlpm.PercentCheck=0)),_xlfn.IFS(AND($I31="Flat",$J31=0),_xlpm.Flat,AND($I31="Percentage",$J31=0),_xlpm.Percentage,$J31="Derived",_xlpm.Derived,$J31="Boon Enhancement",_xlpm.BoonEnhancement,$J31="Stacking",_xlpm.Stacking),""))</f>
        <v/>
      </c>
      <c r="Y31" s="190" t="str" cm="1">
        <f t="array" ref="Y31">_xlfn.LET(_xlpm.PercentCheck,IF(OR(Y$1="Crit Chance",Y$1="Crit Damage",Y$1="Condition Duration"),1,0),_xlpm.Flat,$H31,_xlpm.Percentage,$H31*Y$29,_xlpm.Derived,$H31*Y$29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Y$1,AND($G31="All",_xlpm.PercentCheck=0)),_xlfn.IFS(AND($I31="Flat",$J31=0),_xlpm.Flat,AND($I31="Percentage",$J31=0),_xlpm.Percentage,$J31="Derived",_xlpm.Derived,$J31="Boon Enhancement",_xlpm.BoonEnhancement,$J31="Stacking",_xlpm.Stacking),""))</f>
        <v/>
      </c>
      <c r="Z31" s="190" t="str" cm="1">
        <f t="array" ref="Z31">_xlfn.LET(_xlpm.PercentCheck,IF(OR(Z$1="Crit Chance",Z$1="Crit Damage",Z$1="Condition Duration"),1,0),_xlpm.Flat,$H31,_xlpm.Percentage,$H31*Z$29,_xlpm.Derived,$H31*Z$29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Z$1,AND($G31="All",_xlpm.PercentCheck=0)),_xlfn.IFS(AND($I31="Flat",$J31=0),_xlpm.Flat,AND($I31="Percentage",$J31=0),_xlpm.Percentage,$J31="Derived",_xlpm.Derived,$J31="Boon Enhancement",_xlpm.BoonEnhancement,$J31="Stacking",_xlpm.Stacking),""))</f>
        <v/>
      </c>
      <c r="AA31" s="190" t="str" cm="1">
        <f t="array" ref="AA31">_xlfn.LET(_xlpm.PercentCheck,IF(OR(AA$1="Crit Chance",AA$1="Crit Damage",AA$1="Condition Duration"),1,0),_xlpm.Flat,$H31,_xlpm.Percentage,$H31*AA$29,_xlpm.Derived,$H31*AA$29,_xlpm.BoonType,VLOOKUP($M31,BoonToggles,2,0),_xlpm.BoonEnhancement,IF(AND(ISLOGICAL(_xlpm.BoonType),_xlpm.BoonType=TRUE),IF($I31="Flat",$H31,_xlpm.Percentage),IF($I31="Flat",$H31*_xlpm.BoonType,_xlpm.Percentage*_xlpm.BoonType)),_xlpm.Stacking,IF($I31="Flat",$H31*Spec1MajorMasterStacks,IF(_xlpm.PercentCheck=1,"",_xlpm.Percentage*Spec1MajorMasterStacks)),IF(OR($G31=AA$1,AND($G31="All",_xlpm.PercentCheck=0)),_xlfn.IFS(AND($I31="Flat",$J31=0),_xlpm.Flat,AND($I31="Percentage",$J31=0),_xlpm.Percentage,$J31="Derived",_xlpm.Derived,$J31="Boon Enhancement",_xlpm.BoonEnhancement,$J31="Stacking",_xlpm.Stacking),""))</f>
        <v/>
      </c>
    </row>
    <row r="32" spans="1:27" ht="14.25" customHeight="1">
      <c r="A32" s="566"/>
      <c r="B32" s="556"/>
      <c r="C32" s="194"/>
      <c r="D32" s="195"/>
      <c r="E32" s="195"/>
      <c r="F32" s="195"/>
      <c r="G32" s="195"/>
      <c r="H32" s="195"/>
      <c r="I32" s="195"/>
      <c r="J32" s="195"/>
      <c r="K32" s="195"/>
      <c r="L32" s="195"/>
      <c r="M32" s="195"/>
      <c r="N32" s="195"/>
      <c r="O32" s="196"/>
      <c r="P32" s="190" t="str" cm="1">
        <f t="array" ref="P32">_xlfn.LET(_xlpm.PercentCheck,IF(OR(P$1="Crit Chance",P$1="Crit Damage",P$1="Condition Duration"),1,0),_xlpm.Flat,$H32,_xlpm.Percentage,$H32*P$29,_xlpm.Derived,$H32*P$29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P$1,AND($G32="All",_xlpm.PercentCheck=0)),_xlfn.IFS(AND($I32="Flat",$J32=0),_xlpm.Flat,AND($I32="Percentage",$J32=0),_xlpm.Percentage,$J32="Derived",_xlpm.Derived,$J32="Boon Enhancement",_xlpm.BoonEnhancement,$J32="Stacking",_xlpm.Stacking),""))</f>
        <v/>
      </c>
      <c r="Q32" s="190" t="str" cm="1">
        <f t="array" ref="Q32">_xlfn.LET(_xlpm.PercentCheck,IF(OR(Q$1="Crit Chance",Q$1="Crit Damage",Q$1="Condition Duration"),1,0),_xlpm.Flat,$H32,_xlpm.Percentage,$H32*Q$29,_xlpm.Derived,$H32*Q$29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Q$1,AND($G32="All",_xlpm.PercentCheck=0)),_xlfn.IFS(AND($I32="Flat",$J32=0),_xlpm.Flat,AND($I32="Percentage",$J32=0),_xlpm.Percentage,$J32="Derived",_xlpm.Derived,$J32="Boon Enhancement",_xlpm.BoonEnhancement,$J32="Stacking",_xlpm.Stacking),""))</f>
        <v/>
      </c>
      <c r="R32" s="190" t="str" cm="1">
        <f t="array" ref="R32">_xlfn.LET(_xlpm.PercentCheck,IF(OR(R$1="Crit Chance",R$1="Crit Damage",R$1="Condition Duration"),1,0),_xlpm.Flat,$H32,_xlpm.Percentage,$H32*R$29,_xlpm.Derived,$H32*R$29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R$1,AND($G32="All",_xlpm.PercentCheck=0)),_xlfn.IFS(AND($I32="Flat",$J32=0),_xlpm.Flat,AND($I32="Percentage",$J32=0),_xlpm.Percentage,$J32="Derived",_xlpm.Derived,$J32="Boon Enhancement",_xlpm.BoonEnhancement,$J32="Stacking",_xlpm.Stacking),""))</f>
        <v/>
      </c>
      <c r="S32" s="190" t="str" cm="1">
        <f t="array" ref="S32">_xlfn.LET(_xlpm.PercentCheck,IF(OR(S$1="Crit Chance",S$1="Crit Damage",S$1="Condition Duration"),1,0),_xlpm.Flat,$H32,_xlpm.Percentage,$H32*S$29,_xlpm.Derived,$H32*S$29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S$1,AND($G32="All",_xlpm.PercentCheck=0)),_xlfn.IFS(AND($I32="Flat",$J32=0),_xlpm.Flat,AND($I32="Percentage",$J32=0),_xlpm.Percentage,$J32="Derived",_xlpm.Derived,$J32="Boon Enhancement",_xlpm.BoonEnhancement,$J32="Stacking",_xlpm.Stacking),""))</f>
        <v/>
      </c>
      <c r="T32" s="190" t="str" cm="1">
        <f t="array" ref="T32">_xlfn.LET(_xlpm.PercentCheck,IF(OR(T$1="Crit Chance",T$1="Crit Damage",T$1="Condition Duration"),1,0),_xlpm.Flat,$H32,_xlpm.Percentage,$H32*T$29,_xlpm.Derived,$H32*T$29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T$1,AND($G32="All",_xlpm.PercentCheck=0)),_xlfn.IFS(AND($I32="Flat",$J32=0),_xlpm.Flat,AND($I32="Percentage",$J32=0),_xlpm.Percentage,$J32="Derived",_xlpm.Derived,$J32="Boon Enhancement",_xlpm.BoonEnhancement,$J32="Stacking",_xlpm.Stacking),""))</f>
        <v/>
      </c>
      <c r="U32" s="190" t="str" cm="1">
        <f t="array" ref="U32">_xlfn.LET(_xlpm.PercentCheck,IF(OR(U$1="Crit Chance",U$1="Crit Damage",U$1="Condition Duration"),1,0),_xlpm.Flat,$H32,_xlpm.Percentage,$H32*U$29,_xlpm.Derived,$H32*U$29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U$1,AND($G32="All",_xlpm.PercentCheck=0)),_xlfn.IFS(AND($I32="Flat",$J32=0),_xlpm.Flat,AND($I32="Percentage",$J32=0),_xlpm.Percentage,$J32="Derived",_xlpm.Derived,$J32="Boon Enhancement",_xlpm.BoonEnhancement,$J32="Stacking",_xlpm.Stacking),""))</f>
        <v/>
      </c>
      <c r="V32" s="190" t="str" cm="1">
        <f t="array" ref="V32">_xlfn.LET(_xlpm.PercentCheck,IF(OR(V$1="Crit Chance",V$1="Crit Damage",V$1="Condition Duration"),1,0),_xlpm.Flat,$H32,_xlpm.Percentage,$H32*V$29,_xlpm.Derived,$H32*V$29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V$1,AND($G32="All",_xlpm.PercentCheck=0)),_xlfn.IFS(AND($I32="Flat",$J32=0),_xlpm.Flat,AND($I32="Percentage",$J32=0),_xlpm.Percentage,$J32="Derived",_xlpm.Derived,$J32="Boon Enhancement",_xlpm.BoonEnhancement,$J32="Stacking",_xlpm.Stacking),""))</f>
        <v/>
      </c>
      <c r="W32" s="190" t="str" cm="1">
        <f t="array" ref="W32">_xlfn.LET(_xlpm.PercentCheck,IF(OR(W$1="Crit Chance",W$1="Crit Damage",W$1="Condition Duration"),1,0),_xlpm.Flat,$H32,_xlpm.Percentage,$H32*W$29,_xlpm.Derived,$H32*W$29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W$1,AND($G32="All",_xlpm.PercentCheck=0)),_xlfn.IFS(AND($I32="Flat",$J32=0),_xlpm.Flat,AND($I32="Percentage",$J32=0),_xlpm.Percentage,$J32="Derived",_xlpm.Derived,$J32="Boon Enhancement",_xlpm.BoonEnhancement,$J32="Stacking",_xlpm.Stacking),""))</f>
        <v/>
      </c>
      <c r="X32" s="190" t="str" cm="1">
        <f t="array" ref="X32">_xlfn.LET(_xlpm.PercentCheck,IF(OR(X$1="Crit Chance",X$1="Crit Damage",X$1="Condition Duration"),1,0),_xlpm.Flat,$H32,_xlpm.Percentage,$H32*X$29,_xlpm.Derived,$H32*X$29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X$1,AND($G32="All",_xlpm.PercentCheck=0)),_xlfn.IFS(AND($I32="Flat",$J32=0),_xlpm.Flat,AND($I32="Percentage",$J32=0),_xlpm.Percentage,$J32="Derived",_xlpm.Derived,$J32="Boon Enhancement",_xlpm.BoonEnhancement,$J32="Stacking",_xlpm.Stacking),""))</f>
        <v/>
      </c>
      <c r="Y32" s="190" t="str" cm="1">
        <f t="array" ref="Y32">_xlfn.LET(_xlpm.PercentCheck,IF(OR(Y$1="Crit Chance",Y$1="Crit Damage",Y$1="Condition Duration"),1,0),_xlpm.Flat,$H32,_xlpm.Percentage,$H32*Y$29,_xlpm.Derived,$H32*Y$29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Y$1,AND($G32="All",_xlpm.PercentCheck=0)),_xlfn.IFS(AND($I32="Flat",$J32=0),_xlpm.Flat,AND($I32="Percentage",$J32=0),_xlpm.Percentage,$J32="Derived",_xlpm.Derived,$J32="Boon Enhancement",_xlpm.BoonEnhancement,$J32="Stacking",_xlpm.Stacking),""))</f>
        <v/>
      </c>
      <c r="Z32" s="190" t="str" cm="1">
        <f t="array" ref="Z32">_xlfn.LET(_xlpm.PercentCheck,IF(OR(Z$1="Crit Chance",Z$1="Crit Damage",Z$1="Condition Duration"),1,0),_xlpm.Flat,$H32,_xlpm.Percentage,$H32*Z$29,_xlpm.Derived,$H32*Z$29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Z$1,AND($G32="All",_xlpm.PercentCheck=0)),_xlfn.IFS(AND($I32="Flat",$J32=0),_xlpm.Flat,AND($I32="Percentage",$J32=0),_xlpm.Percentage,$J32="Derived",_xlpm.Derived,$J32="Boon Enhancement",_xlpm.BoonEnhancement,$J32="Stacking",_xlpm.Stacking),""))</f>
        <v/>
      </c>
      <c r="AA32" s="190" t="str" cm="1">
        <f t="array" ref="AA32">_xlfn.LET(_xlpm.PercentCheck,IF(OR(AA$1="Crit Chance",AA$1="Crit Damage",AA$1="Condition Duration"),1,0),_xlpm.Flat,$H32,_xlpm.Percentage,$H32*AA$29,_xlpm.Derived,$H32*AA$29,_xlpm.BoonType,VLOOKUP($M32,BoonToggles,2,0),_xlpm.BoonEnhancement,IF(AND(ISLOGICAL(_xlpm.BoonType),_xlpm.BoonType=TRUE),IF($I32="Flat",$H32,_xlpm.Percentage),IF($I32="Flat",$H32*_xlpm.BoonType,_xlpm.Percentage*_xlpm.BoonType)),_xlpm.Stacking,IF($I32="Flat",$H32*Spec1MajorMasterStacks,IF(_xlpm.PercentCheck=1,"",_xlpm.Percentage*Spec1MajorMasterStacks)),IF(OR($G32=AA$1,AND($G32="All",_xlpm.PercentCheck=0)),_xlfn.IFS(AND($I32="Flat",$J32=0),_xlpm.Flat,AND($I32="Percentage",$J32=0),_xlpm.Percentage,$J32="Derived",_xlpm.Derived,$J32="Boon Enhancement",_xlpm.BoonEnhancement,$J32="Stacking",_xlpm.Stacking),""))</f>
        <v/>
      </c>
    </row>
    <row r="33" spans="1:27" ht="14.25" customHeight="1">
      <c r="A33" s="566"/>
      <c r="B33" s="556"/>
      <c r="C33" s="194"/>
      <c r="D33" s="195"/>
      <c r="E33" s="195"/>
      <c r="F33" s="195"/>
      <c r="G33" s="195"/>
      <c r="H33" s="195"/>
      <c r="I33" s="195"/>
      <c r="J33" s="195"/>
      <c r="K33" s="195"/>
      <c r="L33" s="195"/>
      <c r="M33" s="195"/>
      <c r="N33" s="195"/>
      <c r="O33" s="196"/>
      <c r="P33" s="190" t="str" cm="1">
        <f t="array" ref="P33">_xlfn.LET(_xlpm.PercentCheck,IF(OR(P$1="Crit Chance",P$1="Crit Damage",P$1="Condition Duration"),1,0),_xlpm.Flat,$H33,_xlpm.Percentage,$H33*P$29,_xlpm.Derived,$H33*P$29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P$1,AND($G33="All",_xlpm.PercentCheck=0)),_xlfn.IFS(AND($I33="Flat",$J33=0),_xlpm.Flat,AND($I33="Percentage",$J33=0),_xlpm.Percentage,$J33="Derived",_xlpm.Derived,$J33="Boon Enhancement",_xlpm.BoonEnhancement,$J33="Stacking",_xlpm.Stacking),""))</f>
        <v/>
      </c>
      <c r="Q33" s="190" t="str" cm="1">
        <f t="array" ref="Q33">_xlfn.LET(_xlpm.PercentCheck,IF(OR(Q$1="Crit Chance",Q$1="Crit Damage",Q$1="Condition Duration"),1,0),_xlpm.Flat,$H33,_xlpm.Percentage,$H33*Q$29,_xlpm.Derived,$H33*Q$29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Q$1,AND($G33="All",_xlpm.PercentCheck=0)),_xlfn.IFS(AND($I33="Flat",$J33=0),_xlpm.Flat,AND($I33="Percentage",$J33=0),_xlpm.Percentage,$J33="Derived",_xlpm.Derived,$J33="Boon Enhancement",_xlpm.BoonEnhancement,$J33="Stacking",_xlpm.Stacking),""))</f>
        <v/>
      </c>
      <c r="R33" s="190" t="str" cm="1">
        <f t="array" ref="R33">_xlfn.LET(_xlpm.PercentCheck,IF(OR(R$1="Crit Chance",R$1="Crit Damage",R$1="Condition Duration"),1,0),_xlpm.Flat,$H33,_xlpm.Percentage,$H33*R$29,_xlpm.Derived,$H33*R$29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R$1,AND($G33="All",_xlpm.PercentCheck=0)),_xlfn.IFS(AND($I33="Flat",$J33=0),_xlpm.Flat,AND($I33="Percentage",$J33=0),_xlpm.Percentage,$J33="Derived",_xlpm.Derived,$J33="Boon Enhancement",_xlpm.BoonEnhancement,$J33="Stacking",_xlpm.Stacking),""))</f>
        <v/>
      </c>
      <c r="S33" s="190" t="str" cm="1">
        <f t="array" ref="S33">_xlfn.LET(_xlpm.PercentCheck,IF(OR(S$1="Crit Chance",S$1="Crit Damage",S$1="Condition Duration"),1,0),_xlpm.Flat,$H33,_xlpm.Percentage,$H33*S$29,_xlpm.Derived,$H33*S$29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S$1,AND($G33="All",_xlpm.PercentCheck=0)),_xlfn.IFS(AND($I33="Flat",$J33=0),_xlpm.Flat,AND($I33="Percentage",$J33=0),_xlpm.Percentage,$J33="Derived",_xlpm.Derived,$J33="Boon Enhancement",_xlpm.BoonEnhancement,$J33="Stacking",_xlpm.Stacking),""))</f>
        <v/>
      </c>
      <c r="T33" s="190" t="str" cm="1">
        <f t="array" ref="T33">_xlfn.LET(_xlpm.PercentCheck,IF(OR(T$1="Crit Chance",T$1="Crit Damage",T$1="Condition Duration"),1,0),_xlpm.Flat,$H33,_xlpm.Percentage,$H33*T$29,_xlpm.Derived,$H33*T$29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T$1,AND($G33="All",_xlpm.PercentCheck=0)),_xlfn.IFS(AND($I33="Flat",$J33=0),_xlpm.Flat,AND($I33="Percentage",$J33=0),_xlpm.Percentage,$J33="Derived",_xlpm.Derived,$J33="Boon Enhancement",_xlpm.BoonEnhancement,$J33="Stacking",_xlpm.Stacking),""))</f>
        <v/>
      </c>
      <c r="U33" s="190" t="str" cm="1">
        <f t="array" ref="U33">_xlfn.LET(_xlpm.PercentCheck,IF(OR(U$1="Crit Chance",U$1="Crit Damage",U$1="Condition Duration"),1,0),_xlpm.Flat,$H33,_xlpm.Percentage,$H33*U$29,_xlpm.Derived,$H33*U$29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U$1,AND($G33="All",_xlpm.PercentCheck=0)),_xlfn.IFS(AND($I33="Flat",$J33=0),_xlpm.Flat,AND($I33="Percentage",$J33=0),_xlpm.Percentage,$J33="Derived",_xlpm.Derived,$J33="Boon Enhancement",_xlpm.BoonEnhancement,$J33="Stacking",_xlpm.Stacking),""))</f>
        <v/>
      </c>
      <c r="V33" s="190" t="str" cm="1">
        <f t="array" ref="V33">_xlfn.LET(_xlpm.PercentCheck,IF(OR(V$1="Crit Chance",V$1="Crit Damage",V$1="Condition Duration"),1,0),_xlpm.Flat,$H33,_xlpm.Percentage,$H33*V$29,_xlpm.Derived,$H33*V$29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V$1,AND($G33="All",_xlpm.PercentCheck=0)),_xlfn.IFS(AND($I33="Flat",$J33=0),_xlpm.Flat,AND($I33="Percentage",$J33=0),_xlpm.Percentage,$J33="Derived",_xlpm.Derived,$J33="Boon Enhancement",_xlpm.BoonEnhancement,$J33="Stacking",_xlpm.Stacking),""))</f>
        <v/>
      </c>
      <c r="W33" s="190" t="str" cm="1">
        <f t="array" ref="W33">_xlfn.LET(_xlpm.PercentCheck,IF(OR(W$1="Crit Chance",W$1="Crit Damage",W$1="Condition Duration"),1,0),_xlpm.Flat,$H33,_xlpm.Percentage,$H33*W$29,_xlpm.Derived,$H33*W$29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W$1,AND($G33="All",_xlpm.PercentCheck=0)),_xlfn.IFS(AND($I33="Flat",$J33=0),_xlpm.Flat,AND($I33="Percentage",$J33=0),_xlpm.Percentage,$J33="Derived",_xlpm.Derived,$J33="Boon Enhancement",_xlpm.BoonEnhancement,$J33="Stacking",_xlpm.Stacking),""))</f>
        <v/>
      </c>
      <c r="X33" s="190" t="str" cm="1">
        <f t="array" ref="X33">_xlfn.LET(_xlpm.PercentCheck,IF(OR(X$1="Crit Chance",X$1="Crit Damage",X$1="Condition Duration"),1,0),_xlpm.Flat,$H33,_xlpm.Percentage,$H33*X$29,_xlpm.Derived,$H33*X$29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X$1,AND($G33="All",_xlpm.PercentCheck=0)),_xlfn.IFS(AND($I33="Flat",$J33=0),_xlpm.Flat,AND($I33="Percentage",$J33=0),_xlpm.Percentage,$J33="Derived",_xlpm.Derived,$J33="Boon Enhancement",_xlpm.BoonEnhancement,$J33="Stacking",_xlpm.Stacking),""))</f>
        <v/>
      </c>
      <c r="Y33" s="190" t="str" cm="1">
        <f t="array" ref="Y33">_xlfn.LET(_xlpm.PercentCheck,IF(OR(Y$1="Crit Chance",Y$1="Crit Damage",Y$1="Condition Duration"),1,0),_xlpm.Flat,$H33,_xlpm.Percentage,$H33*Y$29,_xlpm.Derived,$H33*Y$29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Y$1,AND($G33="All",_xlpm.PercentCheck=0)),_xlfn.IFS(AND($I33="Flat",$J33=0),_xlpm.Flat,AND($I33="Percentage",$J33=0),_xlpm.Percentage,$J33="Derived",_xlpm.Derived,$J33="Boon Enhancement",_xlpm.BoonEnhancement,$J33="Stacking",_xlpm.Stacking),""))</f>
        <v/>
      </c>
      <c r="Z33" s="190" t="str" cm="1">
        <f t="array" ref="Z33">_xlfn.LET(_xlpm.PercentCheck,IF(OR(Z$1="Crit Chance",Z$1="Crit Damage",Z$1="Condition Duration"),1,0),_xlpm.Flat,$H33,_xlpm.Percentage,$H33*Z$29,_xlpm.Derived,$H33*Z$29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Z$1,AND($G33="All",_xlpm.PercentCheck=0)),_xlfn.IFS(AND($I33="Flat",$J33=0),_xlpm.Flat,AND($I33="Percentage",$J33=0),_xlpm.Percentage,$J33="Derived",_xlpm.Derived,$J33="Boon Enhancement",_xlpm.BoonEnhancement,$J33="Stacking",_xlpm.Stacking),""))</f>
        <v/>
      </c>
      <c r="AA33" s="190" t="str" cm="1">
        <f t="array" ref="AA33">_xlfn.LET(_xlpm.PercentCheck,IF(OR(AA$1="Crit Chance",AA$1="Crit Damage",AA$1="Condition Duration"),1,0),_xlpm.Flat,$H33,_xlpm.Percentage,$H33*AA$29,_xlpm.Derived,$H33*AA$29,_xlpm.BoonType,VLOOKUP($M33,BoonToggles,2,0),_xlpm.BoonEnhancement,IF(AND(ISLOGICAL(_xlpm.BoonType),_xlpm.BoonType=TRUE),IF($I33="Flat",$H33,_xlpm.Percentage),IF($I33="Flat",$H33*_xlpm.BoonType,_xlpm.Percentage*_xlpm.BoonType)),_xlpm.Stacking,IF($I33="Flat",$H33*Spec1MajorMasterStacks,IF(_xlpm.PercentCheck=1,"",_xlpm.Percentage*Spec1MajorMasterStacks)),IF(OR($G33=AA$1,AND($G33="All",_xlpm.PercentCheck=0)),_xlfn.IFS(AND($I33="Flat",$J33=0),_xlpm.Flat,AND($I33="Percentage",$J33=0),_xlpm.Percentage,$J33="Derived",_xlpm.Derived,$J33="Boon Enhancement",_xlpm.BoonEnhancement,$J33="Stacking",_xlpm.Stacking),""))</f>
        <v/>
      </c>
    </row>
    <row r="34" spans="1:27" ht="14.25" customHeight="1">
      <c r="A34" s="566"/>
      <c r="B34" s="557"/>
      <c r="C34" s="194"/>
      <c r="D34" s="195"/>
      <c r="E34" s="195"/>
      <c r="F34" s="195"/>
      <c r="G34" s="195"/>
      <c r="H34" s="195"/>
      <c r="I34" s="195"/>
      <c r="J34" s="195"/>
      <c r="K34" s="195"/>
      <c r="L34" s="195"/>
      <c r="M34" s="195"/>
      <c r="N34" s="195"/>
      <c r="O34" s="196"/>
      <c r="P34" s="190" t="str" cm="1">
        <f t="array" ref="P34">_xlfn.LET(_xlpm.PercentCheck,IF(OR(P$1="Crit Chance",P$1="Crit Damage",P$1="Condition Duration"),1,0),_xlpm.Flat,$H34,_xlpm.Percentage,$H34*P$29,_xlpm.Derived,$H34*P$29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P$1,AND($G34="All",_xlpm.PercentCheck=0)),_xlfn.IFS(AND($I34="Flat",$J34=0),_xlpm.Flat,AND($I34="Percentage",$J34=0),_xlpm.Percentage,$J34="Derived",_xlpm.Derived,$J34="Boon Enhancement",_xlpm.BoonEnhancement,$J34="Stacking",_xlpm.Stacking),""))</f>
        <v/>
      </c>
      <c r="Q34" s="190" t="str" cm="1">
        <f t="array" ref="Q34">_xlfn.LET(_xlpm.PercentCheck,IF(OR(Q$1="Crit Chance",Q$1="Crit Damage",Q$1="Condition Duration"),1,0),_xlpm.Flat,$H34,_xlpm.Percentage,$H34*Q$29,_xlpm.Derived,$H34*Q$29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Q$1,AND($G34="All",_xlpm.PercentCheck=0)),_xlfn.IFS(AND($I34="Flat",$J34=0),_xlpm.Flat,AND($I34="Percentage",$J34=0),_xlpm.Percentage,$J34="Derived",_xlpm.Derived,$J34="Boon Enhancement",_xlpm.BoonEnhancement,$J34="Stacking",_xlpm.Stacking),""))</f>
        <v/>
      </c>
      <c r="R34" s="190" t="str" cm="1">
        <f t="array" ref="R34">_xlfn.LET(_xlpm.PercentCheck,IF(OR(R$1="Crit Chance",R$1="Crit Damage",R$1="Condition Duration"),1,0),_xlpm.Flat,$H34,_xlpm.Percentage,$H34*R$29,_xlpm.Derived,$H34*R$29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R$1,AND($G34="All",_xlpm.PercentCheck=0)),_xlfn.IFS(AND($I34="Flat",$J34=0),_xlpm.Flat,AND($I34="Percentage",$J34=0),_xlpm.Percentage,$J34="Derived",_xlpm.Derived,$J34="Boon Enhancement",_xlpm.BoonEnhancement,$J34="Stacking",_xlpm.Stacking),""))</f>
        <v/>
      </c>
      <c r="S34" s="190" t="str" cm="1">
        <f t="array" ref="S34">_xlfn.LET(_xlpm.PercentCheck,IF(OR(S$1="Crit Chance",S$1="Crit Damage",S$1="Condition Duration"),1,0),_xlpm.Flat,$H34,_xlpm.Percentage,$H34*S$29,_xlpm.Derived,$H34*S$29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S$1,AND($G34="All",_xlpm.PercentCheck=0)),_xlfn.IFS(AND($I34="Flat",$J34=0),_xlpm.Flat,AND($I34="Percentage",$J34=0),_xlpm.Percentage,$J34="Derived",_xlpm.Derived,$J34="Boon Enhancement",_xlpm.BoonEnhancement,$J34="Stacking",_xlpm.Stacking),""))</f>
        <v/>
      </c>
      <c r="T34" s="190" t="str" cm="1">
        <f t="array" ref="T34">_xlfn.LET(_xlpm.PercentCheck,IF(OR(T$1="Crit Chance",T$1="Crit Damage",T$1="Condition Duration"),1,0),_xlpm.Flat,$H34,_xlpm.Percentage,$H34*T$29,_xlpm.Derived,$H34*T$29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T$1,AND($G34="All",_xlpm.PercentCheck=0)),_xlfn.IFS(AND($I34="Flat",$J34=0),_xlpm.Flat,AND($I34="Percentage",$J34=0),_xlpm.Percentage,$J34="Derived",_xlpm.Derived,$J34="Boon Enhancement",_xlpm.BoonEnhancement,$J34="Stacking",_xlpm.Stacking),""))</f>
        <v/>
      </c>
      <c r="U34" s="190" t="str" cm="1">
        <f t="array" ref="U34">_xlfn.LET(_xlpm.PercentCheck,IF(OR(U$1="Crit Chance",U$1="Crit Damage",U$1="Condition Duration"),1,0),_xlpm.Flat,$H34,_xlpm.Percentage,$H34*U$29,_xlpm.Derived,$H34*U$29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U$1,AND($G34="All",_xlpm.PercentCheck=0)),_xlfn.IFS(AND($I34="Flat",$J34=0),_xlpm.Flat,AND($I34="Percentage",$J34=0),_xlpm.Percentage,$J34="Derived",_xlpm.Derived,$J34="Boon Enhancement",_xlpm.BoonEnhancement,$J34="Stacking",_xlpm.Stacking),""))</f>
        <v/>
      </c>
      <c r="V34" s="190" t="str" cm="1">
        <f t="array" ref="V34">_xlfn.LET(_xlpm.PercentCheck,IF(OR(V$1="Crit Chance",V$1="Crit Damage",V$1="Condition Duration"),1,0),_xlpm.Flat,$H34,_xlpm.Percentage,$H34*V$29,_xlpm.Derived,$H34*V$29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V$1,AND($G34="All",_xlpm.PercentCheck=0)),_xlfn.IFS(AND($I34="Flat",$J34=0),_xlpm.Flat,AND($I34="Percentage",$J34=0),_xlpm.Percentage,$J34="Derived",_xlpm.Derived,$J34="Boon Enhancement",_xlpm.BoonEnhancement,$J34="Stacking",_xlpm.Stacking),""))</f>
        <v/>
      </c>
      <c r="W34" s="190" t="str" cm="1">
        <f t="array" ref="W34">_xlfn.LET(_xlpm.PercentCheck,IF(OR(W$1="Crit Chance",W$1="Crit Damage",W$1="Condition Duration"),1,0),_xlpm.Flat,$H34,_xlpm.Percentage,$H34*W$29,_xlpm.Derived,$H34*W$29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W$1,AND($G34="All",_xlpm.PercentCheck=0)),_xlfn.IFS(AND($I34="Flat",$J34=0),_xlpm.Flat,AND($I34="Percentage",$J34=0),_xlpm.Percentage,$J34="Derived",_xlpm.Derived,$J34="Boon Enhancement",_xlpm.BoonEnhancement,$J34="Stacking",_xlpm.Stacking),""))</f>
        <v/>
      </c>
      <c r="X34" s="190" t="str" cm="1">
        <f t="array" ref="X34">_xlfn.LET(_xlpm.PercentCheck,IF(OR(X$1="Crit Chance",X$1="Crit Damage",X$1="Condition Duration"),1,0),_xlpm.Flat,$H34,_xlpm.Percentage,$H34*X$29,_xlpm.Derived,$H34*X$29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X$1,AND($G34="All",_xlpm.PercentCheck=0)),_xlfn.IFS(AND($I34="Flat",$J34=0),_xlpm.Flat,AND($I34="Percentage",$J34=0),_xlpm.Percentage,$J34="Derived",_xlpm.Derived,$J34="Boon Enhancement",_xlpm.BoonEnhancement,$J34="Stacking",_xlpm.Stacking),""))</f>
        <v/>
      </c>
      <c r="Y34" s="190" t="str" cm="1">
        <f t="array" ref="Y34">_xlfn.LET(_xlpm.PercentCheck,IF(OR(Y$1="Crit Chance",Y$1="Crit Damage",Y$1="Condition Duration"),1,0),_xlpm.Flat,$H34,_xlpm.Percentage,$H34*Y$29,_xlpm.Derived,$H34*Y$29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Y$1,AND($G34="All",_xlpm.PercentCheck=0)),_xlfn.IFS(AND($I34="Flat",$J34=0),_xlpm.Flat,AND($I34="Percentage",$J34=0),_xlpm.Percentage,$J34="Derived",_xlpm.Derived,$J34="Boon Enhancement",_xlpm.BoonEnhancement,$J34="Stacking",_xlpm.Stacking),""))</f>
        <v/>
      </c>
      <c r="Z34" s="190" t="str" cm="1">
        <f t="array" ref="Z34">_xlfn.LET(_xlpm.PercentCheck,IF(OR(Z$1="Crit Chance",Z$1="Crit Damage",Z$1="Condition Duration"),1,0),_xlpm.Flat,$H34,_xlpm.Percentage,$H34*Z$29,_xlpm.Derived,$H34*Z$29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Z$1,AND($G34="All",_xlpm.PercentCheck=0)),_xlfn.IFS(AND($I34="Flat",$J34=0),_xlpm.Flat,AND($I34="Percentage",$J34=0),_xlpm.Percentage,$J34="Derived",_xlpm.Derived,$J34="Boon Enhancement",_xlpm.BoonEnhancement,$J34="Stacking",_xlpm.Stacking),""))</f>
        <v/>
      </c>
      <c r="AA34" s="190" t="str" cm="1">
        <f t="array" ref="AA34">_xlfn.LET(_xlpm.PercentCheck,IF(OR(AA$1="Crit Chance",AA$1="Crit Damage",AA$1="Condition Duration"),1,0),_xlpm.Flat,$H34,_xlpm.Percentage,$H34*AA$29,_xlpm.Derived,$H34*AA$29,_xlpm.BoonType,VLOOKUP($M34,BoonToggles,2,0),_xlpm.BoonEnhancement,IF(AND(ISLOGICAL(_xlpm.BoonType),_xlpm.BoonType=TRUE),IF($I34="Flat",$H34,_xlpm.Percentage),IF($I34="Flat",$H34*_xlpm.BoonType,_xlpm.Percentage*_xlpm.BoonType)),_xlpm.Stacking,IF($I34="Flat",$H34*Spec1MajorMasterStacks,IF(_xlpm.PercentCheck=1,"",_xlpm.Percentage*Spec1MajorMasterStacks)),IF(OR($G34=AA$1,AND($G34="All",_xlpm.PercentCheck=0)),_xlfn.IFS(AND($I34="Flat",$J34=0),_xlpm.Flat,AND($I34="Percentage",$J34=0),_xlpm.Percentage,$J34="Derived",_xlpm.Derived,$J34="Boon Enhancement",_xlpm.BoonEnhancement,$J34="Stacking",_xlpm.Stacking),""))</f>
        <v/>
      </c>
    </row>
    <row r="35" spans="1:27" s="171" customFormat="1" ht="14.25" customHeight="1">
      <c r="A35" s="566"/>
      <c r="B35" s="559" t="s">
        <v>3500</v>
      </c>
      <c r="C35" s="559"/>
      <c r="D35" s="559"/>
      <c r="E35" s="559"/>
      <c r="F35" s="559"/>
      <c r="G35" s="559"/>
      <c r="H35" s="559"/>
      <c r="I35" s="559"/>
      <c r="J35" s="559"/>
      <c r="K35" s="559"/>
      <c r="L35" s="559"/>
      <c r="M35" s="559"/>
      <c r="N35" s="559"/>
      <c r="O35" s="560"/>
      <c r="P35" s="197">
        <f t="shared" ref="P35:AA35" si="17">SUM(P$30:P$34)</f>
        <v>0</v>
      </c>
      <c r="Q35" s="198">
        <f t="shared" si="17"/>
        <v>0</v>
      </c>
      <c r="R35" s="198">
        <f t="shared" si="17"/>
        <v>0</v>
      </c>
      <c r="S35" s="198">
        <f t="shared" si="17"/>
        <v>0</v>
      </c>
      <c r="T35" s="198">
        <f t="shared" si="17"/>
        <v>0</v>
      </c>
      <c r="U35" s="198">
        <f>SUM(U$30:U$34)</f>
        <v>0</v>
      </c>
      <c r="V35" s="198">
        <f t="shared" si="17"/>
        <v>0</v>
      </c>
      <c r="W35" s="198">
        <f t="shared" si="17"/>
        <v>0</v>
      </c>
      <c r="X35" s="198">
        <f t="shared" si="17"/>
        <v>0</v>
      </c>
      <c r="Y35" s="199">
        <f t="shared" si="17"/>
        <v>0</v>
      </c>
      <c r="Z35" s="199">
        <f t="shared" si="17"/>
        <v>0</v>
      </c>
      <c r="AA35" s="199">
        <f t="shared" si="17"/>
        <v>0</v>
      </c>
    </row>
    <row r="36" spans="1:27" s="171" customFormat="1" ht="14.25" customHeight="1">
      <c r="A36" s="566"/>
      <c r="B36" s="559" t="s">
        <v>3501</v>
      </c>
      <c r="C36" s="559"/>
      <c r="D36" s="559"/>
      <c r="E36" s="559"/>
      <c r="F36" s="559"/>
      <c r="G36" s="559"/>
      <c r="H36" s="559"/>
      <c r="I36" s="559"/>
      <c r="J36" s="559"/>
      <c r="K36" s="559"/>
      <c r="L36" s="559"/>
      <c r="M36" s="559"/>
      <c r="N36" s="559"/>
      <c r="O36" s="560"/>
      <c r="P36" s="197">
        <f>SUM(P$29,SUMIFS(P$30:P$34,$I$30:$I$34,"Percentage",$J$30:$J$34,"&lt;&gt;Derived"))</f>
        <v>1657</v>
      </c>
      <c r="Q36" s="197">
        <f t="shared" ref="Q36:X36" si="18">SUM(Q$29,SUMIFS(Q$30:Q$34,$I$30:$I$34,"Percentage",$J$30:$J$34,"&lt;&gt;Derived"))</f>
        <v>1594</v>
      </c>
      <c r="R36" s="197">
        <f t="shared" si="18"/>
        <v>1221</v>
      </c>
      <c r="S36" s="197">
        <f t="shared" si="18"/>
        <v>1156</v>
      </c>
      <c r="T36" s="197">
        <f t="shared" si="18"/>
        <v>10</v>
      </c>
      <c r="U36" s="197">
        <f t="shared" si="18"/>
        <v>249.6</v>
      </c>
      <c r="V36" s="197">
        <f t="shared" si="18"/>
        <v>260</v>
      </c>
      <c r="W36" s="197">
        <f t="shared" si="18"/>
        <v>248</v>
      </c>
      <c r="X36" s="197">
        <f t="shared" si="18"/>
        <v>47</v>
      </c>
      <c r="Y36" s="480"/>
      <c r="Z36" s="480"/>
      <c r="AA36" s="480"/>
    </row>
    <row r="37" spans="1:27" ht="14.25" customHeight="1">
      <c r="A37" s="566"/>
      <c r="B37" s="558" t="s">
        <v>24</v>
      </c>
      <c r="C37" s="200" t="str" cm="1">
        <f t="array" ref="C37">IF(OR(Spec1MajorGrandmasterCondition="(Select)",Spec1MajorGrandmasterCondition=""),_xlfn._xlws.FILTER(TraitStats,(TraitStatsTable[Name]=Spec1MajorGrandmaster)*(TraitStatsTable[Condition]=""),"No stat bonus"),_xlfn._xlws.FILTER(TraitStats,(TraitStatsTable[Name]=Spec1MajorGrandmaster)*((TraitStatsTable[Condition]=Spec1MajorGrandmasterCondition)+(TraitStatsTable[Condition]="")),"No stat bonus"))</f>
        <v>No stat bonus</v>
      </c>
      <c r="D37" s="195"/>
      <c r="E37" s="195"/>
      <c r="F37" s="195"/>
      <c r="G37" s="195"/>
      <c r="H37" s="195"/>
      <c r="I37" s="195"/>
      <c r="J37" s="195"/>
      <c r="K37" s="195"/>
      <c r="L37" s="195"/>
      <c r="M37" s="195"/>
      <c r="N37" s="195"/>
      <c r="O37" s="196"/>
      <c r="P37" s="190" t="str" cm="1">
        <f t="array" ref="P37">_xlfn.LET(_xlpm.PercentCheck,IF(OR(P$1="Crit Chance",P$1="Crit Damage",P$1="Condition Duration"),1,0),_xlpm.Flat,$H37,_xlpm.Percentage,$H37*P$36,_xlpm.Derived,$H37*P$36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P$1,AND(_xlpm.PercentCheck=0,$G37="All")),_xlfn.IFS(AND($I37="Flat",$J37=0),_xlpm.Flat,AND($I37="Percentage",$J37=0),_xlpm.Percentage,$J37="Derived",_xlpm.Derived,$J37="Boon Enhancement",_xlpm.BoonEnhancement,$J37="Stacking",_xlpm.Stacking),""))</f>
        <v/>
      </c>
      <c r="Q37" s="190" t="str" cm="1">
        <f t="array" ref="Q37">_xlfn.LET(_xlpm.PercentCheck,IF(OR(Q$1="Crit Chance",Q$1="Crit Damage",Q$1="Condition Duration"),1,0),_xlpm.Flat,$H37,_xlpm.Percentage,$H37*Q$36,_xlpm.Derived,$H37*Q$36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Q$1,AND(_xlpm.PercentCheck=0,$G37="All")),_xlfn.IFS(AND($I37="Flat",$J37=0),_xlpm.Flat,AND($I37="Percentage",$J37=0),_xlpm.Percentage,$J37="Derived",_xlpm.Derived,$J37="Boon Enhancement",_xlpm.BoonEnhancement,$J37="Stacking",_xlpm.Stacking),""))</f>
        <v/>
      </c>
      <c r="R37" s="190" t="str" cm="1">
        <f t="array" ref="R37">_xlfn.LET(_xlpm.PercentCheck,IF(OR(R$1="Crit Chance",R$1="Crit Damage",R$1="Condition Duration"),1,0),_xlpm.Flat,$H37,_xlpm.Percentage,$H37*R$36,_xlpm.Derived,$H37*R$36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R$1,AND(_xlpm.PercentCheck=0,$G37="All")),_xlfn.IFS(AND($I37="Flat",$J37=0),_xlpm.Flat,AND($I37="Percentage",$J37=0),_xlpm.Percentage,$J37="Derived",_xlpm.Derived,$J37="Boon Enhancement",_xlpm.BoonEnhancement,$J37="Stacking",_xlpm.Stacking),""))</f>
        <v/>
      </c>
      <c r="S37" s="190" t="str" cm="1">
        <f t="array" ref="S37">_xlfn.LET(_xlpm.PercentCheck,IF(OR(S$1="Crit Chance",S$1="Crit Damage",S$1="Condition Duration"),1,0),_xlpm.Flat,$H37,_xlpm.Percentage,$H37*S$36,_xlpm.Derived,$H37*S$36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S$1,AND(_xlpm.PercentCheck=0,$G37="All")),_xlfn.IFS(AND($I37="Flat",$J37=0),_xlpm.Flat,AND($I37="Percentage",$J37=0),_xlpm.Percentage,$J37="Derived",_xlpm.Derived,$J37="Boon Enhancement",_xlpm.BoonEnhancement,$J37="Stacking",_xlpm.Stacking),""))</f>
        <v/>
      </c>
      <c r="T37" s="190" t="str" cm="1">
        <f t="array" ref="T37">_xlfn.LET(_xlpm.PercentCheck,IF(OR(T$1="Crit Chance",T$1="Crit Damage",T$1="Condition Duration"),1,0),_xlpm.Flat,$H37,_xlpm.Percentage,$H37*T$36,_xlpm.Derived,$H37*T$36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T$1,AND(_xlpm.PercentCheck=0,$G37="All")),_xlfn.IFS(AND($I37="Flat",$J37=0),_xlpm.Flat,AND($I37="Percentage",$J37=0),_xlpm.Percentage,$J37="Derived",_xlpm.Derived,$J37="Boon Enhancement",_xlpm.BoonEnhancement,$J37="Stacking",_xlpm.Stacking),""))</f>
        <v/>
      </c>
      <c r="U37" s="190" t="str" cm="1">
        <f t="array" ref="U37">_xlfn.LET(_xlpm.PercentCheck,IF(OR(U$1="Crit Chance",U$1="Crit Damage",U$1="Condition Duration"),1,0),_xlpm.Flat,$H37,_xlpm.Percentage,$H37*U$36,_xlpm.Derived,$H37*U$36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U$1,AND(_xlpm.PercentCheck=0,$G37="All")),_xlfn.IFS(AND($I37="Flat",$J37=0),_xlpm.Flat,AND($I37="Percentage",$J37=0),_xlpm.Percentage,$J37="Derived",_xlpm.Derived,$J37="Boon Enhancement",_xlpm.BoonEnhancement,$J37="Stacking",_xlpm.Stacking),""))</f>
        <v/>
      </c>
      <c r="V37" s="190" t="str" cm="1">
        <f t="array" ref="V37">_xlfn.LET(_xlpm.PercentCheck,IF(OR(V$1="Crit Chance",V$1="Crit Damage",V$1="Condition Duration"),1,0),_xlpm.Flat,$H37,_xlpm.Percentage,$H37*V$36,_xlpm.Derived,$H37*V$36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V$1,AND(_xlpm.PercentCheck=0,$G37="All")),_xlfn.IFS(AND($I37="Flat",$J37=0),_xlpm.Flat,AND($I37="Percentage",$J37=0),_xlpm.Percentage,$J37="Derived",_xlpm.Derived,$J37="Boon Enhancement",_xlpm.BoonEnhancement,$J37="Stacking",_xlpm.Stacking),""))</f>
        <v/>
      </c>
      <c r="W37" s="190" t="str" cm="1">
        <f t="array" ref="W37">_xlfn.LET(_xlpm.PercentCheck,IF(OR(W$1="Crit Chance",W$1="Crit Damage",W$1="Condition Duration"),1,0),_xlpm.Flat,$H37,_xlpm.Percentage,$H37*W$36,_xlpm.Derived,$H37*W$36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W$1,AND(_xlpm.PercentCheck=0,$G37="All")),_xlfn.IFS(AND($I37="Flat",$J37=0),_xlpm.Flat,AND($I37="Percentage",$J37=0),_xlpm.Percentage,$J37="Derived",_xlpm.Derived,$J37="Boon Enhancement",_xlpm.BoonEnhancement,$J37="Stacking",_xlpm.Stacking),""))</f>
        <v/>
      </c>
      <c r="X37" s="190" t="str" cm="1">
        <f t="array" ref="X37">_xlfn.LET(_xlpm.PercentCheck,IF(OR(X$1="Crit Chance",X$1="Crit Damage",X$1="Condition Duration"),1,0),_xlpm.Flat,$H37,_xlpm.Percentage,$H37*X$36,_xlpm.Derived,$H37*X$36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X$1,AND(_xlpm.PercentCheck=0,$G37="All")),_xlfn.IFS(AND($I37="Flat",$J37=0),_xlpm.Flat,AND($I37="Percentage",$J37=0),_xlpm.Percentage,$J37="Derived",_xlpm.Derived,$J37="Boon Enhancement",_xlpm.BoonEnhancement,$J37="Stacking",_xlpm.Stacking),""))</f>
        <v/>
      </c>
      <c r="Y37" s="190" t="str" cm="1">
        <f t="array" ref="Y37">_xlfn.LET(_xlpm.PercentCheck,IF(OR(Y$1="Crit Chance",Y$1="Crit Damage",Y$1="Condition Duration"),1,0),_xlpm.Flat,$H37,_xlpm.Percentage,$H37*Y$36,_xlpm.Derived,$H37*Y$36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Y$1,AND(_xlpm.PercentCheck=0,$G37="All")),_xlfn.IFS(AND($I37="Flat",$J37=0),_xlpm.Flat,AND($I37="Percentage",$J37=0),_xlpm.Percentage,$J37="Derived",_xlpm.Derived,$J37="Boon Enhancement",_xlpm.BoonEnhancement,$J37="Stacking",_xlpm.Stacking),""))</f>
        <v/>
      </c>
      <c r="Z37" s="190" t="str" cm="1">
        <f t="array" ref="Z37">_xlfn.LET(_xlpm.PercentCheck,IF(OR(Z$1="Crit Chance",Z$1="Crit Damage",Z$1="Condition Duration"),1,0),_xlpm.Flat,$H37,_xlpm.Percentage,$H37*Z$36,_xlpm.Derived,$H37*Z$36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Z$1,AND(_xlpm.PercentCheck=0,$G37="All")),_xlfn.IFS(AND($I37="Flat",$J37=0),_xlpm.Flat,AND($I37="Percentage",$J37=0),_xlpm.Percentage,$J37="Derived",_xlpm.Derived,$J37="Boon Enhancement",_xlpm.BoonEnhancement,$J37="Stacking",_xlpm.Stacking),""))</f>
        <v/>
      </c>
      <c r="AA37" s="190" t="str" cm="1">
        <f t="array" ref="AA37">_xlfn.LET(_xlpm.PercentCheck,IF(OR(AA$1="Crit Chance",AA$1="Crit Damage",AA$1="Condition Duration"),1,0),_xlpm.Flat,$H37,_xlpm.Percentage,$H37*AA$36,_xlpm.Derived,$H37*AA$36,_xlpm.BoonType,VLOOKUP($M37,BoonToggles,2,0),_xlpm.BoonEnhancement,IF(AND(ISLOGICAL(_xlpm.BoonType),_xlpm.BoonType=TRUE),IF($I37="Flat",$H37,_xlpm.Percentage),IF($I37="Flat",$H37*_xlpm.BoonType,_xlpm.Percentage*_xlpm.BoonType)),_xlpm.Stacking,IF($I37="Flat",$H37*Spec1MajorGrandmasterStacks,IF(_xlpm.PercentCheck=1,"",_xlpm.Percentage*Spec1MajorGrandmasterStacks)),IF(OR($G37=AA$1,AND(_xlpm.PercentCheck=0,$G37="All")),_xlfn.IFS(AND($I37="Flat",$J37=0),_xlpm.Flat,AND($I37="Percentage",$J37=0),_xlpm.Percentage,$J37="Derived",_xlpm.Derived,$J37="Boon Enhancement",_xlpm.BoonEnhancement,$J37="Stacking",_xlpm.Stacking),""))</f>
        <v/>
      </c>
    </row>
    <row r="38" spans="1:27" ht="14.25" customHeight="1">
      <c r="A38" s="566"/>
      <c r="B38" s="556"/>
      <c r="C38" s="194"/>
      <c r="D38" s="195"/>
      <c r="E38" s="195"/>
      <c r="F38" s="195"/>
      <c r="G38" s="195"/>
      <c r="H38" s="195"/>
      <c r="I38" s="195"/>
      <c r="J38" s="195"/>
      <c r="K38" s="195"/>
      <c r="L38" s="195"/>
      <c r="M38" s="195"/>
      <c r="N38" s="195"/>
      <c r="O38" s="196"/>
      <c r="P38" s="190" t="str" cm="1">
        <f t="array" ref="P38">_xlfn.LET(_xlpm.PercentCheck,IF(OR(P$1="Crit Chance",P$1="Crit Damage",P$1="Condition Duration"),1,0),_xlpm.Flat,$H38,_xlpm.Percentage,$H38*P$36,_xlpm.Derived,$H38*P$36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P$1,AND(_xlpm.PercentCheck=0,$G38="All")),_xlfn.IFS(AND($I38="Flat",$J38=0),_xlpm.Flat,AND($I38="Percentage",$J38=0),_xlpm.Percentage,$J38="Derived",_xlpm.Derived,$J38="Boon Enhancement",_xlpm.BoonEnhancement,$J38="Stacking",_xlpm.Stacking),""))</f>
        <v/>
      </c>
      <c r="Q38" s="190" t="str" cm="1">
        <f t="array" ref="Q38">_xlfn.LET(_xlpm.PercentCheck,IF(OR(Q$1="Crit Chance",Q$1="Crit Damage",Q$1="Condition Duration"),1,0),_xlpm.Flat,$H38,_xlpm.Percentage,$H38*Q$36,_xlpm.Derived,$H38*Q$36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Q$1,AND(_xlpm.PercentCheck=0,$G38="All")),_xlfn.IFS(AND($I38="Flat",$J38=0),_xlpm.Flat,AND($I38="Percentage",$J38=0),_xlpm.Percentage,$J38="Derived",_xlpm.Derived,$J38="Boon Enhancement",_xlpm.BoonEnhancement,$J38="Stacking",_xlpm.Stacking),""))</f>
        <v/>
      </c>
      <c r="R38" s="190" t="str" cm="1">
        <f t="array" ref="R38">_xlfn.LET(_xlpm.PercentCheck,IF(OR(R$1="Crit Chance",R$1="Crit Damage",R$1="Condition Duration"),1,0),_xlpm.Flat,$H38,_xlpm.Percentage,$H38*R$36,_xlpm.Derived,$H38*R$36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R$1,AND(_xlpm.PercentCheck=0,$G38="All")),_xlfn.IFS(AND($I38="Flat",$J38=0),_xlpm.Flat,AND($I38="Percentage",$J38=0),_xlpm.Percentage,$J38="Derived",_xlpm.Derived,$J38="Boon Enhancement",_xlpm.BoonEnhancement,$J38="Stacking",_xlpm.Stacking),""))</f>
        <v/>
      </c>
      <c r="S38" s="190" t="str" cm="1">
        <f t="array" ref="S38">_xlfn.LET(_xlpm.PercentCheck,IF(OR(S$1="Crit Chance",S$1="Crit Damage",S$1="Condition Duration"),1,0),_xlpm.Flat,$H38,_xlpm.Percentage,$H38*S$36,_xlpm.Derived,$H38*S$36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S$1,AND(_xlpm.PercentCheck=0,$G38="All")),_xlfn.IFS(AND($I38="Flat",$J38=0),_xlpm.Flat,AND($I38="Percentage",$J38=0),_xlpm.Percentage,$J38="Derived",_xlpm.Derived,$J38="Boon Enhancement",_xlpm.BoonEnhancement,$J38="Stacking",_xlpm.Stacking),""))</f>
        <v/>
      </c>
      <c r="T38" s="190" t="str" cm="1">
        <f t="array" ref="T38">_xlfn.LET(_xlpm.PercentCheck,IF(OR(T$1="Crit Chance",T$1="Crit Damage",T$1="Condition Duration"),1,0),_xlpm.Flat,$H38,_xlpm.Percentage,$H38*T$36,_xlpm.Derived,$H38*T$36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T$1,AND(_xlpm.PercentCheck=0,$G38="All")),_xlfn.IFS(AND($I38="Flat",$J38=0),_xlpm.Flat,AND($I38="Percentage",$J38=0),_xlpm.Percentage,$J38="Derived",_xlpm.Derived,$J38="Boon Enhancement",_xlpm.BoonEnhancement,$J38="Stacking",_xlpm.Stacking),""))</f>
        <v/>
      </c>
      <c r="U38" s="190" t="str" cm="1">
        <f t="array" ref="U38">_xlfn.LET(_xlpm.PercentCheck,IF(OR(U$1="Crit Chance",U$1="Crit Damage",U$1="Condition Duration"),1,0),_xlpm.Flat,$H38,_xlpm.Percentage,$H38*U$36,_xlpm.Derived,$H38*U$36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U$1,AND(_xlpm.PercentCheck=0,$G38="All")),_xlfn.IFS(AND($I38="Flat",$J38=0),_xlpm.Flat,AND($I38="Percentage",$J38=0),_xlpm.Percentage,$J38="Derived",_xlpm.Derived,$J38="Boon Enhancement",_xlpm.BoonEnhancement,$J38="Stacking",_xlpm.Stacking),""))</f>
        <v/>
      </c>
      <c r="V38" s="190" t="str" cm="1">
        <f t="array" ref="V38">_xlfn.LET(_xlpm.PercentCheck,IF(OR(V$1="Crit Chance",V$1="Crit Damage",V$1="Condition Duration"),1,0),_xlpm.Flat,$H38,_xlpm.Percentage,$H38*V$36,_xlpm.Derived,$H38*V$36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V$1,AND(_xlpm.PercentCheck=0,$G38="All")),_xlfn.IFS(AND($I38="Flat",$J38=0),_xlpm.Flat,AND($I38="Percentage",$J38=0),_xlpm.Percentage,$J38="Derived",_xlpm.Derived,$J38="Boon Enhancement",_xlpm.BoonEnhancement,$J38="Stacking",_xlpm.Stacking),""))</f>
        <v/>
      </c>
      <c r="W38" s="190" t="str" cm="1">
        <f t="array" ref="W38">_xlfn.LET(_xlpm.PercentCheck,IF(OR(W$1="Crit Chance",W$1="Crit Damage",W$1="Condition Duration"),1,0),_xlpm.Flat,$H38,_xlpm.Percentage,$H38*W$36,_xlpm.Derived,$H38*W$36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W$1,AND(_xlpm.PercentCheck=0,$G38="All")),_xlfn.IFS(AND($I38="Flat",$J38=0),_xlpm.Flat,AND($I38="Percentage",$J38=0),_xlpm.Percentage,$J38="Derived",_xlpm.Derived,$J38="Boon Enhancement",_xlpm.BoonEnhancement,$J38="Stacking",_xlpm.Stacking),""))</f>
        <v/>
      </c>
      <c r="X38" s="190" t="str" cm="1">
        <f t="array" ref="X38">_xlfn.LET(_xlpm.PercentCheck,IF(OR(X$1="Crit Chance",X$1="Crit Damage",X$1="Condition Duration"),1,0),_xlpm.Flat,$H38,_xlpm.Percentage,$H38*X$36,_xlpm.Derived,$H38*X$36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X$1,AND(_xlpm.PercentCheck=0,$G38="All")),_xlfn.IFS(AND($I38="Flat",$J38=0),_xlpm.Flat,AND($I38="Percentage",$J38=0),_xlpm.Percentage,$J38="Derived",_xlpm.Derived,$J38="Boon Enhancement",_xlpm.BoonEnhancement,$J38="Stacking",_xlpm.Stacking),""))</f>
        <v/>
      </c>
      <c r="Y38" s="190" t="str" cm="1">
        <f t="array" ref="Y38">_xlfn.LET(_xlpm.PercentCheck,IF(OR(Y$1="Crit Chance",Y$1="Crit Damage",Y$1="Condition Duration"),1,0),_xlpm.Flat,$H38,_xlpm.Percentage,$H38*Y$36,_xlpm.Derived,$H38*Y$36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Y$1,AND(_xlpm.PercentCheck=0,$G38="All")),_xlfn.IFS(AND($I38="Flat",$J38=0),_xlpm.Flat,AND($I38="Percentage",$J38=0),_xlpm.Percentage,$J38="Derived",_xlpm.Derived,$J38="Boon Enhancement",_xlpm.BoonEnhancement,$J38="Stacking",_xlpm.Stacking),""))</f>
        <v/>
      </c>
      <c r="Z38" s="190" t="str" cm="1">
        <f t="array" ref="Z38">_xlfn.LET(_xlpm.PercentCheck,IF(OR(Z$1="Crit Chance",Z$1="Crit Damage",Z$1="Condition Duration"),1,0),_xlpm.Flat,$H38,_xlpm.Percentage,$H38*Z$36,_xlpm.Derived,$H38*Z$36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Z$1,AND(_xlpm.PercentCheck=0,$G38="All")),_xlfn.IFS(AND($I38="Flat",$J38=0),_xlpm.Flat,AND($I38="Percentage",$J38=0),_xlpm.Percentage,$J38="Derived",_xlpm.Derived,$J38="Boon Enhancement",_xlpm.BoonEnhancement,$J38="Stacking",_xlpm.Stacking),""))</f>
        <v/>
      </c>
      <c r="AA38" s="190" t="str" cm="1">
        <f t="array" ref="AA38">_xlfn.LET(_xlpm.PercentCheck,IF(OR(AA$1="Crit Chance",AA$1="Crit Damage",AA$1="Condition Duration"),1,0),_xlpm.Flat,$H38,_xlpm.Percentage,$H38*AA$36,_xlpm.Derived,$H38*AA$36,_xlpm.BoonType,VLOOKUP($M38,BoonToggles,2,0),_xlpm.BoonEnhancement,IF(AND(ISLOGICAL(_xlpm.BoonType),_xlpm.BoonType=TRUE),IF($I38="Flat",$H38,_xlpm.Percentage),IF($I38="Flat",$H38*_xlpm.BoonType,_xlpm.Percentage*_xlpm.BoonType)),_xlpm.Stacking,IF($I38="Flat",$H38*Spec1MajorGrandmasterStacks,IF(_xlpm.PercentCheck=1,"",_xlpm.Percentage*Spec1MajorGrandmasterStacks)),IF(OR($G38=AA$1,AND(_xlpm.PercentCheck=0,$G38="All")),_xlfn.IFS(AND($I38="Flat",$J38=0),_xlpm.Flat,AND($I38="Percentage",$J38=0),_xlpm.Percentage,$J38="Derived",_xlpm.Derived,$J38="Boon Enhancement",_xlpm.BoonEnhancement,$J38="Stacking",_xlpm.Stacking),""))</f>
        <v/>
      </c>
    </row>
    <row r="39" spans="1:27" ht="14.25" customHeight="1">
      <c r="A39" s="566"/>
      <c r="B39" s="556"/>
      <c r="C39" s="194"/>
      <c r="D39" s="195"/>
      <c r="E39" s="195"/>
      <c r="F39" s="195"/>
      <c r="G39" s="195"/>
      <c r="H39" s="195"/>
      <c r="I39" s="195"/>
      <c r="J39" s="195"/>
      <c r="K39" s="195"/>
      <c r="L39" s="195"/>
      <c r="M39" s="195"/>
      <c r="N39" s="195"/>
      <c r="O39" s="196"/>
      <c r="P39" s="190" t="str" cm="1">
        <f t="array" ref="P39">_xlfn.LET(_xlpm.PercentCheck,IF(OR(P$1="Crit Chance",P$1="Crit Damage",P$1="Condition Duration"),1,0),_xlpm.Flat,$H39,_xlpm.Percentage,$H39*P$36,_xlpm.Derived,$H39*P$36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P$1,AND(_xlpm.PercentCheck=0,$G39="All")),_xlfn.IFS(AND($I39="Flat",$J39=0),_xlpm.Flat,AND($I39="Percentage",$J39=0),_xlpm.Percentage,$J39="Derived",_xlpm.Derived,$J39="Boon Enhancement",_xlpm.BoonEnhancement,$J39="Stacking",_xlpm.Stacking),""))</f>
        <v/>
      </c>
      <c r="Q39" s="190" t="str" cm="1">
        <f t="array" ref="Q39">_xlfn.LET(_xlpm.PercentCheck,IF(OR(Q$1="Crit Chance",Q$1="Crit Damage",Q$1="Condition Duration"),1,0),_xlpm.Flat,$H39,_xlpm.Percentage,$H39*Q$36,_xlpm.Derived,$H39*Q$36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Q$1,AND(_xlpm.PercentCheck=0,$G39="All")),_xlfn.IFS(AND($I39="Flat",$J39=0),_xlpm.Flat,AND($I39="Percentage",$J39=0),_xlpm.Percentage,$J39="Derived",_xlpm.Derived,$J39="Boon Enhancement",_xlpm.BoonEnhancement,$J39="Stacking",_xlpm.Stacking),""))</f>
        <v/>
      </c>
      <c r="R39" s="190" t="str" cm="1">
        <f t="array" ref="R39">_xlfn.LET(_xlpm.PercentCheck,IF(OR(R$1="Crit Chance",R$1="Crit Damage",R$1="Condition Duration"),1,0),_xlpm.Flat,$H39,_xlpm.Percentage,$H39*R$36,_xlpm.Derived,$H39*R$36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R$1,AND(_xlpm.PercentCheck=0,$G39="All")),_xlfn.IFS(AND($I39="Flat",$J39=0),_xlpm.Flat,AND($I39="Percentage",$J39=0),_xlpm.Percentage,$J39="Derived",_xlpm.Derived,$J39="Boon Enhancement",_xlpm.BoonEnhancement,$J39="Stacking",_xlpm.Stacking),""))</f>
        <v/>
      </c>
      <c r="S39" s="190" t="str" cm="1">
        <f t="array" ref="S39">_xlfn.LET(_xlpm.PercentCheck,IF(OR(S$1="Crit Chance",S$1="Crit Damage",S$1="Condition Duration"),1,0),_xlpm.Flat,$H39,_xlpm.Percentage,$H39*S$36,_xlpm.Derived,$H39*S$36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S$1,AND(_xlpm.PercentCheck=0,$G39="All")),_xlfn.IFS(AND($I39="Flat",$J39=0),_xlpm.Flat,AND($I39="Percentage",$J39=0),_xlpm.Percentage,$J39="Derived",_xlpm.Derived,$J39="Boon Enhancement",_xlpm.BoonEnhancement,$J39="Stacking",_xlpm.Stacking),""))</f>
        <v/>
      </c>
      <c r="T39" s="190" t="str" cm="1">
        <f t="array" ref="T39">_xlfn.LET(_xlpm.PercentCheck,IF(OR(T$1="Crit Chance",T$1="Crit Damage",T$1="Condition Duration"),1,0),_xlpm.Flat,$H39,_xlpm.Percentage,$H39*T$36,_xlpm.Derived,$H39*T$36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T$1,AND(_xlpm.PercentCheck=0,$G39="All")),_xlfn.IFS(AND($I39="Flat",$J39=0),_xlpm.Flat,AND($I39="Percentage",$J39=0),_xlpm.Percentage,$J39="Derived",_xlpm.Derived,$J39="Boon Enhancement",_xlpm.BoonEnhancement,$J39="Stacking",_xlpm.Stacking),""))</f>
        <v/>
      </c>
      <c r="U39" s="190" t="str" cm="1">
        <f t="array" ref="U39">_xlfn.LET(_xlpm.PercentCheck,IF(OR(U$1="Crit Chance",U$1="Crit Damage",U$1="Condition Duration"),1,0),_xlpm.Flat,$H39,_xlpm.Percentage,$H39*U$36,_xlpm.Derived,$H39*U$36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U$1,AND(_xlpm.PercentCheck=0,$G39="All")),_xlfn.IFS(AND($I39="Flat",$J39=0),_xlpm.Flat,AND($I39="Percentage",$J39=0),_xlpm.Percentage,$J39="Derived",_xlpm.Derived,$J39="Boon Enhancement",_xlpm.BoonEnhancement,$J39="Stacking",_xlpm.Stacking),""))</f>
        <v/>
      </c>
      <c r="V39" s="190" t="str" cm="1">
        <f t="array" ref="V39">_xlfn.LET(_xlpm.PercentCheck,IF(OR(V$1="Crit Chance",V$1="Crit Damage",V$1="Condition Duration"),1,0),_xlpm.Flat,$H39,_xlpm.Percentage,$H39*V$36,_xlpm.Derived,$H39*V$36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V$1,AND(_xlpm.PercentCheck=0,$G39="All")),_xlfn.IFS(AND($I39="Flat",$J39=0),_xlpm.Flat,AND($I39="Percentage",$J39=0),_xlpm.Percentage,$J39="Derived",_xlpm.Derived,$J39="Boon Enhancement",_xlpm.BoonEnhancement,$J39="Stacking",_xlpm.Stacking),""))</f>
        <v/>
      </c>
      <c r="W39" s="190" t="str" cm="1">
        <f t="array" ref="W39">_xlfn.LET(_xlpm.PercentCheck,IF(OR(W$1="Crit Chance",W$1="Crit Damage",W$1="Condition Duration"),1,0),_xlpm.Flat,$H39,_xlpm.Percentage,$H39*W$36,_xlpm.Derived,$H39*W$36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W$1,AND(_xlpm.PercentCheck=0,$G39="All")),_xlfn.IFS(AND($I39="Flat",$J39=0),_xlpm.Flat,AND($I39="Percentage",$J39=0),_xlpm.Percentage,$J39="Derived",_xlpm.Derived,$J39="Boon Enhancement",_xlpm.BoonEnhancement,$J39="Stacking",_xlpm.Stacking),""))</f>
        <v/>
      </c>
      <c r="X39" s="190" t="str" cm="1">
        <f t="array" ref="X39">_xlfn.LET(_xlpm.PercentCheck,IF(OR(X$1="Crit Chance",X$1="Crit Damage",X$1="Condition Duration"),1,0),_xlpm.Flat,$H39,_xlpm.Percentage,$H39*X$36,_xlpm.Derived,$H39*X$36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X$1,AND(_xlpm.PercentCheck=0,$G39="All")),_xlfn.IFS(AND($I39="Flat",$J39=0),_xlpm.Flat,AND($I39="Percentage",$J39=0),_xlpm.Percentage,$J39="Derived",_xlpm.Derived,$J39="Boon Enhancement",_xlpm.BoonEnhancement,$J39="Stacking",_xlpm.Stacking),""))</f>
        <v/>
      </c>
      <c r="Y39" s="190" t="str" cm="1">
        <f t="array" ref="Y39">_xlfn.LET(_xlpm.PercentCheck,IF(OR(Y$1="Crit Chance",Y$1="Crit Damage",Y$1="Condition Duration"),1,0),_xlpm.Flat,$H39,_xlpm.Percentage,$H39*Y$36,_xlpm.Derived,$H39*Y$36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Y$1,AND(_xlpm.PercentCheck=0,$G39="All")),_xlfn.IFS(AND($I39="Flat",$J39=0),_xlpm.Flat,AND($I39="Percentage",$J39=0),_xlpm.Percentage,$J39="Derived",_xlpm.Derived,$J39="Boon Enhancement",_xlpm.BoonEnhancement,$J39="Stacking",_xlpm.Stacking),""))</f>
        <v/>
      </c>
      <c r="Z39" s="190" t="str" cm="1">
        <f t="array" ref="Z39">_xlfn.LET(_xlpm.PercentCheck,IF(OR(Z$1="Crit Chance",Z$1="Crit Damage",Z$1="Condition Duration"),1,0),_xlpm.Flat,$H39,_xlpm.Percentage,$H39*Z$36,_xlpm.Derived,$H39*Z$36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Z$1,AND(_xlpm.PercentCheck=0,$G39="All")),_xlfn.IFS(AND($I39="Flat",$J39=0),_xlpm.Flat,AND($I39="Percentage",$J39=0),_xlpm.Percentage,$J39="Derived",_xlpm.Derived,$J39="Boon Enhancement",_xlpm.BoonEnhancement,$J39="Stacking",_xlpm.Stacking),""))</f>
        <v/>
      </c>
      <c r="AA39" s="190" t="str" cm="1">
        <f t="array" ref="AA39">_xlfn.LET(_xlpm.PercentCheck,IF(OR(AA$1="Crit Chance",AA$1="Crit Damage",AA$1="Condition Duration"),1,0),_xlpm.Flat,$H39,_xlpm.Percentage,$H39*AA$36,_xlpm.Derived,$H39*AA$36,_xlpm.BoonType,VLOOKUP($M39,BoonToggles,2,0),_xlpm.BoonEnhancement,IF(AND(ISLOGICAL(_xlpm.BoonType),_xlpm.BoonType=TRUE),IF($I39="Flat",$H39,_xlpm.Percentage),IF($I39="Flat",$H39*_xlpm.BoonType,_xlpm.Percentage*_xlpm.BoonType)),_xlpm.Stacking,IF($I39="Flat",$H39*Spec1MajorGrandmasterStacks,IF(_xlpm.PercentCheck=1,"",_xlpm.Percentage*Spec1MajorGrandmasterStacks)),IF(OR($G39=AA$1,AND(_xlpm.PercentCheck=0,$G39="All")),_xlfn.IFS(AND($I39="Flat",$J39=0),_xlpm.Flat,AND($I39="Percentage",$J39=0),_xlpm.Percentage,$J39="Derived",_xlpm.Derived,$J39="Boon Enhancement",_xlpm.BoonEnhancement,$J39="Stacking",_xlpm.Stacking),""))</f>
        <v/>
      </c>
    </row>
    <row r="40" spans="1:27" ht="14.25" customHeight="1">
      <c r="A40" s="566"/>
      <c r="B40" s="556"/>
      <c r="C40" s="194"/>
      <c r="D40" s="195"/>
      <c r="E40" s="195"/>
      <c r="F40" s="195"/>
      <c r="G40" s="195"/>
      <c r="H40" s="195"/>
      <c r="I40" s="195"/>
      <c r="J40" s="195"/>
      <c r="K40" s="195"/>
      <c r="L40" s="195"/>
      <c r="M40" s="195"/>
      <c r="N40" s="195"/>
      <c r="O40" s="196"/>
      <c r="P40" s="190" t="str" cm="1">
        <f t="array" ref="P40">_xlfn.LET(_xlpm.PercentCheck,IF(OR(P$1="Crit Chance",P$1="Crit Damage",P$1="Condition Duration"),1,0),_xlpm.Flat,$H40,_xlpm.Percentage,$H40*P$36,_xlpm.Derived,$H40*P$36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P$1,AND(_xlpm.PercentCheck=0,$G40="All")),_xlfn.IFS(AND($I40="Flat",$J40=0),_xlpm.Flat,AND($I40="Percentage",$J40=0),_xlpm.Percentage,$J40="Derived",_xlpm.Derived,$J40="Boon Enhancement",_xlpm.BoonEnhancement,$J40="Stacking",_xlpm.Stacking),""))</f>
        <v/>
      </c>
      <c r="Q40" s="190" t="str" cm="1">
        <f t="array" ref="Q40">_xlfn.LET(_xlpm.PercentCheck,IF(OR(Q$1="Crit Chance",Q$1="Crit Damage",Q$1="Condition Duration"),1,0),_xlpm.Flat,$H40,_xlpm.Percentage,$H40*Q$36,_xlpm.Derived,$H40*Q$36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Q$1,AND(_xlpm.PercentCheck=0,$G40="All")),_xlfn.IFS(AND($I40="Flat",$J40=0),_xlpm.Flat,AND($I40="Percentage",$J40=0),_xlpm.Percentage,$J40="Derived",_xlpm.Derived,$J40="Boon Enhancement",_xlpm.BoonEnhancement,$J40="Stacking",_xlpm.Stacking),""))</f>
        <v/>
      </c>
      <c r="R40" s="190" t="str" cm="1">
        <f t="array" ref="R40">_xlfn.LET(_xlpm.PercentCheck,IF(OR(R$1="Crit Chance",R$1="Crit Damage",R$1="Condition Duration"),1,0),_xlpm.Flat,$H40,_xlpm.Percentage,$H40*R$36,_xlpm.Derived,$H40*R$36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R$1,AND(_xlpm.PercentCheck=0,$G40="All")),_xlfn.IFS(AND($I40="Flat",$J40=0),_xlpm.Flat,AND($I40="Percentage",$J40=0),_xlpm.Percentage,$J40="Derived",_xlpm.Derived,$J40="Boon Enhancement",_xlpm.BoonEnhancement,$J40="Stacking",_xlpm.Stacking),""))</f>
        <v/>
      </c>
      <c r="S40" s="190" t="str" cm="1">
        <f t="array" ref="S40">_xlfn.LET(_xlpm.PercentCheck,IF(OR(S$1="Crit Chance",S$1="Crit Damage",S$1="Condition Duration"),1,0),_xlpm.Flat,$H40,_xlpm.Percentage,$H40*S$36,_xlpm.Derived,$H40*S$36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S$1,AND(_xlpm.PercentCheck=0,$G40="All")),_xlfn.IFS(AND($I40="Flat",$J40=0),_xlpm.Flat,AND($I40="Percentage",$J40=0),_xlpm.Percentage,$J40="Derived",_xlpm.Derived,$J40="Boon Enhancement",_xlpm.BoonEnhancement,$J40="Stacking",_xlpm.Stacking),""))</f>
        <v/>
      </c>
      <c r="T40" s="190" t="str" cm="1">
        <f t="array" ref="T40">_xlfn.LET(_xlpm.PercentCheck,IF(OR(T$1="Crit Chance",T$1="Crit Damage",T$1="Condition Duration"),1,0),_xlpm.Flat,$H40,_xlpm.Percentage,$H40*T$36,_xlpm.Derived,$H40*T$36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T$1,AND(_xlpm.PercentCheck=0,$G40="All")),_xlfn.IFS(AND($I40="Flat",$J40=0),_xlpm.Flat,AND($I40="Percentage",$J40=0),_xlpm.Percentage,$J40="Derived",_xlpm.Derived,$J40="Boon Enhancement",_xlpm.BoonEnhancement,$J40="Stacking",_xlpm.Stacking),""))</f>
        <v/>
      </c>
      <c r="U40" s="190" t="str" cm="1">
        <f t="array" ref="U40">_xlfn.LET(_xlpm.PercentCheck,IF(OR(U$1="Crit Chance",U$1="Crit Damage",U$1="Condition Duration"),1,0),_xlpm.Flat,$H40,_xlpm.Percentage,$H40*U$36,_xlpm.Derived,$H40*U$36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U$1,AND(_xlpm.PercentCheck=0,$G40="All")),_xlfn.IFS(AND($I40="Flat",$J40=0),_xlpm.Flat,AND($I40="Percentage",$J40=0),_xlpm.Percentage,$J40="Derived",_xlpm.Derived,$J40="Boon Enhancement",_xlpm.BoonEnhancement,$J40="Stacking",_xlpm.Stacking),""))</f>
        <v/>
      </c>
      <c r="V40" s="190" t="str" cm="1">
        <f t="array" ref="V40">_xlfn.LET(_xlpm.PercentCheck,IF(OR(V$1="Crit Chance",V$1="Crit Damage",V$1="Condition Duration"),1,0),_xlpm.Flat,$H40,_xlpm.Percentage,$H40*V$36,_xlpm.Derived,$H40*V$36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V$1,AND(_xlpm.PercentCheck=0,$G40="All")),_xlfn.IFS(AND($I40="Flat",$J40=0),_xlpm.Flat,AND($I40="Percentage",$J40=0),_xlpm.Percentage,$J40="Derived",_xlpm.Derived,$J40="Boon Enhancement",_xlpm.BoonEnhancement,$J40="Stacking",_xlpm.Stacking),""))</f>
        <v/>
      </c>
      <c r="W40" s="190" t="str" cm="1">
        <f t="array" ref="W40">_xlfn.LET(_xlpm.PercentCheck,IF(OR(W$1="Crit Chance",W$1="Crit Damage",W$1="Condition Duration"),1,0),_xlpm.Flat,$H40,_xlpm.Percentage,$H40*W$36,_xlpm.Derived,$H40*W$36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W$1,AND(_xlpm.PercentCheck=0,$G40="All")),_xlfn.IFS(AND($I40="Flat",$J40=0),_xlpm.Flat,AND($I40="Percentage",$J40=0),_xlpm.Percentage,$J40="Derived",_xlpm.Derived,$J40="Boon Enhancement",_xlpm.BoonEnhancement,$J40="Stacking",_xlpm.Stacking),""))</f>
        <v/>
      </c>
      <c r="X40" s="190" t="str" cm="1">
        <f t="array" ref="X40">_xlfn.LET(_xlpm.PercentCheck,IF(OR(X$1="Crit Chance",X$1="Crit Damage",X$1="Condition Duration"),1,0),_xlpm.Flat,$H40,_xlpm.Percentage,$H40*X$36,_xlpm.Derived,$H40*X$36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X$1,AND(_xlpm.PercentCheck=0,$G40="All")),_xlfn.IFS(AND($I40="Flat",$J40=0),_xlpm.Flat,AND($I40="Percentage",$J40=0),_xlpm.Percentage,$J40="Derived",_xlpm.Derived,$J40="Boon Enhancement",_xlpm.BoonEnhancement,$J40="Stacking",_xlpm.Stacking),""))</f>
        <v/>
      </c>
      <c r="Y40" s="190" t="str" cm="1">
        <f t="array" ref="Y40">_xlfn.LET(_xlpm.PercentCheck,IF(OR(Y$1="Crit Chance",Y$1="Crit Damage",Y$1="Condition Duration"),1,0),_xlpm.Flat,$H40,_xlpm.Percentage,$H40*Y$36,_xlpm.Derived,$H40*Y$36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Y$1,AND(_xlpm.PercentCheck=0,$G40="All")),_xlfn.IFS(AND($I40="Flat",$J40=0),_xlpm.Flat,AND($I40="Percentage",$J40=0),_xlpm.Percentage,$J40="Derived",_xlpm.Derived,$J40="Boon Enhancement",_xlpm.BoonEnhancement,$J40="Stacking",_xlpm.Stacking),""))</f>
        <v/>
      </c>
      <c r="Z40" s="190" t="str" cm="1">
        <f t="array" ref="Z40">_xlfn.LET(_xlpm.PercentCheck,IF(OR(Z$1="Crit Chance",Z$1="Crit Damage",Z$1="Condition Duration"),1,0),_xlpm.Flat,$H40,_xlpm.Percentage,$H40*Z$36,_xlpm.Derived,$H40*Z$36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Z$1,AND(_xlpm.PercentCheck=0,$G40="All")),_xlfn.IFS(AND($I40="Flat",$J40=0),_xlpm.Flat,AND($I40="Percentage",$J40=0),_xlpm.Percentage,$J40="Derived",_xlpm.Derived,$J40="Boon Enhancement",_xlpm.BoonEnhancement,$J40="Stacking",_xlpm.Stacking),""))</f>
        <v/>
      </c>
      <c r="AA40" s="190" t="str" cm="1">
        <f t="array" ref="AA40">_xlfn.LET(_xlpm.PercentCheck,IF(OR(AA$1="Crit Chance",AA$1="Crit Damage",AA$1="Condition Duration"),1,0),_xlpm.Flat,$H40,_xlpm.Percentage,$H40*AA$36,_xlpm.Derived,$H40*AA$36,_xlpm.BoonType,VLOOKUP($M40,BoonToggles,2,0),_xlpm.BoonEnhancement,IF(AND(ISLOGICAL(_xlpm.BoonType),_xlpm.BoonType=TRUE),IF($I40="Flat",$H40,_xlpm.Percentage),IF($I40="Flat",$H40*_xlpm.BoonType,_xlpm.Percentage*_xlpm.BoonType)),_xlpm.Stacking,IF($I40="Flat",$H40*Spec1MajorGrandmasterStacks,IF(_xlpm.PercentCheck=1,"",_xlpm.Percentage*Spec1MajorGrandmasterStacks)),IF(OR($G40=AA$1,AND(_xlpm.PercentCheck=0,$G40="All")),_xlfn.IFS(AND($I40="Flat",$J40=0),_xlpm.Flat,AND($I40="Percentage",$J40=0),_xlpm.Percentage,$J40="Derived",_xlpm.Derived,$J40="Boon Enhancement",_xlpm.BoonEnhancement,$J40="Stacking",_xlpm.Stacking),""))</f>
        <v/>
      </c>
    </row>
    <row r="41" spans="1:27" ht="14.25" customHeight="1">
      <c r="A41" s="566"/>
      <c r="B41" s="557"/>
      <c r="C41" s="194"/>
      <c r="D41" s="195"/>
      <c r="E41" s="195"/>
      <c r="F41" s="195"/>
      <c r="G41" s="195"/>
      <c r="H41" s="195"/>
      <c r="I41" s="195"/>
      <c r="J41" s="195"/>
      <c r="K41" s="195"/>
      <c r="L41" s="195"/>
      <c r="M41" s="195"/>
      <c r="N41" s="195"/>
      <c r="O41" s="196"/>
      <c r="P41" s="190" t="str" cm="1">
        <f t="array" ref="P41">_xlfn.LET(_xlpm.PercentCheck,IF(OR(P$1="Crit Chance",P$1="Crit Damage",P$1="Condition Duration"),1,0),_xlpm.Flat,$H41,_xlpm.Percentage,$H41*P$36,_xlpm.Derived,$H41*P$36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P$1,AND(_xlpm.PercentCheck=0,$G41="All")),_xlfn.IFS(AND($I41="Flat",$J41=0),_xlpm.Flat,AND($I41="Percentage",$J41=0),_xlpm.Percentage,$J41="Derived",_xlpm.Derived,$J41="Boon Enhancement",_xlpm.BoonEnhancement,$J41="Stacking",_xlpm.Stacking),""))</f>
        <v/>
      </c>
      <c r="Q41" s="190" t="str" cm="1">
        <f t="array" ref="Q41">_xlfn.LET(_xlpm.PercentCheck,IF(OR(Q$1="Crit Chance",Q$1="Crit Damage",Q$1="Condition Duration"),1,0),_xlpm.Flat,$H41,_xlpm.Percentage,$H41*Q$36,_xlpm.Derived,$H41*Q$36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Q$1,AND(_xlpm.PercentCheck=0,$G41="All")),_xlfn.IFS(AND($I41="Flat",$J41=0),_xlpm.Flat,AND($I41="Percentage",$J41=0),_xlpm.Percentage,$J41="Derived",_xlpm.Derived,$J41="Boon Enhancement",_xlpm.BoonEnhancement,$J41="Stacking",_xlpm.Stacking),""))</f>
        <v/>
      </c>
      <c r="R41" s="190" t="str" cm="1">
        <f t="array" ref="R41">_xlfn.LET(_xlpm.PercentCheck,IF(OR(R$1="Crit Chance",R$1="Crit Damage",R$1="Condition Duration"),1,0),_xlpm.Flat,$H41,_xlpm.Percentage,$H41*R$36,_xlpm.Derived,$H41*R$36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R$1,AND(_xlpm.PercentCheck=0,$G41="All")),_xlfn.IFS(AND($I41="Flat",$J41=0),_xlpm.Flat,AND($I41="Percentage",$J41=0),_xlpm.Percentage,$J41="Derived",_xlpm.Derived,$J41="Boon Enhancement",_xlpm.BoonEnhancement,$J41="Stacking",_xlpm.Stacking),""))</f>
        <v/>
      </c>
      <c r="S41" s="190" t="str" cm="1">
        <f t="array" ref="S41">_xlfn.LET(_xlpm.PercentCheck,IF(OR(S$1="Crit Chance",S$1="Crit Damage",S$1="Condition Duration"),1,0),_xlpm.Flat,$H41,_xlpm.Percentage,$H41*S$36,_xlpm.Derived,$H41*S$36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S$1,AND(_xlpm.PercentCheck=0,$G41="All")),_xlfn.IFS(AND($I41="Flat",$J41=0),_xlpm.Flat,AND($I41="Percentage",$J41=0),_xlpm.Percentage,$J41="Derived",_xlpm.Derived,$J41="Boon Enhancement",_xlpm.BoonEnhancement,$J41="Stacking",_xlpm.Stacking),""))</f>
        <v/>
      </c>
      <c r="T41" s="190" t="str" cm="1">
        <f t="array" ref="T41">_xlfn.LET(_xlpm.PercentCheck,IF(OR(T$1="Crit Chance",T$1="Crit Damage",T$1="Condition Duration"),1,0),_xlpm.Flat,$H41,_xlpm.Percentage,$H41*T$36,_xlpm.Derived,$H41*T$36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T$1,AND(_xlpm.PercentCheck=0,$G41="All")),_xlfn.IFS(AND($I41="Flat",$J41=0),_xlpm.Flat,AND($I41="Percentage",$J41=0),_xlpm.Percentage,$J41="Derived",_xlpm.Derived,$J41="Boon Enhancement",_xlpm.BoonEnhancement,$J41="Stacking",_xlpm.Stacking),""))</f>
        <v/>
      </c>
      <c r="U41" s="190" t="str" cm="1">
        <f t="array" ref="U41">_xlfn.LET(_xlpm.PercentCheck,IF(OR(U$1="Crit Chance",U$1="Crit Damage",U$1="Condition Duration"),1,0),_xlpm.Flat,$H41,_xlpm.Percentage,$H41*U$36,_xlpm.Derived,$H41*U$36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U$1,AND(_xlpm.PercentCheck=0,$G41="All")),_xlfn.IFS(AND($I41="Flat",$J41=0),_xlpm.Flat,AND($I41="Percentage",$J41=0),_xlpm.Percentage,$J41="Derived",_xlpm.Derived,$J41="Boon Enhancement",_xlpm.BoonEnhancement,$J41="Stacking",_xlpm.Stacking),""))</f>
        <v/>
      </c>
      <c r="V41" s="190" t="str" cm="1">
        <f t="array" ref="V41">_xlfn.LET(_xlpm.PercentCheck,IF(OR(V$1="Crit Chance",V$1="Crit Damage",V$1="Condition Duration"),1,0),_xlpm.Flat,$H41,_xlpm.Percentage,$H41*V$36,_xlpm.Derived,$H41*V$36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V$1,AND(_xlpm.PercentCheck=0,$G41="All")),_xlfn.IFS(AND($I41="Flat",$J41=0),_xlpm.Flat,AND($I41="Percentage",$J41=0),_xlpm.Percentage,$J41="Derived",_xlpm.Derived,$J41="Boon Enhancement",_xlpm.BoonEnhancement,$J41="Stacking",_xlpm.Stacking),""))</f>
        <v/>
      </c>
      <c r="W41" s="190" t="str" cm="1">
        <f t="array" ref="W41">_xlfn.LET(_xlpm.PercentCheck,IF(OR(W$1="Crit Chance",W$1="Crit Damage",W$1="Condition Duration"),1,0),_xlpm.Flat,$H41,_xlpm.Percentage,$H41*W$36,_xlpm.Derived,$H41*W$36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W$1,AND(_xlpm.PercentCheck=0,$G41="All")),_xlfn.IFS(AND($I41="Flat",$J41=0),_xlpm.Flat,AND($I41="Percentage",$J41=0),_xlpm.Percentage,$J41="Derived",_xlpm.Derived,$J41="Boon Enhancement",_xlpm.BoonEnhancement,$J41="Stacking",_xlpm.Stacking),""))</f>
        <v/>
      </c>
      <c r="X41" s="190" t="str" cm="1">
        <f t="array" ref="X41">_xlfn.LET(_xlpm.PercentCheck,IF(OR(X$1="Crit Chance",X$1="Crit Damage",X$1="Condition Duration"),1,0),_xlpm.Flat,$H41,_xlpm.Percentage,$H41*X$36,_xlpm.Derived,$H41*X$36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X$1,AND(_xlpm.PercentCheck=0,$G41="All")),_xlfn.IFS(AND($I41="Flat",$J41=0),_xlpm.Flat,AND($I41="Percentage",$J41=0),_xlpm.Percentage,$J41="Derived",_xlpm.Derived,$J41="Boon Enhancement",_xlpm.BoonEnhancement,$J41="Stacking",_xlpm.Stacking),""))</f>
        <v/>
      </c>
      <c r="Y41" s="190" t="str" cm="1">
        <f t="array" ref="Y41">_xlfn.LET(_xlpm.PercentCheck,IF(OR(Y$1="Crit Chance",Y$1="Crit Damage",Y$1="Condition Duration"),1,0),_xlpm.Flat,$H41,_xlpm.Percentage,$H41*Y$36,_xlpm.Derived,$H41*Y$36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Y$1,AND(_xlpm.PercentCheck=0,$G41="All")),_xlfn.IFS(AND($I41="Flat",$J41=0),_xlpm.Flat,AND($I41="Percentage",$J41=0),_xlpm.Percentage,$J41="Derived",_xlpm.Derived,$J41="Boon Enhancement",_xlpm.BoonEnhancement,$J41="Stacking",_xlpm.Stacking),""))</f>
        <v/>
      </c>
      <c r="Z41" s="190" t="str" cm="1">
        <f t="array" ref="Z41">_xlfn.LET(_xlpm.PercentCheck,IF(OR(Z$1="Crit Chance",Z$1="Crit Damage",Z$1="Condition Duration"),1,0),_xlpm.Flat,$H41,_xlpm.Percentage,$H41*Z$36,_xlpm.Derived,$H41*Z$36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Z$1,AND(_xlpm.PercentCheck=0,$G41="All")),_xlfn.IFS(AND($I41="Flat",$J41=0),_xlpm.Flat,AND($I41="Percentage",$J41=0),_xlpm.Percentage,$J41="Derived",_xlpm.Derived,$J41="Boon Enhancement",_xlpm.BoonEnhancement,$J41="Stacking",_xlpm.Stacking),""))</f>
        <v/>
      </c>
      <c r="AA41" s="190" t="str" cm="1">
        <f t="array" ref="AA41">_xlfn.LET(_xlpm.PercentCheck,IF(OR(AA$1="Crit Chance",AA$1="Crit Damage",AA$1="Condition Duration"),1,0),_xlpm.Flat,$H41,_xlpm.Percentage,$H41*AA$36,_xlpm.Derived,$H41*AA$36,_xlpm.BoonType,VLOOKUP($M41,BoonToggles,2,0),_xlpm.BoonEnhancement,IF(AND(ISLOGICAL(_xlpm.BoonType),_xlpm.BoonType=TRUE),IF($I41="Flat",$H41,_xlpm.Percentage),IF($I41="Flat",$H41*_xlpm.BoonType,_xlpm.Percentage*_xlpm.BoonType)),_xlpm.Stacking,IF($I41="Flat",$H41*Spec1MajorGrandmasterStacks,IF(_xlpm.PercentCheck=1,"",_xlpm.Percentage*Spec1MajorGrandmasterStacks)),IF(OR($G41=AA$1,AND(_xlpm.PercentCheck=0,$G41="All")),_xlfn.IFS(AND($I41="Flat",$J41=0),_xlpm.Flat,AND($I41="Percentage",$J41=0),_xlpm.Percentage,$J41="Derived",_xlpm.Derived,$J41="Boon Enhancement",_xlpm.BoonEnhancement,$J41="Stacking",_xlpm.Stacking),""))</f>
        <v/>
      </c>
    </row>
    <row r="42" spans="1:27" s="171" customFormat="1" ht="14.25" customHeight="1">
      <c r="A42" s="566"/>
      <c r="B42" s="559" t="s">
        <v>3500</v>
      </c>
      <c r="C42" s="559"/>
      <c r="D42" s="559"/>
      <c r="E42" s="559"/>
      <c r="F42" s="559"/>
      <c r="G42" s="559"/>
      <c r="H42" s="559"/>
      <c r="I42" s="559"/>
      <c r="J42" s="559"/>
      <c r="K42" s="559"/>
      <c r="L42" s="559"/>
      <c r="M42" s="559"/>
      <c r="N42" s="559"/>
      <c r="O42" s="560"/>
      <c r="P42" s="201">
        <f t="shared" ref="P42:AA42" si="19">SUM(P$37:P$41)</f>
        <v>0</v>
      </c>
      <c r="Q42" s="202">
        <f t="shared" si="19"/>
        <v>0</v>
      </c>
      <c r="R42" s="202">
        <f t="shared" si="19"/>
        <v>0</v>
      </c>
      <c r="S42" s="202">
        <f t="shared" si="19"/>
        <v>0</v>
      </c>
      <c r="T42" s="202">
        <f t="shared" si="19"/>
        <v>0</v>
      </c>
      <c r="U42" s="202">
        <f t="shared" si="19"/>
        <v>0</v>
      </c>
      <c r="V42" s="202">
        <f t="shared" si="19"/>
        <v>0</v>
      </c>
      <c r="W42" s="202">
        <f t="shared" si="19"/>
        <v>0</v>
      </c>
      <c r="X42" s="202">
        <f t="shared" si="19"/>
        <v>0</v>
      </c>
      <c r="Y42" s="199">
        <f t="shared" si="19"/>
        <v>0</v>
      </c>
      <c r="Z42" s="199">
        <f t="shared" si="19"/>
        <v>0</v>
      </c>
      <c r="AA42" s="199">
        <f t="shared" si="19"/>
        <v>0</v>
      </c>
    </row>
    <row r="43" spans="1:27" s="171" customFormat="1" ht="15" customHeight="1">
      <c r="A43" s="567"/>
      <c r="B43" s="561" t="s">
        <v>3501</v>
      </c>
      <c r="C43" s="561"/>
      <c r="D43" s="561"/>
      <c r="E43" s="561"/>
      <c r="F43" s="561"/>
      <c r="G43" s="561"/>
      <c r="H43" s="561"/>
      <c r="I43" s="561"/>
      <c r="J43" s="561"/>
      <c r="K43" s="561"/>
      <c r="L43" s="561"/>
      <c r="M43" s="561"/>
      <c r="N43" s="561"/>
      <c r="O43" s="562"/>
      <c r="P43" s="481">
        <f>SUM(P$36,SUMIFS(P$37:P$41,$I$37:$I$41,"Percentage",$J$37:$J$41,"&lt;&gt;Derived"))</f>
        <v>1657</v>
      </c>
      <c r="Q43" s="481">
        <f t="shared" ref="Q43:X43" si="20">SUM(Q$36,SUMIFS(Q$37:Q$41,$I$37:$I$41,"Percentage",$J$37:$J$41,"&lt;&gt;Derived"))</f>
        <v>1594</v>
      </c>
      <c r="R43" s="481">
        <f t="shared" si="20"/>
        <v>1221</v>
      </c>
      <c r="S43" s="481">
        <f t="shared" si="20"/>
        <v>1156</v>
      </c>
      <c r="T43" s="481">
        <f t="shared" si="20"/>
        <v>10</v>
      </c>
      <c r="U43" s="481">
        <f t="shared" si="20"/>
        <v>249.6</v>
      </c>
      <c r="V43" s="481">
        <f t="shared" si="20"/>
        <v>260</v>
      </c>
      <c r="W43" s="481">
        <f t="shared" si="20"/>
        <v>248</v>
      </c>
      <c r="X43" s="481">
        <f>SUM(X$36,SUMIFS(X$37:X$41,$I$37:$I$41,"Percentage",$J$37:$J$41,"&lt;&gt;Derived"))</f>
        <v>47</v>
      </c>
      <c r="Y43" s="482"/>
      <c r="Z43" s="483"/>
      <c r="AA43" s="483"/>
    </row>
    <row r="44" spans="1:27" ht="14.25" customHeight="1">
      <c r="A44" s="565" t="str">
        <f>Spec2</f>
        <v>Inspiration</v>
      </c>
      <c r="B44" s="554" t="s">
        <v>94</v>
      </c>
      <c r="C44" s="187" t="str" cm="1">
        <f t="array" ref="C44">IF(OR(Spec2MinorAdeptCondition="(Select)",Spec2MinorAdeptCondition=""),_xlfn._xlws.FILTER(TraitStats,(TraitStatsTable[Name]=Spec2MinorAdept)*(TraitStatsTable[Condition]=""),"No stat bonus"),_xlfn._xlws.FILTER(TraitStats,(TraitStatsTable[Name]=Spec2MinorAdept)*((TraitStatsTable[Condition]=Spec2MinorAdeptCondition)+(TraitStatsTable[Condition]="")),"No stat bonus"))</f>
        <v>No stat bonus</v>
      </c>
      <c r="D44" s="203"/>
      <c r="E44" s="203"/>
      <c r="F44" s="203"/>
      <c r="G44" s="203"/>
      <c r="H44" s="203"/>
      <c r="I44" s="203"/>
      <c r="J44" s="203"/>
      <c r="K44" s="203"/>
      <c r="L44" s="203"/>
      <c r="M44" s="203"/>
      <c r="N44" s="203"/>
      <c r="O44" s="204"/>
      <c r="P44" s="205" t="str" cm="1">
        <f t="array" ref="P44">_xlfn.LET(_xlpm.PercentCheck,IF(OR(P$1="Crit Chance",P$1="Crit Damage",P$1="Condition Duration"),1,0),_xlpm.Flat,$H44,_xlpm.Percentage,$H44*P$43,_xlpm.Derived,$H44*P$43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P$1,AND(_xlpm.PercentCheck=0,$G44="All")),_xlfn.IFS(AND($I44="Flat",$J44=0),_xlpm.Flat,AND($I44="Percentage",$J44=0),_xlpm.Percentage,$J44="Derived",_xlpm.Derived,$J44="Boon Enhancement",_xlpm.BoonEnhancement,$J44="Stacking",_xlpm.Stacking),""))</f>
        <v/>
      </c>
      <c r="Q44" s="205" t="str" cm="1">
        <f t="array" ref="Q44">_xlfn.LET(_xlpm.PercentCheck,IF(OR(Q$1="Crit Chance",Q$1="Crit Damage",Q$1="Condition Duration"),1,0),_xlpm.Flat,$H44,_xlpm.Percentage,$H44*Q$43,_xlpm.Derived,$H44*Q$43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Q$1,AND(_xlpm.PercentCheck=0,$G44="All")),_xlfn.IFS(AND($I44="Flat",$J44=0),_xlpm.Flat,AND($I44="Percentage",$J44=0),_xlpm.Percentage,$J44="Derived",_xlpm.Derived,$J44="Boon Enhancement",_xlpm.BoonEnhancement,$J44="Stacking",_xlpm.Stacking),""))</f>
        <v/>
      </c>
      <c r="R44" s="205" t="str" cm="1">
        <f t="array" ref="R44">_xlfn.LET(_xlpm.PercentCheck,IF(OR(R$1="Crit Chance",R$1="Crit Damage",R$1="Condition Duration"),1,0),_xlpm.Flat,$H44,_xlpm.Percentage,$H44*R$43,_xlpm.Derived,$H44*R$43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R$1,AND(_xlpm.PercentCheck=0,$G44="All")),_xlfn.IFS(AND($I44="Flat",$J44=0),_xlpm.Flat,AND($I44="Percentage",$J44=0),_xlpm.Percentage,$J44="Derived",_xlpm.Derived,$J44="Boon Enhancement",_xlpm.BoonEnhancement,$J44="Stacking",_xlpm.Stacking),""))</f>
        <v/>
      </c>
      <c r="S44" s="205" t="str" cm="1">
        <f t="array" ref="S44">_xlfn.LET(_xlpm.PercentCheck,IF(OR(S$1="Crit Chance",S$1="Crit Damage",S$1="Condition Duration"),1,0),_xlpm.Flat,$H44,_xlpm.Percentage,$H44*S$43,_xlpm.Derived,$H44*S$43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S$1,AND(_xlpm.PercentCheck=0,$G44="All")),_xlfn.IFS(AND($I44="Flat",$J44=0),_xlpm.Flat,AND($I44="Percentage",$J44=0),_xlpm.Percentage,$J44="Derived",_xlpm.Derived,$J44="Boon Enhancement",_xlpm.BoonEnhancement,$J44="Stacking",_xlpm.Stacking),""))</f>
        <v/>
      </c>
      <c r="T44" s="205" t="str" cm="1">
        <f t="array" ref="T44">_xlfn.LET(_xlpm.PercentCheck,IF(OR(T$1="Crit Chance",T$1="Crit Damage",T$1="Condition Duration"),1,0),_xlpm.Flat,$H44,_xlpm.Percentage,$H44*T$43,_xlpm.Derived,$H44*T$43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T$1,AND(_xlpm.PercentCheck=0,$G44="All")),_xlfn.IFS(AND($I44="Flat",$J44=0),_xlpm.Flat,AND($I44="Percentage",$J44=0),_xlpm.Percentage,$J44="Derived",_xlpm.Derived,$J44="Boon Enhancement",_xlpm.BoonEnhancement,$J44="Stacking",_xlpm.Stacking),""))</f>
        <v/>
      </c>
      <c r="U44" s="205" t="str" cm="1">
        <f t="array" ref="U44">_xlfn.LET(_xlpm.PercentCheck,IF(OR(U$1="Crit Chance",U$1="Crit Damage",U$1="Condition Duration"),1,0),_xlpm.Flat,$H44,_xlpm.Percentage,$H44*U$43,_xlpm.Derived,$H44*U$43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U$1,AND(_xlpm.PercentCheck=0,$G44="All")),_xlfn.IFS(AND($I44="Flat",$J44=0),_xlpm.Flat,AND($I44="Percentage",$J44=0),_xlpm.Percentage,$J44="Derived",_xlpm.Derived,$J44="Boon Enhancement",_xlpm.BoonEnhancement,$J44="Stacking",_xlpm.Stacking),""))</f>
        <v/>
      </c>
      <c r="V44" s="205" t="str" cm="1">
        <f t="array" ref="V44">_xlfn.LET(_xlpm.PercentCheck,IF(OR(V$1="Crit Chance",V$1="Crit Damage",V$1="Condition Duration"),1,0),_xlpm.Flat,$H44,_xlpm.Percentage,$H44*V$43,_xlpm.Derived,$H44*V$43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V$1,AND(_xlpm.PercentCheck=0,$G44="All")),_xlfn.IFS(AND($I44="Flat",$J44=0),_xlpm.Flat,AND($I44="Percentage",$J44=0),_xlpm.Percentage,$J44="Derived",_xlpm.Derived,$J44="Boon Enhancement",_xlpm.BoonEnhancement,$J44="Stacking",_xlpm.Stacking),""))</f>
        <v/>
      </c>
      <c r="W44" s="205" t="str" cm="1">
        <f t="array" ref="W44">_xlfn.LET(_xlpm.PercentCheck,IF(OR(W$1="Crit Chance",W$1="Crit Damage",W$1="Condition Duration"),1,0),_xlpm.Flat,$H44,_xlpm.Percentage,$H44*W$43,_xlpm.Derived,$H44*W$43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W$1,AND(_xlpm.PercentCheck=0,$G44="All")),_xlfn.IFS(AND($I44="Flat",$J44=0),_xlpm.Flat,AND($I44="Percentage",$J44=0),_xlpm.Percentage,$J44="Derived",_xlpm.Derived,$J44="Boon Enhancement",_xlpm.BoonEnhancement,$J44="Stacking",_xlpm.Stacking),""))</f>
        <v/>
      </c>
      <c r="X44" s="205" t="str" cm="1">
        <f t="array" ref="X44">_xlfn.LET(_xlpm.PercentCheck,IF(OR(X$1="Crit Chance",X$1="Crit Damage",X$1="Condition Duration"),1,0),_xlpm.Flat,$H44,_xlpm.Percentage,$H44*X$43,_xlpm.Derived,$H44*X$43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X$1,AND(_xlpm.PercentCheck=0,$G44="All")),_xlfn.IFS(AND($I44="Flat",$J44=0),_xlpm.Flat,AND($I44="Percentage",$J44=0),_xlpm.Percentage,$J44="Derived",_xlpm.Derived,$J44="Boon Enhancement",_xlpm.BoonEnhancement,$J44="Stacking",_xlpm.Stacking),""))</f>
        <v/>
      </c>
      <c r="Y44" s="205" t="str" cm="1">
        <f t="array" ref="Y44">_xlfn.LET(_xlpm.PercentCheck,IF(OR(Y$1="Crit Chance",Y$1="Crit Damage",Y$1="Condition Duration"),1,0),_xlpm.Flat,$H44,_xlpm.Percentage,$H44*Y$43,_xlpm.Derived,$H44*Y$43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Y$1,AND(_xlpm.PercentCheck=0,$G44="All")),_xlfn.IFS(AND($I44="Flat",$J44=0),_xlpm.Flat,AND($I44="Percentage",$J44=0),_xlpm.Percentage,$J44="Derived",_xlpm.Derived,$J44="Boon Enhancement",_xlpm.BoonEnhancement,$J44="Stacking",_xlpm.Stacking),""))</f>
        <v/>
      </c>
      <c r="Z44" s="205" t="str" cm="1">
        <f t="array" ref="Z44">_xlfn.LET(_xlpm.PercentCheck,IF(OR(Z$1="Crit Chance",Z$1="Crit Damage",Z$1="Condition Duration"),1,0),_xlpm.Flat,$H44,_xlpm.Percentage,$H44*Z$43,_xlpm.Derived,$H44*Z$43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Z$1,AND(_xlpm.PercentCheck=0,$G44="All")),_xlfn.IFS(AND($I44="Flat",$J44=0),_xlpm.Flat,AND($I44="Percentage",$J44=0),_xlpm.Percentage,$J44="Derived",_xlpm.Derived,$J44="Boon Enhancement",_xlpm.BoonEnhancement,$J44="Stacking",_xlpm.Stacking),""))</f>
        <v/>
      </c>
      <c r="AA44" s="205" t="str" cm="1">
        <f t="array" ref="AA44">_xlfn.LET(_xlpm.PercentCheck,IF(OR(AA$1="Crit Chance",AA$1="Crit Damage",AA$1="Condition Duration"),1,0),_xlpm.Flat,$H44,_xlpm.Percentage,$H44*AA$43,_xlpm.Derived,$H44*AA$43,_xlpm.BoonType,VLOOKUP($M44,BoonToggles,2,0),_xlpm.BoonEnhancement,IF(AND(ISLOGICAL(_xlpm.BoonType),_xlpm.BoonType=TRUE),IF($I44="Flat",$H44,_xlpm.Percentage),IF($I44="Flat",$H44*_xlpm.BoonType,_xlpm.Percentage*_xlpm.BoonType)),_xlpm.Stacking,IF($I44="Flat",$H44*Spec1MajorGrandmasterStacks,IF(_xlpm.PercentCheck=1,"",_xlpm.Percentage*Spec1MajorGrandmasterStacks)),IF(OR($G44=AA$1,AND(_xlpm.PercentCheck=0,$G44="All")),_xlfn.IFS(AND($I44="Flat",$J44=0),_xlpm.Flat,AND($I44="Percentage",$J44=0),_xlpm.Percentage,$J44="Derived",_xlpm.Derived,$J44="Boon Enhancement",_xlpm.BoonEnhancement,$J44="Stacking",_xlpm.Stacking),""))</f>
        <v/>
      </c>
    </row>
    <row r="45" spans="1:27" ht="14.25" customHeight="1">
      <c r="A45" s="566"/>
      <c r="B45" s="554"/>
      <c r="C45" s="194"/>
      <c r="D45" s="195"/>
      <c r="E45" s="195"/>
      <c r="F45" s="195"/>
      <c r="G45" s="195"/>
      <c r="H45" s="195"/>
      <c r="I45" s="195"/>
      <c r="J45" s="195"/>
      <c r="K45" s="195"/>
      <c r="L45" s="195"/>
      <c r="M45" s="195"/>
      <c r="N45" s="195"/>
      <c r="O45" s="196"/>
      <c r="P45" s="190" t="str" cm="1">
        <f t="array" ref="P45">_xlfn.LET(_xlpm.PercentCheck,IF(OR(P$1="Crit Chance",P$1="Crit Damage",P$1="Condition Duration"),1,0),_xlpm.Flat,$H45,_xlpm.Percentage,$H45*P$43,_xlpm.Derived,$H45*P$43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P$1,AND(_xlpm.PercentCheck=0,$G45="All")),_xlfn.IFS(AND($I45="Flat",$J45=0),_xlpm.Flat,AND($I45="Percentage",$J45=0),_xlpm.Percentage,$J45="Derived",_xlpm.Derived,$J45="Boon Enhancement",_xlpm.BoonEnhancement,$J45="Stacking",_xlpm.Stacking),""))</f>
        <v/>
      </c>
      <c r="Q45" s="190" t="str" cm="1">
        <f t="array" ref="Q45">_xlfn.LET(_xlpm.PercentCheck,IF(OR(Q$1="Crit Chance",Q$1="Crit Damage",Q$1="Condition Duration"),1,0),_xlpm.Flat,$H45,_xlpm.Percentage,$H45*Q$43,_xlpm.Derived,$H45*Q$43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Q$1,AND(_xlpm.PercentCheck=0,$G45="All")),_xlfn.IFS(AND($I45="Flat",$J45=0),_xlpm.Flat,AND($I45="Percentage",$J45=0),_xlpm.Percentage,$J45="Derived",_xlpm.Derived,$J45="Boon Enhancement",_xlpm.BoonEnhancement,$J45="Stacking",_xlpm.Stacking),""))</f>
        <v/>
      </c>
      <c r="R45" s="190" t="str" cm="1">
        <f t="array" ref="R45">_xlfn.LET(_xlpm.PercentCheck,IF(OR(R$1="Crit Chance",R$1="Crit Damage",R$1="Condition Duration"),1,0),_xlpm.Flat,$H45,_xlpm.Percentage,$H45*R$43,_xlpm.Derived,$H45*R$43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R$1,AND(_xlpm.PercentCheck=0,$G45="All")),_xlfn.IFS(AND($I45="Flat",$J45=0),_xlpm.Flat,AND($I45="Percentage",$J45=0),_xlpm.Percentage,$J45="Derived",_xlpm.Derived,$J45="Boon Enhancement",_xlpm.BoonEnhancement,$J45="Stacking",_xlpm.Stacking),""))</f>
        <v/>
      </c>
      <c r="S45" s="190" t="str" cm="1">
        <f t="array" ref="S45">_xlfn.LET(_xlpm.PercentCheck,IF(OR(S$1="Crit Chance",S$1="Crit Damage",S$1="Condition Duration"),1,0),_xlpm.Flat,$H45,_xlpm.Percentage,$H45*S$43,_xlpm.Derived,$H45*S$43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S$1,AND(_xlpm.PercentCheck=0,$G45="All")),_xlfn.IFS(AND($I45="Flat",$J45=0),_xlpm.Flat,AND($I45="Percentage",$J45=0),_xlpm.Percentage,$J45="Derived",_xlpm.Derived,$J45="Boon Enhancement",_xlpm.BoonEnhancement,$J45="Stacking",_xlpm.Stacking),""))</f>
        <v/>
      </c>
      <c r="T45" s="190" t="str" cm="1">
        <f t="array" ref="T45">_xlfn.LET(_xlpm.PercentCheck,IF(OR(T$1="Crit Chance",T$1="Crit Damage",T$1="Condition Duration"),1,0),_xlpm.Flat,$H45,_xlpm.Percentage,$H45*T$43,_xlpm.Derived,$H45*T$43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T$1,AND(_xlpm.PercentCheck=0,$G45="All")),_xlfn.IFS(AND($I45="Flat",$J45=0),_xlpm.Flat,AND($I45="Percentage",$J45=0),_xlpm.Percentage,$J45="Derived",_xlpm.Derived,$J45="Boon Enhancement",_xlpm.BoonEnhancement,$J45="Stacking",_xlpm.Stacking),""))</f>
        <v/>
      </c>
      <c r="U45" s="190" t="str" cm="1">
        <f t="array" ref="U45">_xlfn.LET(_xlpm.PercentCheck,IF(OR(U$1="Crit Chance",U$1="Crit Damage",U$1="Condition Duration"),1,0),_xlpm.Flat,$H45,_xlpm.Percentage,$H45*U$43,_xlpm.Derived,$H45*U$43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U$1,AND(_xlpm.PercentCheck=0,$G45="All")),_xlfn.IFS(AND($I45="Flat",$J45=0),_xlpm.Flat,AND($I45="Percentage",$J45=0),_xlpm.Percentage,$J45="Derived",_xlpm.Derived,$J45="Boon Enhancement",_xlpm.BoonEnhancement,$J45="Stacking",_xlpm.Stacking),""))</f>
        <v/>
      </c>
      <c r="V45" s="190" t="str" cm="1">
        <f t="array" ref="V45">_xlfn.LET(_xlpm.PercentCheck,IF(OR(V$1="Crit Chance",V$1="Crit Damage",V$1="Condition Duration"),1,0),_xlpm.Flat,$H45,_xlpm.Percentage,$H45*V$43,_xlpm.Derived,$H45*V$43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V$1,AND(_xlpm.PercentCheck=0,$G45="All")),_xlfn.IFS(AND($I45="Flat",$J45=0),_xlpm.Flat,AND($I45="Percentage",$J45=0),_xlpm.Percentage,$J45="Derived",_xlpm.Derived,$J45="Boon Enhancement",_xlpm.BoonEnhancement,$J45="Stacking",_xlpm.Stacking),""))</f>
        <v/>
      </c>
      <c r="W45" s="190" t="str" cm="1">
        <f t="array" ref="W45">_xlfn.LET(_xlpm.PercentCheck,IF(OR(W$1="Crit Chance",W$1="Crit Damage",W$1="Condition Duration"),1,0),_xlpm.Flat,$H45,_xlpm.Percentage,$H45*W$43,_xlpm.Derived,$H45*W$43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W$1,AND(_xlpm.PercentCheck=0,$G45="All")),_xlfn.IFS(AND($I45="Flat",$J45=0),_xlpm.Flat,AND($I45="Percentage",$J45=0),_xlpm.Percentage,$J45="Derived",_xlpm.Derived,$J45="Boon Enhancement",_xlpm.BoonEnhancement,$J45="Stacking",_xlpm.Stacking),""))</f>
        <v/>
      </c>
      <c r="X45" s="190" t="str" cm="1">
        <f t="array" ref="X45">_xlfn.LET(_xlpm.PercentCheck,IF(OR(X$1="Crit Chance",X$1="Crit Damage",X$1="Condition Duration"),1,0),_xlpm.Flat,$H45,_xlpm.Percentage,$H45*X$43,_xlpm.Derived,$H45*X$43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X$1,AND(_xlpm.PercentCheck=0,$G45="All")),_xlfn.IFS(AND($I45="Flat",$J45=0),_xlpm.Flat,AND($I45="Percentage",$J45=0),_xlpm.Percentage,$J45="Derived",_xlpm.Derived,$J45="Boon Enhancement",_xlpm.BoonEnhancement,$J45="Stacking",_xlpm.Stacking),""))</f>
        <v/>
      </c>
      <c r="Y45" s="190" t="str" cm="1">
        <f t="array" ref="Y45">_xlfn.LET(_xlpm.PercentCheck,IF(OR(Y$1="Crit Chance",Y$1="Crit Damage",Y$1="Condition Duration"),1,0),_xlpm.Flat,$H45,_xlpm.Percentage,$H45*Y$43,_xlpm.Derived,$H45*Y$43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Y$1,AND(_xlpm.PercentCheck=0,$G45="All")),_xlfn.IFS(AND($I45="Flat",$J45=0),_xlpm.Flat,AND($I45="Percentage",$J45=0),_xlpm.Percentage,$J45="Derived",_xlpm.Derived,$J45="Boon Enhancement",_xlpm.BoonEnhancement,$J45="Stacking",_xlpm.Stacking),""))</f>
        <v/>
      </c>
      <c r="Z45" s="190" t="str" cm="1">
        <f t="array" ref="Z45">_xlfn.LET(_xlpm.PercentCheck,IF(OR(Z$1="Crit Chance",Z$1="Crit Damage",Z$1="Condition Duration"),1,0),_xlpm.Flat,$H45,_xlpm.Percentage,$H45*Z$43,_xlpm.Derived,$H45*Z$43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Z$1,AND(_xlpm.PercentCheck=0,$G45="All")),_xlfn.IFS(AND($I45="Flat",$J45=0),_xlpm.Flat,AND($I45="Percentage",$J45=0),_xlpm.Percentage,$J45="Derived",_xlpm.Derived,$J45="Boon Enhancement",_xlpm.BoonEnhancement,$J45="Stacking",_xlpm.Stacking),""))</f>
        <v/>
      </c>
      <c r="AA45" s="190" t="str" cm="1">
        <f t="array" ref="AA45">_xlfn.LET(_xlpm.PercentCheck,IF(OR(AA$1="Crit Chance",AA$1="Crit Damage",AA$1="Condition Duration"),1,0),_xlpm.Flat,$H45,_xlpm.Percentage,$H45*AA$43,_xlpm.Derived,$H45*AA$43,_xlpm.BoonType,VLOOKUP($M45,BoonToggles,2,0),_xlpm.BoonEnhancement,IF(AND(ISLOGICAL(_xlpm.BoonType),_xlpm.BoonType=TRUE),IF($I45="Flat",$H45,_xlpm.Percentage),IF($I45="Flat",$H45*_xlpm.BoonType,_xlpm.Percentage*_xlpm.BoonType)),_xlpm.Stacking,IF($I45="Flat",$H45*Spec1MajorGrandmasterStacks,IF(_xlpm.PercentCheck=1,"",_xlpm.Percentage*Spec1MajorGrandmasterStacks)),IF(OR($G45=AA$1,AND(_xlpm.PercentCheck=0,$G45="All")),_xlfn.IFS(AND($I45="Flat",$J45=0),_xlpm.Flat,AND($I45="Percentage",$J45=0),_xlpm.Percentage,$J45="Derived",_xlpm.Derived,$J45="Boon Enhancement",_xlpm.BoonEnhancement,$J45="Stacking",_xlpm.Stacking),""))</f>
        <v/>
      </c>
    </row>
    <row r="46" spans="1:27" ht="14.25" customHeight="1">
      <c r="A46" s="566"/>
      <c r="B46" s="554"/>
      <c r="C46" s="194"/>
      <c r="D46" s="195"/>
      <c r="E46" s="195"/>
      <c r="F46" s="195"/>
      <c r="G46" s="195"/>
      <c r="H46" s="195"/>
      <c r="I46" s="195"/>
      <c r="J46" s="195"/>
      <c r="K46" s="195"/>
      <c r="L46" s="195"/>
      <c r="M46" s="195"/>
      <c r="N46" s="195"/>
      <c r="O46" s="196"/>
      <c r="P46" s="190" t="str" cm="1">
        <f t="array" ref="P46">_xlfn.LET(_xlpm.PercentCheck,IF(OR(P$1="Crit Chance",P$1="Crit Damage",P$1="Condition Duration"),1,0),_xlpm.Flat,$H46,_xlpm.Percentage,$H46*P$43,_xlpm.Derived,$H46*P$43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P$1,AND(_xlpm.PercentCheck=0,$G46="All")),_xlfn.IFS(AND($I46="Flat",$J46=0),_xlpm.Flat,AND($I46="Percentage",$J46=0),_xlpm.Percentage,$J46="Derived",_xlpm.Derived,$J46="Boon Enhancement",_xlpm.BoonEnhancement,$J46="Stacking",_xlpm.Stacking),""))</f>
        <v/>
      </c>
      <c r="Q46" s="190" t="str" cm="1">
        <f t="array" ref="Q46">_xlfn.LET(_xlpm.PercentCheck,IF(OR(Q$1="Crit Chance",Q$1="Crit Damage",Q$1="Condition Duration"),1,0),_xlpm.Flat,$H46,_xlpm.Percentage,$H46*Q$43,_xlpm.Derived,$H46*Q$43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Q$1,AND(_xlpm.PercentCheck=0,$G46="All")),_xlfn.IFS(AND($I46="Flat",$J46=0),_xlpm.Flat,AND($I46="Percentage",$J46=0),_xlpm.Percentage,$J46="Derived",_xlpm.Derived,$J46="Boon Enhancement",_xlpm.BoonEnhancement,$J46="Stacking",_xlpm.Stacking),""))</f>
        <v/>
      </c>
      <c r="R46" s="190" t="str" cm="1">
        <f t="array" ref="R46">_xlfn.LET(_xlpm.PercentCheck,IF(OR(R$1="Crit Chance",R$1="Crit Damage",R$1="Condition Duration"),1,0),_xlpm.Flat,$H46,_xlpm.Percentage,$H46*R$43,_xlpm.Derived,$H46*R$43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R$1,AND(_xlpm.PercentCheck=0,$G46="All")),_xlfn.IFS(AND($I46="Flat",$J46=0),_xlpm.Flat,AND($I46="Percentage",$J46=0),_xlpm.Percentage,$J46="Derived",_xlpm.Derived,$J46="Boon Enhancement",_xlpm.BoonEnhancement,$J46="Stacking",_xlpm.Stacking),""))</f>
        <v/>
      </c>
      <c r="S46" s="190" t="str" cm="1">
        <f t="array" ref="S46">_xlfn.LET(_xlpm.PercentCheck,IF(OR(S$1="Crit Chance",S$1="Crit Damage",S$1="Condition Duration"),1,0),_xlpm.Flat,$H46,_xlpm.Percentage,$H46*S$43,_xlpm.Derived,$H46*S$43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S$1,AND(_xlpm.PercentCheck=0,$G46="All")),_xlfn.IFS(AND($I46="Flat",$J46=0),_xlpm.Flat,AND($I46="Percentage",$J46=0),_xlpm.Percentage,$J46="Derived",_xlpm.Derived,$J46="Boon Enhancement",_xlpm.BoonEnhancement,$J46="Stacking",_xlpm.Stacking),""))</f>
        <v/>
      </c>
      <c r="T46" s="190" t="str" cm="1">
        <f t="array" ref="T46">_xlfn.LET(_xlpm.PercentCheck,IF(OR(T$1="Crit Chance",T$1="Crit Damage",T$1="Condition Duration"),1,0),_xlpm.Flat,$H46,_xlpm.Percentage,$H46*T$43,_xlpm.Derived,$H46*T$43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T$1,AND(_xlpm.PercentCheck=0,$G46="All")),_xlfn.IFS(AND($I46="Flat",$J46=0),_xlpm.Flat,AND($I46="Percentage",$J46=0),_xlpm.Percentage,$J46="Derived",_xlpm.Derived,$J46="Boon Enhancement",_xlpm.BoonEnhancement,$J46="Stacking",_xlpm.Stacking),""))</f>
        <v/>
      </c>
      <c r="U46" s="190" t="str" cm="1">
        <f t="array" ref="U46">_xlfn.LET(_xlpm.PercentCheck,IF(OR(U$1="Crit Chance",U$1="Crit Damage",U$1="Condition Duration"),1,0),_xlpm.Flat,$H46,_xlpm.Percentage,$H46*U$43,_xlpm.Derived,$H46*U$43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U$1,AND(_xlpm.PercentCheck=0,$G46="All")),_xlfn.IFS(AND($I46="Flat",$J46=0),_xlpm.Flat,AND($I46="Percentage",$J46=0),_xlpm.Percentage,$J46="Derived",_xlpm.Derived,$J46="Boon Enhancement",_xlpm.BoonEnhancement,$J46="Stacking",_xlpm.Stacking),""))</f>
        <v/>
      </c>
      <c r="V46" s="190" t="str" cm="1">
        <f t="array" ref="V46">_xlfn.LET(_xlpm.PercentCheck,IF(OR(V$1="Crit Chance",V$1="Crit Damage",V$1="Condition Duration"),1,0),_xlpm.Flat,$H46,_xlpm.Percentage,$H46*V$43,_xlpm.Derived,$H46*V$43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V$1,AND(_xlpm.PercentCheck=0,$G46="All")),_xlfn.IFS(AND($I46="Flat",$J46=0),_xlpm.Flat,AND($I46="Percentage",$J46=0),_xlpm.Percentage,$J46="Derived",_xlpm.Derived,$J46="Boon Enhancement",_xlpm.BoonEnhancement,$J46="Stacking",_xlpm.Stacking),""))</f>
        <v/>
      </c>
      <c r="W46" s="190" t="str" cm="1">
        <f t="array" ref="W46">_xlfn.LET(_xlpm.PercentCheck,IF(OR(W$1="Crit Chance",W$1="Crit Damage",W$1="Condition Duration"),1,0),_xlpm.Flat,$H46,_xlpm.Percentage,$H46*W$43,_xlpm.Derived,$H46*W$43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W$1,AND(_xlpm.PercentCheck=0,$G46="All")),_xlfn.IFS(AND($I46="Flat",$J46=0),_xlpm.Flat,AND($I46="Percentage",$J46=0),_xlpm.Percentage,$J46="Derived",_xlpm.Derived,$J46="Boon Enhancement",_xlpm.BoonEnhancement,$J46="Stacking",_xlpm.Stacking),""))</f>
        <v/>
      </c>
      <c r="X46" s="190" t="str" cm="1">
        <f t="array" ref="X46">_xlfn.LET(_xlpm.PercentCheck,IF(OR(X$1="Crit Chance",X$1="Crit Damage",X$1="Condition Duration"),1,0),_xlpm.Flat,$H46,_xlpm.Percentage,$H46*X$43,_xlpm.Derived,$H46*X$43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X$1,AND(_xlpm.PercentCheck=0,$G46="All")),_xlfn.IFS(AND($I46="Flat",$J46=0),_xlpm.Flat,AND($I46="Percentage",$J46=0),_xlpm.Percentage,$J46="Derived",_xlpm.Derived,$J46="Boon Enhancement",_xlpm.BoonEnhancement,$J46="Stacking",_xlpm.Stacking),""))</f>
        <v/>
      </c>
      <c r="Y46" s="190" t="str" cm="1">
        <f t="array" ref="Y46">_xlfn.LET(_xlpm.PercentCheck,IF(OR(Y$1="Crit Chance",Y$1="Crit Damage",Y$1="Condition Duration"),1,0),_xlpm.Flat,$H46,_xlpm.Percentage,$H46*Y$43,_xlpm.Derived,$H46*Y$43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Y$1,AND(_xlpm.PercentCheck=0,$G46="All")),_xlfn.IFS(AND($I46="Flat",$J46=0),_xlpm.Flat,AND($I46="Percentage",$J46=0),_xlpm.Percentage,$J46="Derived",_xlpm.Derived,$J46="Boon Enhancement",_xlpm.BoonEnhancement,$J46="Stacking",_xlpm.Stacking),""))</f>
        <v/>
      </c>
      <c r="Z46" s="190" t="str" cm="1">
        <f t="array" ref="Z46">_xlfn.LET(_xlpm.PercentCheck,IF(OR(Z$1="Crit Chance",Z$1="Crit Damage",Z$1="Condition Duration"),1,0),_xlpm.Flat,$H46,_xlpm.Percentage,$H46*Z$43,_xlpm.Derived,$H46*Z$43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Z$1,AND(_xlpm.PercentCheck=0,$G46="All")),_xlfn.IFS(AND($I46="Flat",$J46=0),_xlpm.Flat,AND($I46="Percentage",$J46=0),_xlpm.Percentage,$J46="Derived",_xlpm.Derived,$J46="Boon Enhancement",_xlpm.BoonEnhancement,$J46="Stacking",_xlpm.Stacking),""))</f>
        <v/>
      </c>
      <c r="AA46" s="190" t="str" cm="1">
        <f t="array" ref="AA46">_xlfn.LET(_xlpm.PercentCheck,IF(OR(AA$1="Crit Chance",AA$1="Crit Damage",AA$1="Condition Duration"),1,0),_xlpm.Flat,$H46,_xlpm.Percentage,$H46*AA$43,_xlpm.Derived,$H46*AA$43,_xlpm.BoonType,VLOOKUP($M46,BoonToggles,2,0),_xlpm.BoonEnhancement,IF(AND(ISLOGICAL(_xlpm.BoonType),_xlpm.BoonType=TRUE),IF($I46="Flat",$H46,_xlpm.Percentage),IF($I46="Flat",$H46*_xlpm.BoonType,_xlpm.Percentage*_xlpm.BoonType)),_xlpm.Stacking,IF($I46="Flat",$H46*Spec1MajorGrandmasterStacks,IF(_xlpm.PercentCheck=1,"",_xlpm.Percentage*Spec1MajorGrandmasterStacks)),IF(OR($G46=AA$1,AND(_xlpm.PercentCheck=0,$G46="All")),_xlfn.IFS(AND($I46="Flat",$J46=0),_xlpm.Flat,AND($I46="Percentage",$J46=0),_xlpm.Percentage,$J46="Derived",_xlpm.Derived,$J46="Boon Enhancement",_xlpm.BoonEnhancement,$J46="Stacking",_xlpm.Stacking),""))</f>
        <v/>
      </c>
    </row>
    <row r="47" spans="1:27" ht="14.25" customHeight="1">
      <c r="A47" s="566"/>
      <c r="B47" s="554"/>
      <c r="C47" s="194"/>
      <c r="D47" s="195"/>
      <c r="E47" s="195"/>
      <c r="F47" s="195"/>
      <c r="G47" s="195"/>
      <c r="H47" s="195"/>
      <c r="I47" s="195"/>
      <c r="J47" s="195"/>
      <c r="K47" s="195"/>
      <c r="L47" s="195"/>
      <c r="M47" s="195"/>
      <c r="N47" s="195"/>
      <c r="O47" s="196"/>
      <c r="P47" s="190" t="str" cm="1">
        <f t="array" ref="P47">_xlfn.LET(_xlpm.PercentCheck,IF(OR(P$1="Crit Chance",P$1="Crit Damage",P$1="Condition Duration"),1,0),_xlpm.Flat,$H47,_xlpm.Percentage,$H47*P$43,_xlpm.Derived,$H47*P$43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P$1,AND(_xlpm.PercentCheck=0,$G47="All")),_xlfn.IFS(AND($I47="Flat",$J47=0),_xlpm.Flat,AND($I47="Percentage",$J47=0),_xlpm.Percentage,$J47="Derived",_xlpm.Derived,$J47="Boon Enhancement",_xlpm.BoonEnhancement,$J47="Stacking",_xlpm.Stacking),""))</f>
        <v/>
      </c>
      <c r="Q47" s="190" t="str" cm="1">
        <f t="array" ref="Q47">_xlfn.LET(_xlpm.PercentCheck,IF(OR(Q$1="Crit Chance",Q$1="Crit Damage",Q$1="Condition Duration"),1,0),_xlpm.Flat,$H47,_xlpm.Percentage,$H47*Q$43,_xlpm.Derived,$H47*Q$43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Q$1,AND(_xlpm.PercentCheck=0,$G47="All")),_xlfn.IFS(AND($I47="Flat",$J47=0),_xlpm.Flat,AND($I47="Percentage",$J47=0),_xlpm.Percentage,$J47="Derived",_xlpm.Derived,$J47="Boon Enhancement",_xlpm.BoonEnhancement,$J47="Stacking",_xlpm.Stacking),""))</f>
        <v/>
      </c>
      <c r="R47" s="190" t="str" cm="1">
        <f t="array" ref="R47">_xlfn.LET(_xlpm.PercentCheck,IF(OR(R$1="Crit Chance",R$1="Crit Damage",R$1="Condition Duration"),1,0),_xlpm.Flat,$H47,_xlpm.Percentage,$H47*R$43,_xlpm.Derived,$H47*R$43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R$1,AND(_xlpm.PercentCheck=0,$G47="All")),_xlfn.IFS(AND($I47="Flat",$J47=0),_xlpm.Flat,AND($I47="Percentage",$J47=0),_xlpm.Percentage,$J47="Derived",_xlpm.Derived,$J47="Boon Enhancement",_xlpm.BoonEnhancement,$J47="Stacking",_xlpm.Stacking),""))</f>
        <v/>
      </c>
      <c r="S47" s="190" t="str" cm="1">
        <f t="array" ref="S47">_xlfn.LET(_xlpm.PercentCheck,IF(OR(S$1="Crit Chance",S$1="Crit Damage",S$1="Condition Duration"),1,0),_xlpm.Flat,$H47,_xlpm.Percentage,$H47*S$43,_xlpm.Derived,$H47*S$43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S$1,AND(_xlpm.PercentCheck=0,$G47="All")),_xlfn.IFS(AND($I47="Flat",$J47=0),_xlpm.Flat,AND($I47="Percentage",$J47=0),_xlpm.Percentage,$J47="Derived",_xlpm.Derived,$J47="Boon Enhancement",_xlpm.BoonEnhancement,$J47="Stacking",_xlpm.Stacking),""))</f>
        <v/>
      </c>
      <c r="T47" s="190" t="str" cm="1">
        <f t="array" ref="T47">_xlfn.LET(_xlpm.PercentCheck,IF(OR(T$1="Crit Chance",T$1="Crit Damage",T$1="Condition Duration"),1,0),_xlpm.Flat,$H47,_xlpm.Percentage,$H47*T$43,_xlpm.Derived,$H47*T$43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T$1,AND(_xlpm.PercentCheck=0,$G47="All")),_xlfn.IFS(AND($I47="Flat",$J47=0),_xlpm.Flat,AND($I47="Percentage",$J47=0),_xlpm.Percentage,$J47="Derived",_xlpm.Derived,$J47="Boon Enhancement",_xlpm.BoonEnhancement,$J47="Stacking",_xlpm.Stacking),""))</f>
        <v/>
      </c>
      <c r="U47" s="190" t="str" cm="1">
        <f t="array" ref="U47">_xlfn.LET(_xlpm.PercentCheck,IF(OR(U$1="Crit Chance",U$1="Crit Damage",U$1="Condition Duration"),1,0),_xlpm.Flat,$H47,_xlpm.Percentage,$H47*U$43,_xlpm.Derived,$H47*U$43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U$1,AND(_xlpm.PercentCheck=0,$G47="All")),_xlfn.IFS(AND($I47="Flat",$J47=0),_xlpm.Flat,AND($I47="Percentage",$J47=0),_xlpm.Percentage,$J47="Derived",_xlpm.Derived,$J47="Boon Enhancement",_xlpm.BoonEnhancement,$J47="Stacking",_xlpm.Stacking),""))</f>
        <v/>
      </c>
      <c r="V47" s="190" t="str" cm="1">
        <f t="array" ref="V47">_xlfn.LET(_xlpm.PercentCheck,IF(OR(V$1="Crit Chance",V$1="Crit Damage",V$1="Condition Duration"),1,0),_xlpm.Flat,$H47,_xlpm.Percentage,$H47*V$43,_xlpm.Derived,$H47*V$43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V$1,AND(_xlpm.PercentCheck=0,$G47="All")),_xlfn.IFS(AND($I47="Flat",$J47=0),_xlpm.Flat,AND($I47="Percentage",$J47=0),_xlpm.Percentage,$J47="Derived",_xlpm.Derived,$J47="Boon Enhancement",_xlpm.BoonEnhancement,$J47="Stacking",_xlpm.Stacking),""))</f>
        <v/>
      </c>
      <c r="W47" s="190" t="str" cm="1">
        <f t="array" ref="W47">_xlfn.LET(_xlpm.PercentCheck,IF(OR(W$1="Crit Chance",W$1="Crit Damage",W$1="Condition Duration"),1,0),_xlpm.Flat,$H47,_xlpm.Percentage,$H47*W$43,_xlpm.Derived,$H47*W$43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W$1,AND(_xlpm.PercentCheck=0,$G47="All")),_xlfn.IFS(AND($I47="Flat",$J47=0),_xlpm.Flat,AND($I47="Percentage",$J47=0),_xlpm.Percentage,$J47="Derived",_xlpm.Derived,$J47="Boon Enhancement",_xlpm.BoonEnhancement,$J47="Stacking",_xlpm.Stacking),""))</f>
        <v/>
      </c>
      <c r="X47" s="190" t="str" cm="1">
        <f t="array" ref="X47">_xlfn.LET(_xlpm.PercentCheck,IF(OR(X$1="Crit Chance",X$1="Crit Damage",X$1="Condition Duration"),1,0),_xlpm.Flat,$H47,_xlpm.Percentage,$H47*X$43,_xlpm.Derived,$H47*X$43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X$1,AND(_xlpm.PercentCheck=0,$G47="All")),_xlfn.IFS(AND($I47="Flat",$J47=0),_xlpm.Flat,AND($I47="Percentage",$J47=0),_xlpm.Percentage,$J47="Derived",_xlpm.Derived,$J47="Boon Enhancement",_xlpm.BoonEnhancement,$J47="Stacking",_xlpm.Stacking),""))</f>
        <v/>
      </c>
      <c r="Y47" s="190" t="str" cm="1">
        <f t="array" ref="Y47">_xlfn.LET(_xlpm.PercentCheck,IF(OR(Y$1="Crit Chance",Y$1="Crit Damage",Y$1="Condition Duration"),1,0),_xlpm.Flat,$H47,_xlpm.Percentage,$H47*Y$43,_xlpm.Derived,$H47*Y$43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Y$1,AND(_xlpm.PercentCheck=0,$G47="All")),_xlfn.IFS(AND($I47="Flat",$J47=0),_xlpm.Flat,AND($I47="Percentage",$J47=0),_xlpm.Percentage,$J47="Derived",_xlpm.Derived,$J47="Boon Enhancement",_xlpm.BoonEnhancement,$J47="Stacking",_xlpm.Stacking),""))</f>
        <v/>
      </c>
      <c r="Z47" s="190" t="str" cm="1">
        <f t="array" ref="Z47">_xlfn.LET(_xlpm.PercentCheck,IF(OR(Z$1="Crit Chance",Z$1="Crit Damage",Z$1="Condition Duration"),1,0),_xlpm.Flat,$H47,_xlpm.Percentage,$H47*Z$43,_xlpm.Derived,$H47*Z$43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Z$1,AND(_xlpm.PercentCheck=0,$G47="All")),_xlfn.IFS(AND($I47="Flat",$J47=0),_xlpm.Flat,AND($I47="Percentage",$J47=0),_xlpm.Percentage,$J47="Derived",_xlpm.Derived,$J47="Boon Enhancement",_xlpm.BoonEnhancement,$J47="Stacking",_xlpm.Stacking),""))</f>
        <v/>
      </c>
      <c r="AA47" s="190" t="str" cm="1">
        <f t="array" ref="AA47">_xlfn.LET(_xlpm.PercentCheck,IF(OR(AA$1="Crit Chance",AA$1="Crit Damage",AA$1="Condition Duration"),1,0),_xlpm.Flat,$H47,_xlpm.Percentage,$H47*AA$43,_xlpm.Derived,$H47*AA$43,_xlpm.BoonType,VLOOKUP($M47,BoonToggles,2,0),_xlpm.BoonEnhancement,IF(AND(ISLOGICAL(_xlpm.BoonType),_xlpm.BoonType=TRUE),IF($I47="Flat",$H47,_xlpm.Percentage),IF($I47="Flat",$H47*_xlpm.BoonType,_xlpm.Percentage*_xlpm.BoonType)),_xlpm.Stacking,IF($I47="Flat",$H47*Spec1MajorGrandmasterStacks,IF(_xlpm.PercentCheck=1,"",_xlpm.Percentage*Spec1MajorGrandmasterStacks)),IF(OR($G47=AA$1,AND(_xlpm.PercentCheck=0,$G47="All")),_xlfn.IFS(AND($I47="Flat",$J47=0),_xlpm.Flat,AND($I47="Percentage",$J47=0),_xlpm.Percentage,$J47="Derived",_xlpm.Derived,$J47="Boon Enhancement",_xlpm.BoonEnhancement,$J47="Stacking",_xlpm.Stacking),""))</f>
        <v/>
      </c>
    </row>
    <row r="48" spans="1:27" ht="14.25" customHeight="1">
      <c r="A48" s="566"/>
      <c r="B48" s="555"/>
      <c r="C48" s="194"/>
      <c r="D48" s="195"/>
      <c r="E48" s="195"/>
      <c r="F48" s="195"/>
      <c r="G48" s="195"/>
      <c r="H48" s="195"/>
      <c r="I48" s="195"/>
      <c r="J48" s="195"/>
      <c r="K48" s="195"/>
      <c r="L48" s="195"/>
      <c r="M48" s="195"/>
      <c r="N48" s="195"/>
      <c r="O48" s="196"/>
      <c r="P48" s="190" t="str" cm="1">
        <f t="array" ref="P48">_xlfn.LET(_xlpm.PercentCheck,IF(OR(P$1="Crit Chance",P$1="Crit Damage",P$1="Condition Duration"),1,0),_xlpm.Flat,$H48,_xlpm.Percentage,$H48*P$43,_xlpm.Derived,$H48*P$43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P$1,AND(_xlpm.PercentCheck=0,$G48="All")),_xlfn.IFS(AND($I48="Flat",$J48=0),_xlpm.Flat,AND($I48="Percentage",$J48=0),_xlpm.Percentage,$J48="Derived",_xlpm.Derived,$J48="Boon Enhancement",_xlpm.BoonEnhancement,$J48="Stacking",_xlpm.Stacking),""))</f>
        <v/>
      </c>
      <c r="Q48" s="190" t="str" cm="1">
        <f t="array" ref="Q48">_xlfn.LET(_xlpm.PercentCheck,IF(OR(Q$1="Crit Chance",Q$1="Crit Damage",Q$1="Condition Duration"),1,0),_xlpm.Flat,$H48,_xlpm.Percentage,$H48*Q$43,_xlpm.Derived,$H48*Q$43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Q$1,AND(_xlpm.PercentCheck=0,$G48="All")),_xlfn.IFS(AND($I48="Flat",$J48=0),_xlpm.Flat,AND($I48="Percentage",$J48=0),_xlpm.Percentage,$J48="Derived",_xlpm.Derived,$J48="Boon Enhancement",_xlpm.BoonEnhancement,$J48="Stacking",_xlpm.Stacking),""))</f>
        <v/>
      </c>
      <c r="R48" s="190" t="str" cm="1">
        <f t="array" ref="R48">_xlfn.LET(_xlpm.PercentCheck,IF(OR(R$1="Crit Chance",R$1="Crit Damage",R$1="Condition Duration"),1,0),_xlpm.Flat,$H48,_xlpm.Percentage,$H48*R$43,_xlpm.Derived,$H48*R$43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R$1,AND(_xlpm.PercentCheck=0,$G48="All")),_xlfn.IFS(AND($I48="Flat",$J48=0),_xlpm.Flat,AND($I48="Percentage",$J48=0),_xlpm.Percentage,$J48="Derived",_xlpm.Derived,$J48="Boon Enhancement",_xlpm.BoonEnhancement,$J48="Stacking",_xlpm.Stacking),""))</f>
        <v/>
      </c>
      <c r="S48" s="190" t="str" cm="1">
        <f t="array" ref="S48">_xlfn.LET(_xlpm.PercentCheck,IF(OR(S$1="Crit Chance",S$1="Crit Damage",S$1="Condition Duration"),1,0),_xlpm.Flat,$H48,_xlpm.Percentage,$H48*S$43,_xlpm.Derived,$H48*S$43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S$1,AND(_xlpm.PercentCheck=0,$G48="All")),_xlfn.IFS(AND($I48="Flat",$J48=0),_xlpm.Flat,AND($I48="Percentage",$J48=0),_xlpm.Percentage,$J48="Derived",_xlpm.Derived,$J48="Boon Enhancement",_xlpm.BoonEnhancement,$J48="Stacking",_xlpm.Stacking),""))</f>
        <v/>
      </c>
      <c r="T48" s="190" t="str" cm="1">
        <f t="array" ref="T48">_xlfn.LET(_xlpm.PercentCheck,IF(OR(T$1="Crit Chance",T$1="Crit Damage",T$1="Condition Duration"),1,0),_xlpm.Flat,$H48,_xlpm.Percentage,$H48*T$43,_xlpm.Derived,$H48*T$43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T$1,AND(_xlpm.PercentCheck=0,$G48="All")),_xlfn.IFS(AND($I48="Flat",$J48=0),_xlpm.Flat,AND($I48="Percentage",$J48=0),_xlpm.Percentage,$J48="Derived",_xlpm.Derived,$J48="Boon Enhancement",_xlpm.BoonEnhancement,$J48="Stacking",_xlpm.Stacking),""))</f>
        <v/>
      </c>
      <c r="U48" s="190" t="str" cm="1">
        <f t="array" ref="U48">_xlfn.LET(_xlpm.PercentCheck,IF(OR(U$1="Crit Chance",U$1="Crit Damage",U$1="Condition Duration"),1,0),_xlpm.Flat,$H48,_xlpm.Percentage,$H48*U$43,_xlpm.Derived,$H48*U$43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U$1,AND(_xlpm.PercentCheck=0,$G48="All")),_xlfn.IFS(AND($I48="Flat",$J48=0),_xlpm.Flat,AND($I48="Percentage",$J48=0),_xlpm.Percentage,$J48="Derived",_xlpm.Derived,$J48="Boon Enhancement",_xlpm.BoonEnhancement,$J48="Stacking",_xlpm.Stacking),""))</f>
        <v/>
      </c>
      <c r="V48" s="190" t="str" cm="1">
        <f t="array" ref="V48">_xlfn.LET(_xlpm.PercentCheck,IF(OR(V$1="Crit Chance",V$1="Crit Damage",V$1="Condition Duration"),1,0),_xlpm.Flat,$H48,_xlpm.Percentage,$H48*V$43,_xlpm.Derived,$H48*V$43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V$1,AND(_xlpm.PercentCheck=0,$G48="All")),_xlfn.IFS(AND($I48="Flat",$J48=0),_xlpm.Flat,AND($I48="Percentage",$J48=0),_xlpm.Percentage,$J48="Derived",_xlpm.Derived,$J48="Boon Enhancement",_xlpm.BoonEnhancement,$J48="Stacking",_xlpm.Stacking),""))</f>
        <v/>
      </c>
      <c r="W48" s="190" t="str" cm="1">
        <f t="array" ref="W48">_xlfn.LET(_xlpm.PercentCheck,IF(OR(W$1="Crit Chance",W$1="Crit Damage",W$1="Condition Duration"),1,0),_xlpm.Flat,$H48,_xlpm.Percentage,$H48*W$43,_xlpm.Derived,$H48*W$43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W$1,AND(_xlpm.PercentCheck=0,$G48="All")),_xlfn.IFS(AND($I48="Flat",$J48=0),_xlpm.Flat,AND($I48="Percentage",$J48=0),_xlpm.Percentage,$J48="Derived",_xlpm.Derived,$J48="Boon Enhancement",_xlpm.BoonEnhancement,$J48="Stacking",_xlpm.Stacking),""))</f>
        <v/>
      </c>
      <c r="X48" s="190" t="str" cm="1">
        <f t="array" ref="X48">_xlfn.LET(_xlpm.PercentCheck,IF(OR(X$1="Crit Chance",X$1="Crit Damage",X$1="Condition Duration"),1,0),_xlpm.Flat,$H48,_xlpm.Percentage,$H48*X$43,_xlpm.Derived,$H48*X$43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X$1,AND(_xlpm.PercentCheck=0,$G48="All")),_xlfn.IFS(AND($I48="Flat",$J48=0),_xlpm.Flat,AND($I48="Percentage",$J48=0),_xlpm.Percentage,$J48="Derived",_xlpm.Derived,$J48="Boon Enhancement",_xlpm.BoonEnhancement,$J48="Stacking",_xlpm.Stacking),""))</f>
        <v/>
      </c>
      <c r="Y48" s="190" t="str" cm="1">
        <f t="array" ref="Y48">_xlfn.LET(_xlpm.PercentCheck,IF(OR(Y$1="Crit Chance",Y$1="Crit Damage",Y$1="Condition Duration"),1,0),_xlpm.Flat,$H48,_xlpm.Percentage,$H48*Y$43,_xlpm.Derived,$H48*Y$43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Y$1,AND(_xlpm.PercentCheck=0,$G48="All")),_xlfn.IFS(AND($I48="Flat",$J48=0),_xlpm.Flat,AND($I48="Percentage",$J48=0),_xlpm.Percentage,$J48="Derived",_xlpm.Derived,$J48="Boon Enhancement",_xlpm.BoonEnhancement,$J48="Stacking",_xlpm.Stacking),""))</f>
        <v/>
      </c>
      <c r="Z48" s="190" t="str" cm="1">
        <f t="array" ref="Z48">_xlfn.LET(_xlpm.PercentCheck,IF(OR(Z$1="Crit Chance",Z$1="Crit Damage",Z$1="Condition Duration"),1,0),_xlpm.Flat,$H48,_xlpm.Percentage,$H48*Z$43,_xlpm.Derived,$H48*Z$43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Z$1,AND(_xlpm.PercentCheck=0,$G48="All")),_xlfn.IFS(AND($I48="Flat",$J48=0),_xlpm.Flat,AND($I48="Percentage",$J48=0),_xlpm.Percentage,$J48="Derived",_xlpm.Derived,$J48="Boon Enhancement",_xlpm.BoonEnhancement,$J48="Stacking",_xlpm.Stacking),""))</f>
        <v/>
      </c>
      <c r="AA48" s="190" t="str" cm="1">
        <f t="array" ref="AA48">_xlfn.LET(_xlpm.PercentCheck,IF(OR(AA$1="Crit Chance",AA$1="Crit Damage",AA$1="Condition Duration"),1,0),_xlpm.Flat,$H48,_xlpm.Percentage,$H48*AA$43,_xlpm.Derived,$H48*AA$43,_xlpm.BoonType,VLOOKUP($M48,BoonToggles,2,0),_xlpm.BoonEnhancement,IF(AND(ISLOGICAL(_xlpm.BoonType),_xlpm.BoonType=TRUE),IF($I48="Flat",$H48,_xlpm.Percentage),IF($I48="Flat",$H48*_xlpm.BoonType,_xlpm.Percentage*_xlpm.BoonType)),_xlpm.Stacking,IF($I48="Flat",$H48*Spec1MajorGrandmasterStacks,IF(_xlpm.PercentCheck=1,"",_xlpm.Percentage*Spec1MajorGrandmasterStacks)),IF(OR($G48=AA$1,AND(_xlpm.PercentCheck=0,$G48="All")),_xlfn.IFS(AND($I48="Flat",$J48=0),_xlpm.Flat,AND($I48="Percentage",$J48=0),_xlpm.Percentage,$J48="Derived",_xlpm.Derived,$J48="Boon Enhancement",_xlpm.BoonEnhancement,$J48="Stacking",_xlpm.Stacking),""))</f>
        <v/>
      </c>
    </row>
    <row r="49" spans="1:27" s="171" customFormat="1" ht="14.25" customHeight="1">
      <c r="A49" s="566"/>
      <c r="B49" s="559" t="s">
        <v>3500</v>
      </c>
      <c r="C49" s="559"/>
      <c r="D49" s="559"/>
      <c r="E49" s="559"/>
      <c r="F49" s="559"/>
      <c r="G49" s="559"/>
      <c r="H49" s="559"/>
      <c r="I49" s="559"/>
      <c r="J49" s="559"/>
      <c r="K49" s="559"/>
      <c r="L49" s="559"/>
      <c r="M49" s="559"/>
      <c r="N49" s="559"/>
      <c r="O49" s="560"/>
      <c r="P49" s="197">
        <f t="shared" ref="P49:AA49" si="21">SUM(P$44:P$48)</f>
        <v>0</v>
      </c>
      <c r="Q49" s="198">
        <f t="shared" si="21"/>
        <v>0</v>
      </c>
      <c r="R49" s="198">
        <f t="shared" si="21"/>
        <v>0</v>
      </c>
      <c r="S49" s="198">
        <f t="shared" si="21"/>
        <v>0</v>
      </c>
      <c r="T49" s="198">
        <f t="shared" si="21"/>
        <v>0</v>
      </c>
      <c r="U49" s="198">
        <f t="shared" si="21"/>
        <v>0</v>
      </c>
      <c r="V49" s="198">
        <f t="shared" si="21"/>
        <v>0</v>
      </c>
      <c r="W49" s="198">
        <f t="shared" si="21"/>
        <v>0</v>
      </c>
      <c r="X49" s="198">
        <f t="shared" si="21"/>
        <v>0</v>
      </c>
      <c r="Y49" s="199">
        <f t="shared" si="21"/>
        <v>0</v>
      </c>
      <c r="Z49" s="199">
        <f t="shared" si="21"/>
        <v>0</v>
      </c>
      <c r="AA49" s="199">
        <f t="shared" si="21"/>
        <v>0</v>
      </c>
    </row>
    <row r="50" spans="1:27" s="171" customFormat="1" ht="14.25" customHeight="1">
      <c r="A50" s="566"/>
      <c r="B50" s="559" t="s">
        <v>3501</v>
      </c>
      <c r="C50" s="559"/>
      <c r="D50" s="559"/>
      <c r="E50" s="559"/>
      <c r="F50" s="559"/>
      <c r="G50" s="559"/>
      <c r="H50" s="559"/>
      <c r="I50" s="559"/>
      <c r="J50" s="559"/>
      <c r="K50" s="559"/>
      <c r="L50" s="559"/>
      <c r="M50" s="559"/>
      <c r="N50" s="559"/>
      <c r="O50" s="560"/>
      <c r="P50" s="197">
        <f>SUM(P$43,SUMIFS(P$44:P$48,$I$44:$I$48,"Percentage",$J$44:$J$48,"&lt;&gt;Derived"))</f>
        <v>1657</v>
      </c>
      <c r="Q50" s="197">
        <f t="shared" ref="Q50:X50" si="22">SUM(Q$43,SUMIFS(Q$44:Q$48,$I$44:$I$48,"Percentage",$J$44:$J$48,"&lt;&gt;Derived"))</f>
        <v>1594</v>
      </c>
      <c r="R50" s="197">
        <f t="shared" si="22"/>
        <v>1221</v>
      </c>
      <c r="S50" s="197">
        <f t="shared" si="22"/>
        <v>1156</v>
      </c>
      <c r="T50" s="197">
        <f t="shared" si="22"/>
        <v>10</v>
      </c>
      <c r="U50" s="197">
        <f t="shared" si="22"/>
        <v>249.6</v>
      </c>
      <c r="V50" s="197">
        <f t="shared" si="22"/>
        <v>260</v>
      </c>
      <c r="W50" s="197">
        <f t="shared" si="22"/>
        <v>248</v>
      </c>
      <c r="X50" s="197">
        <f t="shared" si="22"/>
        <v>47</v>
      </c>
      <c r="Y50" s="480"/>
      <c r="Z50" s="480"/>
      <c r="AA50" s="480"/>
    </row>
    <row r="51" spans="1:27" ht="14.25" customHeight="1">
      <c r="A51" s="566"/>
      <c r="B51" s="553" t="s">
        <v>19</v>
      </c>
      <c r="C51" s="194" t="str" cm="1">
        <f t="array" ref="C51">IF(OR(Spec2MajorAdeptCondition="(Select)",Spec2MajorAdeptCondition=""),_xlfn._xlws.FILTER(TraitStats,(TraitStatsTable[Name]=Spec2MajorAdept)*(TraitStatsTable[Condition]=""),"No stat bonus"),_xlfn._xlws.FILTER(TraitStats,(TraitStatsTable[Name]=Spec2MajorAdept)*((TraitStatsTable[Condition]=Spec2MajorAdeptCondition)+(TraitStatsTable[Condition]="")),"No stat bonus"))</f>
        <v>No stat bonus</v>
      </c>
      <c r="D51" s="195"/>
      <c r="E51" s="195"/>
      <c r="F51" s="195"/>
      <c r="G51" s="195"/>
      <c r="H51" s="195"/>
      <c r="I51" s="195"/>
      <c r="J51" s="195"/>
      <c r="K51" s="195"/>
      <c r="L51" s="195"/>
      <c r="M51" s="195"/>
      <c r="N51" s="195"/>
      <c r="O51" s="196"/>
      <c r="P51" s="190" t="str" cm="1">
        <f t="array" ref="P51">_xlfn.LET(_xlpm.PercentCheck,IF(OR(P$1="Crit Chance",P$1="Crit Damage",P$1="Condition Duration"),1,0),_xlpm.Flat,$H51,_xlpm.Percentage,$H51*P$50,_xlpm.Derived,$H51*P$50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P$1,AND(_xlpm.PercentCheck=0,$G51="All")),_xlfn.IFS(AND($I51="Flat",$J51=0),_xlpm.Flat,AND($I51="Percentage",$J51=0),_xlpm.Percentage,$J51="Derived",_xlpm.Derived,$J51="Boon Enhancement",_xlpm.BoonEnhancement,$J51="Stacking",_xlpm.Stacking),""))</f>
        <v/>
      </c>
      <c r="Q51" s="190" t="str" cm="1">
        <f t="array" ref="Q51">_xlfn.LET(_xlpm.PercentCheck,IF(OR(Q$1="Crit Chance",Q$1="Crit Damage",Q$1="Condition Duration"),1,0),_xlpm.Flat,$H51,_xlpm.Percentage,$H51*Q$50,_xlpm.Derived,$H51*Q$50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Q$1,AND(_xlpm.PercentCheck=0,$G51="All")),_xlfn.IFS(AND($I51="Flat",$J51=0),_xlpm.Flat,AND($I51="Percentage",$J51=0),_xlpm.Percentage,$J51="Derived",_xlpm.Derived,$J51="Boon Enhancement",_xlpm.BoonEnhancement,$J51="Stacking",_xlpm.Stacking),""))</f>
        <v/>
      </c>
      <c r="R51" s="190" t="str" cm="1">
        <f t="array" ref="R51">_xlfn.LET(_xlpm.PercentCheck,IF(OR(R$1="Crit Chance",R$1="Crit Damage",R$1="Condition Duration"),1,0),_xlpm.Flat,$H51,_xlpm.Percentage,$H51*R$50,_xlpm.Derived,$H51*R$50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R$1,AND(_xlpm.PercentCheck=0,$G51="All")),_xlfn.IFS(AND($I51="Flat",$J51=0),_xlpm.Flat,AND($I51="Percentage",$J51=0),_xlpm.Percentage,$J51="Derived",_xlpm.Derived,$J51="Boon Enhancement",_xlpm.BoonEnhancement,$J51="Stacking",_xlpm.Stacking),""))</f>
        <v/>
      </c>
      <c r="S51" s="190" t="str" cm="1">
        <f t="array" ref="S51">_xlfn.LET(_xlpm.PercentCheck,IF(OR(S$1="Crit Chance",S$1="Crit Damage",S$1="Condition Duration"),1,0),_xlpm.Flat,$H51,_xlpm.Percentage,$H51*S$50,_xlpm.Derived,$H51*S$50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S$1,AND(_xlpm.PercentCheck=0,$G51="All")),_xlfn.IFS(AND($I51="Flat",$J51=0),_xlpm.Flat,AND($I51="Percentage",$J51=0),_xlpm.Percentage,$J51="Derived",_xlpm.Derived,$J51="Boon Enhancement",_xlpm.BoonEnhancement,$J51="Stacking",_xlpm.Stacking),""))</f>
        <v/>
      </c>
      <c r="T51" s="190" t="str" cm="1">
        <f t="array" ref="T51">_xlfn.LET(_xlpm.PercentCheck,IF(OR(T$1="Crit Chance",T$1="Crit Damage",T$1="Condition Duration"),1,0),_xlpm.Flat,$H51,_xlpm.Percentage,$H51*T$50,_xlpm.Derived,$H51*T$50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T$1,AND(_xlpm.PercentCheck=0,$G51="All")),_xlfn.IFS(AND($I51="Flat",$J51=0),_xlpm.Flat,AND($I51="Percentage",$J51=0),_xlpm.Percentage,$J51="Derived",_xlpm.Derived,$J51="Boon Enhancement",_xlpm.BoonEnhancement,$J51="Stacking",_xlpm.Stacking),""))</f>
        <v/>
      </c>
      <c r="U51" s="190" t="str" cm="1">
        <f t="array" ref="U51">_xlfn.LET(_xlpm.PercentCheck,IF(OR(U$1="Crit Chance",U$1="Crit Damage",U$1="Condition Duration"),1,0),_xlpm.Flat,$H51,_xlpm.Percentage,$H51*U$50,_xlpm.Derived,$H51*U$50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U$1,AND(_xlpm.PercentCheck=0,$G51="All")),_xlfn.IFS(AND($I51="Flat",$J51=0),_xlpm.Flat,AND($I51="Percentage",$J51=0),_xlpm.Percentage,$J51="Derived",_xlpm.Derived,$J51="Boon Enhancement",_xlpm.BoonEnhancement,$J51="Stacking",_xlpm.Stacking),""))</f>
        <v/>
      </c>
      <c r="V51" s="190" t="str" cm="1">
        <f t="array" ref="V51">_xlfn.LET(_xlpm.PercentCheck,IF(OR(V$1="Crit Chance",V$1="Crit Damage",V$1="Condition Duration"),1,0),_xlpm.Flat,$H51,_xlpm.Percentage,$H51*V$50,_xlpm.Derived,$H51*V$50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V$1,AND(_xlpm.PercentCheck=0,$G51="All")),_xlfn.IFS(AND($I51="Flat",$J51=0),_xlpm.Flat,AND($I51="Percentage",$J51=0),_xlpm.Percentage,$J51="Derived",_xlpm.Derived,$J51="Boon Enhancement",_xlpm.BoonEnhancement,$J51="Stacking",_xlpm.Stacking),""))</f>
        <v/>
      </c>
      <c r="W51" s="190" t="str" cm="1">
        <f t="array" ref="W51">_xlfn.LET(_xlpm.PercentCheck,IF(OR(W$1="Crit Chance",W$1="Crit Damage",W$1="Condition Duration"),1,0),_xlpm.Flat,$H51,_xlpm.Percentage,$H51*W$50,_xlpm.Derived,$H51*W$50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W$1,AND(_xlpm.PercentCheck=0,$G51="All")),_xlfn.IFS(AND($I51="Flat",$J51=0),_xlpm.Flat,AND($I51="Percentage",$J51=0),_xlpm.Percentage,$J51="Derived",_xlpm.Derived,$J51="Boon Enhancement",_xlpm.BoonEnhancement,$J51="Stacking",_xlpm.Stacking),""))</f>
        <v/>
      </c>
      <c r="X51" s="190" t="str" cm="1">
        <f t="array" ref="X51">_xlfn.LET(_xlpm.PercentCheck,IF(OR(X$1="Crit Chance",X$1="Crit Damage",X$1="Condition Duration"),1,0),_xlpm.Flat,$H51,_xlpm.Percentage,$H51*X$50,_xlpm.Derived,$H51*X$50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X$1,AND(_xlpm.PercentCheck=0,$G51="All")),_xlfn.IFS(AND($I51="Flat",$J51=0),_xlpm.Flat,AND($I51="Percentage",$J51=0),_xlpm.Percentage,$J51="Derived",_xlpm.Derived,$J51="Boon Enhancement",_xlpm.BoonEnhancement,$J51="Stacking",_xlpm.Stacking),""))</f>
        <v/>
      </c>
      <c r="Y51" s="190" t="str" cm="1">
        <f t="array" ref="Y51">_xlfn.LET(_xlpm.PercentCheck,IF(OR(Y$1="Crit Chance",Y$1="Crit Damage",Y$1="Condition Duration"),1,0),_xlpm.Flat,$H51,_xlpm.Percentage,$H51*Y$50,_xlpm.Derived,$H51*Y$50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Y$1,AND(_xlpm.PercentCheck=0,$G51="All")),_xlfn.IFS(AND($I51="Flat",$J51=0),_xlpm.Flat,AND($I51="Percentage",$J51=0),_xlpm.Percentage,$J51="Derived",_xlpm.Derived,$J51="Boon Enhancement",_xlpm.BoonEnhancement,$J51="Stacking",_xlpm.Stacking),""))</f>
        <v/>
      </c>
      <c r="Z51" s="190" t="str" cm="1">
        <f t="array" ref="Z51">_xlfn.LET(_xlpm.PercentCheck,IF(OR(Z$1="Crit Chance",Z$1="Crit Damage",Z$1="Condition Duration"),1,0),_xlpm.Flat,$H51,_xlpm.Percentage,$H51*Z$50,_xlpm.Derived,$H51*Z$50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Z$1,AND(_xlpm.PercentCheck=0,$G51="All")),_xlfn.IFS(AND($I51="Flat",$J51=0),_xlpm.Flat,AND($I51="Percentage",$J51=0),_xlpm.Percentage,$J51="Derived",_xlpm.Derived,$J51="Boon Enhancement",_xlpm.BoonEnhancement,$J51="Stacking",_xlpm.Stacking),""))</f>
        <v/>
      </c>
      <c r="AA51" s="190" t="str" cm="1">
        <f t="array" ref="AA51">_xlfn.LET(_xlpm.PercentCheck,IF(OR(AA$1="Crit Chance",AA$1="Crit Damage",AA$1="Condition Duration"),1,0),_xlpm.Flat,$H51,_xlpm.Percentage,$H51*AA$50,_xlpm.Derived,$H51*AA$50,_xlpm.BoonType,VLOOKUP($M51,BoonToggles,2,0),_xlpm.BoonEnhancement,IF(AND(ISLOGICAL(_xlpm.BoonType),_xlpm.BoonType=TRUE),IF($I51="Flat",$H51,_xlpm.Percentage),IF($I51="Flat",$H51*_xlpm.BoonType,_xlpm.Percentage*_xlpm.BoonType)),_xlpm.Stacking,IF($I51="Flat",$H51*Spec1MajorGrandmasterStacks,IF(_xlpm.PercentCheck=1,"",_xlpm.Percentage*Spec1MajorGrandmasterStacks)),IF(OR($G51=AA$1,AND(_xlpm.PercentCheck=0,$G51="All")),_xlfn.IFS(AND($I51="Flat",$J51=0),_xlpm.Flat,AND($I51="Percentage",$J51=0),_xlpm.Percentage,$J51="Derived",_xlpm.Derived,$J51="Boon Enhancement",_xlpm.BoonEnhancement,$J51="Stacking",_xlpm.Stacking),""))</f>
        <v/>
      </c>
    </row>
    <row r="52" spans="1:27" ht="14.25" customHeight="1">
      <c r="A52" s="566"/>
      <c r="B52" s="554"/>
      <c r="C52" s="194"/>
      <c r="D52" s="195"/>
      <c r="E52" s="195"/>
      <c r="F52" s="195"/>
      <c r="G52" s="195"/>
      <c r="H52" s="195"/>
      <c r="I52" s="195"/>
      <c r="J52" s="195"/>
      <c r="K52" s="195"/>
      <c r="L52" s="195"/>
      <c r="M52" s="195"/>
      <c r="N52" s="195"/>
      <c r="O52" s="196"/>
      <c r="P52" s="190" t="str" cm="1">
        <f t="array" ref="P52">_xlfn.LET(_xlpm.PercentCheck,IF(OR(P$1="Crit Chance",P$1="Crit Damage",P$1="Condition Duration"),1,0),_xlpm.Flat,$H52,_xlpm.Percentage,$H52*P$50,_xlpm.Derived,$H52*P$50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P$1,AND(_xlpm.PercentCheck=0,$G52="All")),_xlfn.IFS(AND($I52="Flat",$J52=0),_xlpm.Flat,AND($I52="Percentage",$J52=0),_xlpm.Percentage,$J52="Derived",_xlpm.Derived,$J52="Boon Enhancement",_xlpm.BoonEnhancement,$J52="Stacking",_xlpm.Stacking),""))</f>
        <v/>
      </c>
      <c r="Q52" s="190" t="str" cm="1">
        <f t="array" ref="Q52">_xlfn.LET(_xlpm.PercentCheck,IF(OR(Q$1="Crit Chance",Q$1="Crit Damage",Q$1="Condition Duration"),1,0),_xlpm.Flat,$H52,_xlpm.Percentage,$H52*Q$50,_xlpm.Derived,$H52*Q$50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Q$1,AND(_xlpm.PercentCheck=0,$G52="All")),_xlfn.IFS(AND($I52="Flat",$J52=0),_xlpm.Flat,AND($I52="Percentage",$J52=0),_xlpm.Percentage,$J52="Derived",_xlpm.Derived,$J52="Boon Enhancement",_xlpm.BoonEnhancement,$J52="Stacking",_xlpm.Stacking),""))</f>
        <v/>
      </c>
      <c r="R52" s="190" t="str" cm="1">
        <f t="array" ref="R52">_xlfn.LET(_xlpm.PercentCheck,IF(OR(R$1="Crit Chance",R$1="Crit Damage",R$1="Condition Duration"),1,0),_xlpm.Flat,$H52,_xlpm.Percentage,$H52*R$50,_xlpm.Derived,$H52*R$50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R$1,AND(_xlpm.PercentCheck=0,$G52="All")),_xlfn.IFS(AND($I52="Flat",$J52=0),_xlpm.Flat,AND($I52="Percentage",$J52=0),_xlpm.Percentage,$J52="Derived",_xlpm.Derived,$J52="Boon Enhancement",_xlpm.BoonEnhancement,$J52="Stacking",_xlpm.Stacking),""))</f>
        <v/>
      </c>
      <c r="S52" s="190" t="str" cm="1">
        <f t="array" ref="S52">_xlfn.LET(_xlpm.PercentCheck,IF(OR(S$1="Crit Chance",S$1="Crit Damage",S$1="Condition Duration"),1,0),_xlpm.Flat,$H52,_xlpm.Percentage,$H52*S$50,_xlpm.Derived,$H52*S$50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S$1,AND(_xlpm.PercentCheck=0,$G52="All")),_xlfn.IFS(AND($I52="Flat",$J52=0),_xlpm.Flat,AND($I52="Percentage",$J52=0),_xlpm.Percentage,$J52="Derived",_xlpm.Derived,$J52="Boon Enhancement",_xlpm.BoonEnhancement,$J52="Stacking",_xlpm.Stacking),""))</f>
        <v/>
      </c>
      <c r="T52" s="190" t="str" cm="1">
        <f t="array" ref="T52">_xlfn.LET(_xlpm.PercentCheck,IF(OR(T$1="Crit Chance",T$1="Crit Damage",T$1="Condition Duration"),1,0),_xlpm.Flat,$H52,_xlpm.Percentage,$H52*T$50,_xlpm.Derived,$H52*T$50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T$1,AND(_xlpm.PercentCheck=0,$G52="All")),_xlfn.IFS(AND($I52="Flat",$J52=0),_xlpm.Flat,AND($I52="Percentage",$J52=0),_xlpm.Percentage,$J52="Derived",_xlpm.Derived,$J52="Boon Enhancement",_xlpm.BoonEnhancement,$J52="Stacking",_xlpm.Stacking),""))</f>
        <v/>
      </c>
      <c r="U52" s="190" t="str" cm="1">
        <f t="array" ref="U52">_xlfn.LET(_xlpm.PercentCheck,IF(OR(U$1="Crit Chance",U$1="Crit Damage",U$1="Condition Duration"),1,0),_xlpm.Flat,$H52,_xlpm.Percentage,$H52*U$50,_xlpm.Derived,$H52*U$50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U$1,AND(_xlpm.PercentCheck=0,$G52="All")),_xlfn.IFS(AND($I52="Flat",$J52=0),_xlpm.Flat,AND($I52="Percentage",$J52=0),_xlpm.Percentage,$J52="Derived",_xlpm.Derived,$J52="Boon Enhancement",_xlpm.BoonEnhancement,$J52="Stacking",_xlpm.Stacking),""))</f>
        <v/>
      </c>
      <c r="V52" s="190" t="str" cm="1">
        <f t="array" ref="V52">_xlfn.LET(_xlpm.PercentCheck,IF(OR(V$1="Crit Chance",V$1="Crit Damage",V$1="Condition Duration"),1,0),_xlpm.Flat,$H52,_xlpm.Percentage,$H52*V$50,_xlpm.Derived,$H52*V$50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V$1,AND(_xlpm.PercentCheck=0,$G52="All")),_xlfn.IFS(AND($I52="Flat",$J52=0),_xlpm.Flat,AND($I52="Percentage",$J52=0),_xlpm.Percentage,$J52="Derived",_xlpm.Derived,$J52="Boon Enhancement",_xlpm.BoonEnhancement,$J52="Stacking",_xlpm.Stacking),""))</f>
        <v/>
      </c>
      <c r="W52" s="190" t="str" cm="1">
        <f t="array" ref="W52">_xlfn.LET(_xlpm.PercentCheck,IF(OR(W$1="Crit Chance",W$1="Crit Damage",W$1="Condition Duration"),1,0),_xlpm.Flat,$H52,_xlpm.Percentage,$H52*W$50,_xlpm.Derived,$H52*W$50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W$1,AND(_xlpm.PercentCheck=0,$G52="All")),_xlfn.IFS(AND($I52="Flat",$J52=0),_xlpm.Flat,AND($I52="Percentage",$J52=0),_xlpm.Percentage,$J52="Derived",_xlpm.Derived,$J52="Boon Enhancement",_xlpm.BoonEnhancement,$J52="Stacking",_xlpm.Stacking),""))</f>
        <v/>
      </c>
      <c r="X52" s="190" t="str" cm="1">
        <f t="array" ref="X52">_xlfn.LET(_xlpm.PercentCheck,IF(OR(X$1="Crit Chance",X$1="Crit Damage",X$1="Condition Duration"),1,0),_xlpm.Flat,$H52,_xlpm.Percentage,$H52*X$50,_xlpm.Derived,$H52*X$50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X$1,AND(_xlpm.PercentCheck=0,$G52="All")),_xlfn.IFS(AND($I52="Flat",$J52=0),_xlpm.Flat,AND($I52="Percentage",$J52=0),_xlpm.Percentage,$J52="Derived",_xlpm.Derived,$J52="Boon Enhancement",_xlpm.BoonEnhancement,$J52="Stacking",_xlpm.Stacking),""))</f>
        <v/>
      </c>
      <c r="Y52" s="190" t="str" cm="1">
        <f t="array" ref="Y52">_xlfn.LET(_xlpm.PercentCheck,IF(OR(Y$1="Crit Chance",Y$1="Crit Damage",Y$1="Condition Duration"),1,0),_xlpm.Flat,$H52,_xlpm.Percentage,$H52*Y$50,_xlpm.Derived,$H52*Y$50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Y$1,AND(_xlpm.PercentCheck=0,$G52="All")),_xlfn.IFS(AND($I52="Flat",$J52=0),_xlpm.Flat,AND($I52="Percentage",$J52=0),_xlpm.Percentage,$J52="Derived",_xlpm.Derived,$J52="Boon Enhancement",_xlpm.BoonEnhancement,$J52="Stacking",_xlpm.Stacking),""))</f>
        <v/>
      </c>
      <c r="Z52" s="190" t="str" cm="1">
        <f t="array" ref="Z52">_xlfn.LET(_xlpm.PercentCheck,IF(OR(Z$1="Crit Chance",Z$1="Crit Damage",Z$1="Condition Duration"),1,0),_xlpm.Flat,$H52,_xlpm.Percentage,$H52*Z$50,_xlpm.Derived,$H52*Z$50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Z$1,AND(_xlpm.PercentCheck=0,$G52="All")),_xlfn.IFS(AND($I52="Flat",$J52=0),_xlpm.Flat,AND($I52="Percentage",$J52=0),_xlpm.Percentage,$J52="Derived",_xlpm.Derived,$J52="Boon Enhancement",_xlpm.BoonEnhancement,$J52="Stacking",_xlpm.Stacking),""))</f>
        <v/>
      </c>
      <c r="AA52" s="190" t="str" cm="1">
        <f t="array" ref="AA52">_xlfn.LET(_xlpm.PercentCheck,IF(OR(AA$1="Crit Chance",AA$1="Crit Damage",AA$1="Condition Duration"),1,0),_xlpm.Flat,$H52,_xlpm.Percentage,$H52*AA$50,_xlpm.Derived,$H52*AA$50,_xlpm.BoonType,VLOOKUP($M52,BoonToggles,2,0),_xlpm.BoonEnhancement,IF(AND(ISLOGICAL(_xlpm.BoonType),_xlpm.BoonType=TRUE),IF($I52="Flat",$H52,_xlpm.Percentage),IF($I52="Flat",$H52*_xlpm.BoonType,_xlpm.Percentage*_xlpm.BoonType)),_xlpm.Stacking,IF($I52="Flat",$H52*Spec1MajorGrandmasterStacks,IF(_xlpm.PercentCheck=1,"",_xlpm.Percentage*Spec1MajorGrandmasterStacks)),IF(OR($G52=AA$1,AND(_xlpm.PercentCheck=0,$G52="All")),_xlfn.IFS(AND($I52="Flat",$J52=0),_xlpm.Flat,AND($I52="Percentage",$J52=0),_xlpm.Percentage,$J52="Derived",_xlpm.Derived,$J52="Boon Enhancement",_xlpm.BoonEnhancement,$J52="Stacking",_xlpm.Stacking),""))</f>
        <v/>
      </c>
    </row>
    <row r="53" spans="1:27" ht="14.25" customHeight="1">
      <c r="A53" s="566"/>
      <c r="B53" s="554"/>
      <c r="C53" s="194"/>
      <c r="D53" s="195"/>
      <c r="E53" s="195"/>
      <c r="F53" s="195"/>
      <c r="G53" s="195"/>
      <c r="H53" s="195"/>
      <c r="I53" s="195"/>
      <c r="J53" s="195"/>
      <c r="K53" s="195"/>
      <c r="L53" s="195"/>
      <c r="M53" s="195"/>
      <c r="N53" s="195"/>
      <c r="O53" s="196"/>
      <c r="P53" s="190" t="str" cm="1">
        <f t="array" ref="P53">_xlfn.LET(_xlpm.PercentCheck,IF(OR(P$1="Crit Chance",P$1="Crit Damage",P$1="Condition Duration"),1,0),_xlpm.Flat,$H53,_xlpm.Percentage,$H53*P$50,_xlpm.Derived,$H53*P$50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P$1,AND(_xlpm.PercentCheck=0,$G53="All")),_xlfn.IFS(AND($I53="Flat",$J53=0),_xlpm.Flat,AND($I53="Percentage",$J53=0),_xlpm.Percentage,$J53="Derived",_xlpm.Derived,$J53="Boon Enhancement",_xlpm.BoonEnhancement,$J53="Stacking",_xlpm.Stacking),""))</f>
        <v/>
      </c>
      <c r="Q53" s="190" t="str" cm="1">
        <f t="array" ref="Q53">_xlfn.LET(_xlpm.PercentCheck,IF(OR(Q$1="Crit Chance",Q$1="Crit Damage",Q$1="Condition Duration"),1,0),_xlpm.Flat,$H53,_xlpm.Percentage,$H53*Q$50,_xlpm.Derived,$H53*Q$50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Q$1,AND(_xlpm.PercentCheck=0,$G53="All")),_xlfn.IFS(AND($I53="Flat",$J53=0),_xlpm.Flat,AND($I53="Percentage",$J53=0),_xlpm.Percentage,$J53="Derived",_xlpm.Derived,$J53="Boon Enhancement",_xlpm.BoonEnhancement,$J53="Stacking",_xlpm.Stacking),""))</f>
        <v/>
      </c>
      <c r="R53" s="190" t="str" cm="1">
        <f t="array" ref="R53">_xlfn.LET(_xlpm.PercentCheck,IF(OR(R$1="Crit Chance",R$1="Crit Damage",R$1="Condition Duration"),1,0),_xlpm.Flat,$H53,_xlpm.Percentage,$H53*R$50,_xlpm.Derived,$H53*R$50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R$1,AND(_xlpm.PercentCheck=0,$G53="All")),_xlfn.IFS(AND($I53="Flat",$J53=0),_xlpm.Flat,AND($I53="Percentage",$J53=0),_xlpm.Percentage,$J53="Derived",_xlpm.Derived,$J53="Boon Enhancement",_xlpm.BoonEnhancement,$J53="Stacking",_xlpm.Stacking),""))</f>
        <v/>
      </c>
      <c r="S53" s="190" t="str" cm="1">
        <f t="array" ref="S53">_xlfn.LET(_xlpm.PercentCheck,IF(OR(S$1="Crit Chance",S$1="Crit Damage",S$1="Condition Duration"),1,0),_xlpm.Flat,$H53,_xlpm.Percentage,$H53*S$50,_xlpm.Derived,$H53*S$50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S$1,AND(_xlpm.PercentCheck=0,$G53="All")),_xlfn.IFS(AND($I53="Flat",$J53=0),_xlpm.Flat,AND($I53="Percentage",$J53=0),_xlpm.Percentage,$J53="Derived",_xlpm.Derived,$J53="Boon Enhancement",_xlpm.BoonEnhancement,$J53="Stacking",_xlpm.Stacking),""))</f>
        <v/>
      </c>
      <c r="T53" s="190" t="str" cm="1">
        <f t="array" ref="T53">_xlfn.LET(_xlpm.PercentCheck,IF(OR(T$1="Crit Chance",T$1="Crit Damage",T$1="Condition Duration"),1,0),_xlpm.Flat,$H53,_xlpm.Percentage,$H53*T$50,_xlpm.Derived,$H53*T$50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T$1,AND(_xlpm.PercentCheck=0,$G53="All")),_xlfn.IFS(AND($I53="Flat",$J53=0),_xlpm.Flat,AND($I53="Percentage",$J53=0),_xlpm.Percentage,$J53="Derived",_xlpm.Derived,$J53="Boon Enhancement",_xlpm.BoonEnhancement,$J53="Stacking",_xlpm.Stacking),""))</f>
        <v/>
      </c>
      <c r="U53" s="190" t="str" cm="1">
        <f t="array" ref="U53">_xlfn.LET(_xlpm.PercentCheck,IF(OR(U$1="Crit Chance",U$1="Crit Damage",U$1="Condition Duration"),1,0),_xlpm.Flat,$H53,_xlpm.Percentage,$H53*U$50,_xlpm.Derived,$H53*U$50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U$1,AND(_xlpm.PercentCheck=0,$G53="All")),_xlfn.IFS(AND($I53="Flat",$J53=0),_xlpm.Flat,AND($I53="Percentage",$J53=0),_xlpm.Percentage,$J53="Derived",_xlpm.Derived,$J53="Boon Enhancement",_xlpm.BoonEnhancement,$J53="Stacking",_xlpm.Stacking),""))</f>
        <v/>
      </c>
      <c r="V53" s="190" t="str" cm="1">
        <f t="array" ref="V53">_xlfn.LET(_xlpm.PercentCheck,IF(OR(V$1="Crit Chance",V$1="Crit Damage",V$1="Condition Duration"),1,0),_xlpm.Flat,$H53,_xlpm.Percentage,$H53*V$50,_xlpm.Derived,$H53*V$50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V$1,AND(_xlpm.PercentCheck=0,$G53="All")),_xlfn.IFS(AND($I53="Flat",$J53=0),_xlpm.Flat,AND($I53="Percentage",$J53=0),_xlpm.Percentage,$J53="Derived",_xlpm.Derived,$J53="Boon Enhancement",_xlpm.BoonEnhancement,$J53="Stacking",_xlpm.Stacking),""))</f>
        <v/>
      </c>
      <c r="W53" s="190" t="str" cm="1">
        <f t="array" ref="W53">_xlfn.LET(_xlpm.PercentCheck,IF(OR(W$1="Crit Chance",W$1="Crit Damage",W$1="Condition Duration"),1,0),_xlpm.Flat,$H53,_xlpm.Percentage,$H53*W$50,_xlpm.Derived,$H53*W$50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W$1,AND(_xlpm.PercentCheck=0,$G53="All")),_xlfn.IFS(AND($I53="Flat",$J53=0),_xlpm.Flat,AND($I53="Percentage",$J53=0),_xlpm.Percentage,$J53="Derived",_xlpm.Derived,$J53="Boon Enhancement",_xlpm.BoonEnhancement,$J53="Stacking",_xlpm.Stacking),""))</f>
        <v/>
      </c>
      <c r="X53" s="190" t="str" cm="1">
        <f t="array" ref="X53">_xlfn.LET(_xlpm.PercentCheck,IF(OR(X$1="Crit Chance",X$1="Crit Damage",X$1="Condition Duration"),1,0),_xlpm.Flat,$H53,_xlpm.Percentage,$H53*X$50,_xlpm.Derived,$H53*X$50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X$1,AND(_xlpm.PercentCheck=0,$G53="All")),_xlfn.IFS(AND($I53="Flat",$J53=0),_xlpm.Flat,AND($I53="Percentage",$J53=0),_xlpm.Percentage,$J53="Derived",_xlpm.Derived,$J53="Boon Enhancement",_xlpm.BoonEnhancement,$J53="Stacking",_xlpm.Stacking),""))</f>
        <v/>
      </c>
      <c r="Y53" s="190" t="str" cm="1">
        <f t="array" ref="Y53">_xlfn.LET(_xlpm.PercentCheck,IF(OR(Y$1="Crit Chance",Y$1="Crit Damage",Y$1="Condition Duration"),1,0),_xlpm.Flat,$H53,_xlpm.Percentage,$H53*Y$50,_xlpm.Derived,$H53*Y$50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Y$1,AND(_xlpm.PercentCheck=0,$G53="All")),_xlfn.IFS(AND($I53="Flat",$J53=0),_xlpm.Flat,AND($I53="Percentage",$J53=0),_xlpm.Percentage,$J53="Derived",_xlpm.Derived,$J53="Boon Enhancement",_xlpm.BoonEnhancement,$J53="Stacking",_xlpm.Stacking),""))</f>
        <v/>
      </c>
      <c r="Z53" s="190" t="str" cm="1">
        <f t="array" ref="Z53">_xlfn.LET(_xlpm.PercentCheck,IF(OR(Z$1="Crit Chance",Z$1="Crit Damage",Z$1="Condition Duration"),1,0),_xlpm.Flat,$H53,_xlpm.Percentage,$H53*Z$50,_xlpm.Derived,$H53*Z$50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Z$1,AND(_xlpm.PercentCheck=0,$G53="All")),_xlfn.IFS(AND($I53="Flat",$J53=0),_xlpm.Flat,AND($I53="Percentage",$J53=0),_xlpm.Percentage,$J53="Derived",_xlpm.Derived,$J53="Boon Enhancement",_xlpm.BoonEnhancement,$J53="Stacking",_xlpm.Stacking),""))</f>
        <v/>
      </c>
      <c r="AA53" s="190" t="str" cm="1">
        <f t="array" ref="AA53">_xlfn.LET(_xlpm.PercentCheck,IF(OR(AA$1="Crit Chance",AA$1="Crit Damage",AA$1="Condition Duration"),1,0),_xlpm.Flat,$H53,_xlpm.Percentage,$H53*AA$50,_xlpm.Derived,$H53*AA$50,_xlpm.BoonType,VLOOKUP($M53,BoonToggles,2,0),_xlpm.BoonEnhancement,IF(AND(ISLOGICAL(_xlpm.BoonType),_xlpm.BoonType=TRUE),IF($I53="Flat",$H53,_xlpm.Percentage),IF($I53="Flat",$H53*_xlpm.BoonType,_xlpm.Percentage*_xlpm.BoonType)),_xlpm.Stacking,IF($I53="Flat",$H53*Spec1MajorGrandmasterStacks,IF(_xlpm.PercentCheck=1,"",_xlpm.Percentage*Spec1MajorGrandmasterStacks)),IF(OR($G53=AA$1,AND(_xlpm.PercentCheck=0,$G53="All")),_xlfn.IFS(AND($I53="Flat",$J53=0),_xlpm.Flat,AND($I53="Percentage",$J53=0),_xlpm.Percentage,$J53="Derived",_xlpm.Derived,$J53="Boon Enhancement",_xlpm.BoonEnhancement,$J53="Stacking",_xlpm.Stacking),""))</f>
        <v/>
      </c>
    </row>
    <row r="54" spans="1:27" ht="14.25" customHeight="1">
      <c r="A54" s="566"/>
      <c r="B54" s="554"/>
      <c r="C54" s="194"/>
      <c r="D54" s="195"/>
      <c r="E54" s="195"/>
      <c r="F54" s="195"/>
      <c r="G54" s="195"/>
      <c r="H54" s="195"/>
      <c r="I54" s="195"/>
      <c r="J54" s="195"/>
      <c r="K54" s="195"/>
      <c r="L54" s="195"/>
      <c r="M54" s="195"/>
      <c r="N54" s="195"/>
      <c r="O54" s="196"/>
      <c r="P54" s="190" t="str" cm="1">
        <f t="array" ref="P54">_xlfn.LET(_xlpm.PercentCheck,IF(OR(P$1="Crit Chance",P$1="Crit Damage",P$1="Condition Duration"),1,0),_xlpm.Flat,$H54,_xlpm.Percentage,$H54*P$50,_xlpm.Derived,$H54*P$50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P$1,AND(_xlpm.PercentCheck=0,$G54="All")),_xlfn.IFS(AND($I54="Flat",$J54=0),_xlpm.Flat,AND($I54="Percentage",$J54=0),_xlpm.Percentage,$J54="Derived",_xlpm.Derived,$J54="Boon Enhancement",_xlpm.BoonEnhancement,$J54="Stacking",_xlpm.Stacking),""))</f>
        <v/>
      </c>
      <c r="Q54" s="190" t="str" cm="1">
        <f t="array" ref="Q54">_xlfn.LET(_xlpm.PercentCheck,IF(OR(Q$1="Crit Chance",Q$1="Crit Damage",Q$1="Condition Duration"),1,0),_xlpm.Flat,$H54,_xlpm.Percentage,$H54*Q$50,_xlpm.Derived,$H54*Q$50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Q$1,AND(_xlpm.PercentCheck=0,$G54="All")),_xlfn.IFS(AND($I54="Flat",$J54=0),_xlpm.Flat,AND($I54="Percentage",$J54=0),_xlpm.Percentage,$J54="Derived",_xlpm.Derived,$J54="Boon Enhancement",_xlpm.BoonEnhancement,$J54="Stacking",_xlpm.Stacking),""))</f>
        <v/>
      </c>
      <c r="R54" s="190" t="str" cm="1">
        <f t="array" ref="R54">_xlfn.LET(_xlpm.PercentCheck,IF(OR(R$1="Crit Chance",R$1="Crit Damage",R$1="Condition Duration"),1,0),_xlpm.Flat,$H54,_xlpm.Percentage,$H54*R$50,_xlpm.Derived,$H54*R$50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R$1,AND(_xlpm.PercentCheck=0,$G54="All")),_xlfn.IFS(AND($I54="Flat",$J54=0),_xlpm.Flat,AND($I54="Percentage",$J54=0),_xlpm.Percentage,$J54="Derived",_xlpm.Derived,$J54="Boon Enhancement",_xlpm.BoonEnhancement,$J54="Stacking",_xlpm.Stacking),""))</f>
        <v/>
      </c>
      <c r="S54" s="190" t="str" cm="1">
        <f t="array" ref="S54">_xlfn.LET(_xlpm.PercentCheck,IF(OR(S$1="Crit Chance",S$1="Crit Damage",S$1="Condition Duration"),1,0),_xlpm.Flat,$H54,_xlpm.Percentage,$H54*S$50,_xlpm.Derived,$H54*S$50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S$1,AND(_xlpm.PercentCheck=0,$G54="All")),_xlfn.IFS(AND($I54="Flat",$J54=0),_xlpm.Flat,AND($I54="Percentage",$J54=0),_xlpm.Percentage,$J54="Derived",_xlpm.Derived,$J54="Boon Enhancement",_xlpm.BoonEnhancement,$J54="Stacking",_xlpm.Stacking),""))</f>
        <v/>
      </c>
      <c r="T54" s="190" t="str" cm="1">
        <f t="array" ref="T54">_xlfn.LET(_xlpm.PercentCheck,IF(OR(T$1="Crit Chance",T$1="Crit Damage",T$1="Condition Duration"),1,0),_xlpm.Flat,$H54,_xlpm.Percentage,$H54*T$50,_xlpm.Derived,$H54*T$50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T$1,AND(_xlpm.PercentCheck=0,$G54="All")),_xlfn.IFS(AND($I54="Flat",$J54=0),_xlpm.Flat,AND($I54="Percentage",$J54=0),_xlpm.Percentage,$J54="Derived",_xlpm.Derived,$J54="Boon Enhancement",_xlpm.BoonEnhancement,$J54="Stacking",_xlpm.Stacking),""))</f>
        <v/>
      </c>
      <c r="U54" s="190" t="str" cm="1">
        <f t="array" ref="U54">_xlfn.LET(_xlpm.PercentCheck,IF(OR(U$1="Crit Chance",U$1="Crit Damage",U$1="Condition Duration"),1,0),_xlpm.Flat,$H54,_xlpm.Percentage,$H54*U$50,_xlpm.Derived,$H54*U$50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U$1,AND(_xlpm.PercentCheck=0,$G54="All")),_xlfn.IFS(AND($I54="Flat",$J54=0),_xlpm.Flat,AND($I54="Percentage",$J54=0),_xlpm.Percentage,$J54="Derived",_xlpm.Derived,$J54="Boon Enhancement",_xlpm.BoonEnhancement,$J54="Stacking",_xlpm.Stacking),""))</f>
        <v/>
      </c>
      <c r="V54" s="190" t="str" cm="1">
        <f t="array" ref="V54">_xlfn.LET(_xlpm.PercentCheck,IF(OR(V$1="Crit Chance",V$1="Crit Damage",V$1="Condition Duration"),1,0),_xlpm.Flat,$H54,_xlpm.Percentage,$H54*V$50,_xlpm.Derived,$H54*V$50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V$1,AND(_xlpm.PercentCheck=0,$G54="All")),_xlfn.IFS(AND($I54="Flat",$J54=0),_xlpm.Flat,AND($I54="Percentage",$J54=0),_xlpm.Percentage,$J54="Derived",_xlpm.Derived,$J54="Boon Enhancement",_xlpm.BoonEnhancement,$J54="Stacking",_xlpm.Stacking),""))</f>
        <v/>
      </c>
      <c r="W54" s="190" t="str" cm="1">
        <f t="array" ref="W54">_xlfn.LET(_xlpm.PercentCheck,IF(OR(W$1="Crit Chance",W$1="Crit Damage",W$1="Condition Duration"),1,0),_xlpm.Flat,$H54,_xlpm.Percentage,$H54*W$50,_xlpm.Derived,$H54*W$50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W$1,AND(_xlpm.PercentCheck=0,$G54="All")),_xlfn.IFS(AND($I54="Flat",$J54=0),_xlpm.Flat,AND($I54="Percentage",$J54=0),_xlpm.Percentage,$J54="Derived",_xlpm.Derived,$J54="Boon Enhancement",_xlpm.BoonEnhancement,$J54="Stacking",_xlpm.Stacking),""))</f>
        <v/>
      </c>
      <c r="X54" s="190" t="str" cm="1">
        <f t="array" ref="X54">_xlfn.LET(_xlpm.PercentCheck,IF(OR(X$1="Crit Chance",X$1="Crit Damage",X$1="Condition Duration"),1,0),_xlpm.Flat,$H54,_xlpm.Percentage,$H54*X$50,_xlpm.Derived,$H54*X$50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X$1,AND(_xlpm.PercentCheck=0,$G54="All")),_xlfn.IFS(AND($I54="Flat",$J54=0),_xlpm.Flat,AND($I54="Percentage",$J54=0),_xlpm.Percentage,$J54="Derived",_xlpm.Derived,$J54="Boon Enhancement",_xlpm.BoonEnhancement,$J54="Stacking",_xlpm.Stacking),""))</f>
        <v/>
      </c>
      <c r="Y54" s="190" t="str" cm="1">
        <f t="array" ref="Y54">_xlfn.LET(_xlpm.PercentCheck,IF(OR(Y$1="Crit Chance",Y$1="Crit Damage",Y$1="Condition Duration"),1,0),_xlpm.Flat,$H54,_xlpm.Percentage,$H54*Y$50,_xlpm.Derived,$H54*Y$50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Y$1,AND(_xlpm.PercentCheck=0,$G54="All")),_xlfn.IFS(AND($I54="Flat",$J54=0),_xlpm.Flat,AND($I54="Percentage",$J54=0),_xlpm.Percentage,$J54="Derived",_xlpm.Derived,$J54="Boon Enhancement",_xlpm.BoonEnhancement,$J54="Stacking",_xlpm.Stacking),""))</f>
        <v/>
      </c>
      <c r="Z54" s="190" t="str" cm="1">
        <f t="array" ref="Z54">_xlfn.LET(_xlpm.PercentCheck,IF(OR(Z$1="Crit Chance",Z$1="Crit Damage",Z$1="Condition Duration"),1,0),_xlpm.Flat,$H54,_xlpm.Percentage,$H54*Z$50,_xlpm.Derived,$H54*Z$50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Z$1,AND(_xlpm.PercentCheck=0,$G54="All")),_xlfn.IFS(AND($I54="Flat",$J54=0),_xlpm.Flat,AND($I54="Percentage",$J54=0),_xlpm.Percentage,$J54="Derived",_xlpm.Derived,$J54="Boon Enhancement",_xlpm.BoonEnhancement,$J54="Stacking",_xlpm.Stacking),""))</f>
        <v/>
      </c>
      <c r="AA54" s="190" t="str" cm="1">
        <f t="array" ref="AA54">_xlfn.LET(_xlpm.PercentCheck,IF(OR(AA$1="Crit Chance",AA$1="Crit Damage",AA$1="Condition Duration"),1,0),_xlpm.Flat,$H54,_xlpm.Percentage,$H54*AA$50,_xlpm.Derived,$H54*AA$50,_xlpm.BoonType,VLOOKUP($M54,BoonToggles,2,0),_xlpm.BoonEnhancement,IF(AND(ISLOGICAL(_xlpm.BoonType),_xlpm.BoonType=TRUE),IF($I54="Flat",$H54,_xlpm.Percentage),IF($I54="Flat",$H54*_xlpm.BoonType,_xlpm.Percentage*_xlpm.BoonType)),_xlpm.Stacking,IF($I54="Flat",$H54*Spec1MajorGrandmasterStacks,IF(_xlpm.PercentCheck=1,"",_xlpm.Percentage*Spec1MajorGrandmasterStacks)),IF(OR($G54=AA$1,AND(_xlpm.PercentCheck=0,$G54="All")),_xlfn.IFS(AND($I54="Flat",$J54=0),_xlpm.Flat,AND($I54="Percentage",$J54=0),_xlpm.Percentage,$J54="Derived",_xlpm.Derived,$J54="Boon Enhancement",_xlpm.BoonEnhancement,$J54="Stacking",_xlpm.Stacking),""))</f>
        <v/>
      </c>
    </row>
    <row r="55" spans="1:27" ht="14.25" customHeight="1">
      <c r="A55" s="566"/>
      <c r="B55" s="555"/>
      <c r="C55" s="194"/>
      <c r="D55" s="195"/>
      <c r="E55" s="195"/>
      <c r="F55" s="195"/>
      <c r="G55" s="195"/>
      <c r="H55" s="195"/>
      <c r="I55" s="195"/>
      <c r="J55" s="195"/>
      <c r="K55" s="195"/>
      <c r="L55" s="195"/>
      <c r="M55" s="195"/>
      <c r="N55" s="195"/>
      <c r="O55" s="196"/>
      <c r="P55" s="190" t="str" cm="1">
        <f t="array" ref="P55">_xlfn.LET(_xlpm.PercentCheck,IF(OR(P$1="Crit Chance",P$1="Crit Damage",P$1="Condition Duration"),1,0),_xlpm.Flat,$H55,_xlpm.Percentage,$H55*P$50,_xlpm.Derived,$H55*P$50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P$1,AND(_xlpm.PercentCheck=0,$G55="All")),_xlfn.IFS(AND($I55="Flat",$J55=0),_xlpm.Flat,AND($I55="Percentage",$J55=0),_xlpm.Percentage,$J55="Derived",_xlpm.Derived,$J55="Boon Enhancement",_xlpm.BoonEnhancement,$J55="Stacking",_xlpm.Stacking),""))</f>
        <v/>
      </c>
      <c r="Q55" s="190" t="str" cm="1">
        <f t="array" ref="Q55">_xlfn.LET(_xlpm.PercentCheck,IF(OR(Q$1="Crit Chance",Q$1="Crit Damage",Q$1="Condition Duration"),1,0),_xlpm.Flat,$H55,_xlpm.Percentage,$H55*Q$50,_xlpm.Derived,$H55*Q$50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Q$1,AND(_xlpm.PercentCheck=0,$G55="All")),_xlfn.IFS(AND($I55="Flat",$J55=0),_xlpm.Flat,AND($I55="Percentage",$J55=0),_xlpm.Percentage,$J55="Derived",_xlpm.Derived,$J55="Boon Enhancement",_xlpm.BoonEnhancement,$J55="Stacking",_xlpm.Stacking),""))</f>
        <v/>
      </c>
      <c r="R55" s="190" t="str" cm="1">
        <f t="array" ref="R55">_xlfn.LET(_xlpm.PercentCheck,IF(OR(R$1="Crit Chance",R$1="Crit Damage",R$1="Condition Duration"),1,0),_xlpm.Flat,$H55,_xlpm.Percentage,$H55*R$50,_xlpm.Derived,$H55*R$50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R$1,AND(_xlpm.PercentCheck=0,$G55="All")),_xlfn.IFS(AND($I55="Flat",$J55=0),_xlpm.Flat,AND($I55="Percentage",$J55=0),_xlpm.Percentage,$J55="Derived",_xlpm.Derived,$J55="Boon Enhancement",_xlpm.BoonEnhancement,$J55="Stacking",_xlpm.Stacking),""))</f>
        <v/>
      </c>
      <c r="S55" s="190" t="str" cm="1">
        <f t="array" ref="S55">_xlfn.LET(_xlpm.PercentCheck,IF(OR(S$1="Crit Chance",S$1="Crit Damage",S$1="Condition Duration"),1,0),_xlpm.Flat,$H55,_xlpm.Percentage,$H55*S$50,_xlpm.Derived,$H55*S$50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S$1,AND(_xlpm.PercentCheck=0,$G55="All")),_xlfn.IFS(AND($I55="Flat",$J55=0),_xlpm.Flat,AND($I55="Percentage",$J55=0),_xlpm.Percentage,$J55="Derived",_xlpm.Derived,$J55="Boon Enhancement",_xlpm.BoonEnhancement,$J55="Stacking",_xlpm.Stacking),""))</f>
        <v/>
      </c>
      <c r="T55" s="190" t="str" cm="1">
        <f t="array" ref="T55">_xlfn.LET(_xlpm.PercentCheck,IF(OR(T$1="Crit Chance",T$1="Crit Damage",T$1="Condition Duration"),1,0),_xlpm.Flat,$H55,_xlpm.Percentage,$H55*T$50,_xlpm.Derived,$H55*T$50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T$1,AND(_xlpm.PercentCheck=0,$G55="All")),_xlfn.IFS(AND($I55="Flat",$J55=0),_xlpm.Flat,AND($I55="Percentage",$J55=0),_xlpm.Percentage,$J55="Derived",_xlpm.Derived,$J55="Boon Enhancement",_xlpm.BoonEnhancement,$J55="Stacking",_xlpm.Stacking),""))</f>
        <v/>
      </c>
      <c r="U55" s="190" t="str" cm="1">
        <f t="array" ref="U55">_xlfn.LET(_xlpm.PercentCheck,IF(OR(U$1="Crit Chance",U$1="Crit Damage",U$1="Condition Duration"),1,0),_xlpm.Flat,$H55,_xlpm.Percentage,$H55*U$50,_xlpm.Derived,$H55*U$50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U$1,AND(_xlpm.PercentCheck=0,$G55="All")),_xlfn.IFS(AND($I55="Flat",$J55=0),_xlpm.Flat,AND($I55="Percentage",$J55=0),_xlpm.Percentage,$J55="Derived",_xlpm.Derived,$J55="Boon Enhancement",_xlpm.BoonEnhancement,$J55="Stacking",_xlpm.Stacking),""))</f>
        <v/>
      </c>
      <c r="V55" s="190" t="str" cm="1">
        <f t="array" ref="V55">_xlfn.LET(_xlpm.PercentCheck,IF(OR(V$1="Crit Chance",V$1="Crit Damage",V$1="Condition Duration"),1,0),_xlpm.Flat,$H55,_xlpm.Percentage,$H55*V$50,_xlpm.Derived,$H55*V$50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V$1,AND(_xlpm.PercentCheck=0,$G55="All")),_xlfn.IFS(AND($I55="Flat",$J55=0),_xlpm.Flat,AND($I55="Percentage",$J55=0),_xlpm.Percentage,$J55="Derived",_xlpm.Derived,$J55="Boon Enhancement",_xlpm.BoonEnhancement,$J55="Stacking",_xlpm.Stacking),""))</f>
        <v/>
      </c>
      <c r="W55" s="190" t="str" cm="1">
        <f t="array" ref="W55">_xlfn.LET(_xlpm.PercentCheck,IF(OR(W$1="Crit Chance",W$1="Crit Damage",W$1="Condition Duration"),1,0),_xlpm.Flat,$H55,_xlpm.Percentage,$H55*W$50,_xlpm.Derived,$H55*W$50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W$1,AND(_xlpm.PercentCheck=0,$G55="All")),_xlfn.IFS(AND($I55="Flat",$J55=0),_xlpm.Flat,AND($I55="Percentage",$J55=0),_xlpm.Percentage,$J55="Derived",_xlpm.Derived,$J55="Boon Enhancement",_xlpm.BoonEnhancement,$J55="Stacking",_xlpm.Stacking),""))</f>
        <v/>
      </c>
      <c r="X55" s="190" t="str" cm="1">
        <f t="array" ref="X55">_xlfn.LET(_xlpm.PercentCheck,IF(OR(X$1="Crit Chance",X$1="Crit Damage",X$1="Condition Duration"),1,0),_xlpm.Flat,$H55,_xlpm.Percentage,$H55*X$50,_xlpm.Derived,$H55*X$50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X$1,AND(_xlpm.PercentCheck=0,$G55="All")),_xlfn.IFS(AND($I55="Flat",$J55=0),_xlpm.Flat,AND($I55="Percentage",$J55=0),_xlpm.Percentage,$J55="Derived",_xlpm.Derived,$J55="Boon Enhancement",_xlpm.BoonEnhancement,$J55="Stacking",_xlpm.Stacking),""))</f>
        <v/>
      </c>
      <c r="Y55" s="190" t="str" cm="1">
        <f t="array" ref="Y55">_xlfn.LET(_xlpm.PercentCheck,IF(OR(Y$1="Crit Chance",Y$1="Crit Damage",Y$1="Condition Duration"),1,0),_xlpm.Flat,$H55,_xlpm.Percentage,$H55*Y$50,_xlpm.Derived,$H55*Y$50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Y$1,AND(_xlpm.PercentCheck=0,$G55="All")),_xlfn.IFS(AND($I55="Flat",$J55=0),_xlpm.Flat,AND($I55="Percentage",$J55=0),_xlpm.Percentage,$J55="Derived",_xlpm.Derived,$J55="Boon Enhancement",_xlpm.BoonEnhancement,$J55="Stacking",_xlpm.Stacking),""))</f>
        <v/>
      </c>
      <c r="Z55" s="190" t="str" cm="1">
        <f t="array" ref="Z55">_xlfn.LET(_xlpm.PercentCheck,IF(OR(Z$1="Crit Chance",Z$1="Crit Damage",Z$1="Condition Duration"),1,0),_xlpm.Flat,$H55,_xlpm.Percentage,$H55*Z$50,_xlpm.Derived,$H55*Z$50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Z$1,AND(_xlpm.PercentCheck=0,$G55="All")),_xlfn.IFS(AND($I55="Flat",$J55=0),_xlpm.Flat,AND($I55="Percentage",$J55=0),_xlpm.Percentage,$J55="Derived",_xlpm.Derived,$J55="Boon Enhancement",_xlpm.BoonEnhancement,$J55="Stacking",_xlpm.Stacking),""))</f>
        <v/>
      </c>
      <c r="AA55" s="190" t="str" cm="1">
        <f t="array" ref="AA55">_xlfn.LET(_xlpm.PercentCheck,IF(OR(AA$1="Crit Chance",AA$1="Crit Damage",AA$1="Condition Duration"),1,0),_xlpm.Flat,$H55,_xlpm.Percentage,$H55*AA$50,_xlpm.Derived,$H55*AA$50,_xlpm.BoonType,VLOOKUP($M55,BoonToggles,2,0),_xlpm.BoonEnhancement,IF(AND(ISLOGICAL(_xlpm.BoonType),_xlpm.BoonType=TRUE),IF($I55="Flat",$H55,_xlpm.Percentage),IF($I55="Flat",$H55*_xlpm.BoonType,_xlpm.Percentage*_xlpm.BoonType)),_xlpm.Stacking,IF($I55="Flat",$H55*Spec1MajorGrandmasterStacks,IF(_xlpm.PercentCheck=1,"",_xlpm.Percentage*Spec1MajorGrandmasterStacks)),IF(OR($G55=AA$1,AND(_xlpm.PercentCheck=0,$G55="All")),_xlfn.IFS(AND($I55="Flat",$J55=0),_xlpm.Flat,AND($I55="Percentage",$J55=0),_xlpm.Percentage,$J55="Derived",_xlpm.Derived,$J55="Boon Enhancement",_xlpm.BoonEnhancement,$J55="Stacking",_xlpm.Stacking),""))</f>
        <v/>
      </c>
    </row>
    <row r="56" spans="1:27" s="171" customFormat="1" ht="14.25" customHeight="1">
      <c r="A56" s="566"/>
      <c r="B56" s="559" t="s">
        <v>3500</v>
      </c>
      <c r="C56" s="559"/>
      <c r="D56" s="559"/>
      <c r="E56" s="559"/>
      <c r="F56" s="559"/>
      <c r="G56" s="559"/>
      <c r="H56" s="559"/>
      <c r="I56" s="559"/>
      <c r="J56" s="559"/>
      <c r="K56" s="559"/>
      <c r="L56" s="559"/>
      <c r="M56" s="559"/>
      <c r="N56" s="559"/>
      <c r="O56" s="560"/>
      <c r="P56" s="197">
        <f t="shared" ref="P56:AA56" si="23">SUM(P$51:P$55)</f>
        <v>0</v>
      </c>
      <c r="Q56" s="198">
        <f t="shared" si="23"/>
        <v>0</v>
      </c>
      <c r="R56" s="198">
        <f t="shared" si="23"/>
        <v>0</v>
      </c>
      <c r="S56" s="198">
        <f t="shared" si="23"/>
        <v>0</v>
      </c>
      <c r="T56" s="198">
        <f t="shared" si="23"/>
        <v>0</v>
      </c>
      <c r="U56" s="198">
        <f t="shared" si="23"/>
        <v>0</v>
      </c>
      <c r="V56" s="198">
        <f t="shared" si="23"/>
        <v>0</v>
      </c>
      <c r="W56" s="198">
        <f t="shared" si="23"/>
        <v>0</v>
      </c>
      <c r="X56" s="198">
        <f t="shared" si="23"/>
        <v>0</v>
      </c>
      <c r="Y56" s="199">
        <f t="shared" si="23"/>
        <v>0</v>
      </c>
      <c r="Z56" s="199">
        <f t="shared" si="23"/>
        <v>0</v>
      </c>
      <c r="AA56" s="199">
        <f t="shared" si="23"/>
        <v>0</v>
      </c>
    </row>
    <row r="57" spans="1:27" s="171" customFormat="1" ht="14.25" customHeight="1">
      <c r="A57" s="566"/>
      <c r="B57" s="559" t="s">
        <v>3501</v>
      </c>
      <c r="C57" s="559"/>
      <c r="D57" s="559"/>
      <c r="E57" s="559"/>
      <c r="F57" s="559"/>
      <c r="G57" s="559"/>
      <c r="H57" s="559"/>
      <c r="I57" s="559"/>
      <c r="J57" s="559"/>
      <c r="K57" s="559"/>
      <c r="L57" s="559"/>
      <c r="M57" s="559"/>
      <c r="N57" s="559"/>
      <c r="O57" s="560"/>
      <c r="P57" s="197">
        <f>SUM(P$50,SUMIFS(P$51:P$55,$I$51:$I$55,"Percentage",$J$51:$J$55,"&lt;&gt;Derived"))</f>
        <v>1657</v>
      </c>
      <c r="Q57" s="197">
        <f t="shared" ref="Q57:X57" si="24">SUM(Q$50,SUMIFS(Q$51:Q$55,$I$51:$I$55,"Percentage",$J$51:$J$55,"&lt;&gt;Derived"))</f>
        <v>1594</v>
      </c>
      <c r="R57" s="197">
        <f t="shared" si="24"/>
        <v>1221</v>
      </c>
      <c r="S57" s="197">
        <f t="shared" si="24"/>
        <v>1156</v>
      </c>
      <c r="T57" s="197">
        <f t="shared" si="24"/>
        <v>10</v>
      </c>
      <c r="U57" s="197">
        <f t="shared" si="24"/>
        <v>249.6</v>
      </c>
      <c r="V57" s="197">
        <f t="shared" si="24"/>
        <v>260</v>
      </c>
      <c r="W57" s="197">
        <f t="shared" si="24"/>
        <v>248</v>
      </c>
      <c r="X57" s="197">
        <f t="shared" si="24"/>
        <v>47</v>
      </c>
      <c r="Y57" s="199"/>
      <c r="Z57" s="199"/>
      <c r="AA57" s="199"/>
    </row>
    <row r="58" spans="1:27" ht="14.25" customHeight="1">
      <c r="A58" s="566"/>
      <c r="B58" s="553" t="s">
        <v>95</v>
      </c>
      <c r="C58" s="200" t="str" cm="1">
        <f t="array" ref="C58">IF(OR(Spec2MinorMasterCondition="(Select)",Spec2MinorMasterCondition=""),_xlfn._xlws.FILTER(TraitStats,(TraitStatsTable[Name]=Spec2MinorMaster)*(TraitStatsTable[Condition]=""),"No stat bonus"),_xlfn._xlws.FILTER(TraitStats,(TraitStatsTable[Name]=Spec2MinorMaster)*((TraitStatsTable[Condition]=Spec2MinorMasterCondition)+(TraitStatsTable[Condition]="")),"No stat bonus"))</f>
        <v>No stat bonus</v>
      </c>
      <c r="D58" s="195"/>
      <c r="E58" s="195"/>
      <c r="F58" s="195"/>
      <c r="G58" s="195"/>
      <c r="H58" s="195"/>
      <c r="I58" s="195"/>
      <c r="J58" s="195"/>
      <c r="K58" s="195"/>
      <c r="L58" s="195"/>
      <c r="M58" s="195"/>
      <c r="N58" s="195"/>
      <c r="O58" s="196"/>
      <c r="P58" s="190" t="str" cm="1">
        <f t="array" ref="P58">_xlfn.LET(_xlpm.PercentCheck,IF(OR(P$1="Crit Chance",P$1="Crit Damage",P$1="Condition Duration"),1,0),_xlpm.Flat,$H58,_xlpm.Percentage,$H58*P$57,_xlpm.Derived,$H58*P$57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P$1,AND(_xlpm.PercentCheck=0,$G58="All")),_xlfn.IFS(AND($I58="Flat",$J58=0),_xlpm.Flat,AND($I58="Percentage",$J58=0),_xlpm.Percentage,$J58="Derived",_xlpm.Derived,$J58="Boon Enhancement",_xlpm.BoonEnhancement,$J58="Stacking",_xlpm.Stacking),""))</f>
        <v/>
      </c>
      <c r="Q58" s="190" t="str" cm="1">
        <f t="array" ref="Q58">_xlfn.LET(_xlpm.PercentCheck,IF(OR(Q$1="Crit Chance",Q$1="Crit Damage",Q$1="Condition Duration"),1,0),_xlpm.Flat,$H58,_xlpm.Percentage,$H58*Q$57,_xlpm.Derived,$H58*Q$57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Q$1,AND(_xlpm.PercentCheck=0,$G58="All")),_xlfn.IFS(AND($I58="Flat",$J58=0),_xlpm.Flat,AND($I58="Percentage",$J58=0),_xlpm.Percentage,$J58="Derived",_xlpm.Derived,$J58="Boon Enhancement",_xlpm.BoonEnhancement,$J58="Stacking",_xlpm.Stacking),""))</f>
        <v/>
      </c>
      <c r="R58" s="190" t="str" cm="1">
        <f t="array" ref="R58">_xlfn.LET(_xlpm.PercentCheck,IF(OR(R$1="Crit Chance",R$1="Crit Damage",R$1="Condition Duration"),1,0),_xlpm.Flat,$H58,_xlpm.Percentage,$H58*R$57,_xlpm.Derived,$H58*R$57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R$1,AND(_xlpm.PercentCheck=0,$G58="All")),_xlfn.IFS(AND($I58="Flat",$J58=0),_xlpm.Flat,AND($I58="Percentage",$J58=0),_xlpm.Percentage,$J58="Derived",_xlpm.Derived,$J58="Boon Enhancement",_xlpm.BoonEnhancement,$J58="Stacking",_xlpm.Stacking),""))</f>
        <v/>
      </c>
      <c r="S58" s="190" t="str" cm="1">
        <f t="array" ref="S58">_xlfn.LET(_xlpm.PercentCheck,IF(OR(S$1="Crit Chance",S$1="Crit Damage",S$1="Condition Duration"),1,0),_xlpm.Flat,$H58,_xlpm.Percentage,$H58*S$57,_xlpm.Derived,$H58*S$57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S$1,AND(_xlpm.PercentCheck=0,$G58="All")),_xlfn.IFS(AND($I58="Flat",$J58=0),_xlpm.Flat,AND($I58="Percentage",$J58=0),_xlpm.Percentage,$J58="Derived",_xlpm.Derived,$J58="Boon Enhancement",_xlpm.BoonEnhancement,$J58="Stacking",_xlpm.Stacking),""))</f>
        <v/>
      </c>
      <c r="T58" s="190" t="str" cm="1">
        <f t="array" ref="T58">_xlfn.LET(_xlpm.PercentCheck,IF(OR(T$1="Crit Chance",T$1="Crit Damage",T$1="Condition Duration"),1,0),_xlpm.Flat,$H58,_xlpm.Percentage,$H58*T$57,_xlpm.Derived,$H58*T$57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T$1,AND(_xlpm.PercentCheck=0,$G58="All")),_xlfn.IFS(AND($I58="Flat",$J58=0),_xlpm.Flat,AND($I58="Percentage",$J58=0),_xlpm.Percentage,$J58="Derived",_xlpm.Derived,$J58="Boon Enhancement",_xlpm.BoonEnhancement,$J58="Stacking",_xlpm.Stacking),""))</f>
        <v/>
      </c>
      <c r="U58" s="190" t="str" cm="1">
        <f t="array" ref="U58">_xlfn.LET(_xlpm.PercentCheck,IF(OR(U$1="Crit Chance",U$1="Crit Damage",U$1="Condition Duration"),1,0),_xlpm.Flat,$H58,_xlpm.Percentage,$H58*U$57,_xlpm.Derived,$H58*U$57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U$1,AND(_xlpm.PercentCheck=0,$G58="All")),_xlfn.IFS(AND($I58="Flat",$J58=0),_xlpm.Flat,AND($I58="Percentage",$J58=0),_xlpm.Percentage,$J58="Derived",_xlpm.Derived,$J58="Boon Enhancement",_xlpm.BoonEnhancement,$J58="Stacking",_xlpm.Stacking),""))</f>
        <v/>
      </c>
      <c r="V58" s="190" t="str" cm="1">
        <f t="array" ref="V58">_xlfn.LET(_xlpm.PercentCheck,IF(OR(V$1="Crit Chance",V$1="Crit Damage",V$1="Condition Duration"),1,0),_xlpm.Flat,$H58,_xlpm.Percentage,$H58*V$57,_xlpm.Derived,$H58*V$57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V$1,AND(_xlpm.PercentCheck=0,$G58="All")),_xlfn.IFS(AND($I58="Flat",$J58=0),_xlpm.Flat,AND($I58="Percentage",$J58=0),_xlpm.Percentage,$J58="Derived",_xlpm.Derived,$J58="Boon Enhancement",_xlpm.BoonEnhancement,$J58="Stacking",_xlpm.Stacking),""))</f>
        <v/>
      </c>
      <c r="W58" s="190" t="str" cm="1">
        <f t="array" ref="W58">_xlfn.LET(_xlpm.PercentCheck,IF(OR(W$1="Crit Chance",W$1="Crit Damage",W$1="Condition Duration"),1,0),_xlpm.Flat,$H58,_xlpm.Percentage,$H58*W$57,_xlpm.Derived,$H58*W$57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W$1,AND(_xlpm.PercentCheck=0,$G58="All")),_xlfn.IFS(AND($I58="Flat",$J58=0),_xlpm.Flat,AND($I58="Percentage",$J58=0),_xlpm.Percentage,$J58="Derived",_xlpm.Derived,$J58="Boon Enhancement",_xlpm.BoonEnhancement,$J58="Stacking",_xlpm.Stacking),""))</f>
        <v/>
      </c>
      <c r="X58" s="190" t="str" cm="1">
        <f t="array" ref="X58">_xlfn.LET(_xlpm.PercentCheck,IF(OR(X$1="Crit Chance",X$1="Crit Damage",X$1="Condition Duration"),1,0),_xlpm.Flat,$H58,_xlpm.Percentage,$H58*X$57,_xlpm.Derived,$H58*X$57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X$1,AND(_xlpm.PercentCheck=0,$G58="All")),_xlfn.IFS(AND($I58="Flat",$J58=0),_xlpm.Flat,AND($I58="Percentage",$J58=0),_xlpm.Percentage,$J58="Derived",_xlpm.Derived,$J58="Boon Enhancement",_xlpm.BoonEnhancement,$J58="Stacking",_xlpm.Stacking),""))</f>
        <v/>
      </c>
      <c r="Y58" s="190" t="str" cm="1">
        <f t="array" ref="Y58">_xlfn.LET(_xlpm.PercentCheck,IF(OR(Y$1="Crit Chance",Y$1="Crit Damage",Y$1="Condition Duration"),1,0),_xlpm.Flat,$H58,_xlpm.Percentage,$H58*Y$57,_xlpm.Derived,$H58*Y$57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Y$1,AND(_xlpm.PercentCheck=0,$G58="All")),_xlfn.IFS(AND($I58="Flat",$J58=0),_xlpm.Flat,AND($I58="Percentage",$J58=0),_xlpm.Percentage,$J58="Derived",_xlpm.Derived,$J58="Boon Enhancement",_xlpm.BoonEnhancement,$J58="Stacking",_xlpm.Stacking),""))</f>
        <v/>
      </c>
      <c r="Z58" s="190" t="str" cm="1">
        <f t="array" ref="Z58">_xlfn.LET(_xlpm.PercentCheck,IF(OR(Z$1="Crit Chance",Z$1="Crit Damage",Z$1="Condition Duration"),1,0),_xlpm.Flat,$H58,_xlpm.Percentage,$H58*Z$57,_xlpm.Derived,$H58*Z$57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Z$1,AND(_xlpm.PercentCheck=0,$G58="All")),_xlfn.IFS(AND($I58="Flat",$J58=0),_xlpm.Flat,AND($I58="Percentage",$J58=0),_xlpm.Percentage,$J58="Derived",_xlpm.Derived,$J58="Boon Enhancement",_xlpm.BoonEnhancement,$J58="Stacking",_xlpm.Stacking),""))</f>
        <v/>
      </c>
      <c r="AA58" s="190" t="str" cm="1">
        <f t="array" ref="AA58">_xlfn.LET(_xlpm.PercentCheck,IF(OR(AA$1="Crit Chance",AA$1="Crit Damage",AA$1="Condition Duration"),1,0),_xlpm.Flat,$H58,_xlpm.Percentage,$H58*AA$57,_xlpm.Derived,$H58*AA$57,_xlpm.BoonType,VLOOKUP($M58,BoonToggles,2,0),_xlpm.BoonEnhancement,IF(AND(ISLOGICAL(_xlpm.BoonType),_xlpm.BoonType=TRUE),IF($I58="Flat",$H58,_xlpm.Percentage),IF($I58="Flat",$H58*_xlpm.BoonType,_xlpm.Percentage*_xlpm.BoonType)),_xlpm.Stacking,IF($I58="Flat",$H58*Spec1MajorGrandmasterStacks,IF(_xlpm.PercentCheck=1,"",_xlpm.Percentage*Spec1MajorGrandmasterStacks)),IF(OR($G58=AA$1,AND(_xlpm.PercentCheck=0,$G58="All")),_xlfn.IFS(AND($I58="Flat",$J58=0),_xlpm.Flat,AND($I58="Percentage",$J58=0),_xlpm.Percentage,$J58="Derived",_xlpm.Derived,$J58="Boon Enhancement",_xlpm.BoonEnhancement,$J58="Stacking",_xlpm.Stacking),""))</f>
        <v/>
      </c>
    </row>
    <row r="59" spans="1:27" ht="14.25" customHeight="1">
      <c r="A59" s="566"/>
      <c r="B59" s="554"/>
      <c r="C59" s="194"/>
      <c r="D59" s="195"/>
      <c r="E59" s="195"/>
      <c r="F59" s="195"/>
      <c r="G59" s="195"/>
      <c r="H59" s="195"/>
      <c r="I59" s="195"/>
      <c r="J59" s="195"/>
      <c r="K59" s="195"/>
      <c r="L59" s="195"/>
      <c r="M59" s="195"/>
      <c r="N59" s="195"/>
      <c r="O59" s="196"/>
      <c r="P59" s="190" t="str" cm="1">
        <f t="array" ref="P59">_xlfn.LET(_xlpm.PercentCheck,IF(OR(P$1="Crit Chance",P$1="Crit Damage",P$1="Condition Duration"),1,0),_xlpm.Flat,$H59,_xlpm.Percentage,$H59*P$57,_xlpm.Derived,$H59*P$57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P$1,AND(_xlpm.PercentCheck=0,$G59="All")),_xlfn.IFS(AND($I59="Flat",$J59=0),_xlpm.Flat,AND($I59="Percentage",$J59=0),_xlpm.Percentage,$J59="Derived",_xlpm.Derived,$J59="Boon Enhancement",_xlpm.BoonEnhancement,$J59="Stacking",_xlpm.Stacking),""))</f>
        <v/>
      </c>
      <c r="Q59" s="190" t="str" cm="1">
        <f t="array" ref="Q59">_xlfn.LET(_xlpm.PercentCheck,IF(OR(Q$1="Crit Chance",Q$1="Crit Damage",Q$1="Condition Duration"),1,0),_xlpm.Flat,$H59,_xlpm.Percentage,$H59*Q$57,_xlpm.Derived,$H59*Q$57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Q$1,AND(_xlpm.PercentCheck=0,$G59="All")),_xlfn.IFS(AND($I59="Flat",$J59=0),_xlpm.Flat,AND($I59="Percentage",$J59=0),_xlpm.Percentage,$J59="Derived",_xlpm.Derived,$J59="Boon Enhancement",_xlpm.BoonEnhancement,$J59="Stacking",_xlpm.Stacking),""))</f>
        <v/>
      </c>
      <c r="R59" s="190" t="str" cm="1">
        <f t="array" ref="R59">_xlfn.LET(_xlpm.PercentCheck,IF(OR(R$1="Crit Chance",R$1="Crit Damage",R$1="Condition Duration"),1,0),_xlpm.Flat,$H59,_xlpm.Percentage,$H59*R$57,_xlpm.Derived,$H59*R$57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R$1,AND(_xlpm.PercentCheck=0,$G59="All")),_xlfn.IFS(AND($I59="Flat",$J59=0),_xlpm.Flat,AND($I59="Percentage",$J59=0),_xlpm.Percentage,$J59="Derived",_xlpm.Derived,$J59="Boon Enhancement",_xlpm.BoonEnhancement,$J59="Stacking",_xlpm.Stacking),""))</f>
        <v/>
      </c>
      <c r="S59" s="190" t="str" cm="1">
        <f t="array" ref="S59">_xlfn.LET(_xlpm.PercentCheck,IF(OR(S$1="Crit Chance",S$1="Crit Damage",S$1="Condition Duration"),1,0),_xlpm.Flat,$H59,_xlpm.Percentage,$H59*S$57,_xlpm.Derived,$H59*S$57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S$1,AND(_xlpm.PercentCheck=0,$G59="All")),_xlfn.IFS(AND($I59="Flat",$J59=0),_xlpm.Flat,AND($I59="Percentage",$J59=0),_xlpm.Percentage,$J59="Derived",_xlpm.Derived,$J59="Boon Enhancement",_xlpm.BoonEnhancement,$J59="Stacking",_xlpm.Stacking),""))</f>
        <v/>
      </c>
      <c r="T59" s="190" t="str" cm="1">
        <f t="array" ref="T59">_xlfn.LET(_xlpm.PercentCheck,IF(OR(T$1="Crit Chance",T$1="Crit Damage",T$1="Condition Duration"),1,0),_xlpm.Flat,$H59,_xlpm.Percentage,$H59*T$57,_xlpm.Derived,$H59*T$57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T$1,AND(_xlpm.PercentCheck=0,$G59="All")),_xlfn.IFS(AND($I59="Flat",$J59=0),_xlpm.Flat,AND($I59="Percentage",$J59=0),_xlpm.Percentage,$J59="Derived",_xlpm.Derived,$J59="Boon Enhancement",_xlpm.BoonEnhancement,$J59="Stacking",_xlpm.Stacking),""))</f>
        <v/>
      </c>
      <c r="U59" s="190" t="str" cm="1">
        <f t="array" ref="U59">_xlfn.LET(_xlpm.PercentCheck,IF(OR(U$1="Crit Chance",U$1="Crit Damage",U$1="Condition Duration"),1,0),_xlpm.Flat,$H59,_xlpm.Percentage,$H59*U$57,_xlpm.Derived,$H59*U$57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U$1,AND(_xlpm.PercentCheck=0,$G59="All")),_xlfn.IFS(AND($I59="Flat",$J59=0),_xlpm.Flat,AND($I59="Percentage",$J59=0),_xlpm.Percentage,$J59="Derived",_xlpm.Derived,$J59="Boon Enhancement",_xlpm.BoonEnhancement,$J59="Stacking",_xlpm.Stacking),""))</f>
        <v/>
      </c>
      <c r="V59" s="190" t="str" cm="1">
        <f t="array" ref="V59">_xlfn.LET(_xlpm.PercentCheck,IF(OR(V$1="Crit Chance",V$1="Crit Damage",V$1="Condition Duration"),1,0),_xlpm.Flat,$H59,_xlpm.Percentage,$H59*V$57,_xlpm.Derived,$H59*V$57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V$1,AND(_xlpm.PercentCheck=0,$G59="All")),_xlfn.IFS(AND($I59="Flat",$J59=0),_xlpm.Flat,AND($I59="Percentage",$J59=0),_xlpm.Percentage,$J59="Derived",_xlpm.Derived,$J59="Boon Enhancement",_xlpm.BoonEnhancement,$J59="Stacking",_xlpm.Stacking),""))</f>
        <v/>
      </c>
      <c r="W59" s="190" t="str" cm="1">
        <f t="array" ref="W59">_xlfn.LET(_xlpm.PercentCheck,IF(OR(W$1="Crit Chance",W$1="Crit Damage",W$1="Condition Duration"),1,0),_xlpm.Flat,$H59,_xlpm.Percentage,$H59*W$57,_xlpm.Derived,$H59*W$57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W$1,AND(_xlpm.PercentCheck=0,$G59="All")),_xlfn.IFS(AND($I59="Flat",$J59=0),_xlpm.Flat,AND($I59="Percentage",$J59=0),_xlpm.Percentage,$J59="Derived",_xlpm.Derived,$J59="Boon Enhancement",_xlpm.BoonEnhancement,$J59="Stacking",_xlpm.Stacking),""))</f>
        <v/>
      </c>
      <c r="X59" s="190" t="str" cm="1">
        <f t="array" ref="X59">_xlfn.LET(_xlpm.PercentCheck,IF(OR(X$1="Crit Chance",X$1="Crit Damage",X$1="Condition Duration"),1,0),_xlpm.Flat,$H59,_xlpm.Percentage,$H59*X$57,_xlpm.Derived,$H59*X$57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X$1,AND(_xlpm.PercentCheck=0,$G59="All")),_xlfn.IFS(AND($I59="Flat",$J59=0),_xlpm.Flat,AND($I59="Percentage",$J59=0),_xlpm.Percentage,$J59="Derived",_xlpm.Derived,$J59="Boon Enhancement",_xlpm.BoonEnhancement,$J59="Stacking",_xlpm.Stacking),""))</f>
        <v/>
      </c>
      <c r="Y59" s="190" t="str" cm="1">
        <f t="array" ref="Y59">_xlfn.LET(_xlpm.PercentCheck,IF(OR(Y$1="Crit Chance",Y$1="Crit Damage",Y$1="Condition Duration"),1,0),_xlpm.Flat,$H59,_xlpm.Percentage,$H59*Y$57,_xlpm.Derived,$H59*Y$57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Y$1,AND(_xlpm.PercentCheck=0,$G59="All")),_xlfn.IFS(AND($I59="Flat",$J59=0),_xlpm.Flat,AND($I59="Percentage",$J59=0),_xlpm.Percentage,$J59="Derived",_xlpm.Derived,$J59="Boon Enhancement",_xlpm.BoonEnhancement,$J59="Stacking",_xlpm.Stacking),""))</f>
        <v/>
      </c>
      <c r="Z59" s="190" t="str" cm="1">
        <f t="array" ref="Z59">_xlfn.LET(_xlpm.PercentCheck,IF(OR(Z$1="Crit Chance",Z$1="Crit Damage",Z$1="Condition Duration"),1,0),_xlpm.Flat,$H59,_xlpm.Percentage,$H59*Z$57,_xlpm.Derived,$H59*Z$57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Z$1,AND(_xlpm.PercentCheck=0,$G59="All")),_xlfn.IFS(AND($I59="Flat",$J59=0),_xlpm.Flat,AND($I59="Percentage",$J59=0),_xlpm.Percentage,$J59="Derived",_xlpm.Derived,$J59="Boon Enhancement",_xlpm.BoonEnhancement,$J59="Stacking",_xlpm.Stacking),""))</f>
        <v/>
      </c>
      <c r="AA59" s="190" t="str" cm="1">
        <f t="array" ref="AA59">_xlfn.LET(_xlpm.PercentCheck,IF(OR(AA$1="Crit Chance",AA$1="Crit Damage",AA$1="Condition Duration"),1,0),_xlpm.Flat,$H59,_xlpm.Percentage,$H59*AA$57,_xlpm.Derived,$H59*AA$57,_xlpm.BoonType,VLOOKUP($M59,BoonToggles,2,0),_xlpm.BoonEnhancement,IF(AND(ISLOGICAL(_xlpm.BoonType),_xlpm.BoonType=TRUE),IF($I59="Flat",$H59,_xlpm.Percentage),IF($I59="Flat",$H59*_xlpm.BoonType,_xlpm.Percentage*_xlpm.BoonType)),_xlpm.Stacking,IF($I59="Flat",$H59*Spec1MajorGrandmasterStacks,IF(_xlpm.PercentCheck=1,"",_xlpm.Percentage*Spec1MajorGrandmasterStacks)),IF(OR($G59=AA$1,AND(_xlpm.PercentCheck=0,$G59="All")),_xlfn.IFS(AND($I59="Flat",$J59=0),_xlpm.Flat,AND($I59="Percentage",$J59=0),_xlpm.Percentage,$J59="Derived",_xlpm.Derived,$J59="Boon Enhancement",_xlpm.BoonEnhancement,$J59="Stacking",_xlpm.Stacking),""))</f>
        <v/>
      </c>
    </row>
    <row r="60" spans="1:27" ht="14.25" customHeight="1">
      <c r="A60" s="566"/>
      <c r="B60" s="554"/>
      <c r="C60" s="194"/>
      <c r="D60" s="195"/>
      <c r="E60" s="195"/>
      <c r="F60" s="195"/>
      <c r="G60" s="195"/>
      <c r="H60" s="195"/>
      <c r="I60" s="195"/>
      <c r="J60" s="195"/>
      <c r="K60" s="195"/>
      <c r="L60" s="195"/>
      <c r="M60" s="195"/>
      <c r="N60" s="195"/>
      <c r="O60" s="196"/>
      <c r="P60" s="190" t="str" cm="1">
        <f t="array" ref="P60">_xlfn.LET(_xlpm.PercentCheck,IF(OR(P$1="Crit Chance",P$1="Crit Damage",P$1="Condition Duration"),1,0),_xlpm.Flat,$H60,_xlpm.Percentage,$H60*P$57,_xlpm.Derived,$H60*P$57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P$1,AND(_xlpm.PercentCheck=0,$G60="All")),_xlfn.IFS(AND($I60="Flat",$J60=0),_xlpm.Flat,AND($I60="Percentage",$J60=0),_xlpm.Percentage,$J60="Derived",_xlpm.Derived,$J60="Boon Enhancement",_xlpm.BoonEnhancement,$J60="Stacking",_xlpm.Stacking),""))</f>
        <v/>
      </c>
      <c r="Q60" s="190" t="str" cm="1">
        <f t="array" ref="Q60">_xlfn.LET(_xlpm.PercentCheck,IF(OR(Q$1="Crit Chance",Q$1="Crit Damage",Q$1="Condition Duration"),1,0),_xlpm.Flat,$H60,_xlpm.Percentage,$H60*Q$57,_xlpm.Derived,$H60*Q$57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Q$1,AND(_xlpm.PercentCheck=0,$G60="All")),_xlfn.IFS(AND($I60="Flat",$J60=0),_xlpm.Flat,AND($I60="Percentage",$J60=0),_xlpm.Percentage,$J60="Derived",_xlpm.Derived,$J60="Boon Enhancement",_xlpm.BoonEnhancement,$J60="Stacking",_xlpm.Stacking),""))</f>
        <v/>
      </c>
      <c r="R60" s="190" t="str" cm="1">
        <f t="array" ref="R60">_xlfn.LET(_xlpm.PercentCheck,IF(OR(R$1="Crit Chance",R$1="Crit Damage",R$1="Condition Duration"),1,0),_xlpm.Flat,$H60,_xlpm.Percentage,$H60*R$57,_xlpm.Derived,$H60*R$57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R$1,AND(_xlpm.PercentCheck=0,$G60="All")),_xlfn.IFS(AND($I60="Flat",$J60=0),_xlpm.Flat,AND($I60="Percentage",$J60=0),_xlpm.Percentage,$J60="Derived",_xlpm.Derived,$J60="Boon Enhancement",_xlpm.BoonEnhancement,$J60="Stacking",_xlpm.Stacking),""))</f>
        <v/>
      </c>
      <c r="S60" s="190" t="str" cm="1">
        <f t="array" ref="S60">_xlfn.LET(_xlpm.PercentCheck,IF(OR(S$1="Crit Chance",S$1="Crit Damage",S$1="Condition Duration"),1,0),_xlpm.Flat,$H60,_xlpm.Percentage,$H60*S$57,_xlpm.Derived,$H60*S$57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S$1,AND(_xlpm.PercentCheck=0,$G60="All")),_xlfn.IFS(AND($I60="Flat",$J60=0),_xlpm.Flat,AND($I60="Percentage",$J60=0),_xlpm.Percentage,$J60="Derived",_xlpm.Derived,$J60="Boon Enhancement",_xlpm.BoonEnhancement,$J60="Stacking",_xlpm.Stacking),""))</f>
        <v/>
      </c>
      <c r="T60" s="190" t="str" cm="1">
        <f t="array" ref="T60">_xlfn.LET(_xlpm.PercentCheck,IF(OR(T$1="Crit Chance",T$1="Crit Damage",T$1="Condition Duration"),1,0),_xlpm.Flat,$H60,_xlpm.Percentage,$H60*T$57,_xlpm.Derived,$H60*T$57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T$1,AND(_xlpm.PercentCheck=0,$G60="All")),_xlfn.IFS(AND($I60="Flat",$J60=0),_xlpm.Flat,AND($I60="Percentage",$J60=0),_xlpm.Percentage,$J60="Derived",_xlpm.Derived,$J60="Boon Enhancement",_xlpm.BoonEnhancement,$J60="Stacking",_xlpm.Stacking),""))</f>
        <v/>
      </c>
      <c r="U60" s="190" t="str" cm="1">
        <f t="array" ref="U60">_xlfn.LET(_xlpm.PercentCheck,IF(OR(U$1="Crit Chance",U$1="Crit Damage",U$1="Condition Duration"),1,0),_xlpm.Flat,$H60,_xlpm.Percentage,$H60*U$57,_xlpm.Derived,$H60*U$57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U$1,AND(_xlpm.PercentCheck=0,$G60="All")),_xlfn.IFS(AND($I60="Flat",$J60=0),_xlpm.Flat,AND($I60="Percentage",$J60=0),_xlpm.Percentage,$J60="Derived",_xlpm.Derived,$J60="Boon Enhancement",_xlpm.BoonEnhancement,$J60="Stacking",_xlpm.Stacking),""))</f>
        <v/>
      </c>
      <c r="V60" s="190" t="str" cm="1">
        <f t="array" ref="V60">_xlfn.LET(_xlpm.PercentCheck,IF(OR(V$1="Crit Chance",V$1="Crit Damage",V$1="Condition Duration"),1,0),_xlpm.Flat,$H60,_xlpm.Percentage,$H60*V$57,_xlpm.Derived,$H60*V$57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V$1,AND(_xlpm.PercentCheck=0,$G60="All")),_xlfn.IFS(AND($I60="Flat",$J60=0),_xlpm.Flat,AND($I60="Percentage",$J60=0),_xlpm.Percentage,$J60="Derived",_xlpm.Derived,$J60="Boon Enhancement",_xlpm.BoonEnhancement,$J60="Stacking",_xlpm.Stacking),""))</f>
        <v/>
      </c>
      <c r="W60" s="190" t="str" cm="1">
        <f t="array" ref="W60">_xlfn.LET(_xlpm.PercentCheck,IF(OR(W$1="Crit Chance",W$1="Crit Damage",W$1="Condition Duration"),1,0),_xlpm.Flat,$H60,_xlpm.Percentage,$H60*W$57,_xlpm.Derived,$H60*W$57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W$1,AND(_xlpm.PercentCheck=0,$G60="All")),_xlfn.IFS(AND($I60="Flat",$J60=0),_xlpm.Flat,AND($I60="Percentage",$J60=0),_xlpm.Percentage,$J60="Derived",_xlpm.Derived,$J60="Boon Enhancement",_xlpm.BoonEnhancement,$J60="Stacking",_xlpm.Stacking),""))</f>
        <v/>
      </c>
      <c r="X60" s="190" t="str" cm="1">
        <f t="array" ref="X60">_xlfn.LET(_xlpm.PercentCheck,IF(OR(X$1="Crit Chance",X$1="Crit Damage",X$1="Condition Duration"),1,0),_xlpm.Flat,$H60,_xlpm.Percentage,$H60*X$57,_xlpm.Derived,$H60*X$57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X$1,AND(_xlpm.PercentCheck=0,$G60="All")),_xlfn.IFS(AND($I60="Flat",$J60=0),_xlpm.Flat,AND($I60="Percentage",$J60=0),_xlpm.Percentage,$J60="Derived",_xlpm.Derived,$J60="Boon Enhancement",_xlpm.BoonEnhancement,$J60="Stacking",_xlpm.Stacking),""))</f>
        <v/>
      </c>
      <c r="Y60" s="190" t="str" cm="1">
        <f t="array" ref="Y60">_xlfn.LET(_xlpm.PercentCheck,IF(OR(Y$1="Crit Chance",Y$1="Crit Damage",Y$1="Condition Duration"),1,0),_xlpm.Flat,$H60,_xlpm.Percentage,$H60*Y$57,_xlpm.Derived,$H60*Y$57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Y$1,AND(_xlpm.PercentCheck=0,$G60="All")),_xlfn.IFS(AND($I60="Flat",$J60=0),_xlpm.Flat,AND($I60="Percentage",$J60=0),_xlpm.Percentage,$J60="Derived",_xlpm.Derived,$J60="Boon Enhancement",_xlpm.BoonEnhancement,$J60="Stacking",_xlpm.Stacking),""))</f>
        <v/>
      </c>
      <c r="Z60" s="190" t="str" cm="1">
        <f t="array" ref="Z60">_xlfn.LET(_xlpm.PercentCheck,IF(OR(Z$1="Crit Chance",Z$1="Crit Damage",Z$1="Condition Duration"),1,0),_xlpm.Flat,$H60,_xlpm.Percentage,$H60*Z$57,_xlpm.Derived,$H60*Z$57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Z$1,AND(_xlpm.PercentCheck=0,$G60="All")),_xlfn.IFS(AND($I60="Flat",$J60=0),_xlpm.Flat,AND($I60="Percentage",$J60=0),_xlpm.Percentage,$J60="Derived",_xlpm.Derived,$J60="Boon Enhancement",_xlpm.BoonEnhancement,$J60="Stacking",_xlpm.Stacking),""))</f>
        <v/>
      </c>
      <c r="AA60" s="190" t="str" cm="1">
        <f t="array" ref="AA60">_xlfn.LET(_xlpm.PercentCheck,IF(OR(AA$1="Crit Chance",AA$1="Crit Damage",AA$1="Condition Duration"),1,0),_xlpm.Flat,$H60,_xlpm.Percentage,$H60*AA$57,_xlpm.Derived,$H60*AA$57,_xlpm.BoonType,VLOOKUP($M60,BoonToggles,2,0),_xlpm.BoonEnhancement,IF(AND(ISLOGICAL(_xlpm.BoonType),_xlpm.BoonType=TRUE),IF($I60="Flat",$H60,_xlpm.Percentage),IF($I60="Flat",$H60*_xlpm.BoonType,_xlpm.Percentage*_xlpm.BoonType)),_xlpm.Stacking,IF($I60="Flat",$H60*Spec1MajorGrandmasterStacks,IF(_xlpm.PercentCheck=1,"",_xlpm.Percentage*Spec1MajorGrandmasterStacks)),IF(OR($G60=AA$1,AND(_xlpm.PercentCheck=0,$G60="All")),_xlfn.IFS(AND($I60="Flat",$J60=0),_xlpm.Flat,AND($I60="Percentage",$J60=0),_xlpm.Percentage,$J60="Derived",_xlpm.Derived,$J60="Boon Enhancement",_xlpm.BoonEnhancement,$J60="Stacking",_xlpm.Stacking),""))</f>
        <v/>
      </c>
    </row>
    <row r="61" spans="1:27" ht="14.25" customHeight="1">
      <c r="A61" s="566"/>
      <c r="B61" s="554"/>
      <c r="C61" s="194"/>
      <c r="D61" s="195"/>
      <c r="E61" s="195"/>
      <c r="F61" s="195"/>
      <c r="G61" s="195"/>
      <c r="H61" s="195"/>
      <c r="I61" s="195"/>
      <c r="J61" s="195"/>
      <c r="K61" s="195"/>
      <c r="L61" s="195"/>
      <c r="M61" s="195"/>
      <c r="N61" s="195"/>
      <c r="O61" s="196"/>
      <c r="P61" s="190" t="str" cm="1">
        <f t="array" ref="P61">_xlfn.LET(_xlpm.PercentCheck,IF(OR(P$1="Crit Chance",P$1="Crit Damage",P$1="Condition Duration"),1,0),_xlpm.Flat,$H61,_xlpm.Percentage,$H61*P$57,_xlpm.Derived,$H61*P$57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P$1,AND(_xlpm.PercentCheck=0,$G61="All")),_xlfn.IFS(AND($I61="Flat",$J61=0),_xlpm.Flat,AND($I61="Percentage",$J61=0),_xlpm.Percentage,$J61="Derived",_xlpm.Derived,$J61="Boon Enhancement",_xlpm.BoonEnhancement,$J61="Stacking",_xlpm.Stacking),""))</f>
        <v/>
      </c>
      <c r="Q61" s="190" t="str" cm="1">
        <f t="array" ref="Q61">_xlfn.LET(_xlpm.PercentCheck,IF(OR(Q$1="Crit Chance",Q$1="Crit Damage",Q$1="Condition Duration"),1,0),_xlpm.Flat,$H61,_xlpm.Percentage,$H61*Q$57,_xlpm.Derived,$H61*Q$57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Q$1,AND(_xlpm.PercentCheck=0,$G61="All")),_xlfn.IFS(AND($I61="Flat",$J61=0),_xlpm.Flat,AND($I61="Percentage",$J61=0),_xlpm.Percentage,$J61="Derived",_xlpm.Derived,$J61="Boon Enhancement",_xlpm.BoonEnhancement,$J61="Stacking",_xlpm.Stacking),""))</f>
        <v/>
      </c>
      <c r="R61" s="190" t="str" cm="1">
        <f t="array" ref="R61">_xlfn.LET(_xlpm.PercentCheck,IF(OR(R$1="Crit Chance",R$1="Crit Damage",R$1="Condition Duration"),1,0),_xlpm.Flat,$H61,_xlpm.Percentage,$H61*R$57,_xlpm.Derived,$H61*R$57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R$1,AND(_xlpm.PercentCheck=0,$G61="All")),_xlfn.IFS(AND($I61="Flat",$J61=0),_xlpm.Flat,AND($I61="Percentage",$J61=0),_xlpm.Percentage,$J61="Derived",_xlpm.Derived,$J61="Boon Enhancement",_xlpm.BoonEnhancement,$J61="Stacking",_xlpm.Stacking),""))</f>
        <v/>
      </c>
      <c r="S61" s="190" t="str" cm="1">
        <f t="array" ref="S61">_xlfn.LET(_xlpm.PercentCheck,IF(OR(S$1="Crit Chance",S$1="Crit Damage",S$1="Condition Duration"),1,0),_xlpm.Flat,$H61,_xlpm.Percentage,$H61*S$57,_xlpm.Derived,$H61*S$57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S$1,AND(_xlpm.PercentCheck=0,$G61="All")),_xlfn.IFS(AND($I61="Flat",$J61=0),_xlpm.Flat,AND($I61="Percentage",$J61=0),_xlpm.Percentage,$J61="Derived",_xlpm.Derived,$J61="Boon Enhancement",_xlpm.BoonEnhancement,$J61="Stacking",_xlpm.Stacking),""))</f>
        <v/>
      </c>
      <c r="T61" s="190" t="str" cm="1">
        <f t="array" ref="T61">_xlfn.LET(_xlpm.PercentCheck,IF(OR(T$1="Crit Chance",T$1="Crit Damage",T$1="Condition Duration"),1,0),_xlpm.Flat,$H61,_xlpm.Percentage,$H61*T$57,_xlpm.Derived,$H61*T$57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T$1,AND(_xlpm.PercentCheck=0,$G61="All")),_xlfn.IFS(AND($I61="Flat",$J61=0),_xlpm.Flat,AND($I61="Percentage",$J61=0),_xlpm.Percentage,$J61="Derived",_xlpm.Derived,$J61="Boon Enhancement",_xlpm.BoonEnhancement,$J61="Stacking",_xlpm.Stacking),""))</f>
        <v/>
      </c>
      <c r="U61" s="190" t="str" cm="1">
        <f t="array" ref="U61">_xlfn.LET(_xlpm.PercentCheck,IF(OR(U$1="Crit Chance",U$1="Crit Damage",U$1="Condition Duration"),1,0),_xlpm.Flat,$H61,_xlpm.Percentage,$H61*U$57,_xlpm.Derived,$H61*U$57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U$1,AND(_xlpm.PercentCheck=0,$G61="All")),_xlfn.IFS(AND($I61="Flat",$J61=0),_xlpm.Flat,AND($I61="Percentage",$J61=0),_xlpm.Percentage,$J61="Derived",_xlpm.Derived,$J61="Boon Enhancement",_xlpm.BoonEnhancement,$J61="Stacking",_xlpm.Stacking),""))</f>
        <v/>
      </c>
      <c r="V61" s="190" t="str" cm="1">
        <f t="array" ref="V61">_xlfn.LET(_xlpm.PercentCheck,IF(OR(V$1="Crit Chance",V$1="Crit Damage",V$1="Condition Duration"),1,0),_xlpm.Flat,$H61,_xlpm.Percentage,$H61*V$57,_xlpm.Derived,$H61*V$57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V$1,AND(_xlpm.PercentCheck=0,$G61="All")),_xlfn.IFS(AND($I61="Flat",$J61=0),_xlpm.Flat,AND($I61="Percentage",$J61=0),_xlpm.Percentage,$J61="Derived",_xlpm.Derived,$J61="Boon Enhancement",_xlpm.BoonEnhancement,$J61="Stacking",_xlpm.Stacking),""))</f>
        <v/>
      </c>
      <c r="W61" s="190" t="str" cm="1">
        <f t="array" ref="W61">_xlfn.LET(_xlpm.PercentCheck,IF(OR(W$1="Crit Chance",W$1="Crit Damage",W$1="Condition Duration"),1,0),_xlpm.Flat,$H61,_xlpm.Percentage,$H61*W$57,_xlpm.Derived,$H61*W$57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W$1,AND(_xlpm.PercentCheck=0,$G61="All")),_xlfn.IFS(AND($I61="Flat",$J61=0),_xlpm.Flat,AND($I61="Percentage",$J61=0),_xlpm.Percentage,$J61="Derived",_xlpm.Derived,$J61="Boon Enhancement",_xlpm.BoonEnhancement,$J61="Stacking",_xlpm.Stacking),""))</f>
        <v/>
      </c>
      <c r="X61" s="190" t="str" cm="1">
        <f t="array" ref="X61">_xlfn.LET(_xlpm.PercentCheck,IF(OR(X$1="Crit Chance",X$1="Crit Damage",X$1="Condition Duration"),1,0),_xlpm.Flat,$H61,_xlpm.Percentage,$H61*X$57,_xlpm.Derived,$H61*X$57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X$1,AND(_xlpm.PercentCheck=0,$G61="All")),_xlfn.IFS(AND($I61="Flat",$J61=0),_xlpm.Flat,AND($I61="Percentage",$J61=0),_xlpm.Percentage,$J61="Derived",_xlpm.Derived,$J61="Boon Enhancement",_xlpm.BoonEnhancement,$J61="Stacking",_xlpm.Stacking),""))</f>
        <v/>
      </c>
      <c r="Y61" s="190" t="str" cm="1">
        <f t="array" ref="Y61">_xlfn.LET(_xlpm.PercentCheck,IF(OR(Y$1="Crit Chance",Y$1="Crit Damage",Y$1="Condition Duration"),1,0),_xlpm.Flat,$H61,_xlpm.Percentage,$H61*Y$57,_xlpm.Derived,$H61*Y$57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Y$1,AND(_xlpm.PercentCheck=0,$G61="All")),_xlfn.IFS(AND($I61="Flat",$J61=0),_xlpm.Flat,AND($I61="Percentage",$J61=0),_xlpm.Percentage,$J61="Derived",_xlpm.Derived,$J61="Boon Enhancement",_xlpm.BoonEnhancement,$J61="Stacking",_xlpm.Stacking),""))</f>
        <v/>
      </c>
      <c r="Z61" s="190" t="str" cm="1">
        <f t="array" ref="Z61">_xlfn.LET(_xlpm.PercentCheck,IF(OR(Z$1="Crit Chance",Z$1="Crit Damage",Z$1="Condition Duration"),1,0),_xlpm.Flat,$H61,_xlpm.Percentage,$H61*Z$57,_xlpm.Derived,$H61*Z$57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Z$1,AND(_xlpm.PercentCheck=0,$G61="All")),_xlfn.IFS(AND($I61="Flat",$J61=0),_xlpm.Flat,AND($I61="Percentage",$J61=0),_xlpm.Percentage,$J61="Derived",_xlpm.Derived,$J61="Boon Enhancement",_xlpm.BoonEnhancement,$J61="Stacking",_xlpm.Stacking),""))</f>
        <v/>
      </c>
      <c r="AA61" s="190" t="str" cm="1">
        <f t="array" ref="AA61">_xlfn.LET(_xlpm.PercentCheck,IF(OR(AA$1="Crit Chance",AA$1="Crit Damage",AA$1="Condition Duration"),1,0),_xlpm.Flat,$H61,_xlpm.Percentage,$H61*AA$57,_xlpm.Derived,$H61*AA$57,_xlpm.BoonType,VLOOKUP($M61,BoonToggles,2,0),_xlpm.BoonEnhancement,IF(AND(ISLOGICAL(_xlpm.BoonType),_xlpm.BoonType=TRUE),IF($I61="Flat",$H61,_xlpm.Percentage),IF($I61="Flat",$H61*_xlpm.BoonType,_xlpm.Percentage*_xlpm.BoonType)),_xlpm.Stacking,IF($I61="Flat",$H61*Spec1MajorGrandmasterStacks,IF(_xlpm.PercentCheck=1,"",_xlpm.Percentage*Spec1MajorGrandmasterStacks)),IF(OR($G61=AA$1,AND(_xlpm.PercentCheck=0,$G61="All")),_xlfn.IFS(AND($I61="Flat",$J61=0),_xlpm.Flat,AND($I61="Percentage",$J61=0),_xlpm.Percentage,$J61="Derived",_xlpm.Derived,$J61="Boon Enhancement",_xlpm.BoonEnhancement,$J61="Stacking",_xlpm.Stacking),""))</f>
        <v/>
      </c>
    </row>
    <row r="62" spans="1:27" ht="14.25" customHeight="1">
      <c r="A62" s="566"/>
      <c r="B62" s="555"/>
      <c r="C62" s="194"/>
      <c r="D62" s="195"/>
      <c r="E62" s="195"/>
      <c r="F62" s="195"/>
      <c r="G62" s="195"/>
      <c r="H62" s="195"/>
      <c r="I62" s="195"/>
      <c r="J62" s="195"/>
      <c r="K62" s="195"/>
      <c r="L62" s="195"/>
      <c r="M62" s="195"/>
      <c r="N62" s="195"/>
      <c r="O62" s="196"/>
      <c r="P62" s="190" t="str" cm="1">
        <f t="array" ref="P62">_xlfn.LET(_xlpm.PercentCheck,IF(OR(P$1="Crit Chance",P$1="Crit Damage",P$1="Condition Duration"),1,0),_xlpm.Flat,$H62,_xlpm.Percentage,$H62*P$57,_xlpm.Derived,$H62*P$57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P$1,AND(_xlpm.PercentCheck=0,$G62="All")),_xlfn.IFS(AND($I62="Flat",$J62=0),_xlpm.Flat,AND($I62="Percentage",$J62=0),_xlpm.Percentage,$J62="Derived",_xlpm.Derived,$J62="Boon Enhancement",_xlpm.BoonEnhancement,$J62="Stacking",_xlpm.Stacking),""))</f>
        <v/>
      </c>
      <c r="Q62" s="190" t="str" cm="1">
        <f t="array" ref="Q62">_xlfn.LET(_xlpm.PercentCheck,IF(OR(Q$1="Crit Chance",Q$1="Crit Damage",Q$1="Condition Duration"),1,0),_xlpm.Flat,$H62,_xlpm.Percentage,$H62*Q$57,_xlpm.Derived,$H62*Q$57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Q$1,AND(_xlpm.PercentCheck=0,$G62="All")),_xlfn.IFS(AND($I62="Flat",$J62=0),_xlpm.Flat,AND($I62="Percentage",$J62=0),_xlpm.Percentage,$J62="Derived",_xlpm.Derived,$J62="Boon Enhancement",_xlpm.BoonEnhancement,$J62="Stacking",_xlpm.Stacking),""))</f>
        <v/>
      </c>
      <c r="R62" s="190" t="str" cm="1">
        <f t="array" ref="R62">_xlfn.LET(_xlpm.PercentCheck,IF(OR(R$1="Crit Chance",R$1="Crit Damage",R$1="Condition Duration"),1,0),_xlpm.Flat,$H62,_xlpm.Percentage,$H62*R$57,_xlpm.Derived,$H62*R$57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R$1,AND(_xlpm.PercentCheck=0,$G62="All")),_xlfn.IFS(AND($I62="Flat",$J62=0),_xlpm.Flat,AND($I62="Percentage",$J62=0),_xlpm.Percentage,$J62="Derived",_xlpm.Derived,$J62="Boon Enhancement",_xlpm.BoonEnhancement,$J62="Stacking",_xlpm.Stacking),""))</f>
        <v/>
      </c>
      <c r="S62" s="190" t="str" cm="1">
        <f t="array" ref="S62">_xlfn.LET(_xlpm.PercentCheck,IF(OR(S$1="Crit Chance",S$1="Crit Damage",S$1="Condition Duration"),1,0),_xlpm.Flat,$H62,_xlpm.Percentage,$H62*S$57,_xlpm.Derived,$H62*S$57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S$1,AND(_xlpm.PercentCheck=0,$G62="All")),_xlfn.IFS(AND($I62="Flat",$J62=0),_xlpm.Flat,AND($I62="Percentage",$J62=0),_xlpm.Percentage,$J62="Derived",_xlpm.Derived,$J62="Boon Enhancement",_xlpm.BoonEnhancement,$J62="Stacking",_xlpm.Stacking),""))</f>
        <v/>
      </c>
      <c r="T62" s="190" t="str" cm="1">
        <f t="array" ref="T62">_xlfn.LET(_xlpm.PercentCheck,IF(OR(T$1="Crit Chance",T$1="Crit Damage",T$1="Condition Duration"),1,0),_xlpm.Flat,$H62,_xlpm.Percentage,$H62*T$57,_xlpm.Derived,$H62*T$57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T$1,AND(_xlpm.PercentCheck=0,$G62="All")),_xlfn.IFS(AND($I62="Flat",$J62=0),_xlpm.Flat,AND($I62="Percentage",$J62=0),_xlpm.Percentage,$J62="Derived",_xlpm.Derived,$J62="Boon Enhancement",_xlpm.BoonEnhancement,$J62="Stacking",_xlpm.Stacking),""))</f>
        <v/>
      </c>
      <c r="U62" s="190" t="str" cm="1">
        <f t="array" ref="U62">_xlfn.LET(_xlpm.PercentCheck,IF(OR(U$1="Crit Chance",U$1="Crit Damage",U$1="Condition Duration"),1,0),_xlpm.Flat,$H62,_xlpm.Percentage,$H62*U$57,_xlpm.Derived,$H62*U$57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U$1,AND(_xlpm.PercentCheck=0,$G62="All")),_xlfn.IFS(AND($I62="Flat",$J62=0),_xlpm.Flat,AND($I62="Percentage",$J62=0),_xlpm.Percentage,$J62="Derived",_xlpm.Derived,$J62="Boon Enhancement",_xlpm.BoonEnhancement,$J62="Stacking",_xlpm.Stacking),""))</f>
        <v/>
      </c>
      <c r="V62" s="190" t="str" cm="1">
        <f t="array" ref="V62">_xlfn.LET(_xlpm.PercentCheck,IF(OR(V$1="Crit Chance",V$1="Crit Damage",V$1="Condition Duration"),1,0),_xlpm.Flat,$H62,_xlpm.Percentage,$H62*V$57,_xlpm.Derived,$H62*V$57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V$1,AND(_xlpm.PercentCheck=0,$G62="All")),_xlfn.IFS(AND($I62="Flat",$J62=0),_xlpm.Flat,AND($I62="Percentage",$J62=0),_xlpm.Percentage,$J62="Derived",_xlpm.Derived,$J62="Boon Enhancement",_xlpm.BoonEnhancement,$J62="Stacking",_xlpm.Stacking),""))</f>
        <v/>
      </c>
      <c r="W62" s="190" t="str" cm="1">
        <f t="array" ref="W62">_xlfn.LET(_xlpm.PercentCheck,IF(OR(W$1="Crit Chance",W$1="Crit Damage",W$1="Condition Duration"),1,0),_xlpm.Flat,$H62,_xlpm.Percentage,$H62*W$57,_xlpm.Derived,$H62*W$57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W$1,AND(_xlpm.PercentCheck=0,$G62="All")),_xlfn.IFS(AND($I62="Flat",$J62=0),_xlpm.Flat,AND($I62="Percentage",$J62=0),_xlpm.Percentage,$J62="Derived",_xlpm.Derived,$J62="Boon Enhancement",_xlpm.BoonEnhancement,$J62="Stacking",_xlpm.Stacking),""))</f>
        <v/>
      </c>
      <c r="X62" s="190" t="str" cm="1">
        <f t="array" ref="X62">_xlfn.LET(_xlpm.PercentCheck,IF(OR(X$1="Crit Chance",X$1="Crit Damage",X$1="Condition Duration"),1,0),_xlpm.Flat,$H62,_xlpm.Percentage,$H62*X$57,_xlpm.Derived,$H62*X$57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X$1,AND(_xlpm.PercentCheck=0,$G62="All")),_xlfn.IFS(AND($I62="Flat",$J62=0),_xlpm.Flat,AND($I62="Percentage",$J62=0),_xlpm.Percentage,$J62="Derived",_xlpm.Derived,$J62="Boon Enhancement",_xlpm.BoonEnhancement,$J62="Stacking",_xlpm.Stacking),""))</f>
        <v/>
      </c>
      <c r="Y62" s="190" t="str" cm="1">
        <f t="array" ref="Y62">_xlfn.LET(_xlpm.PercentCheck,IF(OR(Y$1="Crit Chance",Y$1="Crit Damage",Y$1="Condition Duration"),1,0),_xlpm.Flat,$H62,_xlpm.Percentage,$H62*Y$57,_xlpm.Derived,$H62*Y$57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Y$1,AND(_xlpm.PercentCheck=0,$G62="All")),_xlfn.IFS(AND($I62="Flat",$J62=0),_xlpm.Flat,AND($I62="Percentage",$J62=0),_xlpm.Percentage,$J62="Derived",_xlpm.Derived,$J62="Boon Enhancement",_xlpm.BoonEnhancement,$J62="Stacking",_xlpm.Stacking),""))</f>
        <v/>
      </c>
      <c r="Z62" s="190" t="str" cm="1">
        <f t="array" ref="Z62">_xlfn.LET(_xlpm.PercentCheck,IF(OR(Z$1="Crit Chance",Z$1="Crit Damage",Z$1="Condition Duration"),1,0),_xlpm.Flat,$H62,_xlpm.Percentage,$H62*Z$57,_xlpm.Derived,$H62*Z$57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Z$1,AND(_xlpm.PercentCheck=0,$G62="All")),_xlfn.IFS(AND($I62="Flat",$J62=0),_xlpm.Flat,AND($I62="Percentage",$J62=0),_xlpm.Percentage,$J62="Derived",_xlpm.Derived,$J62="Boon Enhancement",_xlpm.BoonEnhancement,$J62="Stacking",_xlpm.Stacking),""))</f>
        <v/>
      </c>
      <c r="AA62" s="190" t="str" cm="1">
        <f t="array" ref="AA62">_xlfn.LET(_xlpm.PercentCheck,IF(OR(AA$1="Crit Chance",AA$1="Crit Damage",AA$1="Condition Duration"),1,0),_xlpm.Flat,$H62,_xlpm.Percentage,$H62*AA$57,_xlpm.Derived,$H62*AA$57,_xlpm.BoonType,VLOOKUP($M62,BoonToggles,2,0),_xlpm.BoonEnhancement,IF(AND(ISLOGICAL(_xlpm.BoonType),_xlpm.BoonType=TRUE),IF($I62="Flat",$H62,_xlpm.Percentage),IF($I62="Flat",$H62*_xlpm.BoonType,_xlpm.Percentage*_xlpm.BoonType)),_xlpm.Stacking,IF($I62="Flat",$H62*Spec1MajorGrandmasterStacks,IF(_xlpm.PercentCheck=1,"",_xlpm.Percentage*Spec1MajorGrandmasterStacks)),IF(OR($G62=AA$1,AND(_xlpm.PercentCheck=0,$G62="All")),_xlfn.IFS(AND($I62="Flat",$J62=0),_xlpm.Flat,AND($I62="Percentage",$J62=0),_xlpm.Percentage,$J62="Derived",_xlpm.Derived,$J62="Boon Enhancement",_xlpm.BoonEnhancement,$J62="Stacking",_xlpm.Stacking),""))</f>
        <v/>
      </c>
    </row>
    <row r="63" spans="1:27" s="171" customFormat="1" ht="14.25" customHeight="1">
      <c r="A63" s="566"/>
      <c r="B63" s="559" t="s">
        <v>3500</v>
      </c>
      <c r="C63" s="559"/>
      <c r="D63" s="559"/>
      <c r="E63" s="559"/>
      <c r="F63" s="559"/>
      <c r="G63" s="559"/>
      <c r="H63" s="559"/>
      <c r="I63" s="559"/>
      <c r="J63" s="559"/>
      <c r="K63" s="559"/>
      <c r="L63" s="559"/>
      <c r="M63" s="559"/>
      <c r="N63" s="559"/>
      <c r="O63" s="560"/>
      <c r="P63" s="197">
        <f>SUM(P$58:P$62)</f>
        <v>0</v>
      </c>
      <c r="Q63" s="198">
        <f t="shared" ref="P63:AA63" si="25">SUM(Q$58:Q$62)</f>
        <v>0</v>
      </c>
      <c r="R63" s="198">
        <f t="shared" si="25"/>
        <v>0</v>
      </c>
      <c r="S63" s="198">
        <f t="shared" si="25"/>
        <v>0</v>
      </c>
      <c r="T63" s="198">
        <f t="shared" si="25"/>
        <v>0</v>
      </c>
      <c r="U63" s="198">
        <f t="shared" si="25"/>
        <v>0</v>
      </c>
      <c r="V63" s="198">
        <f t="shared" si="25"/>
        <v>0</v>
      </c>
      <c r="W63" s="198">
        <f t="shared" si="25"/>
        <v>0</v>
      </c>
      <c r="X63" s="198">
        <f t="shared" si="25"/>
        <v>0</v>
      </c>
      <c r="Y63" s="199">
        <f t="shared" si="25"/>
        <v>0</v>
      </c>
      <c r="Z63" s="199">
        <f t="shared" si="25"/>
        <v>0</v>
      </c>
      <c r="AA63" s="199">
        <f t="shared" si="25"/>
        <v>0</v>
      </c>
    </row>
    <row r="64" spans="1:27" s="171" customFormat="1" ht="14.25" customHeight="1">
      <c r="A64" s="566"/>
      <c r="B64" s="559" t="s">
        <v>3501</v>
      </c>
      <c r="C64" s="559"/>
      <c r="D64" s="559"/>
      <c r="E64" s="559"/>
      <c r="F64" s="559"/>
      <c r="G64" s="559"/>
      <c r="H64" s="559"/>
      <c r="I64" s="559"/>
      <c r="J64" s="559"/>
      <c r="K64" s="559"/>
      <c r="L64" s="559"/>
      <c r="M64" s="559"/>
      <c r="N64" s="559"/>
      <c r="O64" s="560"/>
      <c r="P64" s="197">
        <f>SUM(P$57,SUMIFS(P$58:P$62,$I$58:$I$62,"Percentage",$J$58:$J$62,"&lt;&gt;Derived"))</f>
        <v>1657</v>
      </c>
      <c r="Q64" s="197">
        <f t="shared" ref="Q64:X64" si="26">SUM(Q$57,SUMIFS(Q$58:Q$62,$I$58:$I$62,"Percentage",$J$58:$J$62,"&lt;&gt;Derived"))</f>
        <v>1594</v>
      </c>
      <c r="R64" s="197">
        <f t="shared" si="26"/>
        <v>1221</v>
      </c>
      <c r="S64" s="197">
        <f t="shared" si="26"/>
        <v>1156</v>
      </c>
      <c r="T64" s="197">
        <f t="shared" si="26"/>
        <v>10</v>
      </c>
      <c r="U64" s="197">
        <f t="shared" si="26"/>
        <v>249.6</v>
      </c>
      <c r="V64" s="197">
        <f t="shared" si="26"/>
        <v>260</v>
      </c>
      <c r="W64" s="197">
        <f t="shared" si="26"/>
        <v>248</v>
      </c>
      <c r="X64" s="197">
        <f t="shared" si="26"/>
        <v>47</v>
      </c>
      <c r="Y64" s="480"/>
      <c r="Z64" s="480"/>
      <c r="AA64" s="480"/>
    </row>
    <row r="65" spans="1:27" ht="14.25" customHeight="1">
      <c r="A65" s="566"/>
      <c r="B65" s="553" t="s">
        <v>22</v>
      </c>
      <c r="C65" s="200" t="str" cm="1">
        <f t="array" ref="C65">IF(OR(Spec2MajorMasterCondition="(Select)",Spec2MajorMasterCondition=""),_xlfn._xlws.FILTER(TraitStats,(TraitStatsTable[Name]=Spec2MajorMaster)*(TraitStatsTable[Condition]=""),"No stat bonus"),_xlfn._xlws.FILTER(TraitStats,(TraitStatsTable[Name]=Spec2MajorMaster)*((TraitStatsTable[Condition]=Spec2MajorMasterCondition)+(TraitStatsTable[Condition]="")),"No stat bonus"))</f>
        <v>No stat bonus</v>
      </c>
      <c r="D65" s="195"/>
      <c r="E65" s="195"/>
      <c r="F65" s="195"/>
      <c r="G65" s="195"/>
      <c r="H65" s="195"/>
      <c r="I65" s="195"/>
      <c r="J65" s="195"/>
      <c r="K65" s="195"/>
      <c r="L65" s="195"/>
      <c r="M65" s="195"/>
      <c r="N65" s="195"/>
      <c r="O65" s="196"/>
      <c r="P65" s="190" t="str" cm="1">
        <f t="array" ref="P65">_xlfn.LET(_xlpm.PercentCheck,IF(OR(P$1="Crit Chance",P$1="Crit Damage",P$1="Condition Duration"),1,0),_xlpm.Flat,$H65,_xlpm.Percentage,$H65*P$64,_xlpm.Derived,$H65*P$64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P$1,AND(_xlpm.PercentCheck=0,$G65="All")),_xlfn.IFS(AND($I65="Flat",$J65=0),_xlpm.Flat,AND($I65="Percentage",$J65=0),_xlpm.Percentage,$J65="Derived",_xlpm.Derived,$J65="Boon Enhancement",_xlpm.BoonEnhancement,$J65="Stacking",_xlpm.Stacking),""))</f>
        <v/>
      </c>
      <c r="Q65" s="190" t="str" cm="1">
        <f t="array" ref="Q65">_xlfn.LET(_xlpm.PercentCheck,IF(OR(Q$1="Crit Chance",Q$1="Crit Damage",Q$1="Condition Duration"),1,0),_xlpm.Flat,$H65,_xlpm.Percentage,$H65*Q$64,_xlpm.Derived,$H65*Q$64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Q$1,AND(_xlpm.PercentCheck=0,$G65="All")),_xlfn.IFS(AND($I65="Flat",$J65=0),_xlpm.Flat,AND($I65="Percentage",$J65=0),_xlpm.Percentage,$J65="Derived",_xlpm.Derived,$J65="Boon Enhancement",_xlpm.BoonEnhancement,$J65="Stacking",_xlpm.Stacking),""))</f>
        <v/>
      </c>
      <c r="R65" s="190" t="str" cm="1">
        <f t="array" ref="R65">_xlfn.LET(_xlpm.PercentCheck,IF(OR(R$1="Crit Chance",R$1="Crit Damage",R$1="Condition Duration"),1,0),_xlpm.Flat,$H65,_xlpm.Percentage,$H65*R$64,_xlpm.Derived,$H65*R$64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R$1,AND(_xlpm.PercentCheck=0,$G65="All")),_xlfn.IFS(AND($I65="Flat",$J65=0),_xlpm.Flat,AND($I65="Percentage",$J65=0),_xlpm.Percentage,$J65="Derived",_xlpm.Derived,$J65="Boon Enhancement",_xlpm.BoonEnhancement,$J65="Stacking",_xlpm.Stacking),""))</f>
        <v/>
      </c>
      <c r="S65" s="190" t="str" cm="1">
        <f t="array" ref="S65">_xlfn.LET(_xlpm.PercentCheck,IF(OR(S$1="Crit Chance",S$1="Crit Damage",S$1="Condition Duration"),1,0),_xlpm.Flat,$H65,_xlpm.Percentage,$H65*S$64,_xlpm.Derived,$H65*S$64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S$1,AND(_xlpm.PercentCheck=0,$G65="All")),_xlfn.IFS(AND($I65="Flat",$J65=0),_xlpm.Flat,AND($I65="Percentage",$J65=0),_xlpm.Percentage,$J65="Derived",_xlpm.Derived,$J65="Boon Enhancement",_xlpm.BoonEnhancement,$J65="Stacking",_xlpm.Stacking),""))</f>
        <v/>
      </c>
      <c r="T65" s="190" t="str" cm="1">
        <f t="array" ref="T65">_xlfn.LET(_xlpm.PercentCheck,IF(OR(T$1="Crit Chance",T$1="Crit Damage",T$1="Condition Duration"),1,0),_xlpm.Flat,$H65,_xlpm.Percentage,$H65*T$64,_xlpm.Derived,$H65*T$64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T$1,AND(_xlpm.PercentCheck=0,$G65="All")),_xlfn.IFS(AND($I65="Flat",$J65=0),_xlpm.Flat,AND($I65="Percentage",$J65=0),_xlpm.Percentage,$J65="Derived",_xlpm.Derived,$J65="Boon Enhancement",_xlpm.BoonEnhancement,$J65="Stacking",_xlpm.Stacking),""))</f>
        <v/>
      </c>
      <c r="U65" s="190" t="str" cm="1">
        <f t="array" ref="U65">_xlfn.LET(_xlpm.PercentCheck,IF(OR(U$1="Crit Chance",U$1="Crit Damage",U$1="Condition Duration"),1,0),_xlpm.Flat,$H65,_xlpm.Percentage,$H65*U$64,_xlpm.Derived,$H65*U$64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U$1,AND(_xlpm.PercentCheck=0,$G65="All")),_xlfn.IFS(AND($I65="Flat",$J65=0),_xlpm.Flat,AND($I65="Percentage",$J65=0),_xlpm.Percentage,$J65="Derived",_xlpm.Derived,$J65="Boon Enhancement",_xlpm.BoonEnhancement,$J65="Stacking",_xlpm.Stacking),""))</f>
        <v/>
      </c>
      <c r="V65" s="190" t="str" cm="1">
        <f t="array" ref="V65">_xlfn.LET(_xlpm.PercentCheck,IF(OR(V$1="Crit Chance",V$1="Crit Damage",V$1="Condition Duration"),1,0),_xlpm.Flat,$H65,_xlpm.Percentage,$H65*V$64,_xlpm.Derived,$H65*V$64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V$1,AND(_xlpm.PercentCheck=0,$G65="All")),_xlfn.IFS(AND($I65="Flat",$J65=0),_xlpm.Flat,AND($I65="Percentage",$J65=0),_xlpm.Percentage,$J65="Derived",_xlpm.Derived,$J65="Boon Enhancement",_xlpm.BoonEnhancement,$J65="Stacking",_xlpm.Stacking),""))</f>
        <v/>
      </c>
      <c r="W65" s="190" t="str" cm="1">
        <f t="array" ref="W65">_xlfn.LET(_xlpm.PercentCheck,IF(OR(W$1="Crit Chance",W$1="Crit Damage",W$1="Condition Duration"),1,0),_xlpm.Flat,$H65,_xlpm.Percentage,$H65*W$64,_xlpm.Derived,$H65*W$64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W$1,AND(_xlpm.PercentCheck=0,$G65="All")),_xlfn.IFS(AND($I65="Flat",$J65=0),_xlpm.Flat,AND($I65="Percentage",$J65=0),_xlpm.Percentage,$J65="Derived",_xlpm.Derived,$J65="Boon Enhancement",_xlpm.BoonEnhancement,$J65="Stacking",_xlpm.Stacking),""))</f>
        <v/>
      </c>
      <c r="X65" s="190" t="str" cm="1">
        <f t="array" ref="X65">_xlfn.LET(_xlpm.PercentCheck,IF(OR(X$1="Crit Chance",X$1="Crit Damage",X$1="Condition Duration"),1,0),_xlpm.Flat,$H65,_xlpm.Percentage,$H65*X$64,_xlpm.Derived,$H65*X$64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X$1,AND(_xlpm.PercentCheck=0,$G65="All")),_xlfn.IFS(AND($I65="Flat",$J65=0),_xlpm.Flat,AND($I65="Percentage",$J65=0),_xlpm.Percentage,$J65="Derived",_xlpm.Derived,$J65="Boon Enhancement",_xlpm.BoonEnhancement,$J65="Stacking",_xlpm.Stacking),""))</f>
        <v/>
      </c>
      <c r="Y65" s="190" t="str" cm="1">
        <f t="array" ref="Y65">_xlfn.LET(_xlpm.PercentCheck,IF(OR(Y$1="Crit Chance",Y$1="Crit Damage",Y$1="Condition Duration"),1,0),_xlpm.Flat,$H65,_xlpm.Percentage,$H65*Y$64,_xlpm.Derived,$H65*Y$64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Y$1,AND(_xlpm.PercentCheck=0,$G65="All")),_xlfn.IFS(AND($I65="Flat",$J65=0),_xlpm.Flat,AND($I65="Percentage",$J65=0),_xlpm.Percentage,$J65="Derived",_xlpm.Derived,$J65="Boon Enhancement",_xlpm.BoonEnhancement,$J65="Stacking",_xlpm.Stacking),""))</f>
        <v/>
      </c>
      <c r="Z65" s="190" t="str" cm="1">
        <f t="array" ref="Z65">_xlfn.LET(_xlpm.PercentCheck,IF(OR(Z$1="Crit Chance",Z$1="Crit Damage",Z$1="Condition Duration"),1,0),_xlpm.Flat,$H65,_xlpm.Percentage,$H65*Z$64,_xlpm.Derived,$H65*Z$64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Z$1,AND(_xlpm.PercentCheck=0,$G65="All")),_xlfn.IFS(AND($I65="Flat",$J65=0),_xlpm.Flat,AND($I65="Percentage",$J65=0),_xlpm.Percentage,$J65="Derived",_xlpm.Derived,$J65="Boon Enhancement",_xlpm.BoonEnhancement,$J65="Stacking",_xlpm.Stacking),""))</f>
        <v/>
      </c>
      <c r="AA65" s="190" t="str" cm="1">
        <f t="array" ref="AA65">_xlfn.LET(_xlpm.PercentCheck,IF(OR(AA$1="Crit Chance",AA$1="Crit Damage",AA$1="Condition Duration"),1,0),_xlpm.Flat,$H65,_xlpm.Percentage,$H65*AA$64,_xlpm.Derived,$H65*AA$64,_xlpm.BoonType,VLOOKUP($M65,BoonToggles,2,0),_xlpm.BoonEnhancement,IF(AND(ISLOGICAL(_xlpm.BoonType),_xlpm.BoonType=TRUE),IF($I65="Flat",$H65,_xlpm.Percentage),IF($I65="Flat",$H65*_xlpm.BoonType,_xlpm.Percentage*_xlpm.BoonType)),_xlpm.Stacking,IF($I65="Flat",$H65*Spec1MajorGrandmasterStacks,IF(_xlpm.PercentCheck=1,"",_xlpm.Percentage*Spec1MajorGrandmasterStacks)),IF(OR($G65=AA$1,AND(_xlpm.PercentCheck=0,$G65="All")),_xlfn.IFS(AND($I65="Flat",$J65=0),_xlpm.Flat,AND($I65="Percentage",$J65=0),_xlpm.Percentage,$J65="Derived",_xlpm.Derived,$J65="Boon Enhancement",_xlpm.BoonEnhancement,$J65="Stacking",_xlpm.Stacking),""))</f>
        <v/>
      </c>
    </row>
    <row r="66" spans="1:27" ht="14.25" customHeight="1">
      <c r="A66" s="566"/>
      <c r="B66" s="554"/>
      <c r="C66" s="194"/>
      <c r="D66" s="195"/>
      <c r="E66" s="195"/>
      <c r="F66" s="195"/>
      <c r="G66" s="195"/>
      <c r="H66" s="195"/>
      <c r="I66" s="195"/>
      <c r="J66" s="195"/>
      <c r="K66" s="195"/>
      <c r="L66" s="195"/>
      <c r="M66" s="195"/>
      <c r="N66" s="195"/>
      <c r="O66" s="196"/>
      <c r="P66" s="190" t="str" cm="1">
        <f t="array" ref="P66">_xlfn.LET(_xlpm.PercentCheck,IF(OR(P$1="Crit Chance",P$1="Crit Damage",P$1="Condition Duration"),1,0),_xlpm.Flat,$H66,_xlpm.Percentage,$H66*P$64,_xlpm.Derived,$H66*P$64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P$1,AND(_xlpm.PercentCheck=0,$G66="All")),_xlfn.IFS(AND($I66="Flat",$J66=0),_xlpm.Flat,AND($I66="Percentage",$J66=0),_xlpm.Percentage,$J66="Derived",_xlpm.Derived,$J66="Boon Enhancement",_xlpm.BoonEnhancement,$J66="Stacking",_xlpm.Stacking),""))</f>
        <v/>
      </c>
      <c r="Q66" s="190" t="str" cm="1">
        <f t="array" ref="Q66">_xlfn.LET(_xlpm.PercentCheck,IF(OR(Q$1="Crit Chance",Q$1="Crit Damage",Q$1="Condition Duration"),1,0),_xlpm.Flat,$H66,_xlpm.Percentage,$H66*Q$64,_xlpm.Derived,$H66*Q$64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Q$1,AND(_xlpm.PercentCheck=0,$G66="All")),_xlfn.IFS(AND($I66="Flat",$J66=0),_xlpm.Flat,AND($I66="Percentage",$J66=0),_xlpm.Percentage,$J66="Derived",_xlpm.Derived,$J66="Boon Enhancement",_xlpm.BoonEnhancement,$J66="Stacking",_xlpm.Stacking),""))</f>
        <v/>
      </c>
      <c r="R66" s="190" t="str" cm="1">
        <f t="array" ref="R66">_xlfn.LET(_xlpm.PercentCheck,IF(OR(R$1="Crit Chance",R$1="Crit Damage",R$1="Condition Duration"),1,0),_xlpm.Flat,$H66,_xlpm.Percentage,$H66*R$64,_xlpm.Derived,$H66*R$64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R$1,AND(_xlpm.PercentCheck=0,$G66="All")),_xlfn.IFS(AND($I66="Flat",$J66=0),_xlpm.Flat,AND($I66="Percentage",$J66=0),_xlpm.Percentage,$J66="Derived",_xlpm.Derived,$J66="Boon Enhancement",_xlpm.BoonEnhancement,$J66="Stacking",_xlpm.Stacking),""))</f>
        <v/>
      </c>
      <c r="S66" s="190" t="str" cm="1">
        <f t="array" ref="S66">_xlfn.LET(_xlpm.PercentCheck,IF(OR(S$1="Crit Chance",S$1="Crit Damage",S$1="Condition Duration"),1,0),_xlpm.Flat,$H66,_xlpm.Percentage,$H66*S$64,_xlpm.Derived,$H66*S$64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S$1,AND(_xlpm.PercentCheck=0,$G66="All")),_xlfn.IFS(AND($I66="Flat",$J66=0),_xlpm.Flat,AND($I66="Percentage",$J66=0),_xlpm.Percentage,$J66="Derived",_xlpm.Derived,$J66="Boon Enhancement",_xlpm.BoonEnhancement,$J66="Stacking",_xlpm.Stacking),""))</f>
        <v/>
      </c>
      <c r="T66" s="190" t="str" cm="1">
        <f t="array" ref="T66">_xlfn.LET(_xlpm.PercentCheck,IF(OR(T$1="Crit Chance",T$1="Crit Damage",T$1="Condition Duration"),1,0),_xlpm.Flat,$H66,_xlpm.Percentage,$H66*T$64,_xlpm.Derived,$H66*T$64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T$1,AND(_xlpm.PercentCheck=0,$G66="All")),_xlfn.IFS(AND($I66="Flat",$J66=0),_xlpm.Flat,AND($I66="Percentage",$J66=0),_xlpm.Percentage,$J66="Derived",_xlpm.Derived,$J66="Boon Enhancement",_xlpm.BoonEnhancement,$J66="Stacking",_xlpm.Stacking),""))</f>
        <v/>
      </c>
      <c r="U66" s="190" t="str" cm="1">
        <f t="array" ref="U66">_xlfn.LET(_xlpm.PercentCheck,IF(OR(U$1="Crit Chance",U$1="Crit Damage",U$1="Condition Duration"),1,0),_xlpm.Flat,$H66,_xlpm.Percentage,$H66*U$64,_xlpm.Derived,$H66*U$64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U$1,AND(_xlpm.PercentCheck=0,$G66="All")),_xlfn.IFS(AND($I66="Flat",$J66=0),_xlpm.Flat,AND($I66="Percentage",$J66=0),_xlpm.Percentage,$J66="Derived",_xlpm.Derived,$J66="Boon Enhancement",_xlpm.BoonEnhancement,$J66="Stacking",_xlpm.Stacking),""))</f>
        <v/>
      </c>
      <c r="V66" s="190" t="str" cm="1">
        <f t="array" ref="V66">_xlfn.LET(_xlpm.PercentCheck,IF(OR(V$1="Crit Chance",V$1="Crit Damage",V$1="Condition Duration"),1,0),_xlpm.Flat,$H66,_xlpm.Percentage,$H66*V$64,_xlpm.Derived,$H66*V$64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V$1,AND(_xlpm.PercentCheck=0,$G66="All")),_xlfn.IFS(AND($I66="Flat",$J66=0),_xlpm.Flat,AND($I66="Percentage",$J66=0),_xlpm.Percentage,$J66="Derived",_xlpm.Derived,$J66="Boon Enhancement",_xlpm.BoonEnhancement,$J66="Stacking",_xlpm.Stacking),""))</f>
        <v/>
      </c>
      <c r="W66" s="190" t="str" cm="1">
        <f t="array" ref="W66">_xlfn.LET(_xlpm.PercentCheck,IF(OR(W$1="Crit Chance",W$1="Crit Damage",W$1="Condition Duration"),1,0),_xlpm.Flat,$H66,_xlpm.Percentage,$H66*W$64,_xlpm.Derived,$H66*W$64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W$1,AND(_xlpm.PercentCheck=0,$G66="All")),_xlfn.IFS(AND($I66="Flat",$J66=0),_xlpm.Flat,AND($I66="Percentage",$J66=0),_xlpm.Percentage,$J66="Derived",_xlpm.Derived,$J66="Boon Enhancement",_xlpm.BoonEnhancement,$J66="Stacking",_xlpm.Stacking),""))</f>
        <v/>
      </c>
      <c r="X66" s="190" t="str" cm="1">
        <f t="array" ref="X66">_xlfn.LET(_xlpm.PercentCheck,IF(OR(X$1="Crit Chance",X$1="Crit Damage",X$1="Condition Duration"),1,0),_xlpm.Flat,$H66,_xlpm.Percentage,$H66*X$64,_xlpm.Derived,$H66*X$64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X$1,AND(_xlpm.PercentCheck=0,$G66="All")),_xlfn.IFS(AND($I66="Flat",$J66=0),_xlpm.Flat,AND($I66="Percentage",$J66=0),_xlpm.Percentage,$J66="Derived",_xlpm.Derived,$J66="Boon Enhancement",_xlpm.BoonEnhancement,$J66="Stacking",_xlpm.Stacking),""))</f>
        <v/>
      </c>
      <c r="Y66" s="190" t="str" cm="1">
        <f t="array" ref="Y66">_xlfn.LET(_xlpm.PercentCheck,IF(OR(Y$1="Crit Chance",Y$1="Crit Damage",Y$1="Condition Duration"),1,0),_xlpm.Flat,$H66,_xlpm.Percentage,$H66*Y$64,_xlpm.Derived,$H66*Y$64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Y$1,AND(_xlpm.PercentCheck=0,$G66="All")),_xlfn.IFS(AND($I66="Flat",$J66=0),_xlpm.Flat,AND($I66="Percentage",$J66=0),_xlpm.Percentage,$J66="Derived",_xlpm.Derived,$J66="Boon Enhancement",_xlpm.BoonEnhancement,$J66="Stacking",_xlpm.Stacking),""))</f>
        <v/>
      </c>
      <c r="Z66" s="190" t="str" cm="1">
        <f t="array" ref="Z66">_xlfn.LET(_xlpm.PercentCheck,IF(OR(Z$1="Crit Chance",Z$1="Crit Damage",Z$1="Condition Duration"),1,0),_xlpm.Flat,$H66,_xlpm.Percentage,$H66*Z$64,_xlpm.Derived,$H66*Z$64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Z$1,AND(_xlpm.PercentCheck=0,$G66="All")),_xlfn.IFS(AND($I66="Flat",$J66=0),_xlpm.Flat,AND($I66="Percentage",$J66=0),_xlpm.Percentage,$J66="Derived",_xlpm.Derived,$J66="Boon Enhancement",_xlpm.BoonEnhancement,$J66="Stacking",_xlpm.Stacking),""))</f>
        <v/>
      </c>
      <c r="AA66" s="190" t="str" cm="1">
        <f t="array" ref="AA66">_xlfn.LET(_xlpm.PercentCheck,IF(OR(AA$1="Crit Chance",AA$1="Crit Damage",AA$1="Condition Duration"),1,0),_xlpm.Flat,$H66,_xlpm.Percentage,$H66*AA$64,_xlpm.Derived,$H66*AA$64,_xlpm.BoonType,VLOOKUP($M66,BoonToggles,2,0),_xlpm.BoonEnhancement,IF(AND(ISLOGICAL(_xlpm.BoonType),_xlpm.BoonType=TRUE),IF($I66="Flat",$H66,_xlpm.Percentage),IF($I66="Flat",$H66*_xlpm.BoonType,_xlpm.Percentage*_xlpm.BoonType)),_xlpm.Stacking,IF($I66="Flat",$H66*Spec1MajorGrandmasterStacks,IF(_xlpm.PercentCheck=1,"",_xlpm.Percentage*Spec1MajorGrandmasterStacks)),IF(OR($G66=AA$1,AND(_xlpm.PercentCheck=0,$G66="All")),_xlfn.IFS(AND($I66="Flat",$J66=0),_xlpm.Flat,AND($I66="Percentage",$J66=0),_xlpm.Percentage,$J66="Derived",_xlpm.Derived,$J66="Boon Enhancement",_xlpm.BoonEnhancement,$J66="Stacking",_xlpm.Stacking),""))</f>
        <v/>
      </c>
    </row>
    <row r="67" spans="1:27" ht="14.25" customHeight="1">
      <c r="A67" s="566"/>
      <c r="B67" s="554"/>
      <c r="C67" s="194"/>
      <c r="D67" s="195"/>
      <c r="E67" s="195"/>
      <c r="F67" s="195"/>
      <c r="G67" s="195"/>
      <c r="H67" s="195"/>
      <c r="I67" s="195"/>
      <c r="J67" s="195"/>
      <c r="K67" s="195"/>
      <c r="L67" s="195"/>
      <c r="M67" s="195"/>
      <c r="N67" s="195"/>
      <c r="O67" s="196"/>
      <c r="P67" s="190" t="str" cm="1">
        <f t="array" ref="P67">_xlfn.LET(_xlpm.PercentCheck,IF(OR(P$1="Crit Chance",P$1="Crit Damage",P$1="Condition Duration"),1,0),_xlpm.Flat,$H67,_xlpm.Percentage,$H67*P$64,_xlpm.Derived,$H67*P$64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P$1,AND(_xlpm.PercentCheck=0,$G67="All")),_xlfn.IFS(AND($I67="Flat",$J67=0),_xlpm.Flat,AND($I67="Percentage",$J67=0),_xlpm.Percentage,$J67="Derived",_xlpm.Derived,$J67="Boon Enhancement",_xlpm.BoonEnhancement,$J67="Stacking",_xlpm.Stacking),""))</f>
        <v/>
      </c>
      <c r="Q67" s="190" t="str" cm="1">
        <f t="array" ref="Q67">_xlfn.LET(_xlpm.PercentCheck,IF(OR(Q$1="Crit Chance",Q$1="Crit Damage",Q$1="Condition Duration"),1,0),_xlpm.Flat,$H67,_xlpm.Percentage,$H67*Q$64,_xlpm.Derived,$H67*Q$64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Q$1,AND(_xlpm.PercentCheck=0,$G67="All")),_xlfn.IFS(AND($I67="Flat",$J67=0),_xlpm.Flat,AND($I67="Percentage",$J67=0),_xlpm.Percentage,$J67="Derived",_xlpm.Derived,$J67="Boon Enhancement",_xlpm.BoonEnhancement,$J67="Stacking",_xlpm.Stacking),""))</f>
        <v/>
      </c>
      <c r="R67" s="190" t="str" cm="1">
        <f t="array" ref="R67">_xlfn.LET(_xlpm.PercentCheck,IF(OR(R$1="Crit Chance",R$1="Crit Damage",R$1="Condition Duration"),1,0),_xlpm.Flat,$H67,_xlpm.Percentage,$H67*R$64,_xlpm.Derived,$H67*R$64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R$1,AND(_xlpm.PercentCheck=0,$G67="All")),_xlfn.IFS(AND($I67="Flat",$J67=0),_xlpm.Flat,AND($I67="Percentage",$J67=0),_xlpm.Percentage,$J67="Derived",_xlpm.Derived,$J67="Boon Enhancement",_xlpm.BoonEnhancement,$J67="Stacking",_xlpm.Stacking),""))</f>
        <v/>
      </c>
      <c r="S67" s="190" t="str" cm="1">
        <f t="array" ref="S67">_xlfn.LET(_xlpm.PercentCheck,IF(OR(S$1="Crit Chance",S$1="Crit Damage",S$1="Condition Duration"),1,0),_xlpm.Flat,$H67,_xlpm.Percentage,$H67*S$64,_xlpm.Derived,$H67*S$64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S$1,AND(_xlpm.PercentCheck=0,$G67="All")),_xlfn.IFS(AND($I67="Flat",$J67=0),_xlpm.Flat,AND($I67="Percentage",$J67=0),_xlpm.Percentage,$J67="Derived",_xlpm.Derived,$J67="Boon Enhancement",_xlpm.BoonEnhancement,$J67="Stacking",_xlpm.Stacking),""))</f>
        <v/>
      </c>
      <c r="T67" s="190" t="str" cm="1">
        <f t="array" ref="T67">_xlfn.LET(_xlpm.PercentCheck,IF(OR(T$1="Crit Chance",T$1="Crit Damage",T$1="Condition Duration"),1,0),_xlpm.Flat,$H67,_xlpm.Percentage,$H67*T$64,_xlpm.Derived,$H67*T$64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T$1,AND(_xlpm.PercentCheck=0,$G67="All")),_xlfn.IFS(AND($I67="Flat",$J67=0),_xlpm.Flat,AND($I67="Percentage",$J67=0),_xlpm.Percentage,$J67="Derived",_xlpm.Derived,$J67="Boon Enhancement",_xlpm.BoonEnhancement,$J67="Stacking",_xlpm.Stacking),""))</f>
        <v/>
      </c>
      <c r="U67" s="190" t="str" cm="1">
        <f t="array" ref="U67">_xlfn.LET(_xlpm.PercentCheck,IF(OR(U$1="Crit Chance",U$1="Crit Damage",U$1="Condition Duration"),1,0),_xlpm.Flat,$H67,_xlpm.Percentage,$H67*U$64,_xlpm.Derived,$H67*U$64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U$1,AND(_xlpm.PercentCheck=0,$G67="All")),_xlfn.IFS(AND($I67="Flat",$J67=0),_xlpm.Flat,AND($I67="Percentage",$J67=0),_xlpm.Percentage,$J67="Derived",_xlpm.Derived,$J67="Boon Enhancement",_xlpm.BoonEnhancement,$J67="Stacking",_xlpm.Stacking),""))</f>
        <v/>
      </c>
      <c r="V67" s="190" t="str" cm="1">
        <f t="array" ref="V67">_xlfn.LET(_xlpm.PercentCheck,IF(OR(V$1="Crit Chance",V$1="Crit Damage",V$1="Condition Duration"),1,0),_xlpm.Flat,$H67,_xlpm.Percentage,$H67*V$64,_xlpm.Derived,$H67*V$64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V$1,AND(_xlpm.PercentCheck=0,$G67="All")),_xlfn.IFS(AND($I67="Flat",$J67=0),_xlpm.Flat,AND($I67="Percentage",$J67=0),_xlpm.Percentage,$J67="Derived",_xlpm.Derived,$J67="Boon Enhancement",_xlpm.BoonEnhancement,$J67="Stacking",_xlpm.Stacking),""))</f>
        <v/>
      </c>
      <c r="W67" s="190" t="str" cm="1">
        <f t="array" ref="W67">_xlfn.LET(_xlpm.PercentCheck,IF(OR(W$1="Crit Chance",W$1="Crit Damage",W$1="Condition Duration"),1,0),_xlpm.Flat,$H67,_xlpm.Percentage,$H67*W$64,_xlpm.Derived,$H67*W$64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W$1,AND(_xlpm.PercentCheck=0,$G67="All")),_xlfn.IFS(AND($I67="Flat",$J67=0),_xlpm.Flat,AND($I67="Percentage",$J67=0),_xlpm.Percentage,$J67="Derived",_xlpm.Derived,$J67="Boon Enhancement",_xlpm.BoonEnhancement,$J67="Stacking",_xlpm.Stacking),""))</f>
        <v/>
      </c>
      <c r="X67" s="190" t="str" cm="1">
        <f t="array" ref="X67">_xlfn.LET(_xlpm.PercentCheck,IF(OR(X$1="Crit Chance",X$1="Crit Damage",X$1="Condition Duration"),1,0),_xlpm.Flat,$H67,_xlpm.Percentage,$H67*X$64,_xlpm.Derived,$H67*X$64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X$1,AND(_xlpm.PercentCheck=0,$G67="All")),_xlfn.IFS(AND($I67="Flat",$J67=0),_xlpm.Flat,AND($I67="Percentage",$J67=0),_xlpm.Percentage,$J67="Derived",_xlpm.Derived,$J67="Boon Enhancement",_xlpm.BoonEnhancement,$J67="Stacking",_xlpm.Stacking),""))</f>
        <v/>
      </c>
      <c r="Y67" s="190" t="str" cm="1">
        <f t="array" ref="Y67">_xlfn.LET(_xlpm.PercentCheck,IF(OR(Y$1="Crit Chance",Y$1="Crit Damage",Y$1="Condition Duration"),1,0),_xlpm.Flat,$H67,_xlpm.Percentage,$H67*Y$64,_xlpm.Derived,$H67*Y$64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Y$1,AND(_xlpm.PercentCheck=0,$G67="All")),_xlfn.IFS(AND($I67="Flat",$J67=0),_xlpm.Flat,AND($I67="Percentage",$J67=0),_xlpm.Percentage,$J67="Derived",_xlpm.Derived,$J67="Boon Enhancement",_xlpm.BoonEnhancement,$J67="Stacking",_xlpm.Stacking),""))</f>
        <v/>
      </c>
      <c r="Z67" s="190" t="str" cm="1">
        <f t="array" ref="Z67">_xlfn.LET(_xlpm.PercentCheck,IF(OR(Z$1="Crit Chance",Z$1="Crit Damage",Z$1="Condition Duration"),1,0),_xlpm.Flat,$H67,_xlpm.Percentage,$H67*Z$64,_xlpm.Derived,$H67*Z$64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Z$1,AND(_xlpm.PercentCheck=0,$G67="All")),_xlfn.IFS(AND($I67="Flat",$J67=0),_xlpm.Flat,AND($I67="Percentage",$J67=0),_xlpm.Percentage,$J67="Derived",_xlpm.Derived,$J67="Boon Enhancement",_xlpm.BoonEnhancement,$J67="Stacking",_xlpm.Stacking),""))</f>
        <v/>
      </c>
      <c r="AA67" s="190" t="str" cm="1">
        <f t="array" ref="AA67">_xlfn.LET(_xlpm.PercentCheck,IF(OR(AA$1="Crit Chance",AA$1="Crit Damage",AA$1="Condition Duration"),1,0),_xlpm.Flat,$H67,_xlpm.Percentage,$H67*AA$64,_xlpm.Derived,$H67*AA$64,_xlpm.BoonType,VLOOKUP($M67,BoonToggles,2,0),_xlpm.BoonEnhancement,IF(AND(ISLOGICAL(_xlpm.BoonType),_xlpm.BoonType=TRUE),IF($I67="Flat",$H67,_xlpm.Percentage),IF($I67="Flat",$H67*_xlpm.BoonType,_xlpm.Percentage*_xlpm.BoonType)),_xlpm.Stacking,IF($I67="Flat",$H67*Spec1MajorGrandmasterStacks,IF(_xlpm.PercentCheck=1,"",_xlpm.Percentage*Spec1MajorGrandmasterStacks)),IF(OR($G67=AA$1,AND(_xlpm.PercentCheck=0,$G67="All")),_xlfn.IFS(AND($I67="Flat",$J67=0),_xlpm.Flat,AND($I67="Percentage",$J67=0),_xlpm.Percentage,$J67="Derived",_xlpm.Derived,$J67="Boon Enhancement",_xlpm.BoonEnhancement,$J67="Stacking",_xlpm.Stacking),""))</f>
        <v/>
      </c>
    </row>
    <row r="68" spans="1:27" ht="14.25" customHeight="1">
      <c r="A68" s="566"/>
      <c r="B68" s="554"/>
      <c r="C68" s="194"/>
      <c r="D68" s="195"/>
      <c r="E68" s="195"/>
      <c r="F68" s="195"/>
      <c r="G68" s="195"/>
      <c r="H68" s="195"/>
      <c r="I68" s="195"/>
      <c r="J68" s="195"/>
      <c r="K68" s="195"/>
      <c r="L68" s="195"/>
      <c r="M68" s="195"/>
      <c r="N68" s="195"/>
      <c r="O68" s="196"/>
      <c r="P68" s="190" t="str" cm="1">
        <f t="array" ref="P68">_xlfn.LET(_xlpm.PercentCheck,IF(OR(P$1="Crit Chance",P$1="Crit Damage",P$1="Condition Duration"),1,0),_xlpm.Flat,$H68,_xlpm.Percentage,$H68*P$64,_xlpm.Derived,$H68*P$64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P$1,AND(_xlpm.PercentCheck=0,$G68="All")),_xlfn.IFS(AND($I68="Flat",$J68=0),_xlpm.Flat,AND($I68="Percentage",$J68=0),_xlpm.Percentage,$J68="Derived",_xlpm.Derived,$J68="Boon Enhancement",_xlpm.BoonEnhancement,$J68="Stacking",_xlpm.Stacking),""))</f>
        <v/>
      </c>
      <c r="Q68" s="190" t="str" cm="1">
        <f t="array" ref="Q68">_xlfn.LET(_xlpm.PercentCheck,IF(OR(Q$1="Crit Chance",Q$1="Crit Damage",Q$1="Condition Duration"),1,0),_xlpm.Flat,$H68,_xlpm.Percentage,$H68*Q$64,_xlpm.Derived,$H68*Q$64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Q$1,AND(_xlpm.PercentCheck=0,$G68="All")),_xlfn.IFS(AND($I68="Flat",$J68=0),_xlpm.Flat,AND($I68="Percentage",$J68=0),_xlpm.Percentage,$J68="Derived",_xlpm.Derived,$J68="Boon Enhancement",_xlpm.BoonEnhancement,$J68="Stacking",_xlpm.Stacking),""))</f>
        <v/>
      </c>
      <c r="R68" s="190" t="str" cm="1">
        <f t="array" ref="R68">_xlfn.LET(_xlpm.PercentCheck,IF(OR(R$1="Crit Chance",R$1="Crit Damage",R$1="Condition Duration"),1,0),_xlpm.Flat,$H68,_xlpm.Percentage,$H68*R$64,_xlpm.Derived,$H68*R$64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R$1,AND(_xlpm.PercentCheck=0,$G68="All")),_xlfn.IFS(AND($I68="Flat",$J68=0),_xlpm.Flat,AND($I68="Percentage",$J68=0),_xlpm.Percentage,$J68="Derived",_xlpm.Derived,$J68="Boon Enhancement",_xlpm.BoonEnhancement,$J68="Stacking",_xlpm.Stacking),""))</f>
        <v/>
      </c>
      <c r="S68" s="190" t="str" cm="1">
        <f t="array" ref="S68">_xlfn.LET(_xlpm.PercentCheck,IF(OR(S$1="Crit Chance",S$1="Crit Damage",S$1="Condition Duration"),1,0),_xlpm.Flat,$H68,_xlpm.Percentage,$H68*S$64,_xlpm.Derived,$H68*S$64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S$1,AND(_xlpm.PercentCheck=0,$G68="All")),_xlfn.IFS(AND($I68="Flat",$J68=0),_xlpm.Flat,AND($I68="Percentage",$J68=0),_xlpm.Percentage,$J68="Derived",_xlpm.Derived,$J68="Boon Enhancement",_xlpm.BoonEnhancement,$J68="Stacking",_xlpm.Stacking),""))</f>
        <v/>
      </c>
      <c r="T68" s="190" t="str" cm="1">
        <f t="array" ref="T68">_xlfn.LET(_xlpm.PercentCheck,IF(OR(T$1="Crit Chance",T$1="Crit Damage",T$1="Condition Duration"),1,0),_xlpm.Flat,$H68,_xlpm.Percentage,$H68*T$64,_xlpm.Derived,$H68*T$64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T$1,AND(_xlpm.PercentCheck=0,$G68="All")),_xlfn.IFS(AND($I68="Flat",$J68=0),_xlpm.Flat,AND($I68="Percentage",$J68=0),_xlpm.Percentage,$J68="Derived",_xlpm.Derived,$J68="Boon Enhancement",_xlpm.BoonEnhancement,$J68="Stacking",_xlpm.Stacking),""))</f>
        <v/>
      </c>
      <c r="U68" s="190" t="str" cm="1">
        <f t="array" ref="U68">_xlfn.LET(_xlpm.PercentCheck,IF(OR(U$1="Crit Chance",U$1="Crit Damage",U$1="Condition Duration"),1,0),_xlpm.Flat,$H68,_xlpm.Percentage,$H68*U$64,_xlpm.Derived,$H68*U$64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U$1,AND(_xlpm.PercentCheck=0,$G68="All")),_xlfn.IFS(AND($I68="Flat",$J68=0),_xlpm.Flat,AND($I68="Percentage",$J68=0),_xlpm.Percentage,$J68="Derived",_xlpm.Derived,$J68="Boon Enhancement",_xlpm.BoonEnhancement,$J68="Stacking",_xlpm.Stacking),""))</f>
        <v/>
      </c>
      <c r="V68" s="190" t="str" cm="1">
        <f t="array" ref="V68">_xlfn.LET(_xlpm.PercentCheck,IF(OR(V$1="Crit Chance",V$1="Crit Damage",V$1="Condition Duration"),1,0),_xlpm.Flat,$H68,_xlpm.Percentage,$H68*V$64,_xlpm.Derived,$H68*V$64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V$1,AND(_xlpm.PercentCheck=0,$G68="All")),_xlfn.IFS(AND($I68="Flat",$J68=0),_xlpm.Flat,AND($I68="Percentage",$J68=0),_xlpm.Percentage,$J68="Derived",_xlpm.Derived,$J68="Boon Enhancement",_xlpm.BoonEnhancement,$J68="Stacking",_xlpm.Stacking),""))</f>
        <v/>
      </c>
      <c r="W68" s="190" t="str" cm="1">
        <f t="array" ref="W68">_xlfn.LET(_xlpm.PercentCheck,IF(OR(W$1="Crit Chance",W$1="Crit Damage",W$1="Condition Duration"),1,0),_xlpm.Flat,$H68,_xlpm.Percentage,$H68*W$64,_xlpm.Derived,$H68*W$64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W$1,AND(_xlpm.PercentCheck=0,$G68="All")),_xlfn.IFS(AND($I68="Flat",$J68=0),_xlpm.Flat,AND($I68="Percentage",$J68=0),_xlpm.Percentage,$J68="Derived",_xlpm.Derived,$J68="Boon Enhancement",_xlpm.BoonEnhancement,$J68="Stacking",_xlpm.Stacking),""))</f>
        <v/>
      </c>
      <c r="X68" s="190" t="str" cm="1">
        <f t="array" ref="X68">_xlfn.LET(_xlpm.PercentCheck,IF(OR(X$1="Crit Chance",X$1="Crit Damage",X$1="Condition Duration"),1,0),_xlpm.Flat,$H68,_xlpm.Percentage,$H68*X$64,_xlpm.Derived,$H68*X$64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X$1,AND(_xlpm.PercentCheck=0,$G68="All")),_xlfn.IFS(AND($I68="Flat",$J68=0),_xlpm.Flat,AND($I68="Percentage",$J68=0),_xlpm.Percentage,$J68="Derived",_xlpm.Derived,$J68="Boon Enhancement",_xlpm.BoonEnhancement,$J68="Stacking",_xlpm.Stacking),""))</f>
        <v/>
      </c>
      <c r="Y68" s="190" t="str" cm="1">
        <f t="array" ref="Y68">_xlfn.LET(_xlpm.PercentCheck,IF(OR(Y$1="Crit Chance",Y$1="Crit Damage",Y$1="Condition Duration"),1,0),_xlpm.Flat,$H68,_xlpm.Percentage,$H68*Y$64,_xlpm.Derived,$H68*Y$64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Y$1,AND(_xlpm.PercentCheck=0,$G68="All")),_xlfn.IFS(AND($I68="Flat",$J68=0),_xlpm.Flat,AND($I68="Percentage",$J68=0),_xlpm.Percentage,$J68="Derived",_xlpm.Derived,$J68="Boon Enhancement",_xlpm.BoonEnhancement,$J68="Stacking",_xlpm.Stacking),""))</f>
        <v/>
      </c>
      <c r="Z68" s="190" t="str" cm="1">
        <f t="array" ref="Z68">_xlfn.LET(_xlpm.PercentCheck,IF(OR(Z$1="Crit Chance",Z$1="Crit Damage",Z$1="Condition Duration"),1,0),_xlpm.Flat,$H68,_xlpm.Percentage,$H68*Z$64,_xlpm.Derived,$H68*Z$64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Z$1,AND(_xlpm.PercentCheck=0,$G68="All")),_xlfn.IFS(AND($I68="Flat",$J68=0),_xlpm.Flat,AND($I68="Percentage",$J68=0),_xlpm.Percentage,$J68="Derived",_xlpm.Derived,$J68="Boon Enhancement",_xlpm.BoonEnhancement,$J68="Stacking",_xlpm.Stacking),""))</f>
        <v/>
      </c>
      <c r="AA68" s="190" t="str" cm="1">
        <f t="array" ref="AA68">_xlfn.LET(_xlpm.PercentCheck,IF(OR(AA$1="Crit Chance",AA$1="Crit Damage",AA$1="Condition Duration"),1,0),_xlpm.Flat,$H68,_xlpm.Percentage,$H68*AA$64,_xlpm.Derived,$H68*AA$64,_xlpm.BoonType,VLOOKUP($M68,BoonToggles,2,0),_xlpm.BoonEnhancement,IF(AND(ISLOGICAL(_xlpm.BoonType),_xlpm.BoonType=TRUE),IF($I68="Flat",$H68,_xlpm.Percentage),IF($I68="Flat",$H68*_xlpm.BoonType,_xlpm.Percentage*_xlpm.BoonType)),_xlpm.Stacking,IF($I68="Flat",$H68*Spec1MajorGrandmasterStacks,IF(_xlpm.PercentCheck=1,"",_xlpm.Percentage*Spec1MajorGrandmasterStacks)),IF(OR($G68=AA$1,AND(_xlpm.PercentCheck=0,$G68="All")),_xlfn.IFS(AND($I68="Flat",$J68=0),_xlpm.Flat,AND($I68="Percentage",$J68=0),_xlpm.Percentage,$J68="Derived",_xlpm.Derived,$J68="Boon Enhancement",_xlpm.BoonEnhancement,$J68="Stacking",_xlpm.Stacking),""))</f>
        <v/>
      </c>
    </row>
    <row r="69" spans="1:27" ht="14.25" customHeight="1">
      <c r="A69" s="566"/>
      <c r="B69" s="555"/>
      <c r="C69" s="194"/>
      <c r="D69" s="195"/>
      <c r="E69" s="195"/>
      <c r="F69" s="195"/>
      <c r="G69" s="195"/>
      <c r="H69" s="195"/>
      <c r="I69" s="195"/>
      <c r="J69" s="195"/>
      <c r="K69" s="195"/>
      <c r="L69" s="195"/>
      <c r="M69" s="195"/>
      <c r="N69" s="195"/>
      <c r="O69" s="196"/>
      <c r="P69" s="190" t="str" cm="1">
        <f t="array" ref="P69">_xlfn.LET(_xlpm.PercentCheck,IF(OR(P$1="Crit Chance",P$1="Crit Damage",P$1="Condition Duration"),1,0),_xlpm.Flat,$H69,_xlpm.Percentage,$H69*P$64,_xlpm.Derived,$H69*P$64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P$1,AND(_xlpm.PercentCheck=0,$G69="All")),_xlfn.IFS(AND($I69="Flat",$J69=0),_xlpm.Flat,AND($I69="Percentage",$J69=0),_xlpm.Percentage,$J69="Derived",_xlpm.Derived,$J69="Boon Enhancement",_xlpm.BoonEnhancement,$J69="Stacking",_xlpm.Stacking),""))</f>
        <v/>
      </c>
      <c r="Q69" s="190" t="str" cm="1">
        <f t="array" ref="Q69">_xlfn.LET(_xlpm.PercentCheck,IF(OR(Q$1="Crit Chance",Q$1="Crit Damage",Q$1="Condition Duration"),1,0),_xlpm.Flat,$H69,_xlpm.Percentage,$H69*Q$64,_xlpm.Derived,$H69*Q$64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Q$1,AND(_xlpm.PercentCheck=0,$G69="All")),_xlfn.IFS(AND($I69="Flat",$J69=0),_xlpm.Flat,AND($I69="Percentage",$J69=0),_xlpm.Percentage,$J69="Derived",_xlpm.Derived,$J69="Boon Enhancement",_xlpm.BoonEnhancement,$J69="Stacking",_xlpm.Stacking),""))</f>
        <v/>
      </c>
      <c r="R69" s="190" t="str" cm="1">
        <f t="array" ref="R69">_xlfn.LET(_xlpm.PercentCheck,IF(OR(R$1="Crit Chance",R$1="Crit Damage",R$1="Condition Duration"),1,0),_xlpm.Flat,$H69,_xlpm.Percentage,$H69*R$64,_xlpm.Derived,$H69*R$64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R$1,AND(_xlpm.PercentCheck=0,$G69="All")),_xlfn.IFS(AND($I69="Flat",$J69=0),_xlpm.Flat,AND($I69="Percentage",$J69=0),_xlpm.Percentage,$J69="Derived",_xlpm.Derived,$J69="Boon Enhancement",_xlpm.BoonEnhancement,$J69="Stacking",_xlpm.Stacking),""))</f>
        <v/>
      </c>
      <c r="S69" s="190" t="str" cm="1">
        <f t="array" ref="S69">_xlfn.LET(_xlpm.PercentCheck,IF(OR(S$1="Crit Chance",S$1="Crit Damage",S$1="Condition Duration"),1,0),_xlpm.Flat,$H69,_xlpm.Percentage,$H69*S$64,_xlpm.Derived,$H69*S$64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S$1,AND(_xlpm.PercentCheck=0,$G69="All")),_xlfn.IFS(AND($I69="Flat",$J69=0),_xlpm.Flat,AND($I69="Percentage",$J69=0),_xlpm.Percentage,$J69="Derived",_xlpm.Derived,$J69="Boon Enhancement",_xlpm.BoonEnhancement,$J69="Stacking",_xlpm.Stacking),""))</f>
        <v/>
      </c>
      <c r="T69" s="190" t="str" cm="1">
        <f t="array" ref="T69">_xlfn.LET(_xlpm.PercentCheck,IF(OR(T$1="Crit Chance",T$1="Crit Damage",T$1="Condition Duration"),1,0),_xlpm.Flat,$H69,_xlpm.Percentage,$H69*T$64,_xlpm.Derived,$H69*T$64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T$1,AND(_xlpm.PercentCheck=0,$G69="All")),_xlfn.IFS(AND($I69="Flat",$J69=0),_xlpm.Flat,AND($I69="Percentage",$J69=0),_xlpm.Percentage,$J69="Derived",_xlpm.Derived,$J69="Boon Enhancement",_xlpm.BoonEnhancement,$J69="Stacking",_xlpm.Stacking),""))</f>
        <v/>
      </c>
      <c r="U69" s="190" t="str" cm="1">
        <f t="array" ref="U69">_xlfn.LET(_xlpm.PercentCheck,IF(OR(U$1="Crit Chance",U$1="Crit Damage",U$1="Condition Duration"),1,0),_xlpm.Flat,$H69,_xlpm.Percentage,$H69*U$64,_xlpm.Derived,$H69*U$64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U$1,AND(_xlpm.PercentCheck=0,$G69="All")),_xlfn.IFS(AND($I69="Flat",$J69=0),_xlpm.Flat,AND($I69="Percentage",$J69=0),_xlpm.Percentage,$J69="Derived",_xlpm.Derived,$J69="Boon Enhancement",_xlpm.BoonEnhancement,$J69="Stacking",_xlpm.Stacking),""))</f>
        <v/>
      </c>
      <c r="V69" s="190" t="str" cm="1">
        <f t="array" ref="V69">_xlfn.LET(_xlpm.PercentCheck,IF(OR(V$1="Crit Chance",V$1="Crit Damage",V$1="Condition Duration"),1,0),_xlpm.Flat,$H69,_xlpm.Percentage,$H69*V$64,_xlpm.Derived,$H69*V$64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V$1,AND(_xlpm.PercentCheck=0,$G69="All")),_xlfn.IFS(AND($I69="Flat",$J69=0),_xlpm.Flat,AND($I69="Percentage",$J69=0),_xlpm.Percentage,$J69="Derived",_xlpm.Derived,$J69="Boon Enhancement",_xlpm.BoonEnhancement,$J69="Stacking",_xlpm.Stacking),""))</f>
        <v/>
      </c>
      <c r="W69" s="190" t="str" cm="1">
        <f t="array" ref="W69">_xlfn.LET(_xlpm.PercentCheck,IF(OR(W$1="Crit Chance",W$1="Crit Damage",W$1="Condition Duration"),1,0),_xlpm.Flat,$H69,_xlpm.Percentage,$H69*W$64,_xlpm.Derived,$H69*W$64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W$1,AND(_xlpm.PercentCheck=0,$G69="All")),_xlfn.IFS(AND($I69="Flat",$J69=0),_xlpm.Flat,AND($I69="Percentage",$J69=0),_xlpm.Percentage,$J69="Derived",_xlpm.Derived,$J69="Boon Enhancement",_xlpm.BoonEnhancement,$J69="Stacking",_xlpm.Stacking),""))</f>
        <v/>
      </c>
      <c r="X69" s="190" t="str" cm="1">
        <f t="array" ref="X69">_xlfn.LET(_xlpm.PercentCheck,IF(OR(X$1="Crit Chance",X$1="Crit Damage",X$1="Condition Duration"),1,0),_xlpm.Flat,$H69,_xlpm.Percentage,$H69*X$64,_xlpm.Derived,$H69*X$64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X$1,AND(_xlpm.PercentCheck=0,$G69="All")),_xlfn.IFS(AND($I69="Flat",$J69=0),_xlpm.Flat,AND($I69="Percentage",$J69=0),_xlpm.Percentage,$J69="Derived",_xlpm.Derived,$J69="Boon Enhancement",_xlpm.BoonEnhancement,$J69="Stacking",_xlpm.Stacking),""))</f>
        <v/>
      </c>
      <c r="Y69" s="190" t="str" cm="1">
        <f t="array" ref="Y69">_xlfn.LET(_xlpm.PercentCheck,IF(OR(Y$1="Crit Chance",Y$1="Crit Damage",Y$1="Condition Duration"),1,0),_xlpm.Flat,$H69,_xlpm.Percentage,$H69*Y$64,_xlpm.Derived,$H69*Y$64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Y$1,AND(_xlpm.PercentCheck=0,$G69="All")),_xlfn.IFS(AND($I69="Flat",$J69=0),_xlpm.Flat,AND($I69="Percentage",$J69=0),_xlpm.Percentage,$J69="Derived",_xlpm.Derived,$J69="Boon Enhancement",_xlpm.BoonEnhancement,$J69="Stacking",_xlpm.Stacking),""))</f>
        <v/>
      </c>
      <c r="Z69" s="190" t="str" cm="1">
        <f t="array" ref="Z69">_xlfn.LET(_xlpm.PercentCheck,IF(OR(Z$1="Crit Chance",Z$1="Crit Damage",Z$1="Condition Duration"),1,0),_xlpm.Flat,$H69,_xlpm.Percentage,$H69*Z$64,_xlpm.Derived,$H69*Z$64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Z$1,AND(_xlpm.PercentCheck=0,$G69="All")),_xlfn.IFS(AND($I69="Flat",$J69=0),_xlpm.Flat,AND($I69="Percentage",$J69=0),_xlpm.Percentage,$J69="Derived",_xlpm.Derived,$J69="Boon Enhancement",_xlpm.BoonEnhancement,$J69="Stacking",_xlpm.Stacking),""))</f>
        <v/>
      </c>
      <c r="AA69" s="190" t="str" cm="1">
        <f t="array" ref="AA69">_xlfn.LET(_xlpm.PercentCheck,IF(OR(AA$1="Crit Chance",AA$1="Crit Damage",AA$1="Condition Duration"),1,0),_xlpm.Flat,$H69,_xlpm.Percentage,$H69*AA$64,_xlpm.Derived,$H69*AA$64,_xlpm.BoonType,VLOOKUP($M69,BoonToggles,2,0),_xlpm.BoonEnhancement,IF(AND(ISLOGICAL(_xlpm.BoonType),_xlpm.BoonType=TRUE),IF($I69="Flat",$H69,_xlpm.Percentage),IF($I69="Flat",$H69*_xlpm.BoonType,_xlpm.Percentage*_xlpm.BoonType)),_xlpm.Stacking,IF($I69="Flat",$H69*Spec1MajorGrandmasterStacks,IF(_xlpm.PercentCheck=1,"",_xlpm.Percentage*Spec1MajorGrandmasterStacks)),IF(OR($G69=AA$1,AND(_xlpm.PercentCheck=0,$G69="All")),_xlfn.IFS(AND($I69="Flat",$J69=0),_xlpm.Flat,AND($I69="Percentage",$J69=0),_xlpm.Percentage,$J69="Derived",_xlpm.Derived,$J69="Boon Enhancement",_xlpm.BoonEnhancement,$J69="Stacking",_xlpm.Stacking),""))</f>
        <v/>
      </c>
    </row>
    <row r="70" spans="1:27" s="171" customFormat="1" ht="14.25" customHeight="1">
      <c r="A70" s="566"/>
      <c r="B70" s="559" t="s">
        <v>3500</v>
      </c>
      <c r="C70" s="559"/>
      <c r="D70" s="559"/>
      <c r="E70" s="559"/>
      <c r="F70" s="559"/>
      <c r="G70" s="559"/>
      <c r="H70" s="559"/>
      <c r="I70" s="559"/>
      <c r="J70" s="559"/>
      <c r="K70" s="559"/>
      <c r="L70" s="559"/>
      <c r="M70" s="559"/>
      <c r="N70" s="559"/>
      <c r="O70" s="560"/>
      <c r="P70" s="197">
        <f t="shared" ref="P70:AA70" si="27">SUM(P$65:P$69)</f>
        <v>0</v>
      </c>
      <c r="Q70" s="198">
        <f t="shared" si="27"/>
        <v>0</v>
      </c>
      <c r="R70" s="198">
        <f t="shared" si="27"/>
        <v>0</v>
      </c>
      <c r="S70" s="198">
        <f t="shared" si="27"/>
        <v>0</v>
      </c>
      <c r="T70" s="198">
        <f t="shared" si="27"/>
        <v>0</v>
      </c>
      <c r="U70" s="198">
        <f t="shared" si="27"/>
        <v>0</v>
      </c>
      <c r="V70" s="198">
        <f t="shared" si="27"/>
        <v>0</v>
      </c>
      <c r="W70" s="198">
        <f t="shared" si="27"/>
        <v>0</v>
      </c>
      <c r="X70" s="198">
        <f t="shared" si="27"/>
        <v>0</v>
      </c>
      <c r="Y70" s="199">
        <f t="shared" si="27"/>
        <v>0</v>
      </c>
      <c r="Z70" s="199">
        <f t="shared" si="27"/>
        <v>0</v>
      </c>
      <c r="AA70" s="199">
        <f t="shared" si="27"/>
        <v>0</v>
      </c>
    </row>
    <row r="71" spans="1:27" s="171" customFormat="1" ht="14.25" customHeight="1">
      <c r="A71" s="566"/>
      <c r="B71" s="559" t="s">
        <v>3501</v>
      </c>
      <c r="C71" s="559"/>
      <c r="D71" s="559"/>
      <c r="E71" s="559"/>
      <c r="F71" s="559"/>
      <c r="G71" s="559"/>
      <c r="H71" s="559"/>
      <c r="I71" s="559"/>
      <c r="J71" s="559"/>
      <c r="K71" s="559"/>
      <c r="L71" s="559"/>
      <c r="M71" s="559"/>
      <c r="N71" s="559"/>
      <c r="O71" s="560"/>
      <c r="P71" s="197">
        <f>SUM(P$64,SUMIFS(P$65:P$69,$I$65:$I$69,"Percentage",$J$65:$J$69,"&lt;&gt;Derived"))</f>
        <v>1657</v>
      </c>
      <c r="Q71" s="197">
        <f t="shared" ref="Q71:X71" si="28">SUM(Q$64,SUMIFS(Q$65:Q$69,$I$65:$I$69,"Percentage",$J$65:$J$69,"&lt;&gt;Derived"))</f>
        <v>1594</v>
      </c>
      <c r="R71" s="197">
        <f t="shared" si="28"/>
        <v>1221</v>
      </c>
      <c r="S71" s="197">
        <f t="shared" si="28"/>
        <v>1156</v>
      </c>
      <c r="T71" s="197">
        <f t="shared" si="28"/>
        <v>10</v>
      </c>
      <c r="U71" s="197">
        <f t="shared" si="28"/>
        <v>249.6</v>
      </c>
      <c r="V71" s="197">
        <f t="shared" si="28"/>
        <v>260</v>
      </c>
      <c r="W71" s="197">
        <f t="shared" si="28"/>
        <v>248</v>
      </c>
      <c r="X71" s="197">
        <f t="shared" si="28"/>
        <v>47</v>
      </c>
      <c r="Y71" s="480"/>
      <c r="Z71" s="480"/>
      <c r="AA71" s="480"/>
    </row>
    <row r="72" spans="1:27" ht="14.25" customHeight="1">
      <c r="A72" s="566"/>
      <c r="B72" s="558" t="s">
        <v>98</v>
      </c>
      <c r="C72" s="206" t="str" cm="1">
        <f t="array" ref="C72">IF(OR(Spec2MinorGrandmasterCondition="(Select)",Spec2MinorGrandmasterCondition=""),_xlfn._xlws.FILTER(TraitStats,(TraitStatsTable[Name]=Spec2MinorGrandmaster)*(TraitStatsTable[Condition]=""),"No stat bonus"),_xlfn._xlws.FILTER(TraitStats,(TraitStatsTable[Name]=Spec2MinorGrandmaster)*((TraitStatsTable[Condition]=Spec2MinorGrandmasterCondition)+(TraitStatsTable[Condition]="")),"No stat bonus"))</f>
        <v>No stat bonus</v>
      </c>
      <c r="D72" s="195"/>
      <c r="E72" s="195"/>
      <c r="F72" s="195"/>
      <c r="G72" s="195"/>
      <c r="H72" s="195"/>
      <c r="I72" s="195"/>
      <c r="J72" s="195"/>
      <c r="K72" s="195"/>
      <c r="L72" s="195"/>
      <c r="M72" s="195"/>
      <c r="N72" s="195"/>
      <c r="O72" s="196"/>
      <c r="P72" s="190" t="str" cm="1">
        <f t="array" ref="P72">_xlfn.LET(_xlpm.PercentCheck,IF(OR(P$1="Crit Chance",P$1="Crit Damage",P$1="Condition Duration"),1,0),_xlpm.Flat,$H72,_xlpm.Percentage,$H72*P$71,_xlpm.Derived,$H72*P$71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P$1,AND(_xlpm.PercentCheck=0,$G72="All")),_xlfn.IFS(AND($I72="Flat",$J72=0),_xlpm.Flat,AND($I72="Percentage",$J72=0),_xlpm.Percentage,$J72="Derived",_xlpm.Derived,$J72="Boon Enhancement",_xlpm.BoonEnhancement,$J72="Stacking",_xlpm.Stacking),""))</f>
        <v/>
      </c>
      <c r="Q72" s="190" t="str" cm="1">
        <f t="array" ref="Q72">_xlfn.LET(_xlpm.PercentCheck,IF(OR(Q$1="Crit Chance",Q$1="Crit Damage",Q$1="Condition Duration"),1,0),_xlpm.Flat,$H72,_xlpm.Percentage,$H72*Q$71,_xlpm.Derived,$H72*Q$71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Q$1,AND(_xlpm.PercentCheck=0,$G72="All")),_xlfn.IFS(AND($I72="Flat",$J72=0),_xlpm.Flat,AND($I72="Percentage",$J72=0),_xlpm.Percentage,$J72="Derived",_xlpm.Derived,$J72="Boon Enhancement",_xlpm.BoonEnhancement,$J72="Stacking",_xlpm.Stacking),""))</f>
        <v/>
      </c>
      <c r="R72" s="190" t="str" cm="1">
        <f t="array" ref="R72">_xlfn.LET(_xlpm.PercentCheck,IF(OR(R$1="Crit Chance",R$1="Crit Damage",R$1="Condition Duration"),1,0),_xlpm.Flat,$H72,_xlpm.Percentage,$H72*R$71,_xlpm.Derived,$H72*R$71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R$1,AND(_xlpm.PercentCheck=0,$G72="All")),_xlfn.IFS(AND($I72="Flat",$J72=0),_xlpm.Flat,AND($I72="Percentage",$J72=0),_xlpm.Percentage,$J72="Derived",_xlpm.Derived,$J72="Boon Enhancement",_xlpm.BoonEnhancement,$J72="Stacking",_xlpm.Stacking),""))</f>
        <v/>
      </c>
      <c r="S72" s="190" t="str" cm="1">
        <f t="array" ref="S72">_xlfn.LET(_xlpm.PercentCheck,IF(OR(S$1="Crit Chance",S$1="Crit Damage",S$1="Condition Duration"),1,0),_xlpm.Flat,$H72,_xlpm.Percentage,$H72*S$71,_xlpm.Derived,$H72*S$71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S$1,AND(_xlpm.PercentCheck=0,$G72="All")),_xlfn.IFS(AND($I72="Flat",$J72=0),_xlpm.Flat,AND($I72="Percentage",$J72=0),_xlpm.Percentage,$J72="Derived",_xlpm.Derived,$J72="Boon Enhancement",_xlpm.BoonEnhancement,$J72="Stacking",_xlpm.Stacking),""))</f>
        <v/>
      </c>
      <c r="T72" s="190" t="str" cm="1">
        <f t="array" ref="T72">_xlfn.LET(_xlpm.PercentCheck,IF(OR(T$1="Crit Chance",T$1="Crit Damage",T$1="Condition Duration"),1,0),_xlpm.Flat,$H72,_xlpm.Percentage,$H72*T$71,_xlpm.Derived,$H72*T$71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T$1,AND(_xlpm.PercentCheck=0,$G72="All")),_xlfn.IFS(AND($I72="Flat",$J72=0),_xlpm.Flat,AND($I72="Percentage",$J72=0),_xlpm.Percentage,$J72="Derived",_xlpm.Derived,$J72="Boon Enhancement",_xlpm.BoonEnhancement,$J72="Stacking",_xlpm.Stacking),""))</f>
        <v/>
      </c>
      <c r="U72" s="190" t="str" cm="1">
        <f t="array" ref="U72">_xlfn.LET(_xlpm.PercentCheck,IF(OR(U$1="Crit Chance",U$1="Crit Damage",U$1="Condition Duration"),1,0),_xlpm.Flat,$H72,_xlpm.Percentage,$H72*U$71,_xlpm.Derived,$H72*U$71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U$1,AND(_xlpm.PercentCheck=0,$G72="All")),_xlfn.IFS(AND($I72="Flat",$J72=0),_xlpm.Flat,AND($I72="Percentage",$J72=0),_xlpm.Percentage,$J72="Derived",_xlpm.Derived,$J72="Boon Enhancement",_xlpm.BoonEnhancement,$J72="Stacking",_xlpm.Stacking),""))</f>
        <v/>
      </c>
      <c r="V72" s="190" t="str" cm="1">
        <f t="array" ref="V72">_xlfn.LET(_xlpm.PercentCheck,IF(OR(V$1="Crit Chance",V$1="Crit Damage",V$1="Condition Duration"),1,0),_xlpm.Flat,$H72,_xlpm.Percentage,$H72*V$71,_xlpm.Derived,$H72*V$71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V$1,AND(_xlpm.PercentCheck=0,$G72="All")),_xlfn.IFS(AND($I72="Flat",$J72=0),_xlpm.Flat,AND($I72="Percentage",$J72=0),_xlpm.Percentage,$J72="Derived",_xlpm.Derived,$J72="Boon Enhancement",_xlpm.BoonEnhancement,$J72="Stacking",_xlpm.Stacking),""))</f>
        <v/>
      </c>
      <c r="W72" s="190" t="str" cm="1">
        <f t="array" ref="W72">_xlfn.LET(_xlpm.PercentCheck,IF(OR(W$1="Crit Chance",W$1="Crit Damage",W$1="Condition Duration"),1,0),_xlpm.Flat,$H72,_xlpm.Percentage,$H72*W$71,_xlpm.Derived,$H72*W$71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W$1,AND(_xlpm.PercentCheck=0,$G72="All")),_xlfn.IFS(AND($I72="Flat",$J72=0),_xlpm.Flat,AND($I72="Percentage",$J72=0),_xlpm.Percentage,$J72="Derived",_xlpm.Derived,$J72="Boon Enhancement",_xlpm.BoonEnhancement,$J72="Stacking",_xlpm.Stacking),""))</f>
        <v/>
      </c>
      <c r="X72" s="190" t="str" cm="1">
        <f t="array" ref="X72">_xlfn.LET(_xlpm.PercentCheck,IF(OR(X$1="Crit Chance",X$1="Crit Damage",X$1="Condition Duration"),1,0),_xlpm.Flat,$H72,_xlpm.Percentage,$H72*X$71,_xlpm.Derived,$H72*X$71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X$1,AND(_xlpm.PercentCheck=0,$G72="All")),_xlfn.IFS(AND($I72="Flat",$J72=0),_xlpm.Flat,AND($I72="Percentage",$J72=0),_xlpm.Percentage,$J72="Derived",_xlpm.Derived,$J72="Boon Enhancement",_xlpm.BoonEnhancement,$J72="Stacking",_xlpm.Stacking),""))</f>
        <v/>
      </c>
      <c r="Y72" s="190" t="str" cm="1">
        <f t="array" ref="Y72">_xlfn.LET(_xlpm.PercentCheck,IF(OR(Y$1="Crit Chance",Y$1="Crit Damage",Y$1="Condition Duration"),1,0),_xlpm.Flat,$H72,_xlpm.Percentage,$H72*Y$71,_xlpm.Derived,$H72*Y$71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Y$1,AND(_xlpm.PercentCheck=0,$G72="All")),_xlfn.IFS(AND($I72="Flat",$J72=0),_xlpm.Flat,AND($I72="Percentage",$J72=0),_xlpm.Percentage,$J72="Derived",_xlpm.Derived,$J72="Boon Enhancement",_xlpm.BoonEnhancement,$J72="Stacking",_xlpm.Stacking),""))</f>
        <v/>
      </c>
      <c r="Z72" s="190" t="str" cm="1">
        <f t="array" ref="Z72">_xlfn.LET(_xlpm.PercentCheck,IF(OR(Z$1="Crit Chance",Z$1="Crit Damage",Z$1="Condition Duration"),1,0),_xlpm.Flat,$H72,_xlpm.Percentage,$H72*Z$71,_xlpm.Derived,$H72*Z$71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Z$1,AND(_xlpm.PercentCheck=0,$G72="All")),_xlfn.IFS(AND($I72="Flat",$J72=0),_xlpm.Flat,AND($I72="Percentage",$J72=0),_xlpm.Percentage,$J72="Derived",_xlpm.Derived,$J72="Boon Enhancement",_xlpm.BoonEnhancement,$J72="Stacking",_xlpm.Stacking),""))</f>
        <v/>
      </c>
      <c r="AA72" s="190" t="str" cm="1">
        <f t="array" ref="AA72">_xlfn.LET(_xlpm.PercentCheck,IF(OR(AA$1="Crit Chance",AA$1="Crit Damage",AA$1="Condition Duration"),1,0),_xlpm.Flat,$H72,_xlpm.Percentage,$H72*AA$71,_xlpm.Derived,$H72*AA$71,_xlpm.BoonType,VLOOKUP($M72,BoonToggles,2,0),_xlpm.BoonEnhancement,IF(AND(ISLOGICAL(_xlpm.BoonType),_xlpm.BoonType=TRUE),IF($I72="Flat",$H72,_xlpm.Percentage),IF($I72="Flat",$H72*_xlpm.BoonType,_xlpm.Percentage*_xlpm.BoonType)),_xlpm.Stacking,IF($I72="Flat",$H72*Spec1MajorGrandmasterStacks,IF(_xlpm.PercentCheck=1,"",_xlpm.Percentage*Spec1MajorGrandmasterStacks)),IF(OR($G72=AA$1,AND(_xlpm.PercentCheck=0,$G72="All")),_xlfn.IFS(AND($I72="Flat",$J72=0),_xlpm.Flat,AND($I72="Percentage",$J72=0),_xlpm.Percentage,$J72="Derived",_xlpm.Derived,$J72="Boon Enhancement",_xlpm.BoonEnhancement,$J72="Stacking",_xlpm.Stacking),""))</f>
        <v/>
      </c>
    </row>
    <row r="73" spans="1:27" ht="14.25" customHeight="1">
      <c r="A73" s="566"/>
      <c r="B73" s="556"/>
      <c r="C73" s="194"/>
      <c r="D73" s="195"/>
      <c r="E73" s="195"/>
      <c r="F73" s="195"/>
      <c r="G73" s="195"/>
      <c r="H73" s="195"/>
      <c r="I73" s="195"/>
      <c r="J73" s="195"/>
      <c r="K73" s="195"/>
      <c r="L73" s="195"/>
      <c r="M73" s="195"/>
      <c r="N73" s="195"/>
      <c r="O73" s="196"/>
      <c r="P73" s="190" t="str" cm="1">
        <f t="array" ref="P73">_xlfn.LET(_xlpm.PercentCheck,IF(OR(P$1="Crit Chance",P$1="Crit Damage",P$1="Condition Duration"),1,0),_xlpm.Flat,$H73,_xlpm.Percentage,$H73*P$71,_xlpm.Derived,$H73*P$71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P$1,AND(_xlpm.PercentCheck=0,$G73="All")),_xlfn.IFS(AND($I73="Flat",$J73=0),_xlpm.Flat,AND($I73="Percentage",$J73=0),_xlpm.Percentage,$J73="Derived",_xlpm.Derived,$J73="Boon Enhancement",_xlpm.BoonEnhancement,$J73="Stacking",_xlpm.Stacking),""))</f>
        <v/>
      </c>
      <c r="Q73" s="190" t="str" cm="1">
        <f t="array" ref="Q73">_xlfn.LET(_xlpm.PercentCheck,IF(OR(Q$1="Crit Chance",Q$1="Crit Damage",Q$1="Condition Duration"),1,0),_xlpm.Flat,$H73,_xlpm.Percentage,$H73*Q$71,_xlpm.Derived,$H73*Q$71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Q$1,AND(_xlpm.PercentCheck=0,$G73="All")),_xlfn.IFS(AND($I73="Flat",$J73=0),_xlpm.Flat,AND($I73="Percentage",$J73=0),_xlpm.Percentage,$J73="Derived",_xlpm.Derived,$J73="Boon Enhancement",_xlpm.BoonEnhancement,$J73="Stacking",_xlpm.Stacking),""))</f>
        <v/>
      </c>
      <c r="R73" s="190" t="str" cm="1">
        <f t="array" ref="R73">_xlfn.LET(_xlpm.PercentCheck,IF(OR(R$1="Crit Chance",R$1="Crit Damage",R$1="Condition Duration"),1,0),_xlpm.Flat,$H73,_xlpm.Percentage,$H73*R$71,_xlpm.Derived,$H73*R$71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R$1,AND(_xlpm.PercentCheck=0,$G73="All")),_xlfn.IFS(AND($I73="Flat",$J73=0),_xlpm.Flat,AND($I73="Percentage",$J73=0),_xlpm.Percentage,$J73="Derived",_xlpm.Derived,$J73="Boon Enhancement",_xlpm.BoonEnhancement,$J73="Stacking",_xlpm.Stacking),""))</f>
        <v/>
      </c>
      <c r="S73" s="190" t="str" cm="1">
        <f t="array" ref="S73">_xlfn.LET(_xlpm.PercentCheck,IF(OR(S$1="Crit Chance",S$1="Crit Damage",S$1="Condition Duration"),1,0),_xlpm.Flat,$H73,_xlpm.Percentage,$H73*S$71,_xlpm.Derived,$H73*S$71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S$1,AND(_xlpm.PercentCheck=0,$G73="All")),_xlfn.IFS(AND($I73="Flat",$J73=0),_xlpm.Flat,AND($I73="Percentage",$J73=0),_xlpm.Percentage,$J73="Derived",_xlpm.Derived,$J73="Boon Enhancement",_xlpm.BoonEnhancement,$J73="Stacking",_xlpm.Stacking),""))</f>
        <v/>
      </c>
      <c r="T73" s="190" t="str" cm="1">
        <f t="array" ref="T73">_xlfn.LET(_xlpm.PercentCheck,IF(OR(T$1="Crit Chance",T$1="Crit Damage",T$1="Condition Duration"),1,0),_xlpm.Flat,$H73,_xlpm.Percentage,$H73*T$71,_xlpm.Derived,$H73*T$71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T$1,AND(_xlpm.PercentCheck=0,$G73="All")),_xlfn.IFS(AND($I73="Flat",$J73=0),_xlpm.Flat,AND($I73="Percentage",$J73=0),_xlpm.Percentage,$J73="Derived",_xlpm.Derived,$J73="Boon Enhancement",_xlpm.BoonEnhancement,$J73="Stacking",_xlpm.Stacking),""))</f>
        <v/>
      </c>
      <c r="U73" s="190" t="str" cm="1">
        <f t="array" ref="U73">_xlfn.LET(_xlpm.PercentCheck,IF(OR(U$1="Crit Chance",U$1="Crit Damage",U$1="Condition Duration"),1,0),_xlpm.Flat,$H73,_xlpm.Percentage,$H73*U$71,_xlpm.Derived,$H73*U$71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U$1,AND(_xlpm.PercentCheck=0,$G73="All")),_xlfn.IFS(AND($I73="Flat",$J73=0),_xlpm.Flat,AND($I73="Percentage",$J73=0),_xlpm.Percentage,$J73="Derived",_xlpm.Derived,$J73="Boon Enhancement",_xlpm.BoonEnhancement,$J73="Stacking",_xlpm.Stacking),""))</f>
        <v/>
      </c>
      <c r="V73" s="190" t="str" cm="1">
        <f t="array" ref="V73">_xlfn.LET(_xlpm.PercentCheck,IF(OR(V$1="Crit Chance",V$1="Crit Damage",V$1="Condition Duration"),1,0),_xlpm.Flat,$H73,_xlpm.Percentage,$H73*V$71,_xlpm.Derived,$H73*V$71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V$1,AND(_xlpm.PercentCheck=0,$G73="All")),_xlfn.IFS(AND($I73="Flat",$J73=0),_xlpm.Flat,AND($I73="Percentage",$J73=0),_xlpm.Percentage,$J73="Derived",_xlpm.Derived,$J73="Boon Enhancement",_xlpm.BoonEnhancement,$J73="Stacking",_xlpm.Stacking),""))</f>
        <v/>
      </c>
      <c r="W73" s="190" t="str" cm="1">
        <f t="array" ref="W73">_xlfn.LET(_xlpm.PercentCheck,IF(OR(W$1="Crit Chance",W$1="Crit Damage",W$1="Condition Duration"),1,0),_xlpm.Flat,$H73,_xlpm.Percentage,$H73*W$71,_xlpm.Derived,$H73*W$71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W$1,AND(_xlpm.PercentCheck=0,$G73="All")),_xlfn.IFS(AND($I73="Flat",$J73=0),_xlpm.Flat,AND($I73="Percentage",$J73=0),_xlpm.Percentage,$J73="Derived",_xlpm.Derived,$J73="Boon Enhancement",_xlpm.BoonEnhancement,$J73="Stacking",_xlpm.Stacking),""))</f>
        <v/>
      </c>
      <c r="X73" s="190" t="str" cm="1">
        <f t="array" ref="X73">_xlfn.LET(_xlpm.PercentCheck,IF(OR(X$1="Crit Chance",X$1="Crit Damage",X$1="Condition Duration"),1,0),_xlpm.Flat,$H73,_xlpm.Percentage,$H73*X$71,_xlpm.Derived,$H73*X$71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X$1,AND(_xlpm.PercentCheck=0,$G73="All")),_xlfn.IFS(AND($I73="Flat",$J73=0),_xlpm.Flat,AND($I73="Percentage",$J73=0),_xlpm.Percentage,$J73="Derived",_xlpm.Derived,$J73="Boon Enhancement",_xlpm.BoonEnhancement,$J73="Stacking",_xlpm.Stacking),""))</f>
        <v/>
      </c>
      <c r="Y73" s="190" t="str" cm="1">
        <f t="array" ref="Y73">_xlfn.LET(_xlpm.PercentCheck,IF(OR(Y$1="Crit Chance",Y$1="Crit Damage",Y$1="Condition Duration"),1,0),_xlpm.Flat,$H73,_xlpm.Percentage,$H73*Y$71,_xlpm.Derived,$H73*Y$71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Y$1,AND(_xlpm.PercentCheck=0,$G73="All")),_xlfn.IFS(AND($I73="Flat",$J73=0),_xlpm.Flat,AND($I73="Percentage",$J73=0),_xlpm.Percentage,$J73="Derived",_xlpm.Derived,$J73="Boon Enhancement",_xlpm.BoonEnhancement,$J73="Stacking",_xlpm.Stacking),""))</f>
        <v/>
      </c>
      <c r="Z73" s="190" t="str" cm="1">
        <f t="array" ref="Z73">_xlfn.LET(_xlpm.PercentCheck,IF(OR(Z$1="Crit Chance",Z$1="Crit Damage",Z$1="Condition Duration"),1,0),_xlpm.Flat,$H73,_xlpm.Percentage,$H73*Z$71,_xlpm.Derived,$H73*Z$71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Z$1,AND(_xlpm.PercentCheck=0,$G73="All")),_xlfn.IFS(AND($I73="Flat",$J73=0),_xlpm.Flat,AND($I73="Percentage",$J73=0),_xlpm.Percentage,$J73="Derived",_xlpm.Derived,$J73="Boon Enhancement",_xlpm.BoonEnhancement,$J73="Stacking",_xlpm.Stacking),""))</f>
        <v/>
      </c>
      <c r="AA73" s="190" t="str" cm="1">
        <f t="array" ref="AA73">_xlfn.LET(_xlpm.PercentCheck,IF(OR(AA$1="Crit Chance",AA$1="Crit Damage",AA$1="Condition Duration"),1,0),_xlpm.Flat,$H73,_xlpm.Percentage,$H73*AA$71,_xlpm.Derived,$H73*AA$71,_xlpm.BoonType,VLOOKUP($M73,BoonToggles,2,0),_xlpm.BoonEnhancement,IF(AND(ISLOGICAL(_xlpm.BoonType),_xlpm.BoonType=TRUE),IF($I73="Flat",$H73,_xlpm.Percentage),IF($I73="Flat",$H73*_xlpm.BoonType,_xlpm.Percentage*_xlpm.BoonType)),_xlpm.Stacking,IF($I73="Flat",$H73*Spec1MajorGrandmasterStacks,IF(_xlpm.PercentCheck=1,"",_xlpm.Percentage*Spec1MajorGrandmasterStacks)),IF(OR($G73=AA$1,AND(_xlpm.PercentCheck=0,$G73="All")),_xlfn.IFS(AND($I73="Flat",$J73=0),_xlpm.Flat,AND($I73="Percentage",$J73=0),_xlpm.Percentage,$J73="Derived",_xlpm.Derived,$J73="Boon Enhancement",_xlpm.BoonEnhancement,$J73="Stacking",_xlpm.Stacking),""))</f>
        <v/>
      </c>
    </row>
    <row r="74" spans="1:27" ht="14.25" customHeight="1">
      <c r="A74" s="566"/>
      <c r="B74" s="556"/>
      <c r="C74" s="194"/>
      <c r="D74" s="195"/>
      <c r="E74" s="195"/>
      <c r="F74" s="195"/>
      <c r="G74" s="195"/>
      <c r="H74" s="195"/>
      <c r="I74" s="195"/>
      <c r="J74" s="195"/>
      <c r="K74" s="195"/>
      <c r="L74" s="195"/>
      <c r="M74" s="195"/>
      <c r="N74" s="195"/>
      <c r="O74" s="196"/>
      <c r="P74" s="190" t="str" cm="1">
        <f t="array" ref="P74">_xlfn.LET(_xlpm.PercentCheck,IF(OR(P$1="Crit Chance",P$1="Crit Damage",P$1="Condition Duration"),1,0),_xlpm.Flat,$H74,_xlpm.Percentage,$H74*P$71,_xlpm.Derived,$H74*P$71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P$1,AND(_xlpm.PercentCheck=0,$G74="All")),_xlfn.IFS(AND($I74="Flat",$J74=0),_xlpm.Flat,AND($I74="Percentage",$J74=0),_xlpm.Percentage,$J74="Derived",_xlpm.Derived,$J74="Boon Enhancement",_xlpm.BoonEnhancement,$J74="Stacking",_xlpm.Stacking),""))</f>
        <v/>
      </c>
      <c r="Q74" s="190" t="str" cm="1">
        <f t="array" ref="Q74">_xlfn.LET(_xlpm.PercentCheck,IF(OR(Q$1="Crit Chance",Q$1="Crit Damage",Q$1="Condition Duration"),1,0),_xlpm.Flat,$H74,_xlpm.Percentage,$H74*Q$71,_xlpm.Derived,$H74*Q$71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Q$1,AND(_xlpm.PercentCheck=0,$G74="All")),_xlfn.IFS(AND($I74="Flat",$J74=0),_xlpm.Flat,AND($I74="Percentage",$J74=0),_xlpm.Percentage,$J74="Derived",_xlpm.Derived,$J74="Boon Enhancement",_xlpm.BoonEnhancement,$J74="Stacking",_xlpm.Stacking),""))</f>
        <v/>
      </c>
      <c r="R74" s="190" t="str" cm="1">
        <f t="array" ref="R74">_xlfn.LET(_xlpm.PercentCheck,IF(OR(R$1="Crit Chance",R$1="Crit Damage",R$1="Condition Duration"),1,0),_xlpm.Flat,$H74,_xlpm.Percentage,$H74*R$71,_xlpm.Derived,$H74*R$71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R$1,AND(_xlpm.PercentCheck=0,$G74="All")),_xlfn.IFS(AND($I74="Flat",$J74=0),_xlpm.Flat,AND($I74="Percentage",$J74=0),_xlpm.Percentage,$J74="Derived",_xlpm.Derived,$J74="Boon Enhancement",_xlpm.BoonEnhancement,$J74="Stacking",_xlpm.Stacking),""))</f>
        <v/>
      </c>
      <c r="S74" s="190" t="str" cm="1">
        <f t="array" ref="S74">_xlfn.LET(_xlpm.PercentCheck,IF(OR(S$1="Crit Chance",S$1="Crit Damage",S$1="Condition Duration"),1,0),_xlpm.Flat,$H74,_xlpm.Percentage,$H74*S$71,_xlpm.Derived,$H74*S$71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S$1,AND(_xlpm.PercentCheck=0,$G74="All")),_xlfn.IFS(AND($I74="Flat",$J74=0),_xlpm.Flat,AND($I74="Percentage",$J74=0),_xlpm.Percentage,$J74="Derived",_xlpm.Derived,$J74="Boon Enhancement",_xlpm.BoonEnhancement,$J74="Stacking",_xlpm.Stacking),""))</f>
        <v/>
      </c>
      <c r="T74" s="190" t="str" cm="1">
        <f t="array" ref="T74">_xlfn.LET(_xlpm.PercentCheck,IF(OR(T$1="Crit Chance",T$1="Crit Damage",T$1="Condition Duration"),1,0),_xlpm.Flat,$H74,_xlpm.Percentage,$H74*T$71,_xlpm.Derived,$H74*T$71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T$1,AND(_xlpm.PercentCheck=0,$G74="All")),_xlfn.IFS(AND($I74="Flat",$J74=0),_xlpm.Flat,AND($I74="Percentage",$J74=0),_xlpm.Percentage,$J74="Derived",_xlpm.Derived,$J74="Boon Enhancement",_xlpm.BoonEnhancement,$J74="Stacking",_xlpm.Stacking),""))</f>
        <v/>
      </c>
      <c r="U74" s="190" t="str" cm="1">
        <f t="array" ref="U74">_xlfn.LET(_xlpm.PercentCheck,IF(OR(U$1="Crit Chance",U$1="Crit Damage",U$1="Condition Duration"),1,0),_xlpm.Flat,$H74,_xlpm.Percentage,$H74*U$71,_xlpm.Derived,$H74*U$71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U$1,AND(_xlpm.PercentCheck=0,$G74="All")),_xlfn.IFS(AND($I74="Flat",$J74=0),_xlpm.Flat,AND($I74="Percentage",$J74=0),_xlpm.Percentage,$J74="Derived",_xlpm.Derived,$J74="Boon Enhancement",_xlpm.BoonEnhancement,$J74="Stacking",_xlpm.Stacking),""))</f>
        <v/>
      </c>
      <c r="V74" s="190" t="str" cm="1">
        <f t="array" ref="V74">_xlfn.LET(_xlpm.PercentCheck,IF(OR(V$1="Crit Chance",V$1="Crit Damage",V$1="Condition Duration"),1,0),_xlpm.Flat,$H74,_xlpm.Percentage,$H74*V$71,_xlpm.Derived,$H74*V$71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V$1,AND(_xlpm.PercentCheck=0,$G74="All")),_xlfn.IFS(AND($I74="Flat",$J74=0),_xlpm.Flat,AND($I74="Percentage",$J74=0),_xlpm.Percentage,$J74="Derived",_xlpm.Derived,$J74="Boon Enhancement",_xlpm.BoonEnhancement,$J74="Stacking",_xlpm.Stacking),""))</f>
        <v/>
      </c>
      <c r="W74" s="190" t="str" cm="1">
        <f t="array" ref="W74">_xlfn.LET(_xlpm.PercentCheck,IF(OR(W$1="Crit Chance",W$1="Crit Damage",W$1="Condition Duration"),1,0),_xlpm.Flat,$H74,_xlpm.Percentage,$H74*W$71,_xlpm.Derived,$H74*W$71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W$1,AND(_xlpm.PercentCheck=0,$G74="All")),_xlfn.IFS(AND($I74="Flat",$J74=0),_xlpm.Flat,AND($I74="Percentage",$J74=0),_xlpm.Percentage,$J74="Derived",_xlpm.Derived,$J74="Boon Enhancement",_xlpm.BoonEnhancement,$J74="Stacking",_xlpm.Stacking),""))</f>
        <v/>
      </c>
      <c r="X74" s="190" t="str" cm="1">
        <f t="array" ref="X74">_xlfn.LET(_xlpm.PercentCheck,IF(OR(X$1="Crit Chance",X$1="Crit Damage",X$1="Condition Duration"),1,0),_xlpm.Flat,$H74,_xlpm.Percentage,$H74*X$71,_xlpm.Derived,$H74*X$71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X$1,AND(_xlpm.PercentCheck=0,$G74="All")),_xlfn.IFS(AND($I74="Flat",$J74=0),_xlpm.Flat,AND($I74="Percentage",$J74=0),_xlpm.Percentage,$J74="Derived",_xlpm.Derived,$J74="Boon Enhancement",_xlpm.BoonEnhancement,$J74="Stacking",_xlpm.Stacking),""))</f>
        <v/>
      </c>
      <c r="Y74" s="190" t="str" cm="1">
        <f t="array" ref="Y74">_xlfn.LET(_xlpm.PercentCheck,IF(OR(Y$1="Crit Chance",Y$1="Crit Damage",Y$1="Condition Duration"),1,0),_xlpm.Flat,$H74,_xlpm.Percentage,$H74*Y$71,_xlpm.Derived,$H74*Y$71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Y$1,AND(_xlpm.PercentCheck=0,$G74="All")),_xlfn.IFS(AND($I74="Flat",$J74=0),_xlpm.Flat,AND($I74="Percentage",$J74=0),_xlpm.Percentage,$J74="Derived",_xlpm.Derived,$J74="Boon Enhancement",_xlpm.BoonEnhancement,$J74="Stacking",_xlpm.Stacking),""))</f>
        <v/>
      </c>
      <c r="Z74" s="190" t="str" cm="1">
        <f t="array" ref="Z74">_xlfn.LET(_xlpm.PercentCheck,IF(OR(Z$1="Crit Chance",Z$1="Crit Damage",Z$1="Condition Duration"),1,0),_xlpm.Flat,$H74,_xlpm.Percentage,$H74*Z$71,_xlpm.Derived,$H74*Z$71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Z$1,AND(_xlpm.PercentCheck=0,$G74="All")),_xlfn.IFS(AND($I74="Flat",$J74=0),_xlpm.Flat,AND($I74="Percentage",$J74=0),_xlpm.Percentage,$J74="Derived",_xlpm.Derived,$J74="Boon Enhancement",_xlpm.BoonEnhancement,$J74="Stacking",_xlpm.Stacking),""))</f>
        <v/>
      </c>
      <c r="AA74" s="190" t="str" cm="1">
        <f t="array" ref="AA74">_xlfn.LET(_xlpm.PercentCheck,IF(OR(AA$1="Crit Chance",AA$1="Crit Damage",AA$1="Condition Duration"),1,0),_xlpm.Flat,$H74,_xlpm.Percentage,$H74*AA$71,_xlpm.Derived,$H74*AA$71,_xlpm.BoonType,VLOOKUP($M74,BoonToggles,2,0),_xlpm.BoonEnhancement,IF(AND(ISLOGICAL(_xlpm.BoonType),_xlpm.BoonType=TRUE),IF($I74="Flat",$H74,_xlpm.Percentage),IF($I74="Flat",$H74*_xlpm.BoonType,_xlpm.Percentage*_xlpm.BoonType)),_xlpm.Stacking,IF($I74="Flat",$H74*Spec1MajorGrandmasterStacks,IF(_xlpm.PercentCheck=1,"",_xlpm.Percentage*Spec1MajorGrandmasterStacks)),IF(OR($G74=AA$1,AND(_xlpm.PercentCheck=0,$G74="All")),_xlfn.IFS(AND($I74="Flat",$J74=0),_xlpm.Flat,AND($I74="Percentage",$J74=0),_xlpm.Percentage,$J74="Derived",_xlpm.Derived,$J74="Boon Enhancement",_xlpm.BoonEnhancement,$J74="Stacking",_xlpm.Stacking),""))</f>
        <v/>
      </c>
    </row>
    <row r="75" spans="1:27" ht="14.25" customHeight="1">
      <c r="A75" s="566"/>
      <c r="B75" s="556"/>
      <c r="C75" s="194"/>
      <c r="D75" s="195"/>
      <c r="E75" s="195"/>
      <c r="F75" s="195"/>
      <c r="G75" s="195"/>
      <c r="H75" s="195"/>
      <c r="I75" s="195"/>
      <c r="J75" s="195"/>
      <c r="K75" s="195"/>
      <c r="L75" s="195"/>
      <c r="M75" s="195"/>
      <c r="N75" s="195"/>
      <c r="O75" s="196"/>
      <c r="P75" s="190" t="str" cm="1">
        <f t="array" ref="P75">_xlfn.LET(_xlpm.PercentCheck,IF(OR(P$1="Crit Chance",P$1="Crit Damage",P$1="Condition Duration"),1,0),_xlpm.Flat,$H75,_xlpm.Percentage,$H75*P$71,_xlpm.Derived,$H75*P$71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P$1,AND(_xlpm.PercentCheck=0,$G75="All")),_xlfn.IFS(AND($I75="Flat",$J75=0),_xlpm.Flat,AND($I75="Percentage",$J75=0),_xlpm.Percentage,$J75="Derived",_xlpm.Derived,$J75="Boon Enhancement",_xlpm.BoonEnhancement,$J75="Stacking",_xlpm.Stacking),""))</f>
        <v/>
      </c>
      <c r="Q75" s="190" t="str" cm="1">
        <f t="array" ref="Q75">_xlfn.LET(_xlpm.PercentCheck,IF(OR(Q$1="Crit Chance",Q$1="Crit Damage",Q$1="Condition Duration"),1,0),_xlpm.Flat,$H75,_xlpm.Percentage,$H75*Q$71,_xlpm.Derived,$H75*Q$71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Q$1,AND(_xlpm.PercentCheck=0,$G75="All")),_xlfn.IFS(AND($I75="Flat",$J75=0),_xlpm.Flat,AND($I75="Percentage",$J75=0),_xlpm.Percentage,$J75="Derived",_xlpm.Derived,$J75="Boon Enhancement",_xlpm.BoonEnhancement,$J75="Stacking",_xlpm.Stacking),""))</f>
        <v/>
      </c>
      <c r="R75" s="190" t="str" cm="1">
        <f t="array" ref="R75">_xlfn.LET(_xlpm.PercentCheck,IF(OR(R$1="Crit Chance",R$1="Crit Damage",R$1="Condition Duration"),1,0),_xlpm.Flat,$H75,_xlpm.Percentage,$H75*R$71,_xlpm.Derived,$H75*R$71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R$1,AND(_xlpm.PercentCheck=0,$G75="All")),_xlfn.IFS(AND($I75="Flat",$J75=0),_xlpm.Flat,AND($I75="Percentage",$J75=0),_xlpm.Percentage,$J75="Derived",_xlpm.Derived,$J75="Boon Enhancement",_xlpm.BoonEnhancement,$J75="Stacking",_xlpm.Stacking),""))</f>
        <v/>
      </c>
      <c r="S75" s="190" t="str" cm="1">
        <f t="array" ref="S75">_xlfn.LET(_xlpm.PercentCheck,IF(OR(S$1="Crit Chance",S$1="Crit Damage",S$1="Condition Duration"),1,0),_xlpm.Flat,$H75,_xlpm.Percentage,$H75*S$71,_xlpm.Derived,$H75*S$71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S$1,AND(_xlpm.PercentCheck=0,$G75="All")),_xlfn.IFS(AND($I75="Flat",$J75=0),_xlpm.Flat,AND($I75="Percentage",$J75=0),_xlpm.Percentage,$J75="Derived",_xlpm.Derived,$J75="Boon Enhancement",_xlpm.BoonEnhancement,$J75="Stacking",_xlpm.Stacking),""))</f>
        <v/>
      </c>
      <c r="T75" s="190" t="str" cm="1">
        <f t="array" ref="T75">_xlfn.LET(_xlpm.PercentCheck,IF(OR(T$1="Crit Chance",T$1="Crit Damage",T$1="Condition Duration"),1,0),_xlpm.Flat,$H75,_xlpm.Percentage,$H75*T$71,_xlpm.Derived,$H75*T$71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T$1,AND(_xlpm.PercentCheck=0,$G75="All")),_xlfn.IFS(AND($I75="Flat",$J75=0),_xlpm.Flat,AND($I75="Percentage",$J75=0),_xlpm.Percentage,$J75="Derived",_xlpm.Derived,$J75="Boon Enhancement",_xlpm.BoonEnhancement,$J75="Stacking",_xlpm.Stacking),""))</f>
        <v/>
      </c>
      <c r="U75" s="190" t="str" cm="1">
        <f t="array" ref="U75">_xlfn.LET(_xlpm.PercentCheck,IF(OR(U$1="Crit Chance",U$1="Crit Damage",U$1="Condition Duration"),1,0),_xlpm.Flat,$H75,_xlpm.Percentage,$H75*U$71,_xlpm.Derived,$H75*U$71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U$1,AND(_xlpm.PercentCheck=0,$G75="All")),_xlfn.IFS(AND($I75="Flat",$J75=0),_xlpm.Flat,AND($I75="Percentage",$J75=0),_xlpm.Percentage,$J75="Derived",_xlpm.Derived,$J75="Boon Enhancement",_xlpm.BoonEnhancement,$J75="Stacking",_xlpm.Stacking),""))</f>
        <v/>
      </c>
      <c r="V75" s="190" t="str" cm="1">
        <f t="array" ref="V75">_xlfn.LET(_xlpm.PercentCheck,IF(OR(V$1="Crit Chance",V$1="Crit Damage",V$1="Condition Duration"),1,0),_xlpm.Flat,$H75,_xlpm.Percentage,$H75*V$71,_xlpm.Derived,$H75*V$71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V$1,AND(_xlpm.PercentCheck=0,$G75="All")),_xlfn.IFS(AND($I75="Flat",$J75=0),_xlpm.Flat,AND($I75="Percentage",$J75=0),_xlpm.Percentage,$J75="Derived",_xlpm.Derived,$J75="Boon Enhancement",_xlpm.BoonEnhancement,$J75="Stacking",_xlpm.Stacking),""))</f>
        <v/>
      </c>
      <c r="W75" s="190" t="str" cm="1">
        <f t="array" ref="W75">_xlfn.LET(_xlpm.PercentCheck,IF(OR(W$1="Crit Chance",W$1="Crit Damage",W$1="Condition Duration"),1,0),_xlpm.Flat,$H75,_xlpm.Percentage,$H75*W$71,_xlpm.Derived,$H75*W$71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W$1,AND(_xlpm.PercentCheck=0,$G75="All")),_xlfn.IFS(AND($I75="Flat",$J75=0),_xlpm.Flat,AND($I75="Percentage",$J75=0),_xlpm.Percentage,$J75="Derived",_xlpm.Derived,$J75="Boon Enhancement",_xlpm.BoonEnhancement,$J75="Stacking",_xlpm.Stacking),""))</f>
        <v/>
      </c>
      <c r="X75" s="190" t="str" cm="1">
        <f t="array" ref="X75">_xlfn.LET(_xlpm.PercentCheck,IF(OR(X$1="Crit Chance",X$1="Crit Damage",X$1="Condition Duration"),1,0),_xlpm.Flat,$H75,_xlpm.Percentage,$H75*X$71,_xlpm.Derived,$H75*X$71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X$1,AND(_xlpm.PercentCheck=0,$G75="All")),_xlfn.IFS(AND($I75="Flat",$J75=0),_xlpm.Flat,AND($I75="Percentage",$J75=0),_xlpm.Percentage,$J75="Derived",_xlpm.Derived,$J75="Boon Enhancement",_xlpm.BoonEnhancement,$J75="Stacking",_xlpm.Stacking),""))</f>
        <v/>
      </c>
      <c r="Y75" s="190" t="str" cm="1">
        <f t="array" ref="Y75">_xlfn.LET(_xlpm.PercentCheck,IF(OR(Y$1="Crit Chance",Y$1="Crit Damage",Y$1="Condition Duration"),1,0),_xlpm.Flat,$H75,_xlpm.Percentage,$H75*Y$71,_xlpm.Derived,$H75*Y$71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Y$1,AND(_xlpm.PercentCheck=0,$G75="All")),_xlfn.IFS(AND($I75="Flat",$J75=0),_xlpm.Flat,AND($I75="Percentage",$J75=0),_xlpm.Percentage,$J75="Derived",_xlpm.Derived,$J75="Boon Enhancement",_xlpm.BoonEnhancement,$J75="Stacking",_xlpm.Stacking),""))</f>
        <v/>
      </c>
      <c r="Z75" s="190" t="str" cm="1">
        <f t="array" ref="Z75">_xlfn.LET(_xlpm.PercentCheck,IF(OR(Z$1="Crit Chance",Z$1="Crit Damage",Z$1="Condition Duration"),1,0),_xlpm.Flat,$H75,_xlpm.Percentage,$H75*Z$71,_xlpm.Derived,$H75*Z$71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Z$1,AND(_xlpm.PercentCheck=0,$G75="All")),_xlfn.IFS(AND($I75="Flat",$J75=0),_xlpm.Flat,AND($I75="Percentage",$J75=0),_xlpm.Percentage,$J75="Derived",_xlpm.Derived,$J75="Boon Enhancement",_xlpm.BoonEnhancement,$J75="Stacking",_xlpm.Stacking),""))</f>
        <v/>
      </c>
      <c r="AA75" s="190" t="str" cm="1">
        <f t="array" ref="AA75">_xlfn.LET(_xlpm.PercentCheck,IF(OR(AA$1="Crit Chance",AA$1="Crit Damage",AA$1="Condition Duration"),1,0),_xlpm.Flat,$H75,_xlpm.Percentage,$H75*AA$71,_xlpm.Derived,$H75*AA$71,_xlpm.BoonType,VLOOKUP($M75,BoonToggles,2,0),_xlpm.BoonEnhancement,IF(AND(ISLOGICAL(_xlpm.BoonType),_xlpm.BoonType=TRUE),IF($I75="Flat",$H75,_xlpm.Percentage),IF($I75="Flat",$H75*_xlpm.BoonType,_xlpm.Percentage*_xlpm.BoonType)),_xlpm.Stacking,IF($I75="Flat",$H75*Spec1MajorGrandmasterStacks,IF(_xlpm.PercentCheck=1,"",_xlpm.Percentage*Spec1MajorGrandmasterStacks)),IF(OR($G75=AA$1,AND(_xlpm.PercentCheck=0,$G75="All")),_xlfn.IFS(AND($I75="Flat",$J75=0),_xlpm.Flat,AND($I75="Percentage",$J75=0),_xlpm.Percentage,$J75="Derived",_xlpm.Derived,$J75="Boon Enhancement",_xlpm.BoonEnhancement,$J75="Stacking",_xlpm.Stacking),""))</f>
        <v/>
      </c>
    </row>
    <row r="76" spans="1:27" ht="14.25" customHeight="1">
      <c r="A76" s="566"/>
      <c r="B76" s="557"/>
      <c r="C76" s="194"/>
      <c r="D76" s="195"/>
      <c r="E76" s="195"/>
      <c r="F76" s="195"/>
      <c r="G76" s="195"/>
      <c r="H76" s="195"/>
      <c r="I76" s="195"/>
      <c r="J76" s="195"/>
      <c r="K76" s="195"/>
      <c r="L76" s="195"/>
      <c r="M76" s="195"/>
      <c r="N76" s="195"/>
      <c r="O76" s="196"/>
      <c r="P76" s="190" t="str" cm="1">
        <f t="array" ref="P76">_xlfn.LET(_xlpm.PercentCheck,IF(OR(P$1="Crit Chance",P$1="Crit Damage",P$1="Condition Duration"),1,0),_xlpm.Flat,$H76,_xlpm.Percentage,$H76*P$71,_xlpm.Derived,$H76*P$71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P$1,AND(_xlpm.PercentCheck=0,$G76="All")),_xlfn.IFS(AND($I76="Flat",$J76=0),_xlpm.Flat,AND($I76="Percentage",$J76=0),_xlpm.Percentage,$J76="Derived",_xlpm.Derived,$J76="Boon Enhancement",_xlpm.BoonEnhancement,$J76="Stacking",_xlpm.Stacking),""))</f>
        <v/>
      </c>
      <c r="Q76" s="190" t="str" cm="1">
        <f t="array" ref="Q76">_xlfn.LET(_xlpm.PercentCheck,IF(OR(Q$1="Crit Chance",Q$1="Crit Damage",Q$1="Condition Duration"),1,0),_xlpm.Flat,$H76,_xlpm.Percentage,$H76*Q$71,_xlpm.Derived,$H76*Q$71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Q$1,AND(_xlpm.PercentCheck=0,$G76="All")),_xlfn.IFS(AND($I76="Flat",$J76=0),_xlpm.Flat,AND($I76="Percentage",$J76=0),_xlpm.Percentage,$J76="Derived",_xlpm.Derived,$J76="Boon Enhancement",_xlpm.BoonEnhancement,$J76="Stacking",_xlpm.Stacking),""))</f>
        <v/>
      </c>
      <c r="R76" s="190" t="str" cm="1">
        <f t="array" ref="R76">_xlfn.LET(_xlpm.PercentCheck,IF(OR(R$1="Crit Chance",R$1="Crit Damage",R$1="Condition Duration"),1,0),_xlpm.Flat,$H76,_xlpm.Percentage,$H76*R$71,_xlpm.Derived,$H76*R$71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R$1,AND(_xlpm.PercentCheck=0,$G76="All")),_xlfn.IFS(AND($I76="Flat",$J76=0),_xlpm.Flat,AND($I76="Percentage",$J76=0),_xlpm.Percentage,$J76="Derived",_xlpm.Derived,$J76="Boon Enhancement",_xlpm.BoonEnhancement,$J76="Stacking",_xlpm.Stacking),""))</f>
        <v/>
      </c>
      <c r="S76" s="190" t="str" cm="1">
        <f t="array" ref="S76">_xlfn.LET(_xlpm.PercentCheck,IF(OR(S$1="Crit Chance",S$1="Crit Damage",S$1="Condition Duration"),1,0),_xlpm.Flat,$H76,_xlpm.Percentage,$H76*S$71,_xlpm.Derived,$H76*S$71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S$1,AND(_xlpm.PercentCheck=0,$G76="All")),_xlfn.IFS(AND($I76="Flat",$J76=0),_xlpm.Flat,AND($I76="Percentage",$J76=0),_xlpm.Percentage,$J76="Derived",_xlpm.Derived,$J76="Boon Enhancement",_xlpm.BoonEnhancement,$J76="Stacking",_xlpm.Stacking),""))</f>
        <v/>
      </c>
      <c r="T76" s="190" t="str" cm="1">
        <f t="array" ref="T76">_xlfn.LET(_xlpm.PercentCheck,IF(OR(T$1="Crit Chance",T$1="Crit Damage",T$1="Condition Duration"),1,0),_xlpm.Flat,$H76,_xlpm.Percentage,$H76*T$71,_xlpm.Derived,$H76*T$71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T$1,AND(_xlpm.PercentCheck=0,$G76="All")),_xlfn.IFS(AND($I76="Flat",$J76=0),_xlpm.Flat,AND($I76="Percentage",$J76=0),_xlpm.Percentage,$J76="Derived",_xlpm.Derived,$J76="Boon Enhancement",_xlpm.BoonEnhancement,$J76="Stacking",_xlpm.Stacking),""))</f>
        <v/>
      </c>
      <c r="U76" s="190" t="str" cm="1">
        <f t="array" ref="U76">_xlfn.LET(_xlpm.PercentCheck,IF(OR(U$1="Crit Chance",U$1="Crit Damage",U$1="Condition Duration"),1,0),_xlpm.Flat,$H76,_xlpm.Percentage,$H76*U$71,_xlpm.Derived,$H76*U$71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U$1,AND(_xlpm.PercentCheck=0,$G76="All")),_xlfn.IFS(AND($I76="Flat",$J76=0),_xlpm.Flat,AND($I76="Percentage",$J76=0),_xlpm.Percentage,$J76="Derived",_xlpm.Derived,$J76="Boon Enhancement",_xlpm.BoonEnhancement,$J76="Stacking",_xlpm.Stacking),""))</f>
        <v/>
      </c>
      <c r="V76" s="190" t="str" cm="1">
        <f t="array" ref="V76">_xlfn.LET(_xlpm.PercentCheck,IF(OR(V$1="Crit Chance",V$1="Crit Damage",V$1="Condition Duration"),1,0),_xlpm.Flat,$H76,_xlpm.Percentage,$H76*V$71,_xlpm.Derived,$H76*V$71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V$1,AND(_xlpm.PercentCheck=0,$G76="All")),_xlfn.IFS(AND($I76="Flat",$J76=0),_xlpm.Flat,AND($I76="Percentage",$J76=0),_xlpm.Percentage,$J76="Derived",_xlpm.Derived,$J76="Boon Enhancement",_xlpm.BoonEnhancement,$J76="Stacking",_xlpm.Stacking),""))</f>
        <v/>
      </c>
      <c r="W76" s="190" t="str" cm="1">
        <f t="array" ref="W76">_xlfn.LET(_xlpm.PercentCheck,IF(OR(W$1="Crit Chance",W$1="Crit Damage",W$1="Condition Duration"),1,0),_xlpm.Flat,$H76,_xlpm.Percentage,$H76*W$71,_xlpm.Derived,$H76*W$71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W$1,AND(_xlpm.PercentCheck=0,$G76="All")),_xlfn.IFS(AND($I76="Flat",$J76=0),_xlpm.Flat,AND($I76="Percentage",$J76=0),_xlpm.Percentage,$J76="Derived",_xlpm.Derived,$J76="Boon Enhancement",_xlpm.BoonEnhancement,$J76="Stacking",_xlpm.Stacking),""))</f>
        <v/>
      </c>
      <c r="X76" s="190" t="str" cm="1">
        <f t="array" ref="X76">_xlfn.LET(_xlpm.PercentCheck,IF(OR(X$1="Crit Chance",X$1="Crit Damage",X$1="Condition Duration"),1,0),_xlpm.Flat,$H76,_xlpm.Percentage,$H76*X$71,_xlpm.Derived,$H76*X$71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X$1,AND(_xlpm.PercentCheck=0,$G76="All")),_xlfn.IFS(AND($I76="Flat",$J76=0),_xlpm.Flat,AND($I76="Percentage",$J76=0),_xlpm.Percentage,$J76="Derived",_xlpm.Derived,$J76="Boon Enhancement",_xlpm.BoonEnhancement,$J76="Stacking",_xlpm.Stacking),""))</f>
        <v/>
      </c>
      <c r="Y76" s="190" t="str" cm="1">
        <f t="array" ref="Y76">_xlfn.LET(_xlpm.PercentCheck,IF(OR(Y$1="Crit Chance",Y$1="Crit Damage",Y$1="Condition Duration"),1,0),_xlpm.Flat,$H76,_xlpm.Percentage,$H76*Y$71,_xlpm.Derived,$H76*Y$71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Y$1,AND(_xlpm.PercentCheck=0,$G76="All")),_xlfn.IFS(AND($I76="Flat",$J76=0),_xlpm.Flat,AND($I76="Percentage",$J76=0),_xlpm.Percentage,$J76="Derived",_xlpm.Derived,$J76="Boon Enhancement",_xlpm.BoonEnhancement,$J76="Stacking",_xlpm.Stacking),""))</f>
        <v/>
      </c>
      <c r="Z76" s="190" t="str" cm="1">
        <f t="array" ref="Z76">_xlfn.LET(_xlpm.PercentCheck,IF(OR(Z$1="Crit Chance",Z$1="Crit Damage",Z$1="Condition Duration"),1,0),_xlpm.Flat,$H76,_xlpm.Percentage,$H76*Z$71,_xlpm.Derived,$H76*Z$71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Z$1,AND(_xlpm.PercentCheck=0,$G76="All")),_xlfn.IFS(AND($I76="Flat",$J76=0),_xlpm.Flat,AND($I76="Percentage",$J76=0),_xlpm.Percentage,$J76="Derived",_xlpm.Derived,$J76="Boon Enhancement",_xlpm.BoonEnhancement,$J76="Stacking",_xlpm.Stacking),""))</f>
        <v/>
      </c>
      <c r="AA76" s="190" t="str" cm="1">
        <f t="array" ref="AA76">_xlfn.LET(_xlpm.PercentCheck,IF(OR(AA$1="Crit Chance",AA$1="Crit Damage",AA$1="Condition Duration"),1,0),_xlpm.Flat,$H76,_xlpm.Percentage,$H76*AA$71,_xlpm.Derived,$H76*AA$71,_xlpm.BoonType,VLOOKUP($M76,BoonToggles,2,0),_xlpm.BoonEnhancement,IF(AND(ISLOGICAL(_xlpm.BoonType),_xlpm.BoonType=TRUE),IF($I76="Flat",$H76,_xlpm.Percentage),IF($I76="Flat",$H76*_xlpm.BoonType,_xlpm.Percentage*_xlpm.BoonType)),_xlpm.Stacking,IF($I76="Flat",$H76*Spec1MajorGrandmasterStacks,IF(_xlpm.PercentCheck=1,"",_xlpm.Percentage*Spec1MajorGrandmasterStacks)),IF(OR($G76=AA$1,AND(_xlpm.PercentCheck=0,$G76="All")),_xlfn.IFS(AND($I76="Flat",$J76=0),_xlpm.Flat,AND($I76="Percentage",$J76=0),_xlpm.Percentage,$J76="Derived",_xlpm.Derived,$J76="Boon Enhancement",_xlpm.BoonEnhancement,$J76="Stacking",_xlpm.Stacking),""))</f>
        <v/>
      </c>
    </row>
    <row r="77" spans="1:27" s="171" customFormat="1" ht="14.25" customHeight="1">
      <c r="A77" s="566"/>
      <c r="B77" s="559" t="s">
        <v>3500</v>
      </c>
      <c r="C77" s="559"/>
      <c r="D77" s="559"/>
      <c r="E77" s="559"/>
      <c r="F77" s="559"/>
      <c r="G77" s="559"/>
      <c r="H77" s="559"/>
      <c r="I77" s="559"/>
      <c r="J77" s="559"/>
      <c r="K77" s="559"/>
      <c r="L77" s="559"/>
      <c r="M77" s="559"/>
      <c r="N77" s="559"/>
      <c r="O77" s="560"/>
      <c r="P77" s="197">
        <f t="shared" ref="P77:AA77" si="29">SUM(P$72:P$76)</f>
        <v>0</v>
      </c>
      <c r="Q77" s="198">
        <f t="shared" si="29"/>
        <v>0</v>
      </c>
      <c r="R77" s="198">
        <f t="shared" si="29"/>
        <v>0</v>
      </c>
      <c r="S77" s="198">
        <f t="shared" si="29"/>
        <v>0</v>
      </c>
      <c r="T77" s="198">
        <f t="shared" si="29"/>
        <v>0</v>
      </c>
      <c r="U77" s="198">
        <f t="shared" si="29"/>
        <v>0</v>
      </c>
      <c r="V77" s="198">
        <f t="shared" si="29"/>
        <v>0</v>
      </c>
      <c r="W77" s="198">
        <f t="shared" si="29"/>
        <v>0</v>
      </c>
      <c r="X77" s="198">
        <f t="shared" si="29"/>
        <v>0</v>
      </c>
      <c r="Y77" s="199">
        <f t="shared" si="29"/>
        <v>0</v>
      </c>
      <c r="Z77" s="199">
        <f t="shared" si="29"/>
        <v>0</v>
      </c>
      <c r="AA77" s="199">
        <f t="shared" si="29"/>
        <v>0</v>
      </c>
    </row>
    <row r="78" spans="1:27" s="171" customFormat="1" ht="14.25" customHeight="1">
      <c r="A78" s="566"/>
      <c r="B78" s="559" t="s">
        <v>3501</v>
      </c>
      <c r="C78" s="559"/>
      <c r="D78" s="559"/>
      <c r="E78" s="559"/>
      <c r="F78" s="559"/>
      <c r="G78" s="559"/>
      <c r="H78" s="559"/>
      <c r="I78" s="559"/>
      <c r="J78" s="559"/>
      <c r="K78" s="559"/>
      <c r="L78" s="559"/>
      <c r="M78" s="559"/>
      <c r="N78" s="559"/>
      <c r="O78" s="560"/>
      <c r="P78" s="197">
        <f>SUM(P$71,SUMIFS(P$72:P$76,$I$72:$I$76,"Percentage",$J$72:$J$76,"&lt;&gt;Derived"))</f>
        <v>1657</v>
      </c>
      <c r="Q78" s="197">
        <f t="shared" ref="Q78:X78" si="30">SUM(Q$71,SUMIFS(Q$72:Q$76,$I$72:$I$76,"Percentage",$J$72:$J$76,"&lt;&gt;Derived"))</f>
        <v>1594</v>
      </c>
      <c r="R78" s="197">
        <f t="shared" si="30"/>
        <v>1221</v>
      </c>
      <c r="S78" s="197">
        <f t="shared" si="30"/>
        <v>1156</v>
      </c>
      <c r="T78" s="197">
        <f t="shared" si="30"/>
        <v>10</v>
      </c>
      <c r="U78" s="197">
        <f t="shared" si="30"/>
        <v>249.6</v>
      </c>
      <c r="V78" s="197">
        <f t="shared" si="30"/>
        <v>260</v>
      </c>
      <c r="W78" s="197">
        <f t="shared" si="30"/>
        <v>248</v>
      </c>
      <c r="X78" s="197">
        <f t="shared" si="30"/>
        <v>47</v>
      </c>
      <c r="Y78" s="480"/>
      <c r="Z78" s="480"/>
      <c r="AA78" s="480"/>
    </row>
    <row r="79" spans="1:27" ht="14.25" customHeight="1">
      <c r="A79" s="566"/>
      <c r="B79" s="558" t="s">
        <v>24</v>
      </c>
      <c r="C79" s="200" t="str" cm="1">
        <f t="array" ref="C79">IF(OR(Spec2MajorGrandmasterCondition="(Select)",Spec2MajorGrandmasterCondition=""),_xlfn._xlws.FILTER(TraitStats,(TraitStatsTable[Name]=Spec2MajorGrandmaster)*(TraitStatsTable[Condition]=""),"No stat bonus"),_xlfn._xlws.FILTER(TraitStats,(TraitStatsTable[Name]=Spec2MajorGrandmaster)*((TraitStatsTable[Condition]=Spec2MajorGrandmasterCondition)+(TraitStatsTable[Condition]="")),"No stat bonus"))</f>
        <v>No stat bonus</v>
      </c>
      <c r="D79" s="195"/>
      <c r="E79" s="195"/>
      <c r="F79" s="195"/>
      <c r="G79" s="195"/>
      <c r="H79" s="195"/>
      <c r="I79" s="195"/>
      <c r="J79" s="195"/>
      <c r="K79" s="195"/>
      <c r="L79" s="195"/>
      <c r="M79" s="195"/>
      <c r="N79" s="195"/>
      <c r="O79" s="196"/>
      <c r="P79" s="190" t="str" cm="1">
        <f t="array" ref="P79">_xlfn.LET(_xlpm.PercentCheck,IF(OR(P$1="Crit Chance",P$1="Crit Damage",P$1="Condition Duration"),1,0),_xlpm.Flat,$H79,_xlpm.Percentage,$H79*P$78,_xlpm.Derived,$H79*P$78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P$1,AND(_xlpm.PercentCheck=0,$G79="All")),_xlfn.IFS(AND($I79="Flat",$J79=0),_xlpm.Flat,AND($I79="Percentage",$J79=0),_xlpm.Percentage,$J79="Derived",_xlpm.Derived,$J79="Boon Enhancement",_xlpm.BoonEnhancement,$J79="Stacking",_xlpm.Stacking),""))</f>
        <v/>
      </c>
      <c r="Q79" s="190" t="str" cm="1">
        <f t="array" ref="Q79">_xlfn.LET(_xlpm.PercentCheck,IF(OR(Q$1="Crit Chance",Q$1="Crit Damage",Q$1="Condition Duration"),1,0),_xlpm.Flat,$H79,_xlpm.Percentage,$H79*Q$78,_xlpm.Derived,$H79*Q$78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Q$1,AND(_xlpm.PercentCheck=0,$G79="All")),_xlfn.IFS(AND($I79="Flat",$J79=0),_xlpm.Flat,AND($I79="Percentage",$J79=0),_xlpm.Percentage,$J79="Derived",_xlpm.Derived,$J79="Boon Enhancement",_xlpm.BoonEnhancement,$J79="Stacking",_xlpm.Stacking),""))</f>
        <v/>
      </c>
      <c r="R79" s="190" t="str" cm="1">
        <f t="array" ref="R79">_xlfn.LET(_xlpm.PercentCheck,IF(OR(R$1="Crit Chance",R$1="Crit Damage",R$1="Condition Duration"),1,0),_xlpm.Flat,$H79,_xlpm.Percentage,$H79*R$78,_xlpm.Derived,$H79*R$78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R$1,AND(_xlpm.PercentCheck=0,$G79="All")),_xlfn.IFS(AND($I79="Flat",$J79=0),_xlpm.Flat,AND($I79="Percentage",$J79=0),_xlpm.Percentage,$J79="Derived",_xlpm.Derived,$J79="Boon Enhancement",_xlpm.BoonEnhancement,$J79="Stacking",_xlpm.Stacking),""))</f>
        <v/>
      </c>
      <c r="S79" s="190" t="str" cm="1">
        <f t="array" ref="S79">_xlfn.LET(_xlpm.PercentCheck,IF(OR(S$1="Crit Chance",S$1="Crit Damage",S$1="Condition Duration"),1,0),_xlpm.Flat,$H79,_xlpm.Percentage,$H79*S$78,_xlpm.Derived,$H79*S$78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S$1,AND(_xlpm.PercentCheck=0,$G79="All")),_xlfn.IFS(AND($I79="Flat",$J79=0),_xlpm.Flat,AND($I79="Percentage",$J79=0),_xlpm.Percentage,$J79="Derived",_xlpm.Derived,$J79="Boon Enhancement",_xlpm.BoonEnhancement,$J79="Stacking",_xlpm.Stacking),""))</f>
        <v/>
      </c>
      <c r="T79" s="190" t="str" cm="1">
        <f t="array" ref="T79">_xlfn.LET(_xlpm.PercentCheck,IF(OR(T$1="Crit Chance",T$1="Crit Damage",T$1="Condition Duration"),1,0),_xlpm.Flat,$H79,_xlpm.Percentage,$H79*T$78,_xlpm.Derived,$H79*T$78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T$1,AND(_xlpm.PercentCheck=0,$G79="All")),_xlfn.IFS(AND($I79="Flat",$J79=0),_xlpm.Flat,AND($I79="Percentage",$J79=0),_xlpm.Percentage,$J79="Derived",_xlpm.Derived,$J79="Boon Enhancement",_xlpm.BoonEnhancement,$J79="Stacking",_xlpm.Stacking),""))</f>
        <v/>
      </c>
      <c r="U79" s="190" t="str" cm="1">
        <f t="array" ref="U79">_xlfn.LET(_xlpm.PercentCheck,IF(OR(U$1="Crit Chance",U$1="Crit Damage",U$1="Condition Duration"),1,0),_xlpm.Flat,$H79,_xlpm.Percentage,$H79*U$78,_xlpm.Derived,$H79*U$78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U$1,AND(_xlpm.PercentCheck=0,$G79="All")),_xlfn.IFS(AND($I79="Flat",$J79=0),_xlpm.Flat,AND($I79="Percentage",$J79=0),_xlpm.Percentage,$J79="Derived",_xlpm.Derived,$J79="Boon Enhancement",_xlpm.BoonEnhancement,$J79="Stacking",_xlpm.Stacking),""))</f>
        <v/>
      </c>
      <c r="V79" s="190" t="str" cm="1">
        <f t="array" ref="V79">_xlfn.LET(_xlpm.PercentCheck,IF(OR(V$1="Crit Chance",V$1="Crit Damage",V$1="Condition Duration"),1,0),_xlpm.Flat,$H79,_xlpm.Percentage,$H79*V$78,_xlpm.Derived,$H79*V$78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V$1,AND(_xlpm.PercentCheck=0,$G79="All")),_xlfn.IFS(AND($I79="Flat",$J79=0),_xlpm.Flat,AND($I79="Percentage",$J79=0),_xlpm.Percentage,$J79="Derived",_xlpm.Derived,$J79="Boon Enhancement",_xlpm.BoonEnhancement,$J79="Stacking",_xlpm.Stacking),""))</f>
        <v/>
      </c>
      <c r="W79" s="190" t="str" cm="1">
        <f t="array" ref="W79">_xlfn.LET(_xlpm.PercentCheck,IF(OR(W$1="Crit Chance",W$1="Crit Damage",W$1="Condition Duration"),1,0),_xlpm.Flat,$H79,_xlpm.Percentage,$H79*W$78,_xlpm.Derived,$H79*W$78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W$1,AND(_xlpm.PercentCheck=0,$G79="All")),_xlfn.IFS(AND($I79="Flat",$J79=0),_xlpm.Flat,AND($I79="Percentage",$J79=0),_xlpm.Percentage,$J79="Derived",_xlpm.Derived,$J79="Boon Enhancement",_xlpm.BoonEnhancement,$J79="Stacking",_xlpm.Stacking),""))</f>
        <v/>
      </c>
      <c r="X79" s="190" t="str" cm="1">
        <f t="array" ref="X79">_xlfn.LET(_xlpm.PercentCheck,IF(OR(X$1="Crit Chance",X$1="Crit Damage",X$1="Condition Duration"),1,0),_xlpm.Flat,$H79,_xlpm.Percentage,$H79*X$78,_xlpm.Derived,$H79*X$78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X$1,AND(_xlpm.PercentCheck=0,$G79="All")),_xlfn.IFS(AND($I79="Flat",$J79=0),_xlpm.Flat,AND($I79="Percentage",$J79=0),_xlpm.Percentage,$J79="Derived",_xlpm.Derived,$J79="Boon Enhancement",_xlpm.BoonEnhancement,$J79="Stacking",_xlpm.Stacking),""))</f>
        <v/>
      </c>
      <c r="Y79" s="190" t="str" cm="1">
        <f t="array" ref="Y79">_xlfn.LET(_xlpm.PercentCheck,IF(OR(Y$1="Crit Chance",Y$1="Crit Damage",Y$1="Condition Duration"),1,0),_xlpm.Flat,$H79,_xlpm.Percentage,$H79*Y$78,_xlpm.Derived,$H79*Y$78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Y$1,AND(_xlpm.PercentCheck=0,$G79="All")),_xlfn.IFS(AND($I79="Flat",$J79=0),_xlpm.Flat,AND($I79="Percentage",$J79=0),_xlpm.Percentage,$J79="Derived",_xlpm.Derived,$J79="Boon Enhancement",_xlpm.BoonEnhancement,$J79="Stacking",_xlpm.Stacking),""))</f>
        <v/>
      </c>
      <c r="Z79" s="190" t="str" cm="1">
        <f t="array" ref="Z79">_xlfn.LET(_xlpm.PercentCheck,IF(OR(Z$1="Crit Chance",Z$1="Crit Damage",Z$1="Condition Duration"),1,0),_xlpm.Flat,$H79,_xlpm.Percentage,$H79*Z$78,_xlpm.Derived,$H79*Z$78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Z$1,AND(_xlpm.PercentCheck=0,$G79="All")),_xlfn.IFS(AND($I79="Flat",$J79=0),_xlpm.Flat,AND($I79="Percentage",$J79=0),_xlpm.Percentage,$J79="Derived",_xlpm.Derived,$J79="Boon Enhancement",_xlpm.BoonEnhancement,$J79="Stacking",_xlpm.Stacking),""))</f>
        <v/>
      </c>
      <c r="AA79" s="190" t="str" cm="1">
        <f t="array" ref="AA79">_xlfn.LET(_xlpm.PercentCheck,IF(OR(AA$1="Crit Chance",AA$1="Crit Damage",AA$1="Condition Duration"),1,0),_xlpm.Flat,$H79,_xlpm.Percentage,$H79*AA$78,_xlpm.Derived,$H79*AA$78,_xlpm.BoonType,VLOOKUP($M79,BoonToggles,2,0),_xlpm.BoonEnhancement,IF(AND(ISLOGICAL(_xlpm.BoonType),_xlpm.BoonType=TRUE),IF($I79="Flat",$H79,_xlpm.Percentage),IF($I79="Flat",$H79*_xlpm.BoonType,_xlpm.Percentage*_xlpm.BoonType)),_xlpm.Stacking,IF($I79="Flat",$H79*Spec1MajorGrandmasterStacks,IF(_xlpm.PercentCheck=1,"",_xlpm.Percentage*Spec1MajorGrandmasterStacks)),IF(OR($G79=AA$1,AND(_xlpm.PercentCheck=0,$G79="All")),_xlfn.IFS(AND($I79="Flat",$J79=0),_xlpm.Flat,AND($I79="Percentage",$J79=0),_xlpm.Percentage,$J79="Derived",_xlpm.Derived,$J79="Boon Enhancement",_xlpm.BoonEnhancement,$J79="Stacking",_xlpm.Stacking),""))</f>
        <v/>
      </c>
    </row>
    <row r="80" spans="1:27" ht="14.25" customHeight="1">
      <c r="A80" s="566"/>
      <c r="B80" s="556"/>
      <c r="C80" s="194"/>
      <c r="D80" s="195"/>
      <c r="E80" s="195"/>
      <c r="F80" s="195"/>
      <c r="G80" s="195"/>
      <c r="H80" s="195"/>
      <c r="I80" s="195"/>
      <c r="J80" s="195"/>
      <c r="K80" s="195"/>
      <c r="L80" s="195"/>
      <c r="M80" s="195"/>
      <c r="N80" s="195"/>
      <c r="O80" s="196"/>
      <c r="P80" s="190" t="str" cm="1">
        <f t="array" ref="P80">_xlfn.LET(_xlpm.PercentCheck,IF(OR(P$1="Crit Chance",P$1="Crit Damage",P$1="Condition Duration"),1,0),_xlpm.Flat,$H80,_xlpm.Percentage,$H80*P$78,_xlpm.Derived,$H80*P$78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P$1,AND(_xlpm.PercentCheck=0,$G80="All")),_xlfn.IFS(AND($I80="Flat",$J80=0),_xlpm.Flat,AND($I80="Percentage",$J80=0),_xlpm.Percentage,$J80="Derived",_xlpm.Derived,$J80="Boon Enhancement",_xlpm.BoonEnhancement,$J80="Stacking",_xlpm.Stacking),""))</f>
        <v/>
      </c>
      <c r="Q80" s="190" t="str" cm="1">
        <f t="array" ref="Q80">_xlfn.LET(_xlpm.PercentCheck,IF(OR(Q$1="Crit Chance",Q$1="Crit Damage",Q$1="Condition Duration"),1,0),_xlpm.Flat,$H80,_xlpm.Percentage,$H80*Q$78,_xlpm.Derived,$H80*Q$78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Q$1,AND(_xlpm.PercentCheck=0,$G80="All")),_xlfn.IFS(AND($I80="Flat",$J80=0),_xlpm.Flat,AND($I80="Percentage",$J80=0),_xlpm.Percentage,$J80="Derived",_xlpm.Derived,$J80="Boon Enhancement",_xlpm.BoonEnhancement,$J80="Stacking",_xlpm.Stacking),""))</f>
        <v/>
      </c>
      <c r="R80" s="190" t="str" cm="1">
        <f t="array" ref="R80">_xlfn.LET(_xlpm.PercentCheck,IF(OR(R$1="Crit Chance",R$1="Crit Damage",R$1="Condition Duration"),1,0),_xlpm.Flat,$H80,_xlpm.Percentage,$H80*R$78,_xlpm.Derived,$H80*R$78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R$1,AND(_xlpm.PercentCheck=0,$G80="All")),_xlfn.IFS(AND($I80="Flat",$J80=0),_xlpm.Flat,AND($I80="Percentage",$J80=0),_xlpm.Percentage,$J80="Derived",_xlpm.Derived,$J80="Boon Enhancement",_xlpm.BoonEnhancement,$J80="Stacking",_xlpm.Stacking),""))</f>
        <v/>
      </c>
      <c r="S80" s="190" t="str" cm="1">
        <f t="array" ref="S80">_xlfn.LET(_xlpm.PercentCheck,IF(OR(S$1="Crit Chance",S$1="Crit Damage",S$1="Condition Duration"),1,0),_xlpm.Flat,$H80,_xlpm.Percentage,$H80*S$78,_xlpm.Derived,$H80*S$78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S$1,AND(_xlpm.PercentCheck=0,$G80="All")),_xlfn.IFS(AND($I80="Flat",$J80=0),_xlpm.Flat,AND($I80="Percentage",$J80=0),_xlpm.Percentage,$J80="Derived",_xlpm.Derived,$J80="Boon Enhancement",_xlpm.BoonEnhancement,$J80="Stacking",_xlpm.Stacking),""))</f>
        <v/>
      </c>
      <c r="T80" s="190" t="str" cm="1">
        <f t="array" ref="T80">_xlfn.LET(_xlpm.PercentCheck,IF(OR(T$1="Crit Chance",T$1="Crit Damage",T$1="Condition Duration"),1,0),_xlpm.Flat,$H80,_xlpm.Percentage,$H80*T$78,_xlpm.Derived,$H80*T$78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T$1,AND(_xlpm.PercentCheck=0,$G80="All")),_xlfn.IFS(AND($I80="Flat",$J80=0),_xlpm.Flat,AND($I80="Percentage",$J80=0),_xlpm.Percentage,$J80="Derived",_xlpm.Derived,$J80="Boon Enhancement",_xlpm.BoonEnhancement,$J80="Stacking",_xlpm.Stacking),""))</f>
        <v/>
      </c>
      <c r="U80" s="190" t="str" cm="1">
        <f t="array" ref="U80">_xlfn.LET(_xlpm.PercentCheck,IF(OR(U$1="Crit Chance",U$1="Crit Damage",U$1="Condition Duration"),1,0),_xlpm.Flat,$H80,_xlpm.Percentage,$H80*U$78,_xlpm.Derived,$H80*U$78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U$1,AND(_xlpm.PercentCheck=0,$G80="All")),_xlfn.IFS(AND($I80="Flat",$J80=0),_xlpm.Flat,AND($I80="Percentage",$J80=0),_xlpm.Percentage,$J80="Derived",_xlpm.Derived,$J80="Boon Enhancement",_xlpm.BoonEnhancement,$J80="Stacking",_xlpm.Stacking),""))</f>
        <v/>
      </c>
      <c r="V80" s="190" t="str" cm="1">
        <f t="array" ref="V80">_xlfn.LET(_xlpm.PercentCheck,IF(OR(V$1="Crit Chance",V$1="Crit Damage",V$1="Condition Duration"),1,0),_xlpm.Flat,$H80,_xlpm.Percentage,$H80*V$78,_xlpm.Derived,$H80*V$78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V$1,AND(_xlpm.PercentCheck=0,$G80="All")),_xlfn.IFS(AND($I80="Flat",$J80=0),_xlpm.Flat,AND($I80="Percentage",$J80=0),_xlpm.Percentage,$J80="Derived",_xlpm.Derived,$J80="Boon Enhancement",_xlpm.BoonEnhancement,$J80="Stacking",_xlpm.Stacking),""))</f>
        <v/>
      </c>
      <c r="W80" s="190" t="str" cm="1">
        <f t="array" ref="W80">_xlfn.LET(_xlpm.PercentCheck,IF(OR(W$1="Crit Chance",W$1="Crit Damage",W$1="Condition Duration"),1,0),_xlpm.Flat,$H80,_xlpm.Percentage,$H80*W$78,_xlpm.Derived,$H80*W$78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W$1,AND(_xlpm.PercentCheck=0,$G80="All")),_xlfn.IFS(AND($I80="Flat",$J80=0),_xlpm.Flat,AND($I80="Percentage",$J80=0),_xlpm.Percentage,$J80="Derived",_xlpm.Derived,$J80="Boon Enhancement",_xlpm.BoonEnhancement,$J80="Stacking",_xlpm.Stacking),""))</f>
        <v/>
      </c>
      <c r="X80" s="190" t="str" cm="1">
        <f t="array" ref="X80">_xlfn.LET(_xlpm.PercentCheck,IF(OR(X$1="Crit Chance",X$1="Crit Damage",X$1="Condition Duration"),1,0),_xlpm.Flat,$H80,_xlpm.Percentage,$H80*X$78,_xlpm.Derived,$H80*X$78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X$1,AND(_xlpm.PercentCheck=0,$G80="All")),_xlfn.IFS(AND($I80="Flat",$J80=0),_xlpm.Flat,AND($I80="Percentage",$J80=0),_xlpm.Percentage,$J80="Derived",_xlpm.Derived,$J80="Boon Enhancement",_xlpm.BoonEnhancement,$J80="Stacking",_xlpm.Stacking),""))</f>
        <v/>
      </c>
      <c r="Y80" s="190" t="str" cm="1">
        <f t="array" ref="Y80">_xlfn.LET(_xlpm.PercentCheck,IF(OR(Y$1="Crit Chance",Y$1="Crit Damage",Y$1="Condition Duration"),1,0),_xlpm.Flat,$H80,_xlpm.Percentage,$H80*Y$78,_xlpm.Derived,$H80*Y$78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Y$1,AND(_xlpm.PercentCheck=0,$G80="All")),_xlfn.IFS(AND($I80="Flat",$J80=0),_xlpm.Flat,AND($I80="Percentage",$J80=0),_xlpm.Percentage,$J80="Derived",_xlpm.Derived,$J80="Boon Enhancement",_xlpm.BoonEnhancement,$J80="Stacking",_xlpm.Stacking),""))</f>
        <v/>
      </c>
      <c r="Z80" s="190" t="str" cm="1">
        <f t="array" ref="Z80">_xlfn.LET(_xlpm.PercentCheck,IF(OR(Z$1="Crit Chance",Z$1="Crit Damage",Z$1="Condition Duration"),1,0),_xlpm.Flat,$H80,_xlpm.Percentage,$H80*Z$78,_xlpm.Derived,$H80*Z$78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Z$1,AND(_xlpm.PercentCheck=0,$G80="All")),_xlfn.IFS(AND($I80="Flat",$J80=0),_xlpm.Flat,AND($I80="Percentage",$J80=0),_xlpm.Percentage,$J80="Derived",_xlpm.Derived,$J80="Boon Enhancement",_xlpm.BoonEnhancement,$J80="Stacking",_xlpm.Stacking),""))</f>
        <v/>
      </c>
      <c r="AA80" s="190" t="str" cm="1">
        <f t="array" ref="AA80">_xlfn.LET(_xlpm.PercentCheck,IF(OR(AA$1="Crit Chance",AA$1="Crit Damage",AA$1="Condition Duration"),1,0),_xlpm.Flat,$H80,_xlpm.Percentage,$H80*AA$78,_xlpm.Derived,$H80*AA$78,_xlpm.BoonType,VLOOKUP($M80,BoonToggles,2,0),_xlpm.BoonEnhancement,IF(AND(ISLOGICAL(_xlpm.BoonType),_xlpm.BoonType=TRUE),IF($I80="Flat",$H80,_xlpm.Percentage),IF($I80="Flat",$H80*_xlpm.BoonType,_xlpm.Percentage*_xlpm.BoonType)),_xlpm.Stacking,IF($I80="Flat",$H80*Spec1MajorGrandmasterStacks,IF(_xlpm.PercentCheck=1,"",_xlpm.Percentage*Spec1MajorGrandmasterStacks)),IF(OR($G80=AA$1,AND(_xlpm.PercentCheck=0,$G80="All")),_xlfn.IFS(AND($I80="Flat",$J80=0),_xlpm.Flat,AND($I80="Percentage",$J80=0),_xlpm.Percentage,$J80="Derived",_xlpm.Derived,$J80="Boon Enhancement",_xlpm.BoonEnhancement,$J80="Stacking",_xlpm.Stacking),""))</f>
        <v/>
      </c>
    </row>
    <row r="81" spans="1:27" ht="14.25" customHeight="1">
      <c r="A81" s="566"/>
      <c r="B81" s="556"/>
      <c r="C81" s="194"/>
      <c r="D81" s="195"/>
      <c r="E81" s="195"/>
      <c r="F81" s="195"/>
      <c r="G81" s="195"/>
      <c r="H81" s="195"/>
      <c r="I81" s="195"/>
      <c r="J81" s="195"/>
      <c r="K81" s="195"/>
      <c r="L81" s="195"/>
      <c r="M81" s="195"/>
      <c r="N81" s="195"/>
      <c r="O81" s="196"/>
      <c r="P81" s="190" t="str" cm="1">
        <f t="array" ref="P81">_xlfn.LET(_xlpm.PercentCheck,IF(OR(P$1="Crit Chance",P$1="Crit Damage",P$1="Condition Duration"),1,0),_xlpm.Flat,$H81,_xlpm.Percentage,$H81*P$78,_xlpm.Derived,$H81*P$78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P$1,AND(_xlpm.PercentCheck=0,$G81="All")),_xlfn.IFS(AND($I81="Flat",$J81=0),_xlpm.Flat,AND($I81="Percentage",$J81=0),_xlpm.Percentage,$J81="Derived",_xlpm.Derived,$J81="Boon Enhancement",_xlpm.BoonEnhancement,$J81="Stacking",_xlpm.Stacking),""))</f>
        <v/>
      </c>
      <c r="Q81" s="190" t="str" cm="1">
        <f t="array" ref="Q81">_xlfn.LET(_xlpm.PercentCheck,IF(OR(Q$1="Crit Chance",Q$1="Crit Damage",Q$1="Condition Duration"),1,0),_xlpm.Flat,$H81,_xlpm.Percentage,$H81*Q$78,_xlpm.Derived,$H81*Q$78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Q$1,AND(_xlpm.PercentCheck=0,$G81="All")),_xlfn.IFS(AND($I81="Flat",$J81=0),_xlpm.Flat,AND($I81="Percentage",$J81=0),_xlpm.Percentage,$J81="Derived",_xlpm.Derived,$J81="Boon Enhancement",_xlpm.BoonEnhancement,$J81="Stacking",_xlpm.Stacking),""))</f>
        <v/>
      </c>
      <c r="R81" s="190" t="str" cm="1">
        <f t="array" ref="R81">_xlfn.LET(_xlpm.PercentCheck,IF(OR(R$1="Crit Chance",R$1="Crit Damage",R$1="Condition Duration"),1,0),_xlpm.Flat,$H81,_xlpm.Percentage,$H81*R$78,_xlpm.Derived,$H81*R$78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R$1,AND(_xlpm.PercentCheck=0,$G81="All")),_xlfn.IFS(AND($I81="Flat",$J81=0),_xlpm.Flat,AND($I81="Percentage",$J81=0),_xlpm.Percentage,$J81="Derived",_xlpm.Derived,$J81="Boon Enhancement",_xlpm.BoonEnhancement,$J81="Stacking",_xlpm.Stacking),""))</f>
        <v/>
      </c>
      <c r="S81" s="190" t="str" cm="1">
        <f t="array" ref="S81">_xlfn.LET(_xlpm.PercentCheck,IF(OR(S$1="Crit Chance",S$1="Crit Damage",S$1="Condition Duration"),1,0),_xlpm.Flat,$H81,_xlpm.Percentage,$H81*S$78,_xlpm.Derived,$H81*S$78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S$1,AND(_xlpm.PercentCheck=0,$G81="All")),_xlfn.IFS(AND($I81="Flat",$J81=0),_xlpm.Flat,AND($I81="Percentage",$J81=0),_xlpm.Percentage,$J81="Derived",_xlpm.Derived,$J81="Boon Enhancement",_xlpm.BoonEnhancement,$J81="Stacking",_xlpm.Stacking),""))</f>
        <v/>
      </c>
      <c r="T81" s="190" t="str" cm="1">
        <f t="array" ref="T81">_xlfn.LET(_xlpm.PercentCheck,IF(OR(T$1="Crit Chance",T$1="Crit Damage",T$1="Condition Duration"),1,0),_xlpm.Flat,$H81,_xlpm.Percentage,$H81*T$78,_xlpm.Derived,$H81*T$78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T$1,AND(_xlpm.PercentCheck=0,$G81="All")),_xlfn.IFS(AND($I81="Flat",$J81=0),_xlpm.Flat,AND($I81="Percentage",$J81=0),_xlpm.Percentage,$J81="Derived",_xlpm.Derived,$J81="Boon Enhancement",_xlpm.BoonEnhancement,$J81="Stacking",_xlpm.Stacking),""))</f>
        <v/>
      </c>
      <c r="U81" s="190" t="str" cm="1">
        <f t="array" ref="U81">_xlfn.LET(_xlpm.PercentCheck,IF(OR(U$1="Crit Chance",U$1="Crit Damage",U$1="Condition Duration"),1,0),_xlpm.Flat,$H81,_xlpm.Percentage,$H81*U$78,_xlpm.Derived,$H81*U$78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U$1,AND(_xlpm.PercentCheck=0,$G81="All")),_xlfn.IFS(AND($I81="Flat",$J81=0),_xlpm.Flat,AND($I81="Percentage",$J81=0),_xlpm.Percentage,$J81="Derived",_xlpm.Derived,$J81="Boon Enhancement",_xlpm.BoonEnhancement,$J81="Stacking",_xlpm.Stacking),""))</f>
        <v/>
      </c>
      <c r="V81" s="190" t="str" cm="1">
        <f t="array" ref="V81">_xlfn.LET(_xlpm.PercentCheck,IF(OR(V$1="Crit Chance",V$1="Crit Damage",V$1="Condition Duration"),1,0),_xlpm.Flat,$H81,_xlpm.Percentage,$H81*V$78,_xlpm.Derived,$H81*V$78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V$1,AND(_xlpm.PercentCheck=0,$G81="All")),_xlfn.IFS(AND($I81="Flat",$J81=0),_xlpm.Flat,AND($I81="Percentage",$J81=0),_xlpm.Percentage,$J81="Derived",_xlpm.Derived,$J81="Boon Enhancement",_xlpm.BoonEnhancement,$J81="Stacking",_xlpm.Stacking),""))</f>
        <v/>
      </c>
      <c r="W81" s="190" t="str" cm="1">
        <f t="array" ref="W81">_xlfn.LET(_xlpm.PercentCheck,IF(OR(W$1="Crit Chance",W$1="Crit Damage",W$1="Condition Duration"),1,0),_xlpm.Flat,$H81,_xlpm.Percentage,$H81*W$78,_xlpm.Derived,$H81*W$78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W$1,AND(_xlpm.PercentCheck=0,$G81="All")),_xlfn.IFS(AND($I81="Flat",$J81=0),_xlpm.Flat,AND($I81="Percentage",$J81=0),_xlpm.Percentage,$J81="Derived",_xlpm.Derived,$J81="Boon Enhancement",_xlpm.BoonEnhancement,$J81="Stacking",_xlpm.Stacking),""))</f>
        <v/>
      </c>
      <c r="X81" s="190" t="str" cm="1">
        <f t="array" ref="X81">_xlfn.LET(_xlpm.PercentCheck,IF(OR(X$1="Crit Chance",X$1="Crit Damage",X$1="Condition Duration"),1,0),_xlpm.Flat,$H81,_xlpm.Percentage,$H81*X$78,_xlpm.Derived,$H81*X$78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X$1,AND(_xlpm.PercentCheck=0,$G81="All")),_xlfn.IFS(AND($I81="Flat",$J81=0),_xlpm.Flat,AND($I81="Percentage",$J81=0),_xlpm.Percentage,$J81="Derived",_xlpm.Derived,$J81="Boon Enhancement",_xlpm.BoonEnhancement,$J81="Stacking",_xlpm.Stacking),""))</f>
        <v/>
      </c>
      <c r="Y81" s="190" t="str" cm="1">
        <f t="array" ref="Y81">_xlfn.LET(_xlpm.PercentCheck,IF(OR(Y$1="Crit Chance",Y$1="Crit Damage",Y$1="Condition Duration"),1,0),_xlpm.Flat,$H81,_xlpm.Percentage,$H81*Y$78,_xlpm.Derived,$H81*Y$78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Y$1,AND(_xlpm.PercentCheck=0,$G81="All")),_xlfn.IFS(AND($I81="Flat",$J81=0),_xlpm.Flat,AND($I81="Percentage",$J81=0),_xlpm.Percentage,$J81="Derived",_xlpm.Derived,$J81="Boon Enhancement",_xlpm.BoonEnhancement,$J81="Stacking",_xlpm.Stacking),""))</f>
        <v/>
      </c>
      <c r="Z81" s="190" t="str" cm="1">
        <f t="array" ref="Z81">_xlfn.LET(_xlpm.PercentCheck,IF(OR(Z$1="Crit Chance",Z$1="Crit Damage",Z$1="Condition Duration"),1,0),_xlpm.Flat,$H81,_xlpm.Percentage,$H81*Z$78,_xlpm.Derived,$H81*Z$78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Z$1,AND(_xlpm.PercentCheck=0,$G81="All")),_xlfn.IFS(AND($I81="Flat",$J81=0),_xlpm.Flat,AND($I81="Percentage",$J81=0),_xlpm.Percentage,$J81="Derived",_xlpm.Derived,$J81="Boon Enhancement",_xlpm.BoonEnhancement,$J81="Stacking",_xlpm.Stacking),""))</f>
        <v/>
      </c>
      <c r="AA81" s="190" t="str" cm="1">
        <f t="array" ref="AA81">_xlfn.LET(_xlpm.PercentCheck,IF(OR(AA$1="Crit Chance",AA$1="Crit Damage",AA$1="Condition Duration"),1,0),_xlpm.Flat,$H81,_xlpm.Percentage,$H81*AA$78,_xlpm.Derived,$H81*AA$78,_xlpm.BoonType,VLOOKUP($M81,BoonToggles,2,0),_xlpm.BoonEnhancement,IF(AND(ISLOGICAL(_xlpm.BoonType),_xlpm.BoonType=TRUE),IF($I81="Flat",$H81,_xlpm.Percentage),IF($I81="Flat",$H81*_xlpm.BoonType,_xlpm.Percentage*_xlpm.BoonType)),_xlpm.Stacking,IF($I81="Flat",$H81*Spec1MajorGrandmasterStacks,IF(_xlpm.PercentCheck=1,"",_xlpm.Percentage*Spec1MajorGrandmasterStacks)),IF(OR($G81=AA$1,AND(_xlpm.PercentCheck=0,$G81="All")),_xlfn.IFS(AND($I81="Flat",$J81=0),_xlpm.Flat,AND($I81="Percentage",$J81=0),_xlpm.Percentage,$J81="Derived",_xlpm.Derived,$J81="Boon Enhancement",_xlpm.BoonEnhancement,$J81="Stacking",_xlpm.Stacking),""))</f>
        <v/>
      </c>
    </row>
    <row r="82" spans="1:27" ht="14.25" customHeight="1">
      <c r="A82" s="566"/>
      <c r="B82" s="556"/>
      <c r="C82" s="194"/>
      <c r="D82" s="195"/>
      <c r="E82" s="195"/>
      <c r="F82" s="195"/>
      <c r="G82" s="195"/>
      <c r="H82" s="195"/>
      <c r="I82" s="195"/>
      <c r="J82" s="195"/>
      <c r="K82" s="195"/>
      <c r="L82" s="195"/>
      <c r="M82" s="195"/>
      <c r="N82" s="195"/>
      <c r="O82" s="196"/>
      <c r="P82" s="190" t="str" cm="1">
        <f t="array" ref="P82">_xlfn.LET(_xlpm.PercentCheck,IF(OR(P$1="Crit Chance",P$1="Crit Damage",P$1="Condition Duration"),1,0),_xlpm.Flat,$H82,_xlpm.Percentage,$H82*P$78,_xlpm.Derived,$H82*P$78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P$1,AND(_xlpm.PercentCheck=0,$G82="All")),_xlfn.IFS(AND($I82="Flat",$J82=0),_xlpm.Flat,AND($I82="Percentage",$J82=0),_xlpm.Percentage,$J82="Derived",_xlpm.Derived,$J82="Boon Enhancement",_xlpm.BoonEnhancement,$J82="Stacking",_xlpm.Stacking),""))</f>
        <v/>
      </c>
      <c r="Q82" s="190" t="str" cm="1">
        <f t="array" ref="Q82">_xlfn.LET(_xlpm.PercentCheck,IF(OR(Q$1="Crit Chance",Q$1="Crit Damage",Q$1="Condition Duration"),1,0),_xlpm.Flat,$H82,_xlpm.Percentage,$H82*Q$78,_xlpm.Derived,$H82*Q$78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Q$1,AND(_xlpm.PercentCheck=0,$G82="All")),_xlfn.IFS(AND($I82="Flat",$J82=0),_xlpm.Flat,AND($I82="Percentage",$J82=0),_xlpm.Percentage,$J82="Derived",_xlpm.Derived,$J82="Boon Enhancement",_xlpm.BoonEnhancement,$J82="Stacking",_xlpm.Stacking),""))</f>
        <v/>
      </c>
      <c r="R82" s="190" t="str" cm="1">
        <f t="array" ref="R82">_xlfn.LET(_xlpm.PercentCheck,IF(OR(R$1="Crit Chance",R$1="Crit Damage",R$1="Condition Duration"),1,0),_xlpm.Flat,$H82,_xlpm.Percentage,$H82*R$78,_xlpm.Derived,$H82*R$78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R$1,AND(_xlpm.PercentCheck=0,$G82="All")),_xlfn.IFS(AND($I82="Flat",$J82=0),_xlpm.Flat,AND($I82="Percentage",$J82=0),_xlpm.Percentage,$J82="Derived",_xlpm.Derived,$J82="Boon Enhancement",_xlpm.BoonEnhancement,$J82="Stacking",_xlpm.Stacking),""))</f>
        <v/>
      </c>
      <c r="S82" s="190" t="str" cm="1">
        <f t="array" ref="S82">_xlfn.LET(_xlpm.PercentCheck,IF(OR(S$1="Crit Chance",S$1="Crit Damage",S$1="Condition Duration"),1,0),_xlpm.Flat,$H82,_xlpm.Percentage,$H82*S$78,_xlpm.Derived,$H82*S$78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S$1,AND(_xlpm.PercentCheck=0,$G82="All")),_xlfn.IFS(AND($I82="Flat",$J82=0),_xlpm.Flat,AND($I82="Percentage",$J82=0),_xlpm.Percentage,$J82="Derived",_xlpm.Derived,$J82="Boon Enhancement",_xlpm.BoonEnhancement,$J82="Stacking",_xlpm.Stacking),""))</f>
        <v/>
      </c>
      <c r="T82" s="190" t="str" cm="1">
        <f t="array" ref="T82">_xlfn.LET(_xlpm.PercentCheck,IF(OR(T$1="Crit Chance",T$1="Crit Damage",T$1="Condition Duration"),1,0),_xlpm.Flat,$H82,_xlpm.Percentage,$H82*T$78,_xlpm.Derived,$H82*T$78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T$1,AND(_xlpm.PercentCheck=0,$G82="All")),_xlfn.IFS(AND($I82="Flat",$J82=0),_xlpm.Flat,AND($I82="Percentage",$J82=0),_xlpm.Percentage,$J82="Derived",_xlpm.Derived,$J82="Boon Enhancement",_xlpm.BoonEnhancement,$J82="Stacking",_xlpm.Stacking),""))</f>
        <v/>
      </c>
      <c r="U82" s="190" t="str" cm="1">
        <f t="array" ref="U82">_xlfn.LET(_xlpm.PercentCheck,IF(OR(U$1="Crit Chance",U$1="Crit Damage",U$1="Condition Duration"),1,0),_xlpm.Flat,$H82,_xlpm.Percentage,$H82*U$78,_xlpm.Derived,$H82*U$78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U$1,AND(_xlpm.PercentCheck=0,$G82="All")),_xlfn.IFS(AND($I82="Flat",$J82=0),_xlpm.Flat,AND($I82="Percentage",$J82=0),_xlpm.Percentage,$J82="Derived",_xlpm.Derived,$J82="Boon Enhancement",_xlpm.BoonEnhancement,$J82="Stacking",_xlpm.Stacking),""))</f>
        <v/>
      </c>
      <c r="V82" s="190" t="str" cm="1">
        <f t="array" ref="V82">_xlfn.LET(_xlpm.PercentCheck,IF(OR(V$1="Crit Chance",V$1="Crit Damage",V$1="Condition Duration"),1,0),_xlpm.Flat,$H82,_xlpm.Percentage,$H82*V$78,_xlpm.Derived,$H82*V$78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V$1,AND(_xlpm.PercentCheck=0,$G82="All")),_xlfn.IFS(AND($I82="Flat",$J82=0),_xlpm.Flat,AND($I82="Percentage",$J82=0),_xlpm.Percentage,$J82="Derived",_xlpm.Derived,$J82="Boon Enhancement",_xlpm.BoonEnhancement,$J82="Stacking",_xlpm.Stacking),""))</f>
        <v/>
      </c>
      <c r="W82" s="190" t="str" cm="1">
        <f t="array" ref="W82">_xlfn.LET(_xlpm.PercentCheck,IF(OR(W$1="Crit Chance",W$1="Crit Damage",W$1="Condition Duration"),1,0),_xlpm.Flat,$H82,_xlpm.Percentage,$H82*W$78,_xlpm.Derived,$H82*W$78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W$1,AND(_xlpm.PercentCheck=0,$G82="All")),_xlfn.IFS(AND($I82="Flat",$J82=0),_xlpm.Flat,AND($I82="Percentage",$J82=0),_xlpm.Percentage,$J82="Derived",_xlpm.Derived,$J82="Boon Enhancement",_xlpm.BoonEnhancement,$J82="Stacking",_xlpm.Stacking),""))</f>
        <v/>
      </c>
      <c r="X82" s="190" t="str" cm="1">
        <f t="array" ref="X82">_xlfn.LET(_xlpm.PercentCheck,IF(OR(X$1="Crit Chance",X$1="Crit Damage",X$1="Condition Duration"),1,0),_xlpm.Flat,$H82,_xlpm.Percentage,$H82*X$78,_xlpm.Derived,$H82*X$78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X$1,AND(_xlpm.PercentCheck=0,$G82="All")),_xlfn.IFS(AND($I82="Flat",$J82=0),_xlpm.Flat,AND($I82="Percentage",$J82=0),_xlpm.Percentage,$J82="Derived",_xlpm.Derived,$J82="Boon Enhancement",_xlpm.BoonEnhancement,$J82="Stacking",_xlpm.Stacking),""))</f>
        <v/>
      </c>
      <c r="Y82" s="190" t="str" cm="1">
        <f t="array" ref="Y82">_xlfn.LET(_xlpm.PercentCheck,IF(OR(Y$1="Crit Chance",Y$1="Crit Damage",Y$1="Condition Duration"),1,0),_xlpm.Flat,$H82,_xlpm.Percentage,$H82*Y$78,_xlpm.Derived,$H82*Y$78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Y$1,AND(_xlpm.PercentCheck=0,$G82="All")),_xlfn.IFS(AND($I82="Flat",$J82=0),_xlpm.Flat,AND($I82="Percentage",$J82=0),_xlpm.Percentage,$J82="Derived",_xlpm.Derived,$J82="Boon Enhancement",_xlpm.BoonEnhancement,$J82="Stacking",_xlpm.Stacking),""))</f>
        <v/>
      </c>
      <c r="Z82" s="190" t="str" cm="1">
        <f t="array" ref="Z82">_xlfn.LET(_xlpm.PercentCheck,IF(OR(Z$1="Crit Chance",Z$1="Crit Damage",Z$1="Condition Duration"),1,0),_xlpm.Flat,$H82,_xlpm.Percentage,$H82*Z$78,_xlpm.Derived,$H82*Z$78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Z$1,AND(_xlpm.PercentCheck=0,$G82="All")),_xlfn.IFS(AND($I82="Flat",$J82=0),_xlpm.Flat,AND($I82="Percentage",$J82=0),_xlpm.Percentage,$J82="Derived",_xlpm.Derived,$J82="Boon Enhancement",_xlpm.BoonEnhancement,$J82="Stacking",_xlpm.Stacking),""))</f>
        <v/>
      </c>
      <c r="AA82" s="190" t="str" cm="1">
        <f t="array" ref="AA82">_xlfn.LET(_xlpm.PercentCheck,IF(OR(AA$1="Crit Chance",AA$1="Crit Damage",AA$1="Condition Duration"),1,0),_xlpm.Flat,$H82,_xlpm.Percentage,$H82*AA$78,_xlpm.Derived,$H82*AA$78,_xlpm.BoonType,VLOOKUP($M82,BoonToggles,2,0),_xlpm.BoonEnhancement,IF(AND(ISLOGICAL(_xlpm.BoonType),_xlpm.BoonType=TRUE),IF($I82="Flat",$H82,_xlpm.Percentage),IF($I82="Flat",$H82*_xlpm.BoonType,_xlpm.Percentage*_xlpm.BoonType)),_xlpm.Stacking,IF($I82="Flat",$H82*Spec1MajorGrandmasterStacks,IF(_xlpm.PercentCheck=1,"",_xlpm.Percentage*Spec1MajorGrandmasterStacks)),IF(OR($G82=AA$1,AND(_xlpm.PercentCheck=0,$G82="All")),_xlfn.IFS(AND($I82="Flat",$J82=0),_xlpm.Flat,AND($I82="Percentage",$J82=0),_xlpm.Percentage,$J82="Derived",_xlpm.Derived,$J82="Boon Enhancement",_xlpm.BoonEnhancement,$J82="Stacking",_xlpm.Stacking),""))</f>
        <v/>
      </c>
    </row>
    <row r="83" spans="1:27" ht="14.25" customHeight="1">
      <c r="A83" s="566"/>
      <c r="B83" s="557"/>
      <c r="C83" s="194"/>
      <c r="D83" s="195"/>
      <c r="E83" s="195"/>
      <c r="F83" s="195"/>
      <c r="G83" s="195"/>
      <c r="H83" s="195"/>
      <c r="I83" s="195"/>
      <c r="J83" s="195"/>
      <c r="K83" s="195"/>
      <c r="L83" s="195"/>
      <c r="M83" s="195"/>
      <c r="N83" s="195"/>
      <c r="O83" s="196"/>
      <c r="P83" s="190" t="str" cm="1">
        <f t="array" ref="P83">_xlfn.LET(_xlpm.PercentCheck,IF(OR(P$1="Crit Chance",P$1="Crit Damage",P$1="Condition Duration"),1,0),_xlpm.Flat,$H83,_xlpm.Percentage,$H83*P$78,_xlpm.Derived,$H83*P$78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P$1,AND(_xlpm.PercentCheck=0,$G83="All")),_xlfn.IFS(AND($I83="Flat",$J83=0),_xlpm.Flat,AND($I83="Percentage",$J83=0),_xlpm.Percentage,$J83="Derived",_xlpm.Derived,$J83="Boon Enhancement",_xlpm.BoonEnhancement,$J83="Stacking",_xlpm.Stacking),""))</f>
        <v/>
      </c>
      <c r="Q83" s="190" t="str" cm="1">
        <f t="array" ref="Q83">_xlfn.LET(_xlpm.PercentCheck,IF(OR(Q$1="Crit Chance",Q$1="Crit Damage",Q$1="Condition Duration"),1,0),_xlpm.Flat,$H83,_xlpm.Percentage,$H83*Q$78,_xlpm.Derived,$H83*Q$78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Q$1,AND(_xlpm.PercentCheck=0,$G83="All")),_xlfn.IFS(AND($I83="Flat",$J83=0),_xlpm.Flat,AND($I83="Percentage",$J83=0),_xlpm.Percentage,$J83="Derived",_xlpm.Derived,$J83="Boon Enhancement",_xlpm.BoonEnhancement,$J83="Stacking",_xlpm.Stacking),""))</f>
        <v/>
      </c>
      <c r="R83" s="190" t="str" cm="1">
        <f t="array" ref="R83">_xlfn.LET(_xlpm.PercentCheck,IF(OR(R$1="Crit Chance",R$1="Crit Damage",R$1="Condition Duration"),1,0),_xlpm.Flat,$H83,_xlpm.Percentage,$H83*R$78,_xlpm.Derived,$H83*R$78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R$1,AND(_xlpm.PercentCheck=0,$G83="All")),_xlfn.IFS(AND($I83="Flat",$J83=0),_xlpm.Flat,AND($I83="Percentage",$J83=0),_xlpm.Percentage,$J83="Derived",_xlpm.Derived,$J83="Boon Enhancement",_xlpm.BoonEnhancement,$J83="Stacking",_xlpm.Stacking),""))</f>
        <v/>
      </c>
      <c r="S83" s="190" t="str" cm="1">
        <f t="array" ref="S83">_xlfn.LET(_xlpm.PercentCheck,IF(OR(S$1="Crit Chance",S$1="Crit Damage",S$1="Condition Duration"),1,0),_xlpm.Flat,$H83,_xlpm.Percentage,$H83*S$78,_xlpm.Derived,$H83*S$78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S$1,AND(_xlpm.PercentCheck=0,$G83="All")),_xlfn.IFS(AND($I83="Flat",$J83=0),_xlpm.Flat,AND($I83="Percentage",$J83=0),_xlpm.Percentage,$J83="Derived",_xlpm.Derived,$J83="Boon Enhancement",_xlpm.BoonEnhancement,$J83="Stacking",_xlpm.Stacking),""))</f>
        <v/>
      </c>
      <c r="T83" s="190" t="str" cm="1">
        <f t="array" ref="T83">_xlfn.LET(_xlpm.PercentCheck,IF(OR(T$1="Crit Chance",T$1="Crit Damage",T$1="Condition Duration"),1,0),_xlpm.Flat,$H83,_xlpm.Percentage,$H83*T$78,_xlpm.Derived,$H83*T$78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T$1,AND(_xlpm.PercentCheck=0,$G83="All")),_xlfn.IFS(AND($I83="Flat",$J83=0),_xlpm.Flat,AND($I83="Percentage",$J83=0),_xlpm.Percentage,$J83="Derived",_xlpm.Derived,$J83="Boon Enhancement",_xlpm.BoonEnhancement,$J83="Stacking",_xlpm.Stacking),""))</f>
        <v/>
      </c>
      <c r="U83" s="190" t="str" cm="1">
        <f t="array" ref="U83">_xlfn.LET(_xlpm.PercentCheck,IF(OR(U$1="Crit Chance",U$1="Crit Damage",U$1="Condition Duration"),1,0),_xlpm.Flat,$H83,_xlpm.Percentage,$H83*U$78,_xlpm.Derived,$H83*U$78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U$1,AND(_xlpm.PercentCheck=0,$G83="All")),_xlfn.IFS(AND($I83="Flat",$J83=0),_xlpm.Flat,AND($I83="Percentage",$J83=0),_xlpm.Percentage,$J83="Derived",_xlpm.Derived,$J83="Boon Enhancement",_xlpm.BoonEnhancement,$J83="Stacking",_xlpm.Stacking),""))</f>
        <v/>
      </c>
      <c r="V83" s="190" t="str" cm="1">
        <f t="array" ref="V83">_xlfn.LET(_xlpm.PercentCheck,IF(OR(V$1="Crit Chance",V$1="Crit Damage",V$1="Condition Duration"),1,0),_xlpm.Flat,$H83,_xlpm.Percentage,$H83*V$78,_xlpm.Derived,$H83*V$78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V$1,AND(_xlpm.PercentCheck=0,$G83="All")),_xlfn.IFS(AND($I83="Flat",$J83=0),_xlpm.Flat,AND($I83="Percentage",$J83=0),_xlpm.Percentage,$J83="Derived",_xlpm.Derived,$J83="Boon Enhancement",_xlpm.BoonEnhancement,$J83="Stacking",_xlpm.Stacking),""))</f>
        <v/>
      </c>
      <c r="W83" s="190" t="str" cm="1">
        <f t="array" ref="W83">_xlfn.LET(_xlpm.PercentCheck,IF(OR(W$1="Crit Chance",W$1="Crit Damage",W$1="Condition Duration"),1,0),_xlpm.Flat,$H83,_xlpm.Percentage,$H83*W$78,_xlpm.Derived,$H83*W$78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W$1,AND(_xlpm.PercentCheck=0,$G83="All")),_xlfn.IFS(AND($I83="Flat",$J83=0),_xlpm.Flat,AND($I83="Percentage",$J83=0),_xlpm.Percentage,$J83="Derived",_xlpm.Derived,$J83="Boon Enhancement",_xlpm.BoonEnhancement,$J83="Stacking",_xlpm.Stacking),""))</f>
        <v/>
      </c>
      <c r="X83" s="190" t="str" cm="1">
        <f t="array" ref="X83">_xlfn.LET(_xlpm.PercentCheck,IF(OR(X$1="Crit Chance",X$1="Crit Damage",X$1="Condition Duration"),1,0),_xlpm.Flat,$H83,_xlpm.Percentage,$H83*X$78,_xlpm.Derived,$H83*X$78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X$1,AND(_xlpm.PercentCheck=0,$G83="All")),_xlfn.IFS(AND($I83="Flat",$J83=0),_xlpm.Flat,AND($I83="Percentage",$J83=0),_xlpm.Percentage,$J83="Derived",_xlpm.Derived,$J83="Boon Enhancement",_xlpm.BoonEnhancement,$J83="Stacking",_xlpm.Stacking),""))</f>
        <v/>
      </c>
      <c r="Y83" s="190" t="str" cm="1">
        <f t="array" ref="Y83">_xlfn.LET(_xlpm.PercentCheck,IF(OR(Y$1="Crit Chance",Y$1="Crit Damage",Y$1="Condition Duration"),1,0),_xlpm.Flat,$H83,_xlpm.Percentage,$H83*Y$78,_xlpm.Derived,$H83*Y$78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Y$1,AND(_xlpm.PercentCheck=0,$G83="All")),_xlfn.IFS(AND($I83="Flat",$J83=0),_xlpm.Flat,AND($I83="Percentage",$J83=0),_xlpm.Percentage,$J83="Derived",_xlpm.Derived,$J83="Boon Enhancement",_xlpm.BoonEnhancement,$J83="Stacking",_xlpm.Stacking),""))</f>
        <v/>
      </c>
      <c r="Z83" s="190" t="str" cm="1">
        <f t="array" ref="Z83">_xlfn.LET(_xlpm.PercentCheck,IF(OR(Z$1="Crit Chance",Z$1="Crit Damage",Z$1="Condition Duration"),1,0),_xlpm.Flat,$H83,_xlpm.Percentage,$H83*Z$78,_xlpm.Derived,$H83*Z$78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Z$1,AND(_xlpm.PercentCheck=0,$G83="All")),_xlfn.IFS(AND($I83="Flat",$J83=0),_xlpm.Flat,AND($I83="Percentage",$J83=0),_xlpm.Percentage,$J83="Derived",_xlpm.Derived,$J83="Boon Enhancement",_xlpm.BoonEnhancement,$J83="Stacking",_xlpm.Stacking),""))</f>
        <v/>
      </c>
      <c r="AA83" s="190" t="str" cm="1">
        <f t="array" ref="AA83">_xlfn.LET(_xlpm.PercentCheck,IF(OR(AA$1="Crit Chance",AA$1="Crit Damage",AA$1="Condition Duration"),1,0),_xlpm.Flat,$H83,_xlpm.Percentage,$H83*AA$78,_xlpm.Derived,$H83*AA$78,_xlpm.BoonType,VLOOKUP($M83,BoonToggles,2,0),_xlpm.BoonEnhancement,IF(AND(ISLOGICAL(_xlpm.BoonType),_xlpm.BoonType=TRUE),IF($I83="Flat",$H83,_xlpm.Percentage),IF($I83="Flat",$H83*_xlpm.BoonType,_xlpm.Percentage*_xlpm.BoonType)),_xlpm.Stacking,IF($I83="Flat",$H83*Spec1MajorGrandmasterStacks,IF(_xlpm.PercentCheck=1,"",_xlpm.Percentage*Spec1MajorGrandmasterStacks)),IF(OR($G83=AA$1,AND(_xlpm.PercentCheck=0,$G83="All")),_xlfn.IFS(AND($I83="Flat",$J83=0),_xlpm.Flat,AND($I83="Percentage",$J83=0),_xlpm.Percentage,$J83="Derived",_xlpm.Derived,$J83="Boon Enhancement",_xlpm.BoonEnhancement,$J83="Stacking",_xlpm.Stacking),""))</f>
        <v/>
      </c>
    </row>
    <row r="84" spans="1:27" s="171" customFormat="1" ht="14.25" customHeight="1">
      <c r="A84" s="566"/>
      <c r="B84" s="559" t="s">
        <v>3500</v>
      </c>
      <c r="C84" s="559"/>
      <c r="D84" s="559"/>
      <c r="E84" s="559"/>
      <c r="F84" s="559"/>
      <c r="G84" s="559"/>
      <c r="H84" s="559"/>
      <c r="I84" s="559"/>
      <c r="J84" s="559"/>
      <c r="K84" s="559"/>
      <c r="L84" s="559"/>
      <c r="M84" s="559"/>
      <c r="N84" s="559"/>
      <c r="O84" s="560"/>
      <c r="P84" s="201">
        <f t="shared" ref="P84:AA84" si="31">SUM(P$79:P$83)</f>
        <v>0</v>
      </c>
      <c r="Q84" s="202">
        <f t="shared" si="31"/>
        <v>0</v>
      </c>
      <c r="R84" s="202">
        <f t="shared" si="31"/>
        <v>0</v>
      </c>
      <c r="S84" s="202">
        <f t="shared" si="31"/>
        <v>0</v>
      </c>
      <c r="T84" s="202">
        <f t="shared" si="31"/>
        <v>0</v>
      </c>
      <c r="U84" s="202">
        <f t="shared" si="31"/>
        <v>0</v>
      </c>
      <c r="V84" s="202">
        <f t="shared" si="31"/>
        <v>0</v>
      </c>
      <c r="W84" s="202">
        <f t="shared" si="31"/>
        <v>0</v>
      </c>
      <c r="X84" s="202">
        <f t="shared" si="31"/>
        <v>0</v>
      </c>
      <c r="Y84" s="199">
        <f t="shared" si="31"/>
        <v>0</v>
      </c>
      <c r="Z84" s="199">
        <f t="shared" si="31"/>
        <v>0</v>
      </c>
      <c r="AA84" s="199">
        <f t="shared" si="31"/>
        <v>0</v>
      </c>
    </row>
    <row r="85" spans="1:27" s="171" customFormat="1" ht="15" customHeight="1">
      <c r="A85" s="567"/>
      <c r="B85" s="561" t="s">
        <v>3501</v>
      </c>
      <c r="C85" s="561"/>
      <c r="D85" s="561"/>
      <c r="E85" s="561"/>
      <c r="F85" s="561"/>
      <c r="G85" s="561"/>
      <c r="H85" s="561"/>
      <c r="I85" s="561"/>
      <c r="J85" s="561"/>
      <c r="K85" s="561"/>
      <c r="L85" s="561"/>
      <c r="M85" s="561"/>
      <c r="N85" s="561"/>
      <c r="O85" s="562"/>
      <c r="P85" s="481">
        <f>SUM(P$78,SUMIFS(P$79:P$83,$I$79:$I$83,"Percentage",$J$79:$J$83,"&lt;&gt;Derived"))</f>
        <v>1657</v>
      </c>
      <c r="Q85" s="481">
        <f t="shared" ref="Q85:X85" si="32">SUM(Q$78,SUMIFS(Q$79:Q$83,$I$79:$I$83,"Percentage",$J$79:$J$83,"&lt;&gt;Derived"))</f>
        <v>1594</v>
      </c>
      <c r="R85" s="481">
        <f t="shared" si="32"/>
        <v>1221</v>
      </c>
      <c r="S85" s="481">
        <f t="shared" si="32"/>
        <v>1156</v>
      </c>
      <c r="T85" s="481">
        <f t="shared" si="32"/>
        <v>10</v>
      </c>
      <c r="U85" s="481">
        <f t="shared" si="32"/>
        <v>249.6</v>
      </c>
      <c r="V85" s="481">
        <f t="shared" si="32"/>
        <v>260</v>
      </c>
      <c r="W85" s="481">
        <f t="shared" si="32"/>
        <v>248</v>
      </c>
      <c r="X85" s="481">
        <f t="shared" si="32"/>
        <v>47</v>
      </c>
      <c r="Y85" s="482"/>
      <c r="Z85" s="483"/>
      <c r="AA85" s="483"/>
    </row>
    <row r="86" spans="1:27" ht="14.25" customHeight="1">
      <c r="A86" s="565" t="str">
        <f>Spec3</f>
        <v>Troubadour</v>
      </c>
      <c r="B86" s="554" t="s">
        <v>94</v>
      </c>
      <c r="C86" s="187" t="str" cm="1">
        <f t="array" ref="C86">IF(OR(Spec3MinorAdeptCondition="(Select)",Spec3MinorAdeptCondition=""),_xlfn._xlws.FILTER(TraitStats,(TraitStatsTable[Name]=Spec3MinorAdept)*(TraitStatsTable[Condition]=""),"No stat bonus"),_xlfn._xlws.FILTER(TraitStats,(TraitStatsTable[Name]=Spec3MinorAdept)*((TraitStatsTable[Condition]=Spec3MinorAdeptCondition)+(TraitStatsTable[Condition]="")),"No stat bonus"))</f>
        <v>No stat bonus</v>
      </c>
      <c r="D86" s="203"/>
      <c r="E86" s="203"/>
      <c r="F86" s="203"/>
      <c r="G86" s="203"/>
      <c r="H86" s="203"/>
      <c r="I86" s="203"/>
      <c r="J86" s="203"/>
      <c r="K86" s="203"/>
      <c r="L86" s="203"/>
      <c r="M86" s="203"/>
      <c r="N86" s="203"/>
      <c r="O86" s="204"/>
      <c r="P86" s="205" t="str" cm="1">
        <f t="array" ref="P86">_xlfn.LET(_xlpm.PercentCheck,IF(OR(P$1="Crit Chance",P$1="Crit Damage",P$1="Condition Duration"),1,0),_xlpm.Flat,$H86,_xlpm.Percentage,$H86*P$85,_xlpm.Derived,$H86*P$85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P$1,AND(_xlpm.PercentCheck=0,$G86="All")),_xlfn.IFS(AND($I86="Flat",$J86=0),_xlpm.Flat,AND($I86="Percentage",$J86=0),_xlpm.Percentage,$J86="Derived",_xlpm.Derived,$J86="Boon Enhancement",_xlpm.BoonEnhancement,$J86="Stacking",_xlpm.Stacking),""))</f>
        <v/>
      </c>
      <c r="Q86" s="205" t="str" cm="1">
        <f t="array" ref="Q86">_xlfn.LET(_xlpm.PercentCheck,IF(OR(Q$1="Crit Chance",Q$1="Crit Damage",Q$1="Condition Duration"),1,0),_xlpm.Flat,$H86,_xlpm.Percentage,$H86*Q$85,_xlpm.Derived,$H86*Q$85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Q$1,AND(_xlpm.PercentCheck=0,$G86="All")),_xlfn.IFS(AND($I86="Flat",$J86=0),_xlpm.Flat,AND($I86="Percentage",$J86=0),_xlpm.Percentage,$J86="Derived",_xlpm.Derived,$J86="Boon Enhancement",_xlpm.BoonEnhancement,$J86="Stacking",_xlpm.Stacking),""))</f>
        <v/>
      </c>
      <c r="R86" s="205" t="str" cm="1">
        <f t="array" ref="R86">_xlfn.LET(_xlpm.PercentCheck,IF(OR(R$1="Crit Chance",R$1="Crit Damage",R$1="Condition Duration"),1,0),_xlpm.Flat,$H86,_xlpm.Percentage,$H86*R$85,_xlpm.Derived,$H86*R$85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R$1,AND(_xlpm.PercentCheck=0,$G86="All")),_xlfn.IFS(AND($I86="Flat",$J86=0),_xlpm.Flat,AND($I86="Percentage",$J86=0),_xlpm.Percentage,$J86="Derived",_xlpm.Derived,$J86="Boon Enhancement",_xlpm.BoonEnhancement,$J86="Stacking",_xlpm.Stacking),""))</f>
        <v/>
      </c>
      <c r="S86" s="205" t="str" cm="1">
        <f t="array" ref="S86">_xlfn.LET(_xlpm.PercentCheck,IF(OR(S$1="Crit Chance",S$1="Crit Damage",S$1="Condition Duration"),1,0),_xlpm.Flat,$H86,_xlpm.Percentage,$H86*S$85,_xlpm.Derived,$H86*S$85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S$1,AND(_xlpm.PercentCheck=0,$G86="All")),_xlfn.IFS(AND($I86="Flat",$J86=0),_xlpm.Flat,AND($I86="Percentage",$J86=0),_xlpm.Percentage,$J86="Derived",_xlpm.Derived,$J86="Boon Enhancement",_xlpm.BoonEnhancement,$J86="Stacking",_xlpm.Stacking),""))</f>
        <v/>
      </c>
      <c r="T86" s="205" t="str" cm="1">
        <f t="array" ref="T86">_xlfn.LET(_xlpm.PercentCheck,IF(OR(T$1="Crit Chance",T$1="Crit Damage",T$1="Condition Duration"),1,0),_xlpm.Flat,$H86,_xlpm.Percentage,$H86*T$85,_xlpm.Derived,$H86*T$85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T$1,AND(_xlpm.PercentCheck=0,$G86="All")),_xlfn.IFS(AND($I86="Flat",$J86=0),_xlpm.Flat,AND($I86="Percentage",$J86=0),_xlpm.Percentage,$J86="Derived",_xlpm.Derived,$J86="Boon Enhancement",_xlpm.BoonEnhancement,$J86="Stacking",_xlpm.Stacking),""))</f>
        <v/>
      </c>
      <c r="U86" s="205" t="str" cm="1">
        <f t="array" ref="U86">_xlfn.LET(_xlpm.PercentCheck,IF(OR(U$1="Crit Chance",U$1="Crit Damage",U$1="Condition Duration"),1,0),_xlpm.Flat,$H86,_xlpm.Percentage,$H86*U$85,_xlpm.Derived,$H86*U$85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U$1,AND(_xlpm.PercentCheck=0,$G86="All")),_xlfn.IFS(AND($I86="Flat",$J86=0),_xlpm.Flat,AND($I86="Percentage",$J86=0),_xlpm.Percentage,$J86="Derived",_xlpm.Derived,$J86="Boon Enhancement",_xlpm.BoonEnhancement,$J86="Stacking",_xlpm.Stacking),""))</f>
        <v/>
      </c>
      <c r="V86" s="205" t="str" cm="1">
        <f t="array" ref="V86">_xlfn.LET(_xlpm.PercentCheck,IF(OR(V$1="Crit Chance",V$1="Crit Damage",V$1="Condition Duration"),1,0),_xlpm.Flat,$H86,_xlpm.Percentage,$H86*V$85,_xlpm.Derived,$H86*V$85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V$1,AND(_xlpm.PercentCheck=0,$G86="All")),_xlfn.IFS(AND($I86="Flat",$J86=0),_xlpm.Flat,AND($I86="Percentage",$J86=0),_xlpm.Percentage,$J86="Derived",_xlpm.Derived,$J86="Boon Enhancement",_xlpm.BoonEnhancement,$J86="Stacking",_xlpm.Stacking),""))</f>
        <v/>
      </c>
      <c r="W86" s="205" t="str" cm="1">
        <f t="array" ref="W86">_xlfn.LET(_xlpm.PercentCheck,IF(OR(W$1="Crit Chance",W$1="Crit Damage",W$1="Condition Duration"),1,0),_xlpm.Flat,$H86,_xlpm.Percentage,$H86*W$85,_xlpm.Derived,$H86*W$85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W$1,AND(_xlpm.PercentCheck=0,$G86="All")),_xlfn.IFS(AND($I86="Flat",$J86=0),_xlpm.Flat,AND($I86="Percentage",$J86=0),_xlpm.Percentage,$J86="Derived",_xlpm.Derived,$J86="Boon Enhancement",_xlpm.BoonEnhancement,$J86="Stacking",_xlpm.Stacking),""))</f>
        <v/>
      </c>
      <c r="X86" s="205" t="str" cm="1">
        <f t="array" ref="X86">_xlfn.LET(_xlpm.PercentCheck,IF(OR(X$1="Crit Chance",X$1="Crit Damage",X$1="Condition Duration"),1,0),_xlpm.Flat,$H86,_xlpm.Percentage,$H86*X$85,_xlpm.Derived,$H86*X$85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X$1,AND(_xlpm.PercentCheck=0,$G86="All")),_xlfn.IFS(AND($I86="Flat",$J86=0),_xlpm.Flat,AND($I86="Percentage",$J86=0),_xlpm.Percentage,$J86="Derived",_xlpm.Derived,$J86="Boon Enhancement",_xlpm.BoonEnhancement,$J86="Stacking",_xlpm.Stacking),""))</f>
        <v/>
      </c>
      <c r="Y86" s="205" t="str" cm="1">
        <f t="array" ref="Y86">_xlfn.LET(_xlpm.PercentCheck,IF(OR(Y$1="Crit Chance",Y$1="Crit Damage",Y$1="Condition Duration"),1,0),_xlpm.Flat,$H86,_xlpm.Percentage,$H86*Y$85,_xlpm.Derived,$H86*Y$85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Y$1,AND(_xlpm.PercentCheck=0,$G86="All")),_xlfn.IFS(AND($I86="Flat",$J86=0),_xlpm.Flat,AND($I86="Percentage",$J86=0),_xlpm.Percentage,$J86="Derived",_xlpm.Derived,$J86="Boon Enhancement",_xlpm.BoonEnhancement,$J86="Stacking",_xlpm.Stacking),""))</f>
        <v/>
      </c>
      <c r="Z86" s="205" t="str" cm="1">
        <f t="array" ref="Z86">_xlfn.LET(_xlpm.PercentCheck,IF(OR(Z$1="Crit Chance",Z$1="Crit Damage",Z$1="Condition Duration"),1,0),_xlpm.Flat,$H86,_xlpm.Percentage,$H86*Z$85,_xlpm.Derived,$H86*Z$85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Z$1,AND(_xlpm.PercentCheck=0,$G86="All")),_xlfn.IFS(AND($I86="Flat",$J86=0),_xlpm.Flat,AND($I86="Percentage",$J86=0),_xlpm.Percentage,$J86="Derived",_xlpm.Derived,$J86="Boon Enhancement",_xlpm.BoonEnhancement,$J86="Stacking",_xlpm.Stacking),""))</f>
        <v/>
      </c>
      <c r="AA86" s="205" t="str" cm="1">
        <f t="array" ref="AA86">_xlfn.LET(_xlpm.PercentCheck,IF(OR(AA$1="Crit Chance",AA$1="Crit Damage",AA$1="Condition Duration"),1,0),_xlpm.Flat,$H86,_xlpm.Percentage,$H86*AA$85,_xlpm.Derived,$H86*AA$85,_xlpm.BoonType,VLOOKUP($M86,BoonToggles,2,0),_xlpm.BoonEnhancement,IF(AND(ISLOGICAL(_xlpm.BoonType),_xlpm.BoonType=TRUE),IF($I86="Flat",$H86,_xlpm.Percentage),IF($I86="Flat",$H86*_xlpm.BoonType,_xlpm.Percentage*_xlpm.BoonType)),_xlpm.Stacking,IF($I86="Flat",$H86*Spec1MajorGrandmasterStacks,IF(_xlpm.PercentCheck=1,"",_xlpm.Percentage*Spec1MajorGrandmasterStacks)),IF(OR($G86=AA$1,AND(_xlpm.PercentCheck=0,$G86="All")),_xlfn.IFS(AND($I86="Flat",$J86=0),_xlpm.Flat,AND($I86="Percentage",$J86=0),_xlpm.Percentage,$J86="Derived",_xlpm.Derived,$J86="Boon Enhancement",_xlpm.BoonEnhancement,$J86="Stacking",_xlpm.Stacking),""))</f>
        <v/>
      </c>
    </row>
    <row r="87" spans="1:27" ht="14.25" customHeight="1">
      <c r="A87" s="566"/>
      <c r="B87" s="554"/>
      <c r="C87" s="194"/>
      <c r="D87" s="195"/>
      <c r="E87" s="195"/>
      <c r="F87" s="195"/>
      <c r="G87" s="195"/>
      <c r="H87" s="195"/>
      <c r="I87" s="195"/>
      <c r="J87" s="195"/>
      <c r="K87" s="195"/>
      <c r="L87" s="195"/>
      <c r="M87" s="195"/>
      <c r="N87" s="195"/>
      <c r="O87" s="196"/>
      <c r="P87" s="190" t="str" cm="1">
        <f t="array" ref="P87">_xlfn.LET(_xlpm.PercentCheck,IF(OR(P$1="Crit Chance",P$1="Crit Damage",P$1="Condition Duration"),1,0),_xlpm.Flat,$H87,_xlpm.Percentage,$H87*P$85,_xlpm.Derived,$H87*P$85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P$1,AND(_xlpm.PercentCheck=0,$G87="All")),_xlfn.IFS(AND($I87="Flat",$J87=0),_xlpm.Flat,AND($I87="Percentage",$J87=0),_xlpm.Percentage,$J87="Derived",_xlpm.Derived,$J87="Boon Enhancement",_xlpm.BoonEnhancement,$J87="Stacking",_xlpm.Stacking),""))</f>
        <v/>
      </c>
      <c r="Q87" s="190" t="str" cm="1">
        <f t="array" ref="Q87">_xlfn.LET(_xlpm.PercentCheck,IF(OR(Q$1="Crit Chance",Q$1="Crit Damage",Q$1="Condition Duration"),1,0),_xlpm.Flat,$H87,_xlpm.Percentage,$H87*Q$85,_xlpm.Derived,$H87*Q$85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Q$1,AND(_xlpm.PercentCheck=0,$G87="All")),_xlfn.IFS(AND($I87="Flat",$J87=0),_xlpm.Flat,AND($I87="Percentage",$J87=0),_xlpm.Percentage,$J87="Derived",_xlpm.Derived,$J87="Boon Enhancement",_xlpm.BoonEnhancement,$J87="Stacking",_xlpm.Stacking),""))</f>
        <v/>
      </c>
      <c r="R87" s="190" t="str" cm="1">
        <f t="array" ref="R87">_xlfn.LET(_xlpm.PercentCheck,IF(OR(R$1="Crit Chance",R$1="Crit Damage",R$1="Condition Duration"),1,0),_xlpm.Flat,$H87,_xlpm.Percentage,$H87*R$85,_xlpm.Derived,$H87*R$85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R$1,AND(_xlpm.PercentCheck=0,$G87="All")),_xlfn.IFS(AND($I87="Flat",$J87=0),_xlpm.Flat,AND($I87="Percentage",$J87=0),_xlpm.Percentage,$J87="Derived",_xlpm.Derived,$J87="Boon Enhancement",_xlpm.BoonEnhancement,$J87="Stacking",_xlpm.Stacking),""))</f>
        <v/>
      </c>
      <c r="S87" s="190" t="str" cm="1">
        <f t="array" ref="S87">_xlfn.LET(_xlpm.PercentCheck,IF(OR(S$1="Crit Chance",S$1="Crit Damage",S$1="Condition Duration"),1,0),_xlpm.Flat,$H87,_xlpm.Percentage,$H87*S$85,_xlpm.Derived,$H87*S$85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S$1,AND(_xlpm.PercentCheck=0,$G87="All")),_xlfn.IFS(AND($I87="Flat",$J87=0),_xlpm.Flat,AND($I87="Percentage",$J87=0),_xlpm.Percentage,$J87="Derived",_xlpm.Derived,$J87="Boon Enhancement",_xlpm.BoonEnhancement,$J87="Stacking",_xlpm.Stacking),""))</f>
        <v/>
      </c>
      <c r="T87" s="190" t="str" cm="1">
        <f t="array" ref="T87">_xlfn.LET(_xlpm.PercentCheck,IF(OR(T$1="Crit Chance",T$1="Crit Damage",T$1="Condition Duration"),1,0),_xlpm.Flat,$H87,_xlpm.Percentage,$H87*T$85,_xlpm.Derived,$H87*T$85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T$1,AND(_xlpm.PercentCheck=0,$G87="All")),_xlfn.IFS(AND($I87="Flat",$J87=0),_xlpm.Flat,AND($I87="Percentage",$J87=0),_xlpm.Percentage,$J87="Derived",_xlpm.Derived,$J87="Boon Enhancement",_xlpm.BoonEnhancement,$J87="Stacking",_xlpm.Stacking),""))</f>
        <v/>
      </c>
      <c r="U87" s="190" t="str" cm="1">
        <f t="array" ref="U87">_xlfn.LET(_xlpm.PercentCheck,IF(OR(U$1="Crit Chance",U$1="Crit Damage",U$1="Condition Duration"),1,0),_xlpm.Flat,$H87,_xlpm.Percentage,$H87*U$85,_xlpm.Derived,$H87*U$85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U$1,AND(_xlpm.PercentCheck=0,$G87="All")),_xlfn.IFS(AND($I87="Flat",$J87=0),_xlpm.Flat,AND($I87="Percentage",$J87=0),_xlpm.Percentage,$J87="Derived",_xlpm.Derived,$J87="Boon Enhancement",_xlpm.BoonEnhancement,$J87="Stacking",_xlpm.Stacking),""))</f>
        <v/>
      </c>
      <c r="V87" s="190" t="str" cm="1">
        <f t="array" ref="V87">_xlfn.LET(_xlpm.PercentCheck,IF(OR(V$1="Crit Chance",V$1="Crit Damage",V$1="Condition Duration"),1,0),_xlpm.Flat,$H87,_xlpm.Percentage,$H87*V$85,_xlpm.Derived,$H87*V$85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V$1,AND(_xlpm.PercentCheck=0,$G87="All")),_xlfn.IFS(AND($I87="Flat",$J87=0),_xlpm.Flat,AND($I87="Percentage",$J87=0),_xlpm.Percentage,$J87="Derived",_xlpm.Derived,$J87="Boon Enhancement",_xlpm.BoonEnhancement,$J87="Stacking",_xlpm.Stacking),""))</f>
        <v/>
      </c>
      <c r="W87" s="190" t="str" cm="1">
        <f t="array" ref="W87">_xlfn.LET(_xlpm.PercentCheck,IF(OR(W$1="Crit Chance",W$1="Crit Damage",W$1="Condition Duration"),1,0),_xlpm.Flat,$H87,_xlpm.Percentage,$H87*W$85,_xlpm.Derived,$H87*W$85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W$1,AND(_xlpm.PercentCheck=0,$G87="All")),_xlfn.IFS(AND($I87="Flat",$J87=0),_xlpm.Flat,AND($I87="Percentage",$J87=0),_xlpm.Percentage,$J87="Derived",_xlpm.Derived,$J87="Boon Enhancement",_xlpm.BoonEnhancement,$J87="Stacking",_xlpm.Stacking),""))</f>
        <v/>
      </c>
      <c r="X87" s="190" t="str" cm="1">
        <f t="array" ref="X87">_xlfn.LET(_xlpm.PercentCheck,IF(OR(X$1="Crit Chance",X$1="Crit Damage",X$1="Condition Duration"),1,0),_xlpm.Flat,$H87,_xlpm.Percentage,$H87*X$85,_xlpm.Derived,$H87*X$85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X$1,AND(_xlpm.PercentCheck=0,$G87="All")),_xlfn.IFS(AND($I87="Flat",$J87=0),_xlpm.Flat,AND($I87="Percentage",$J87=0),_xlpm.Percentage,$J87="Derived",_xlpm.Derived,$J87="Boon Enhancement",_xlpm.BoonEnhancement,$J87="Stacking",_xlpm.Stacking),""))</f>
        <v/>
      </c>
      <c r="Y87" s="190" t="str" cm="1">
        <f t="array" ref="Y87">_xlfn.LET(_xlpm.PercentCheck,IF(OR(Y$1="Crit Chance",Y$1="Crit Damage",Y$1="Condition Duration"),1,0),_xlpm.Flat,$H87,_xlpm.Percentage,$H87*Y$85,_xlpm.Derived,$H87*Y$85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Y$1,AND(_xlpm.PercentCheck=0,$G87="All")),_xlfn.IFS(AND($I87="Flat",$J87=0),_xlpm.Flat,AND($I87="Percentage",$J87=0),_xlpm.Percentage,$J87="Derived",_xlpm.Derived,$J87="Boon Enhancement",_xlpm.BoonEnhancement,$J87="Stacking",_xlpm.Stacking),""))</f>
        <v/>
      </c>
      <c r="Z87" s="190" t="str" cm="1">
        <f t="array" ref="Z87">_xlfn.LET(_xlpm.PercentCheck,IF(OR(Z$1="Crit Chance",Z$1="Crit Damage",Z$1="Condition Duration"),1,0),_xlpm.Flat,$H87,_xlpm.Percentage,$H87*Z$85,_xlpm.Derived,$H87*Z$85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Z$1,AND(_xlpm.PercentCheck=0,$G87="All")),_xlfn.IFS(AND($I87="Flat",$J87=0),_xlpm.Flat,AND($I87="Percentage",$J87=0),_xlpm.Percentage,$J87="Derived",_xlpm.Derived,$J87="Boon Enhancement",_xlpm.BoonEnhancement,$J87="Stacking",_xlpm.Stacking),""))</f>
        <v/>
      </c>
      <c r="AA87" s="190" t="str" cm="1">
        <f t="array" ref="AA87">_xlfn.LET(_xlpm.PercentCheck,IF(OR(AA$1="Crit Chance",AA$1="Crit Damage",AA$1="Condition Duration"),1,0),_xlpm.Flat,$H87,_xlpm.Percentage,$H87*AA$85,_xlpm.Derived,$H87*AA$85,_xlpm.BoonType,VLOOKUP($M87,BoonToggles,2,0),_xlpm.BoonEnhancement,IF(AND(ISLOGICAL(_xlpm.BoonType),_xlpm.BoonType=TRUE),IF($I87="Flat",$H87,_xlpm.Percentage),IF($I87="Flat",$H87*_xlpm.BoonType,_xlpm.Percentage*_xlpm.BoonType)),_xlpm.Stacking,IF($I87="Flat",$H87*Spec1MajorGrandmasterStacks,IF(_xlpm.PercentCheck=1,"",_xlpm.Percentage*Spec1MajorGrandmasterStacks)),IF(OR($G87=AA$1,AND(_xlpm.PercentCheck=0,$G87="All")),_xlfn.IFS(AND($I87="Flat",$J87=0),_xlpm.Flat,AND($I87="Percentage",$J87=0),_xlpm.Percentage,$J87="Derived",_xlpm.Derived,$J87="Boon Enhancement",_xlpm.BoonEnhancement,$J87="Stacking",_xlpm.Stacking),""))</f>
        <v/>
      </c>
    </row>
    <row r="88" spans="1:27" ht="14.25" customHeight="1">
      <c r="A88" s="566"/>
      <c r="B88" s="554"/>
      <c r="C88" s="194"/>
      <c r="D88" s="195"/>
      <c r="E88" s="195"/>
      <c r="F88" s="195"/>
      <c r="G88" s="195"/>
      <c r="H88" s="195"/>
      <c r="I88" s="195"/>
      <c r="J88" s="195"/>
      <c r="K88" s="195"/>
      <c r="L88" s="195"/>
      <c r="M88" s="195"/>
      <c r="N88" s="195"/>
      <c r="O88" s="196"/>
      <c r="P88" s="190" t="str" cm="1">
        <f t="array" ref="P88">_xlfn.LET(_xlpm.PercentCheck,IF(OR(P$1="Crit Chance",P$1="Crit Damage",P$1="Condition Duration"),1,0),_xlpm.Flat,$H88,_xlpm.Percentage,$H88*P$85,_xlpm.Derived,$H88*P$85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P$1,AND(_xlpm.PercentCheck=0,$G88="All")),_xlfn.IFS(AND($I88="Flat",$J88=0),_xlpm.Flat,AND($I88="Percentage",$J88=0),_xlpm.Percentage,$J88="Derived",_xlpm.Derived,$J88="Boon Enhancement",_xlpm.BoonEnhancement,$J88="Stacking",_xlpm.Stacking),""))</f>
        <v/>
      </c>
      <c r="Q88" s="190" t="str" cm="1">
        <f t="array" ref="Q88">_xlfn.LET(_xlpm.PercentCheck,IF(OR(Q$1="Crit Chance",Q$1="Crit Damage",Q$1="Condition Duration"),1,0),_xlpm.Flat,$H88,_xlpm.Percentage,$H88*Q$85,_xlpm.Derived,$H88*Q$85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Q$1,AND(_xlpm.PercentCheck=0,$G88="All")),_xlfn.IFS(AND($I88="Flat",$J88=0),_xlpm.Flat,AND($I88="Percentage",$J88=0),_xlpm.Percentage,$J88="Derived",_xlpm.Derived,$J88="Boon Enhancement",_xlpm.BoonEnhancement,$J88="Stacking",_xlpm.Stacking),""))</f>
        <v/>
      </c>
      <c r="R88" s="190" t="str" cm="1">
        <f t="array" ref="R88">_xlfn.LET(_xlpm.PercentCheck,IF(OR(R$1="Crit Chance",R$1="Crit Damage",R$1="Condition Duration"),1,0),_xlpm.Flat,$H88,_xlpm.Percentage,$H88*R$85,_xlpm.Derived,$H88*R$85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R$1,AND(_xlpm.PercentCheck=0,$G88="All")),_xlfn.IFS(AND($I88="Flat",$J88=0),_xlpm.Flat,AND($I88="Percentage",$J88=0),_xlpm.Percentage,$J88="Derived",_xlpm.Derived,$J88="Boon Enhancement",_xlpm.BoonEnhancement,$J88="Stacking",_xlpm.Stacking),""))</f>
        <v/>
      </c>
      <c r="S88" s="190" t="str" cm="1">
        <f t="array" ref="S88">_xlfn.LET(_xlpm.PercentCheck,IF(OR(S$1="Crit Chance",S$1="Crit Damage",S$1="Condition Duration"),1,0),_xlpm.Flat,$H88,_xlpm.Percentage,$H88*S$85,_xlpm.Derived,$H88*S$85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S$1,AND(_xlpm.PercentCheck=0,$G88="All")),_xlfn.IFS(AND($I88="Flat",$J88=0),_xlpm.Flat,AND($I88="Percentage",$J88=0),_xlpm.Percentage,$J88="Derived",_xlpm.Derived,$J88="Boon Enhancement",_xlpm.BoonEnhancement,$J88="Stacking",_xlpm.Stacking),""))</f>
        <v/>
      </c>
      <c r="T88" s="190" t="str" cm="1">
        <f t="array" ref="T88">_xlfn.LET(_xlpm.PercentCheck,IF(OR(T$1="Crit Chance",T$1="Crit Damage",T$1="Condition Duration"),1,0),_xlpm.Flat,$H88,_xlpm.Percentage,$H88*T$85,_xlpm.Derived,$H88*T$85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T$1,AND(_xlpm.PercentCheck=0,$G88="All")),_xlfn.IFS(AND($I88="Flat",$J88=0),_xlpm.Flat,AND($I88="Percentage",$J88=0),_xlpm.Percentage,$J88="Derived",_xlpm.Derived,$J88="Boon Enhancement",_xlpm.BoonEnhancement,$J88="Stacking",_xlpm.Stacking),""))</f>
        <v/>
      </c>
      <c r="U88" s="190" t="str" cm="1">
        <f t="array" ref="U88">_xlfn.LET(_xlpm.PercentCheck,IF(OR(U$1="Crit Chance",U$1="Crit Damage",U$1="Condition Duration"),1,0),_xlpm.Flat,$H88,_xlpm.Percentage,$H88*U$85,_xlpm.Derived,$H88*U$85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U$1,AND(_xlpm.PercentCheck=0,$G88="All")),_xlfn.IFS(AND($I88="Flat",$J88=0),_xlpm.Flat,AND($I88="Percentage",$J88=0),_xlpm.Percentage,$J88="Derived",_xlpm.Derived,$J88="Boon Enhancement",_xlpm.BoonEnhancement,$J88="Stacking",_xlpm.Stacking),""))</f>
        <v/>
      </c>
      <c r="V88" s="190" t="str" cm="1">
        <f t="array" ref="V88">_xlfn.LET(_xlpm.PercentCheck,IF(OR(V$1="Crit Chance",V$1="Crit Damage",V$1="Condition Duration"),1,0),_xlpm.Flat,$H88,_xlpm.Percentage,$H88*V$85,_xlpm.Derived,$H88*V$85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V$1,AND(_xlpm.PercentCheck=0,$G88="All")),_xlfn.IFS(AND($I88="Flat",$J88=0),_xlpm.Flat,AND($I88="Percentage",$J88=0),_xlpm.Percentage,$J88="Derived",_xlpm.Derived,$J88="Boon Enhancement",_xlpm.BoonEnhancement,$J88="Stacking",_xlpm.Stacking),""))</f>
        <v/>
      </c>
      <c r="W88" s="190" t="str" cm="1">
        <f t="array" ref="W88">_xlfn.LET(_xlpm.PercentCheck,IF(OR(W$1="Crit Chance",W$1="Crit Damage",W$1="Condition Duration"),1,0),_xlpm.Flat,$H88,_xlpm.Percentage,$H88*W$85,_xlpm.Derived,$H88*W$85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W$1,AND(_xlpm.PercentCheck=0,$G88="All")),_xlfn.IFS(AND($I88="Flat",$J88=0),_xlpm.Flat,AND($I88="Percentage",$J88=0),_xlpm.Percentage,$J88="Derived",_xlpm.Derived,$J88="Boon Enhancement",_xlpm.BoonEnhancement,$J88="Stacking",_xlpm.Stacking),""))</f>
        <v/>
      </c>
      <c r="X88" s="190" t="str" cm="1">
        <f t="array" ref="X88">_xlfn.LET(_xlpm.PercentCheck,IF(OR(X$1="Crit Chance",X$1="Crit Damage",X$1="Condition Duration"),1,0),_xlpm.Flat,$H88,_xlpm.Percentage,$H88*X$85,_xlpm.Derived,$H88*X$85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X$1,AND(_xlpm.PercentCheck=0,$G88="All")),_xlfn.IFS(AND($I88="Flat",$J88=0),_xlpm.Flat,AND($I88="Percentage",$J88=0),_xlpm.Percentage,$J88="Derived",_xlpm.Derived,$J88="Boon Enhancement",_xlpm.BoonEnhancement,$J88="Stacking",_xlpm.Stacking),""))</f>
        <v/>
      </c>
      <c r="Y88" s="190" t="str" cm="1">
        <f t="array" ref="Y88">_xlfn.LET(_xlpm.PercentCheck,IF(OR(Y$1="Crit Chance",Y$1="Crit Damage",Y$1="Condition Duration"),1,0),_xlpm.Flat,$H88,_xlpm.Percentage,$H88*Y$85,_xlpm.Derived,$H88*Y$85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Y$1,AND(_xlpm.PercentCheck=0,$G88="All")),_xlfn.IFS(AND($I88="Flat",$J88=0),_xlpm.Flat,AND($I88="Percentage",$J88=0),_xlpm.Percentage,$J88="Derived",_xlpm.Derived,$J88="Boon Enhancement",_xlpm.BoonEnhancement,$J88="Stacking",_xlpm.Stacking),""))</f>
        <v/>
      </c>
      <c r="Z88" s="190" t="str" cm="1">
        <f t="array" ref="Z88">_xlfn.LET(_xlpm.PercentCheck,IF(OR(Z$1="Crit Chance",Z$1="Crit Damage",Z$1="Condition Duration"),1,0),_xlpm.Flat,$H88,_xlpm.Percentage,$H88*Z$85,_xlpm.Derived,$H88*Z$85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Z$1,AND(_xlpm.PercentCheck=0,$G88="All")),_xlfn.IFS(AND($I88="Flat",$J88=0),_xlpm.Flat,AND($I88="Percentage",$J88=0),_xlpm.Percentage,$J88="Derived",_xlpm.Derived,$J88="Boon Enhancement",_xlpm.BoonEnhancement,$J88="Stacking",_xlpm.Stacking),""))</f>
        <v/>
      </c>
      <c r="AA88" s="190" t="str" cm="1">
        <f t="array" ref="AA88">_xlfn.LET(_xlpm.PercentCheck,IF(OR(AA$1="Crit Chance",AA$1="Crit Damage",AA$1="Condition Duration"),1,0),_xlpm.Flat,$H88,_xlpm.Percentage,$H88*AA$85,_xlpm.Derived,$H88*AA$85,_xlpm.BoonType,VLOOKUP($M88,BoonToggles,2,0),_xlpm.BoonEnhancement,IF(AND(ISLOGICAL(_xlpm.BoonType),_xlpm.BoonType=TRUE),IF($I88="Flat",$H88,_xlpm.Percentage),IF($I88="Flat",$H88*_xlpm.BoonType,_xlpm.Percentage*_xlpm.BoonType)),_xlpm.Stacking,IF($I88="Flat",$H88*Spec1MajorGrandmasterStacks,IF(_xlpm.PercentCheck=1,"",_xlpm.Percentage*Spec1MajorGrandmasterStacks)),IF(OR($G88=AA$1,AND(_xlpm.PercentCheck=0,$G88="All")),_xlfn.IFS(AND($I88="Flat",$J88=0),_xlpm.Flat,AND($I88="Percentage",$J88=0),_xlpm.Percentage,$J88="Derived",_xlpm.Derived,$J88="Boon Enhancement",_xlpm.BoonEnhancement,$J88="Stacking",_xlpm.Stacking),""))</f>
        <v/>
      </c>
    </row>
    <row r="89" spans="1:27" ht="14.25" customHeight="1">
      <c r="A89" s="566"/>
      <c r="B89" s="554"/>
      <c r="C89" s="194"/>
      <c r="D89" s="195"/>
      <c r="E89" s="195"/>
      <c r="F89" s="195"/>
      <c r="G89" s="195"/>
      <c r="H89" s="195"/>
      <c r="I89" s="195"/>
      <c r="J89" s="195"/>
      <c r="K89" s="195"/>
      <c r="L89" s="195"/>
      <c r="M89" s="195"/>
      <c r="N89" s="195"/>
      <c r="O89" s="196"/>
      <c r="P89" s="190" t="str" cm="1">
        <f t="array" ref="P89">_xlfn.LET(_xlpm.PercentCheck,IF(OR(P$1="Crit Chance",P$1="Crit Damage",P$1="Condition Duration"),1,0),_xlpm.Flat,$H89,_xlpm.Percentage,$H89*P$85,_xlpm.Derived,$H89*P$85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P$1,AND(_xlpm.PercentCheck=0,$G89="All")),_xlfn.IFS(AND($I89="Flat",$J89=0),_xlpm.Flat,AND($I89="Percentage",$J89=0),_xlpm.Percentage,$J89="Derived",_xlpm.Derived,$J89="Boon Enhancement",_xlpm.BoonEnhancement,$J89="Stacking",_xlpm.Stacking),""))</f>
        <v/>
      </c>
      <c r="Q89" s="190" t="str" cm="1">
        <f t="array" ref="Q89">_xlfn.LET(_xlpm.PercentCheck,IF(OR(Q$1="Crit Chance",Q$1="Crit Damage",Q$1="Condition Duration"),1,0),_xlpm.Flat,$H89,_xlpm.Percentage,$H89*Q$85,_xlpm.Derived,$H89*Q$85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Q$1,AND(_xlpm.PercentCheck=0,$G89="All")),_xlfn.IFS(AND($I89="Flat",$J89=0),_xlpm.Flat,AND($I89="Percentage",$J89=0),_xlpm.Percentage,$J89="Derived",_xlpm.Derived,$J89="Boon Enhancement",_xlpm.BoonEnhancement,$J89="Stacking",_xlpm.Stacking),""))</f>
        <v/>
      </c>
      <c r="R89" s="190" t="str" cm="1">
        <f t="array" ref="R89">_xlfn.LET(_xlpm.PercentCheck,IF(OR(R$1="Crit Chance",R$1="Crit Damage",R$1="Condition Duration"),1,0),_xlpm.Flat,$H89,_xlpm.Percentage,$H89*R$85,_xlpm.Derived,$H89*R$85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R$1,AND(_xlpm.PercentCheck=0,$G89="All")),_xlfn.IFS(AND($I89="Flat",$J89=0),_xlpm.Flat,AND($I89="Percentage",$J89=0),_xlpm.Percentage,$J89="Derived",_xlpm.Derived,$J89="Boon Enhancement",_xlpm.BoonEnhancement,$J89="Stacking",_xlpm.Stacking),""))</f>
        <v/>
      </c>
      <c r="S89" s="190" t="str" cm="1">
        <f t="array" ref="S89">_xlfn.LET(_xlpm.PercentCheck,IF(OR(S$1="Crit Chance",S$1="Crit Damage",S$1="Condition Duration"),1,0),_xlpm.Flat,$H89,_xlpm.Percentage,$H89*S$85,_xlpm.Derived,$H89*S$85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S$1,AND(_xlpm.PercentCheck=0,$G89="All")),_xlfn.IFS(AND($I89="Flat",$J89=0),_xlpm.Flat,AND($I89="Percentage",$J89=0),_xlpm.Percentage,$J89="Derived",_xlpm.Derived,$J89="Boon Enhancement",_xlpm.BoonEnhancement,$J89="Stacking",_xlpm.Stacking),""))</f>
        <v/>
      </c>
      <c r="T89" s="190" t="str" cm="1">
        <f t="array" ref="T89">_xlfn.LET(_xlpm.PercentCheck,IF(OR(T$1="Crit Chance",T$1="Crit Damage",T$1="Condition Duration"),1,0),_xlpm.Flat,$H89,_xlpm.Percentage,$H89*T$85,_xlpm.Derived,$H89*T$85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T$1,AND(_xlpm.PercentCheck=0,$G89="All")),_xlfn.IFS(AND($I89="Flat",$J89=0),_xlpm.Flat,AND($I89="Percentage",$J89=0),_xlpm.Percentage,$J89="Derived",_xlpm.Derived,$J89="Boon Enhancement",_xlpm.BoonEnhancement,$J89="Stacking",_xlpm.Stacking),""))</f>
        <v/>
      </c>
      <c r="U89" s="190" t="str" cm="1">
        <f t="array" ref="U89">_xlfn.LET(_xlpm.PercentCheck,IF(OR(U$1="Crit Chance",U$1="Crit Damage",U$1="Condition Duration"),1,0),_xlpm.Flat,$H89,_xlpm.Percentage,$H89*U$85,_xlpm.Derived,$H89*U$85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U$1,AND(_xlpm.PercentCheck=0,$G89="All")),_xlfn.IFS(AND($I89="Flat",$J89=0),_xlpm.Flat,AND($I89="Percentage",$J89=0),_xlpm.Percentage,$J89="Derived",_xlpm.Derived,$J89="Boon Enhancement",_xlpm.BoonEnhancement,$J89="Stacking",_xlpm.Stacking),""))</f>
        <v/>
      </c>
      <c r="V89" s="190" t="str" cm="1">
        <f t="array" ref="V89">_xlfn.LET(_xlpm.PercentCheck,IF(OR(V$1="Crit Chance",V$1="Crit Damage",V$1="Condition Duration"),1,0),_xlpm.Flat,$H89,_xlpm.Percentage,$H89*V$85,_xlpm.Derived,$H89*V$85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V$1,AND(_xlpm.PercentCheck=0,$G89="All")),_xlfn.IFS(AND($I89="Flat",$J89=0),_xlpm.Flat,AND($I89="Percentage",$J89=0),_xlpm.Percentage,$J89="Derived",_xlpm.Derived,$J89="Boon Enhancement",_xlpm.BoonEnhancement,$J89="Stacking",_xlpm.Stacking),""))</f>
        <v/>
      </c>
      <c r="W89" s="190" t="str" cm="1">
        <f t="array" ref="W89">_xlfn.LET(_xlpm.PercentCheck,IF(OR(W$1="Crit Chance",W$1="Crit Damage",W$1="Condition Duration"),1,0),_xlpm.Flat,$H89,_xlpm.Percentage,$H89*W$85,_xlpm.Derived,$H89*W$85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W$1,AND(_xlpm.PercentCheck=0,$G89="All")),_xlfn.IFS(AND($I89="Flat",$J89=0),_xlpm.Flat,AND($I89="Percentage",$J89=0),_xlpm.Percentage,$J89="Derived",_xlpm.Derived,$J89="Boon Enhancement",_xlpm.BoonEnhancement,$J89="Stacking",_xlpm.Stacking),""))</f>
        <v/>
      </c>
      <c r="X89" s="190" t="str" cm="1">
        <f t="array" ref="X89">_xlfn.LET(_xlpm.PercentCheck,IF(OR(X$1="Crit Chance",X$1="Crit Damage",X$1="Condition Duration"),1,0),_xlpm.Flat,$H89,_xlpm.Percentage,$H89*X$85,_xlpm.Derived,$H89*X$85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X$1,AND(_xlpm.PercentCheck=0,$G89="All")),_xlfn.IFS(AND($I89="Flat",$J89=0),_xlpm.Flat,AND($I89="Percentage",$J89=0),_xlpm.Percentage,$J89="Derived",_xlpm.Derived,$J89="Boon Enhancement",_xlpm.BoonEnhancement,$J89="Stacking",_xlpm.Stacking),""))</f>
        <v/>
      </c>
      <c r="Y89" s="190" t="str" cm="1">
        <f t="array" ref="Y89">_xlfn.LET(_xlpm.PercentCheck,IF(OR(Y$1="Crit Chance",Y$1="Crit Damage",Y$1="Condition Duration"),1,0),_xlpm.Flat,$H89,_xlpm.Percentage,$H89*Y$85,_xlpm.Derived,$H89*Y$85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Y$1,AND(_xlpm.PercentCheck=0,$G89="All")),_xlfn.IFS(AND($I89="Flat",$J89=0),_xlpm.Flat,AND($I89="Percentage",$J89=0),_xlpm.Percentage,$J89="Derived",_xlpm.Derived,$J89="Boon Enhancement",_xlpm.BoonEnhancement,$J89="Stacking",_xlpm.Stacking),""))</f>
        <v/>
      </c>
      <c r="Z89" s="190" t="str" cm="1">
        <f t="array" ref="Z89">_xlfn.LET(_xlpm.PercentCheck,IF(OR(Z$1="Crit Chance",Z$1="Crit Damage",Z$1="Condition Duration"),1,0),_xlpm.Flat,$H89,_xlpm.Percentage,$H89*Z$85,_xlpm.Derived,$H89*Z$85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Z$1,AND(_xlpm.PercentCheck=0,$G89="All")),_xlfn.IFS(AND($I89="Flat",$J89=0),_xlpm.Flat,AND($I89="Percentage",$J89=0),_xlpm.Percentage,$J89="Derived",_xlpm.Derived,$J89="Boon Enhancement",_xlpm.BoonEnhancement,$J89="Stacking",_xlpm.Stacking),""))</f>
        <v/>
      </c>
      <c r="AA89" s="190" t="str" cm="1">
        <f t="array" ref="AA89">_xlfn.LET(_xlpm.PercentCheck,IF(OR(AA$1="Crit Chance",AA$1="Crit Damage",AA$1="Condition Duration"),1,0),_xlpm.Flat,$H89,_xlpm.Percentage,$H89*AA$85,_xlpm.Derived,$H89*AA$85,_xlpm.BoonType,VLOOKUP($M89,BoonToggles,2,0),_xlpm.BoonEnhancement,IF(AND(ISLOGICAL(_xlpm.BoonType),_xlpm.BoonType=TRUE),IF($I89="Flat",$H89,_xlpm.Percentage),IF($I89="Flat",$H89*_xlpm.BoonType,_xlpm.Percentage*_xlpm.BoonType)),_xlpm.Stacking,IF($I89="Flat",$H89*Spec1MajorGrandmasterStacks,IF(_xlpm.PercentCheck=1,"",_xlpm.Percentage*Spec1MajorGrandmasterStacks)),IF(OR($G89=AA$1,AND(_xlpm.PercentCheck=0,$G89="All")),_xlfn.IFS(AND($I89="Flat",$J89=0),_xlpm.Flat,AND($I89="Percentage",$J89=0),_xlpm.Percentage,$J89="Derived",_xlpm.Derived,$J89="Boon Enhancement",_xlpm.BoonEnhancement,$J89="Stacking",_xlpm.Stacking),""))</f>
        <v/>
      </c>
    </row>
    <row r="90" spans="1:27" ht="14.25" customHeight="1">
      <c r="A90" s="566"/>
      <c r="B90" s="555"/>
      <c r="C90" s="194"/>
      <c r="D90" s="195"/>
      <c r="E90" s="195"/>
      <c r="F90" s="195"/>
      <c r="G90" s="195"/>
      <c r="H90" s="195"/>
      <c r="I90" s="195"/>
      <c r="J90" s="195"/>
      <c r="K90" s="195"/>
      <c r="L90" s="195"/>
      <c r="M90" s="195"/>
      <c r="N90" s="195"/>
      <c r="O90" s="196"/>
      <c r="P90" s="190" t="str" cm="1">
        <f t="array" ref="P90">_xlfn.LET(_xlpm.PercentCheck,IF(OR(P$1="Crit Chance",P$1="Crit Damage",P$1="Condition Duration"),1,0),_xlpm.Flat,$H90,_xlpm.Percentage,$H90*P$85,_xlpm.Derived,$H90*P$85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P$1,AND(_xlpm.PercentCheck=0,$G90="All")),_xlfn.IFS(AND($I90="Flat",$J90=0),_xlpm.Flat,AND($I90="Percentage",$J90=0),_xlpm.Percentage,$J90="Derived",_xlpm.Derived,$J90="Boon Enhancement",_xlpm.BoonEnhancement,$J90="Stacking",_xlpm.Stacking),""))</f>
        <v/>
      </c>
      <c r="Q90" s="190" t="str" cm="1">
        <f t="array" ref="Q90">_xlfn.LET(_xlpm.PercentCheck,IF(OR(Q$1="Crit Chance",Q$1="Crit Damage",Q$1="Condition Duration"),1,0),_xlpm.Flat,$H90,_xlpm.Percentage,$H90*Q$85,_xlpm.Derived,$H90*Q$85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Q$1,AND(_xlpm.PercentCheck=0,$G90="All")),_xlfn.IFS(AND($I90="Flat",$J90=0),_xlpm.Flat,AND($I90="Percentage",$J90=0),_xlpm.Percentage,$J90="Derived",_xlpm.Derived,$J90="Boon Enhancement",_xlpm.BoonEnhancement,$J90="Stacking",_xlpm.Stacking),""))</f>
        <v/>
      </c>
      <c r="R90" s="190" t="str" cm="1">
        <f t="array" ref="R90">_xlfn.LET(_xlpm.PercentCheck,IF(OR(R$1="Crit Chance",R$1="Crit Damage",R$1="Condition Duration"),1,0),_xlpm.Flat,$H90,_xlpm.Percentage,$H90*R$85,_xlpm.Derived,$H90*R$85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R$1,AND(_xlpm.PercentCheck=0,$G90="All")),_xlfn.IFS(AND($I90="Flat",$J90=0),_xlpm.Flat,AND($I90="Percentage",$J90=0),_xlpm.Percentage,$J90="Derived",_xlpm.Derived,$J90="Boon Enhancement",_xlpm.BoonEnhancement,$J90="Stacking",_xlpm.Stacking),""))</f>
        <v/>
      </c>
      <c r="S90" s="190" t="str" cm="1">
        <f t="array" ref="S90">_xlfn.LET(_xlpm.PercentCheck,IF(OR(S$1="Crit Chance",S$1="Crit Damage",S$1="Condition Duration"),1,0),_xlpm.Flat,$H90,_xlpm.Percentage,$H90*S$85,_xlpm.Derived,$H90*S$85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S$1,AND(_xlpm.PercentCheck=0,$G90="All")),_xlfn.IFS(AND($I90="Flat",$J90=0),_xlpm.Flat,AND($I90="Percentage",$J90=0),_xlpm.Percentage,$J90="Derived",_xlpm.Derived,$J90="Boon Enhancement",_xlpm.BoonEnhancement,$J90="Stacking",_xlpm.Stacking),""))</f>
        <v/>
      </c>
      <c r="T90" s="190" t="str" cm="1">
        <f t="array" ref="T90">_xlfn.LET(_xlpm.PercentCheck,IF(OR(T$1="Crit Chance",T$1="Crit Damage",T$1="Condition Duration"),1,0),_xlpm.Flat,$H90,_xlpm.Percentage,$H90*T$85,_xlpm.Derived,$H90*T$85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T$1,AND(_xlpm.PercentCheck=0,$G90="All")),_xlfn.IFS(AND($I90="Flat",$J90=0),_xlpm.Flat,AND($I90="Percentage",$J90=0),_xlpm.Percentage,$J90="Derived",_xlpm.Derived,$J90="Boon Enhancement",_xlpm.BoonEnhancement,$J90="Stacking",_xlpm.Stacking),""))</f>
        <v/>
      </c>
      <c r="U90" s="190" t="str" cm="1">
        <f t="array" ref="U90">_xlfn.LET(_xlpm.PercentCheck,IF(OR(U$1="Crit Chance",U$1="Crit Damage",U$1="Condition Duration"),1,0),_xlpm.Flat,$H90,_xlpm.Percentage,$H90*U$85,_xlpm.Derived,$H90*U$85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U$1,AND(_xlpm.PercentCheck=0,$G90="All")),_xlfn.IFS(AND($I90="Flat",$J90=0),_xlpm.Flat,AND($I90="Percentage",$J90=0),_xlpm.Percentage,$J90="Derived",_xlpm.Derived,$J90="Boon Enhancement",_xlpm.BoonEnhancement,$J90="Stacking",_xlpm.Stacking),""))</f>
        <v/>
      </c>
      <c r="V90" s="190" t="str" cm="1">
        <f t="array" ref="V90">_xlfn.LET(_xlpm.PercentCheck,IF(OR(V$1="Crit Chance",V$1="Crit Damage",V$1="Condition Duration"),1,0),_xlpm.Flat,$H90,_xlpm.Percentage,$H90*V$85,_xlpm.Derived,$H90*V$85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V$1,AND(_xlpm.PercentCheck=0,$G90="All")),_xlfn.IFS(AND($I90="Flat",$J90=0),_xlpm.Flat,AND($I90="Percentage",$J90=0),_xlpm.Percentage,$J90="Derived",_xlpm.Derived,$J90="Boon Enhancement",_xlpm.BoonEnhancement,$J90="Stacking",_xlpm.Stacking),""))</f>
        <v/>
      </c>
      <c r="W90" s="190" t="str" cm="1">
        <f t="array" ref="W90">_xlfn.LET(_xlpm.PercentCheck,IF(OR(W$1="Crit Chance",W$1="Crit Damage",W$1="Condition Duration"),1,0),_xlpm.Flat,$H90,_xlpm.Percentage,$H90*W$85,_xlpm.Derived,$H90*W$85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W$1,AND(_xlpm.PercentCheck=0,$G90="All")),_xlfn.IFS(AND($I90="Flat",$J90=0),_xlpm.Flat,AND($I90="Percentage",$J90=0),_xlpm.Percentage,$J90="Derived",_xlpm.Derived,$J90="Boon Enhancement",_xlpm.BoonEnhancement,$J90="Stacking",_xlpm.Stacking),""))</f>
        <v/>
      </c>
      <c r="X90" s="190" t="str" cm="1">
        <f t="array" ref="X90">_xlfn.LET(_xlpm.PercentCheck,IF(OR(X$1="Crit Chance",X$1="Crit Damage",X$1="Condition Duration"),1,0),_xlpm.Flat,$H90,_xlpm.Percentage,$H90*X$85,_xlpm.Derived,$H90*X$85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X$1,AND(_xlpm.PercentCheck=0,$G90="All")),_xlfn.IFS(AND($I90="Flat",$J90=0),_xlpm.Flat,AND($I90="Percentage",$J90=0),_xlpm.Percentage,$J90="Derived",_xlpm.Derived,$J90="Boon Enhancement",_xlpm.BoonEnhancement,$J90="Stacking",_xlpm.Stacking),""))</f>
        <v/>
      </c>
      <c r="Y90" s="190" t="str" cm="1">
        <f t="array" ref="Y90">_xlfn.LET(_xlpm.PercentCheck,IF(OR(Y$1="Crit Chance",Y$1="Crit Damage",Y$1="Condition Duration"),1,0),_xlpm.Flat,$H90,_xlpm.Percentage,$H90*Y$85,_xlpm.Derived,$H90*Y$85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Y$1,AND(_xlpm.PercentCheck=0,$G90="All")),_xlfn.IFS(AND($I90="Flat",$J90=0),_xlpm.Flat,AND($I90="Percentage",$J90=0),_xlpm.Percentage,$J90="Derived",_xlpm.Derived,$J90="Boon Enhancement",_xlpm.BoonEnhancement,$J90="Stacking",_xlpm.Stacking),""))</f>
        <v/>
      </c>
      <c r="Z90" s="190" t="str" cm="1">
        <f t="array" ref="Z90">_xlfn.LET(_xlpm.PercentCheck,IF(OR(Z$1="Crit Chance",Z$1="Crit Damage",Z$1="Condition Duration"),1,0),_xlpm.Flat,$H90,_xlpm.Percentage,$H90*Z$85,_xlpm.Derived,$H90*Z$85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Z$1,AND(_xlpm.PercentCheck=0,$G90="All")),_xlfn.IFS(AND($I90="Flat",$J90=0),_xlpm.Flat,AND($I90="Percentage",$J90=0),_xlpm.Percentage,$J90="Derived",_xlpm.Derived,$J90="Boon Enhancement",_xlpm.BoonEnhancement,$J90="Stacking",_xlpm.Stacking),""))</f>
        <v/>
      </c>
      <c r="AA90" s="190" t="str" cm="1">
        <f t="array" ref="AA90">_xlfn.LET(_xlpm.PercentCheck,IF(OR(AA$1="Crit Chance",AA$1="Crit Damage",AA$1="Condition Duration"),1,0),_xlpm.Flat,$H90,_xlpm.Percentage,$H90*AA$85,_xlpm.Derived,$H90*AA$85,_xlpm.BoonType,VLOOKUP($M90,BoonToggles,2,0),_xlpm.BoonEnhancement,IF(AND(ISLOGICAL(_xlpm.BoonType),_xlpm.BoonType=TRUE),IF($I90="Flat",$H90,_xlpm.Percentage),IF($I90="Flat",$H90*_xlpm.BoonType,_xlpm.Percentage*_xlpm.BoonType)),_xlpm.Stacking,IF($I90="Flat",$H90*Spec1MajorGrandmasterStacks,IF(_xlpm.PercentCheck=1,"",_xlpm.Percentage*Spec1MajorGrandmasterStacks)),IF(OR($G90=AA$1,AND(_xlpm.PercentCheck=0,$G90="All")),_xlfn.IFS(AND($I90="Flat",$J90=0),_xlpm.Flat,AND($I90="Percentage",$J90=0),_xlpm.Percentage,$J90="Derived",_xlpm.Derived,$J90="Boon Enhancement",_xlpm.BoonEnhancement,$J90="Stacking",_xlpm.Stacking),""))</f>
        <v/>
      </c>
    </row>
    <row r="91" spans="1:27" s="171" customFormat="1" ht="14.25" customHeight="1">
      <c r="A91" s="566"/>
      <c r="B91" s="559" t="s">
        <v>3500</v>
      </c>
      <c r="C91" s="559"/>
      <c r="D91" s="559"/>
      <c r="E91" s="559"/>
      <c r="F91" s="559"/>
      <c r="G91" s="559"/>
      <c r="H91" s="559"/>
      <c r="I91" s="559"/>
      <c r="J91" s="559"/>
      <c r="K91" s="559"/>
      <c r="L91" s="559"/>
      <c r="M91" s="559"/>
      <c r="N91" s="559"/>
      <c r="O91" s="560"/>
      <c r="P91" s="197">
        <f t="shared" ref="P91:AA91" si="33">SUM(P$86:P$90)</f>
        <v>0</v>
      </c>
      <c r="Q91" s="198">
        <f t="shared" si="33"/>
        <v>0</v>
      </c>
      <c r="R91" s="198">
        <f t="shared" si="33"/>
        <v>0</v>
      </c>
      <c r="S91" s="198">
        <f t="shared" si="33"/>
        <v>0</v>
      </c>
      <c r="T91" s="198">
        <f t="shared" si="33"/>
        <v>0</v>
      </c>
      <c r="U91" s="198">
        <f t="shared" si="33"/>
        <v>0</v>
      </c>
      <c r="V91" s="198">
        <f t="shared" si="33"/>
        <v>0</v>
      </c>
      <c r="W91" s="198">
        <f t="shared" si="33"/>
        <v>0</v>
      </c>
      <c r="X91" s="198">
        <f t="shared" si="33"/>
        <v>0</v>
      </c>
      <c r="Y91" s="199">
        <f t="shared" si="33"/>
        <v>0</v>
      </c>
      <c r="Z91" s="199">
        <f t="shared" si="33"/>
        <v>0</v>
      </c>
      <c r="AA91" s="199">
        <f t="shared" si="33"/>
        <v>0</v>
      </c>
    </row>
    <row r="92" spans="1:27" s="171" customFormat="1" ht="14.25" customHeight="1">
      <c r="A92" s="566"/>
      <c r="B92" s="559" t="s">
        <v>3501</v>
      </c>
      <c r="C92" s="559"/>
      <c r="D92" s="559"/>
      <c r="E92" s="559"/>
      <c r="F92" s="559"/>
      <c r="G92" s="559"/>
      <c r="H92" s="559"/>
      <c r="I92" s="559"/>
      <c r="J92" s="559"/>
      <c r="K92" s="559"/>
      <c r="L92" s="559"/>
      <c r="M92" s="559"/>
      <c r="N92" s="559"/>
      <c r="O92" s="560"/>
      <c r="P92" s="197">
        <f>SUM(P$85,SUMIFS(P$86:P$90,$I$86:$I$90,"Percentage",$J$86:$J$90,"&lt;&gt;Derived"))</f>
        <v>1657</v>
      </c>
      <c r="Q92" s="197">
        <f t="shared" ref="Q92:X92" si="34">SUM(Q$85,SUMIFS(Q$86:Q$90,$I$86:$I$90,"Percentage",$J$86:$J$90,"&lt;&gt;Derived"))</f>
        <v>1594</v>
      </c>
      <c r="R92" s="197">
        <f t="shared" si="34"/>
        <v>1221</v>
      </c>
      <c r="S92" s="197">
        <f t="shared" si="34"/>
        <v>1156</v>
      </c>
      <c r="T92" s="197">
        <f t="shared" si="34"/>
        <v>10</v>
      </c>
      <c r="U92" s="197">
        <f t="shared" si="34"/>
        <v>249.6</v>
      </c>
      <c r="V92" s="197">
        <f t="shared" si="34"/>
        <v>260</v>
      </c>
      <c r="W92" s="197">
        <f t="shared" si="34"/>
        <v>248</v>
      </c>
      <c r="X92" s="197">
        <f t="shared" si="34"/>
        <v>47</v>
      </c>
      <c r="Y92" s="480"/>
      <c r="Z92" s="480"/>
      <c r="AA92" s="480"/>
    </row>
    <row r="93" spans="1:27" ht="14.25" customHeight="1">
      <c r="A93" s="566"/>
      <c r="B93" s="553" t="s">
        <v>19</v>
      </c>
      <c r="C93" s="194" t="str" cm="1">
        <f t="array" ref="C93">IF(OR(Spec3MajorAdeptCondition="(Select)",Spec3MajorAdeptCondition=""),_xlfn._xlws.FILTER(TraitStats,(TraitStatsTable[Name]=Spec3MajorAdept)*(TraitStatsTable[Condition]=""),"No stat bonus"),_xlfn._xlws.FILTER(TraitStats,(TraitStatsTable[Name]=Spec3MajorAdept)*((TraitStatsTable[Condition]=Spec3MajorAdeptCondition)+(TraitStatsTable[Condition]="")),"No stat bonus"))</f>
        <v>No stat bonus</v>
      </c>
      <c r="D93" s="195"/>
      <c r="E93" s="195"/>
      <c r="F93" s="195"/>
      <c r="G93" s="195"/>
      <c r="H93" s="195"/>
      <c r="I93" s="195"/>
      <c r="J93" s="195"/>
      <c r="K93" s="195"/>
      <c r="L93" s="195"/>
      <c r="M93" s="195"/>
      <c r="N93" s="195"/>
      <c r="O93" s="196"/>
      <c r="P93" s="190" t="str" cm="1">
        <f t="array" ref="P93">_xlfn.LET(_xlpm.PercentCheck,IF(OR(P$1="Crit Chance",P$1="Crit Damage",P$1="Condition Duration"),1,0),_xlpm.Flat,$H93,_xlpm.Percentage,$H93*P$92,_xlpm.Derived,$H93*P$92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P$1,AND(_xlpm.PercentCheck=0,$G93="All")),_xlfn.IFS(AND($I93="Flat",$J93=0),_xlpm.Flat,AND($I93="Percentage",$J93=0),_xlpm.Percentage,$J93="Derived",_xlpm.Derived,$J93="Boon Enhancement",_xlpm.BoonEnhancement,$J93="Stacking",_xlpm.Stacking),""))</f>
        <v/>
      </c>
      <c r="Q93" s="190" t="str" cm="1">
        <f t="array" ref="Q93">_xlfn.LET(_xlpm.PercentCheck,IF(OR(Q$1="Crit Chance",Q$1="Crit Damage",Q$1="Condition Duration"),1,0),_xlpm.Flat,$H93,_xlpm.Percentage,$H93*Q$92,_xlpm.Derived,$H93*Q$92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Q$1,AND(_xlpm.PercentCheck=0,$G93="All")),_xlfn.IFS(AND($I93="Flat",$J93=0),_xlpm.Flat,AND($I93="Percentage",$J93=0),_xlpm.Percentage,$J93="Derived",_xlpm.Derived,$J93="Boon Enhancement",_xlpm.BoonEnhancement,$J93="Stacking",_xlpm.Stacking),""))</f>
        <v/>
      </c>
      <c r="R93" s="190" t="str" cm="1">
        <f t="array" ref="R93">_xlfn.LET(_xlpm.PercentCheck,IF(OR(R$1="Crit Chance",R$1="Crit Damage",R$1="Condition Duration"),1,0),_xlpm.Flat,$H93,_xlpm.Percentage,$H93*R$92,_xlpm.Derived,$H93*R$92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R$1,AND(_xlpm.PercentCheck=0,$G93="All")),_xlfn.IFS(AND($I93="Flat",$J93=0),_xlpm.Flat,AND($I93="Percentage",$J93=0),_xlpm.Percentage,$J93="Derived",_xlpm.Derived,$J93="Boon Enhancement",_xlpm.BoonEnhancement,$J93="Stacking",_xlpm.Stacking),""))</f>
        <v/>
      </c>
      <c r="S93" s="190" t="str" cm="1">
        <f t="array" ref="S93">_xlfn.LET(_xlpm.PercentCheck,IF(OR(S$1="Crit Chance",S$1="Crit Damage",S$1="Condition Duration"),1,0),_xlpm.Flat,$H93,_xlpm.Percentage,$H93*S$92,_xlpm.Derived,$H93*S$92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S$1,AND(_xlpm.PercentCheck=0,$G93="All")),_xlfn.IFS(AND($I93="Flat",$J93=0),_xlpm.Flat,AND($I93="Percentage",$J93=0),_xlpm.Percentage,$J93="Derived",_xlpm.Derived,$J93="Boon Enhancement",_xlpm.BoonEnhancement,$J93="Stacking",_xlpm.Stacking),""))</f>
        <v/>
      </c>
      <c r="T93" s="190" t="str" cm="1">
        <f t="array" ref="T93">_xlfn.LET(_xlpm.PercentCheck,IF(OR(T$1="Crit Chance",T$1="Crit Damage",T$1="Condition Duration"),1,0),_xlpm.Flat,$H93,_xlpm.Percentage,$H93*T$92,_xlpm.Derived,$H93*T$92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T$1,AND(_xlpm.PercentCheck=0,$G93="All")),_xlfn.IFS(AND($I93="Flat",$J93=0),_xlpm.Flat,AND($I93="Percentage",$J93=0),_xlpm.Percentage,$J93="Derived",_xlpm.Derived,$J93="Boon Enhancement",_xlpm.BoonEnhancement,$J93="Stacking",_xlpm.Stacking),""))</f>
        <v/>
      </c>
      <c r="U93" s="190" t="str" cm="1">
        <f t="array" ref="U93">_xlfn.LET(_xlpm.PercentCheck,IF(OR(U$1="Crit Chance",U$1="Crit Damage",U$1="Condition Duration"),1,0),_xlpm.Flat,$H93,_xlpm.Percentage,$H93*U$92,_xlpm.Derived,$H93*U$92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U$1,AND(_xlpm.PercentCheck=0,$G93="All")),_xlfn.IFS(AND($I93="Flat",$J93=0),_xlpm.Flat,AND($I93="Percentage",$J93=0),_xlpm.Percentage,$J93="Derived",_xlpm.Derived,$J93="Boon Enhancement",_xlpm.BoonEnhancement,$J93="Stacking",_xlpm.Stacking),""))</f>
        <v/>
      </c>
      <c r="V93" s="190" t="str" cm="1">
        <f t="array" ref="V93">_xlfn.LET(_xlpm.PercentCheck,IF(OR(V$1="Crit Chance",V$1="Crit Damage",V$1="Condition Duration"),1,0),_xlpm.Flat,$H93,_xlpm.Percentage,$H93*V$92,_xlpm.Derived,$H93*V$92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V$1,AND(_xlpm.PercentCheck=0,$G93="All")),_xlfn.IFS(AND($I93="Flat",$J93=0),_xlpm.Flat,AND($I93="Percentage",$J93=0),_xlpm.Percentage,$J93="Derived",_xlpm.Derived,$J93="Boon Enhancement",_xlpm.BoonEnhancement,$J93="Stacking",_xlpm.Stacking),""))</f>
        <v/>
      </c>
      <c r="W93" s="190" t="str" cm="1">
        <f t="array" ref="W93">_xlfn.LET(_xlpm.PercentCheck,IF(OR(W$1="Crit Chance",W$1="Crit Damage",W$1="Condition Duration"),1,0),_xlpm.Flat,$H93,_xlpm.Percentage,$H93*W$92,_xlpm.Derived,$H93*W$92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W$1,AND(_xlpm.PercentCheck=0,$G93="All")),_xlfn.IFS(AND($I93="Flat",$J93=0),_xlpm.Flat,AND($I93="Percentage",$J93=0),_xlpm.Percentage,$J93="Derived",_xlpm.Derived,$J93="Boon Enhancement",_xlpm.BoonEnhancement,$J93="Stacking",_xlpm.Stacking),""))</f>
        <v/>
      </c>
      <c r="X93" s="190" t="str" cm="1">
        <f t="array" ref="X93">_xlfn.LET(_xlpm.PercentCheck,IF(OR(X$1="Crit Chance",X$1="Crit Damage",X$1="Condition Duration"),1,0),_xlpm.Flat,$H93,_xlpm.Percentage,$H93*X$92,_xlpm.Derived,$H93*X$92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X$1,AND(_xlpm.PercentCheck=0,$G93="All")),_xlfn.IFS(AND($I93="Flat",$J93=0),_xlpm.Flat,AND($I93="Percentage",$J93=0),_xlpm.Percentage,$J93="Derived",_xlpm.Derived,$J93="Boon Enhancement",_xlpm.BoonEnhancement,$J93="Stacking",_xlpm.Stacking),""))</f>
        <v/>
      </c>
      <c r="Y93" s="190" t="str" cm="1">
        <f t="array" ref="Y93">_xlfn.LET(_xlpm.PercentCheck,IF(OR(Y$1="Crit Chance",Y$1="Crit Damage",Y$1="Condition Duration"),1,0),_xlpm.Flat,$H93,_xlpm.Percentage,$H93*Y$92,_xlpm.Derived,$H93*Y$92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Y$1,AND(_xlpm.PercentCheck=0,$G93="All")),_xlfn.IFS(AND($I93="Flat",$J93=0),_xlpm.Flat,AND($I93="Percentage",$J93=0),_xlpm.Percentage,$J93="Derived",_xlpm.Derived,$J93="Boon Enhancement",_xlpm.BoonEnhancement,$J93="Stacking",_xlpm.Stacking),""))</f>
        <v/>
      </c>
      <c r="Z93" s="190" t="str" cm="1">
        <f t="array" ref="Z93">_xlfn.LET(_xlpm.PercentCheck,IF(OR(Z$1="Crit Chance",Z$1="Crit Damage",Z$1="Condition Duration"),1,0),_xlpm.Flat,$H93,_xlpm.Percentage,$H93*Z$92,_xlpm.Derived,$H93*Z$92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Z$1,AND(_xlpm.PercentCheck=0,$G93="All")),_xlfn.IFS(AND($I93="Flat",$J93=0),_xlpm.Flat,AND($I93="Percentage",$J93=0),_xlpm.Percentage,$J93="Derived",_xlpm.Derived,$J93="Boon Enhancement",_xlpm.BoonEnhancement,$J93="Stacking",_xlpm.Stacking),""))</f>
        <v/>
      </c>
      <c r="AA93" s="190" t="str" cm="1">
        <f t="array" ref="AA93">_xlfn.LET(_xlpm.PercentCheck,IF(OR(AA$1="Crit Chance",AA$1="Crit Damage",AA$1="Condition Duration"),1,0),_xlpm.Flat,$H93,_xlpm.Percentage,$H93*AA$92,_xlpm.Derived,$H93*AA$92,_xlpm.BoonType,VLOOKUP($M93,BoonToggles,2,0),_xlpm.BoonEnhancement,IF(AND(ISLOGICAL(_xlpm.BoonType),_xlpm.BoonType=TRUE),IF($I93="Flat",$H93,_xlpm.Percentage),IF($I93="Flat",$H93*_xlpm.BoonType,_xlpm.Percentage*_xlpm.BoonType)),_xlpm.Stacking,IF($I93="Flat",$H93*Spec1MajorGrandmasterStacks,IF(_xlpm.PercentCheck=1,"",_xlpm.Percentage*Spec1MajorGrandmasterStacks)),IF(OR($G93=AA$1,AND(_xlpm.PercentCheck=0,$G93="All")),_xlfn.IFS(AND($I93="Flat",$J93=0),_xlpm.Flat,AND($I93="Percentage",$J93=0),_xlpm.Percentage,$J93="Derived",_xlpm.Derived,$J93="Boon Enhancement",_xlpm.BoonEnhancement,$J93="Stacking",_xlpm.Stacking),""))</f>
        <v/>
      </c>
    </row>
    <row r="94" spans="1:27" ht="14.25" customHeight="1">
      <c r="A94" s="566"/>
      <c r="B94" s="554"/>
      <c r="C94" s="194"/>
      <c r="D94" s="195"/>
      <c r="E94" s="195"/>
      <c r="F94" s="195"/>
      <c r="G94" s="195"/>
      <c r="H94" s="195"/>
      <c r="I94" s="195"/>
      <c r="J94" s="195"/>
      <c r="K94" s="195"/>
      <c r="L94" s="195"/>
      <c r="M94" s="195"/>
      <c r="N94" s="195"/>
      <c r="O94" s="196"/>
      <c r="P94" s="190" t="str" cm="1">
        <f t="array" ref="P94">_xlfn.LET(_xlpm.PercentCheck,IF(OR(P$1="Crit Chance",P$1="Crit Damage",P$1="Condition Duration"),1,0),_xlpm.Flat,$H94,_xlpm.Percentage,$H94*P$92,_xlpm.Derived,$H94*P$92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P$1,AND(_xlpm.PercentCheck=0,$G94="All")),_xlfn.IFS(AND($I94="Flat",$J94=0),_xlpm.Flat,AND($I94="Percentage",$J94=0),_xlpm.Percentage,$J94="Derived",_xlpm.Derived,$J94="Boon Enhancement",_xlpm.BoonEnhancement,$J94="Stacking",_xlpm.Stacking),""))</f>
        <v/>
      </c>
      <c r="Q94" s="190" t="str" cm="1">
        <f t="array" ref="Q94">_xlfn.LET(_xlpm.PercentCheck,IF(OR(Q$1="Crit Chance",Q$1="Crit Damage",Q$1="Condition Duration"),1,0),_xlpm.Flat,$H94,_xlpm.Percentage,$H94*Q$92,_xlpm.Derived,$H94*Q$92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Q$1,AND(_xlpm.PercentCheck=0,$G94="All")),_xlfn.IFS(AND($I94="Flat",$J94=0),_xlpm.Flat,AND($I94="Percentage",$J94=0),_xlpm.Percentage,$J94="Derived",_xlpm.Derived,$J94="Boon Enhancement",_xlpm.BoonEnhancement,$J94="Stacking",_xlpm.Stacking),""))</f>
        <v/>
      </c>
      <c r="R94" s="190" t="str" cm="1">
        <f t="array" ref="R94">_xlfn.LET(_xlpm.PercentCheck,IF(OR(R$1="Crit Chance",R$1="Crit Damage",R$1="Condition Duration"),1,0),_xlpm.Flat,$H94,_xlpm.Percentage,$H94*R$92,_xlpm.Derived,$H94*R$92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R$1,AND(_xlpm.PercentCheck=0,$G94="All")),_xlfn.IFS(AND($I94="Flat",$J94=0),_xlpm.Flat,AND($I94="Percentage",$J94=0),_xlpm.Percentage,$J94="Derived",_xlpm.Derived,$J94="Boon Enhancement",_xlpm.BoonEnhancement,$J94="Stacking",_xlpm.Stacking),""))</f>
        <v/>
      </c>
      <c r="S94" s="190" t="str" cm="1">
        <f t="array" ref="S94">_xlfn.LET(_xlpm.PercentCheck,IF(OR(S$1="Crit Chance",S$1="Crit Damage",S$1="Condition Duration"),1,0),_xlpm.Flat,$H94,_xlpm.Percentage,$H94*S$92,_xlpm.Derived,$H94*S$92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S$1,AND(_xlpm.PercentCheck=0,$G94="All")),_xlfn.IFS(AND($I94="Flat",$J94=0),_xlpm.Flat,AND($I94="Percentage",$J94=0),_xlpm.Percentage,$J94="Derived",_xlpm.Derived,$J94="Boon Enhancement",_xlpm.BoonEnhancement,$J94="Stacking",_xlpm.Stacking),""))</f>
        <v/>
      </c>
      <c r="T94" s="190" t="str" cm="1">
        <f t="array" ref="T94">_xlfn.LET(_xlpm.PercentCheck,IF(OR(T$1="Crit Chance",T$1="Crit Damage",T$1="Condition Duration"),1,0),_xlpm.Flat,$H94,_xlpm.Percentage,$H94*T$92,_xlpm.Derived,$H94*T$92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T$1,AND(_xlpm.PercentCheck=0,$G94="All")),_xlfn.IFS(AND($I94="Flat",$J94=0),_xlpm.Flat,AND($I94="Percentage",$J94=0),_xlpm.Percentage,$J94="Derived",_xlpm.Derived,$J94="Boon Enhancement",_xlpm.BoonEnhancement,$J94="Stacking",_xlpm.Stacking),""))</f>
        <v/>
      </c>
      <c r="U94" s="190" t="str" cm="1">
        <f t="array" ref="U94">_xlfn.LET(_xlpm.PercentCheck,IF(OR(U$1="Crit Chance",U$1="Crit Damage",U$1="Condition Duration"),1,0),_xlpm.Flat,$H94,_xlpm.Percentage,$H94*U$92,_xlpm.Derived,$H94*U$92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U$1,AND(_xlpm.PercentCheck=0,$G94="All")),_xlfn.IFS(AND($I94="Flat",$J94=0),_xlpm.Flat,AND($I94="Percentage",$J94=0),_xlpm.Percentage,$J94="Derived",_xlpm.Derived,$J94="Boon Enhancement",_xlpm.BoonEnhancement,$J94="Stacking",_xlpm.Stacking),""))</f>
        <v/>
      </c>
      <c r="V94" s="190" t="str" cm="1">
        <f t="array" ref="V94">_xlfn.LET(_xlpm.PercentCheck,IF(OR(V$1="Crit Chance",V$1="Crit Damage",V$1="Condition Duration"),1,0),_xlpm.Flat,$H94,_xlpm.Percentage,$H94*V$92,_xlpm.Derived,$H94*V$92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V$1,AND(_xlpm.PercentCheck=0,$G94="All")),_xlfn.IFS(AND($I94="Flat",$J94=0),_xlpm.Flat,AND($I94="Percentage",$J94=0),_xlpm.Percentage,$J94="Derived",_xlpm.Derived,$J94="Boon Enhancement",_xlpm.BoonEnhancement,$J94="Stacking",_xlpm.Stacking),""))</f>
        <v/>
      </c>
      <c r="W94" s="190" t="str" cm="1">
        <f t="array" ref="W94">_xlfn.LET(_xlpm.PercentCheck,IF(OR(W$1="Crit Chance",W$1="Crit Damage",W$1="Condition Duration"),1,0),_xlpm.Flat,$H94,_xlpm.Percentage,$H94*W$92,_xlpm.Derived,$H94*W$92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W$1,AND(_xlpm.PercentCheck=0,$G94="All")),_xlfn.IFS(AND($I94="Flat",$J94=0),_xlpm.Flat,AND($I94="Percentage",$J94=0),_xlpm.Percentage,$J94="Derived",_xlpm.Derived,$J94="Boon Enhancement",_xlpm.BoonEnhancement,$J94="Stacking",_xlpm.Stacking),""))</f>
        <v/>
      </c>
      <c r="X94" s="190" t="str" cm="1">
        <f t="array" ref="X94">_xlfn.LET(_xlpm.PercentCheck,IF(OR(X$1="Crit Chance",X$1="Crit Damage",X$1="Condition Duration"),1,0),_xlpm.Flat,$H94,_xlpm.Percentage,$H94*X$92,_xlpm.Derived,$H94*X$92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X$1,AND(_xlpm.PercentCheck=0,$G94="All")),_xlfn.IFS(AND($I94="Flat",$J94=0),_xlpm.Flat,AND($I94="Percentage",$J94=0),_xlpm.Percentage,$J94="Derived",_xlpm.Derived,$J94="Boon Enhancement",_xlpm.BoonEnhancement,$J94="Stacking",_xlpm.Stacking),""))</f>
        <v/>
      </c>
      <c r="Y94" s="190" t="str" cm="1">
        <f t="array" ref="Y94">_xlfn.LET(_xlpm.PercentCheck,IF(OR(Y$1="Crit Chance",Y$1="Crit Damage",Y$1="Condition Duration"),1,0),_xlpm.Flat,$H94,_xlpm.Percentage,$H94*Y$92,_xlpm.Derived,$H94*Y$92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Y$1,AND(_xlpm.PercentCheck=0,$G94="All")),_xlfn.IFS(AND($I94="Flat",$J94=0),_xlpm.Flat,AND($I94="Percentage",$J94=0),_xlpm.Percentage,$J94="Derived",_xlpm.Derived,$J94="Boon Enhancement",_xlpm.BoonEnhancement,$J94="Stacking",_xlpm.Stacking),""))</f>
        <v/>
      </c>
      <c r="Z94" s="190" t="str" cm="1">
        <f t="array" ref="Z94">_xlfn.LET(_xlpm.PercentCheck,IF(OR(Z$1="Crit Chance",Z$1="Crit Damage",Z$1="Condition Duration"),1,0),_xlpm.Flat,$H94,_xlpm.Percentage,$H94*Z$92,_xlpm.Derived,$H94*Z$92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Z$1,AND(_xlpm.PercentCheck=0,$G94="All")),_xlfn.IFS(AND($I94="Flat",$J94=0),_xlpm.Flat,AND($I94="Percentage",$J94=0),_xlpm.Percentage,$J94="Derived",_xlpm.Derived,$J94="Boon Enhancement",_xlpm.BoonEnhancement,$J94="Stacking",_xlpm.Stacking),""))</f>
        <v/>
      </c>
      <c r="AA94" s="190" t="str" cm="1">
        <f t="array" ref="AA94">_xlfn.LET(_xlpm.PercentCheck,IF(OR(AA$1="Crit Chance",AA$1="Crit Damage",AA$1="Condition Duration"),1,0),_xlpm.Flat,$H94,_xlpm.Percentage,$H94*AA$92,_xlpm.Derived,$H94*AA$92,_xlpm.BoonType,VLOOKUP($M94,BoonToggles,2,0),_xlpm.BoonEnhancement,IF(AND(ISLOGICAL(_xlpm.BoonType),_xlpm.BoonType=TRUE),IF($I94="Flat",$H94,_xlpm.Percentage),IF($I94="Flat",$H94*_xlpm.BoonType,_xlpm.Percentage*_xlpm.BoonType)),_xlpm.Stacking,IF($I94="Flat",$H94*Spec1MajorGrandmasterStacks,IF(_xlpm.PercentCheck=1,"",_xlpm.Percentage*Spec1MajorGrandmasterStacks)),IF(OR($G94=AA$1,AND(_xlpm.PercentCheck=0,$G94="All")),_xlfn.IFS(AND($I94="Flat",$J94=0),_xlpm.Flat,AND($I94="Percentage",$J94=0),_xlpm.Percentage,$J94="Derived",_xlpm.Derived,$J94="Boon Enhancement",_xlpm.BoonEnhancement,$J94="Stacking",_xlpm.Stacking),""))</f>
        <v/>
      </c>
    </row>
    <row r="95" spans="1:27" ht="14.25" customHeight="1">
      <c r="A95" s="566"/>
      <c r="B95" s="554"/>
      <c r="C95" s="194"/>
      <c r="D95" s="195"/>
      <c r="E95" s="195"/>
      <c r="F95" s="195"/>
      <c r="G95" s="195"/>
      <c r="H95" s="195"/>
      <c r="I95" s="195"/>
      <c r="J95" s="195"/>
      <c r="K95" s="195"/>
      <c r="L95" s="195"/>
      <c r="M95" s="195"/>
      <c r="N95" s="195"/>
      <c r="O95" s="196"/>
      <c r="P95" s="190" t="str" cm="1">
        <f t="array" ref="P95">_xlfn.LET(_xlpm.PercentCheck,IF(OR(P$1="Crit Chance",P$1="Crit Damage",P$1="Condition Duration"),1,0),_xlpm.Flat,$H95,_xlpm.Percentage,$H95*P$92,_xlpm.Derived,$H95*P$92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P$1,AND(_xlpm.PercentCheck=0,$G95="All")),_xlfn.IFS(AND($I95="Flat",$J95=0),_xlpm.Flat,AND($I95="Percentage",$J95=0),_xlpm.Percentage,$J95="Derived",_xlpm.Derived,$J95="Boon Enhancement",_xlpm.BoonEnhancement,$J95="Stacking",_xlpm.Stacking),""))</f>
        <v/>
      </c>
      <c r="Q95" s="190" t="str" cm="1">
        <f t="array" ref="Q95">_xlfn.LET(_xlpm.PercentCheck,IF(OR(Q$1="Crit Chance",Q$1="Crit Damage",Q$1="Condition Duration"),1,0),_xlpm.Flat,$H95,_xlpm.Percentage,$H95*Q$92,_xlpm.Derived,$H95*Q$92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Q$1,AND(_xlpm.PercentCheck=0,$G95="All")),_xlfn.IFS(AND($I95="Flat",$J95=0),_xlpm.Flat,AND($I95="Percentage",$J95=0),_xlpm.Percentage,$J95="Derived",_xlpm.Derived,$J95="Boon Enhancement",_xlpm.BoonEnhancement,$J95="Stacking",_xlpm.Stacking),""))</f>
        <v/>
      </c>
      <c r="R95" s="190" t="str" cm="1">
        <f t="array" ref="R95">_xlfn.LET(_xlpm.PercentCheck,IF(OR(R$1="Crit Chance",R$1="Crit Damage",R$1="Condition Duration"),1,0),_xlpm.Flat,$H95,_xlpm.Percentage,$H95*R$92,_xlpm.Derived,$H95*R$92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R$1,AND(_xlpm.PercentCheck=0,$G95="All")),_xlfn.IFS(AND($I95="Flat",$J95=0),_xlpm.Flat,AND($I95="Percentage",$J95=0),_xlpm.Percentage,$J95="Derived",_xlpm.Derived,$J95="Boon Enhancement",_xlpm.BoonEnhancement,$J95="Stacking",_xlpm.Stacking),""))</f>
        <v/>
      </c>
      <c r="S95" s="190" t="str" cm="1">
        <f t="array" ref="S95">_xlfn.LET(_xlpm.PercentCheck,IF(OR(S$1="Crit Chance",S$1="Crit Damage",S$1="Condition Duration"),1,0),_xlpm.Flat,$H95,_xlpm.Percentage,$H95*S$92,_xlpm.Derived,$H95*S$92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S$1,AND(_xlpm.PercentCheck=0,$G95="All")),_xlfn.IFS(AND($I95="Flat",$J95=0),_xlpm.Flat,AND($I95="Percentage",$J95=0),_xlpm.Percentage,$J95="Derived",_xlpm.Derived,$J95="Boon Enhancement",_xlpm.BoonEnhancement,$J95="Stacking",_xlpm.Stacking),""))</f>
        <v/>
      </c>
      <c r="T95" s="190" t="str" cm="1">
        <f t="array" ref="T95">_xlfn.LET(_xlpm.PercentCheck,IF(OR(T$1="Crit Chance",T$1="Crit Damage",T$1="Condition Duration"),1,0),_xlpm.Flat,$H95,_xlpm.Percentage,$H95*T$92,_xlpm.Derived,$H95*T$92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T$1,AND(_xlpm.PercentCheck=0,$G95="All")),_xlfn.IFS(AND($I95="Flat",$J95=0),_xlpm.Flat,AND($I95="Percentage",$J95=0),_xlpm.Percentage,$J95="Derived",_xlpm.Derived,$J95="Boon Enhancement",_xlpm.BoonEnhancement,$J95="Stacking",_xlpm.Stacking),""))</f>
        <v/>
      </c>
      <c r="U95" s="190" t="str" cm="1">
        <f t="array" ref="U95">_xlfn.LET(_xlpm.PercentCheck,IF(OR(U$1="Crit Chance",U$1="Crit Damage",U$1="Condition Duration"),1,0),_xlpm.Flat,$H95,_xlpm.Percentage,$H95*U$92,_xlpm.Derived,$H95*U$92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U$1,AND(_xlpm.PercentCheck=0,$G95="All")),_xlfn.IFS(AND($I95="Flat",$J95=0),_xlpm.Flat,AND($I95="Percentage",$J95=0),_xlpm.Percentage,$J95="Derived",_xlpm.Derived,$J95="Boon Enhancement",_xlpm.BoonEnhancement,$J95="Stacking",_xlpm.Stacking),""))</f>
        <v/>
      </c>
      <c r="V95" s="190" t="str" cm="1">
        <f t="array" ref="V95">_xlfn.LET(_xlpm.PercentCheck,IF(OR(V$1="Crit Chance",V$1="Crit Damage",V$1="Condition Duration"),1,0),_xlpm.Flat,$H95,_xlpm.Percentage,$H95*V$92,_xlpm.Derived,$H95*V$92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V$1,AND(_xlpm.PercentCheck=0,$G95="All")),_xlfn.IFS(AND($I95="Flat",$J95=0),_xlpm.Flat,AND($I95="Percentage",$J95=0),_xlpm.Percentage,$J95="Derived",_xlpm.Derived,$J95="Boon Enhancement",_xlpm.BoonEnhancement,$J95="Stacking",_xlpm.Stacking),""))</f>
        <v/>
      </c>
      <c r="W95" s="190" t="str" cm="1">
        <f t="array" ref="W95">_xlfn.LET(_xlpm.PercentCheck,IF(OR(W$1="Crit Chance",W$1="Crit Damage",W$1="Condition Duration"),1,0),_xlpm.Flat,$H95,_xlpm.Percentage,$H95*W$92,_xlpm.Derived,$H95*W$92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W$1,AND(_xlpm.PercentCheck=0,$G95="All")),_xlfn.IFS(AND($I95="Flat",$J95=0),_xlpm.Flat,AND($I95="Percentage",$J95=0),_xlpm.Percentage,$J95="Derived",_xlpm.Derived,$J95="Boon Enhancement",_xlpm.BoonEnhancement,$J95="Stacking",_xlpm.Stacking),""))</f>
        <v/>
      </c>
      <c r="X95" s="190" t="str" cm="1">
        <f t="array" ref="X95">_xlfn.LET(_xlpm.PercentCheck,IF(OR(X$1="Crit Chance",X$1="Crit Damage",X$1="Condition Duration"),1,0),_xlpm.Flat,$H95,_xlpm.Percentage,$H95*X$92,_xlpm.Derived,$H95*X$92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X$1,AND(_xlpm.PercentCheck=0,$G95="All")),_xlfn.IFS(AND($I95="Flat",$J95=0),_xlpm.Flat,AND($I95="Percentage",$J95=0),_xlpm.Percentage,$J95="Derived",_xlpm.Derived,$J95="Boon Enhancement",_xlpm.BoonEnhancement,$J95="Stacking",_xlpm.Stacking),""))</f>
        <v/>
      </c>
      <c r="Y95" s="190" t="str" cm="1">
        <f t="array" ref="Y95">_xlfn.LET(_xlpm.PercentCheck,IF(OR(Y$1="Crit Chance",Y$1="Crit Damage",Y$1="Condition Duration"),1,0),_xlpm.Flat,$H95,_xlpm.Percentage,$H95*Y$92,_xlpm.Derived,$H95*Y$92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Y$1,AND(_xlpm.PercentCheck=0,$G95="All")),_xlfn.IFS(AND($I95="Flat",$J95=0),_xlpm.Flat,AND($I95="Percentage",$J95=0),_xlpm.Percentage,$J95="Derived",_xlpm.Derived,$J95="Boon Enhancement",_xlpm.BoonEnhancement,$J95="Stacking",_xlpm.Stacking),""))</f>
        <v/>
      </c>
      <c r="Z95" s="190" t="str" cm="1">
        <f t="array" ref="Z95">_xlfn.LET(_xlpm.PercentCheck,IF(OR(Z$1="Crit Chance",Z$1="Crit Damage",Z$1="Condition Duration"),1,0),_xlpm.Flat,$H95,_xlpm.Percentage,$H95*Z$92,_xlpm.Derived,$H95*Z$92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Z$1,AND(_xlpm.PercentCheck=0,$G95="All")),_xlfn.IFS(AND($I95="Flat",$J95=0),_xlpm.Flat,AND($I95="Percentage",$J95=0),_xlpm.Percentage,$J95="Derived",_xlpm.Derived,$J95="Boon Enhancement",_xlpm.BoonEnhancement,$J95="Stacking",_xlpm.Stacking),""))</f>
        <v/>
      </c>
      <c r="AA95" s="190" t="str" cm="1">
        <f t="array" ref="AA95">_xlfn.LET(_xlpm.PercentCheck,IF(OR(AA$1="Crit Chance",AA$1="Crit Damage",AA$1="Condition Duration"),1,0),_xlpm.Flat,$H95,_xlpm.Percentage,$H95*AA$92,_xlpm.Derived,$H95*AA$92,_xlpm.BoonType,VLOOKUP($M95,BoonToggles,2,0),_xlpm.BoonEnhancement,IF(AND(ISLOGICAL(_xlpm.BoonType),_xlpm.BoonType=TRUE),IF($I95="Flat",$H95,_xlpm.Percentage),IF($I95="Flat",$H95*_xlpm.BoonType,_xlpm.Percentage*_xlpm.BoonType)),_xlpm.Stacking,IF($I95="Flat",$H95*Spec1MajorGrandmasterStacks,IF(_xlpm.PercentCheck=1,"",_xlpm.Percentage*Spec1MajorGrandmasterStacks)),IF(OR($G95=AA$1,AND(_xlpm.PercentCheck=0,$G95="All")),_xlfn.IFS(AND($I95="Flat",$J95=0),_xlpm.Flat,AND($I95="Percentage",$J95=0),_xlpm.Percentage,$J95="Derived",_xlpm.Derived,$J95="Boon Enhancement",_xlpm.BoonEnhancement,$J95="Stacking",_xlpm.Stacking),""))</f>
        <v/>
      </c>
    </row>
    <row r="96" spans="1:27" ht="14.25" customHeight="1">
      <c r="A96" s="566"/>
      <c r="B96" s="554"/>
      <c r="C96" s="194"/>
      <c r="D96" s="195"/>
      <c r="E96" s="195"/>
      <c r="F96" s="195"/>
      <c r="G96" s="195"/>
      <c r="H96" s="195"/>
      <c r="I96" s="195"/>
      <c r="J96" s="195"/>
      <c r="K96" s="195"/>
      <c r="L96" s="195"/>
      <c r="M96" s="195"/>
      <c r="N96" s="195"/>
      <c r="O96" s="196"/>
      <c r="P96" s="190" t="str" cm="1">
        <f t="array" ref="P96">_xlfn.LET(_xlpm.PercentCheck,IF(OR(P$1="Crit Chance",P$1="Crit Damage",P$1="Condition Duration"),1,0),_xlpm.Flat,$H96,_xlpm.Percentage,$H96*P$92,_xlpm.Derived,$H96*P$92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P$1,AND(_xlpm.PercentCheck=0,$G96="All")),_xlfn.IFS(AND($I96="Flat",$J96=0),_xlpm.Flat,AND($I96="Percentage",$J96=0),_xlpm.Percentage,$J96="Derived",_xlpm.Derived,$J96="Boon Enhancement",_xlpm.BoonEnhancement,$J96="Stacking",_xlpm.Stacking),""))</f>
        <v/>
      </c>
      <c r="Q96" s="190" t="str" cm="1">
        <f t="array" ref="Q96">_xlfn.LET(_xlpm.PercentCheck,IF(OR(Q$1="Crit Chance",Q$1="Crit Damage",Q$1="Condition Duration"),1,0),_xlpm.Flat,$H96,_xlpm.Percentage,$H96*Q$92,_xlpm.Derived,$H96*Q$92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Q$1,AND(_xlpm.PercentCheck=0,$G96="All")),_xlfn.IFS(AND($I96="Flat",$J96=0),_xlpm.Flat,AND($I96="Percentage",$J96=0),_xlpm.Percentage,$J96="Derived",_xlpm.Derived,$J96="Boon Enhancement",_xlpm.BoonEnhancement,$J96="Stacking",_xlpm.Stacking),""))</f>
        <v/>
      </c>
      <c r="R96" s="190" t="str" cm="1">
        <f t="array" ref="R96">_xlfn.LET(_xlpm.PercentCheck,IF(OR(R$1="Crit Chance",R$1="Crit Damage",R$1="Condition Duration"),1,0),_xlpm.Flat,$H96,_xlpm.Percentage,$H96*R$92,_xlpm.Derived,$H96*R$92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R$1,AND(_xlpm.PercentCheck=0,$G96="All")),_xlfn.IFS(AND($I96="Flat",$J96=0),_xlpm.Flat,AND($I96="Percentage",$J96=0),_xlpm.Percentage,$J96="Derived",_xlpm.Derived,$J96="Boon Enhancement",_xlpm.BoonEnhancement,$J96="Stacking",_xlpm.Stacking),""))</f>
        <v/>
      </c>
      <c r="S96" s="190" t="str" cm="1">
        <f t="array" ref="S96">_xlfn.LET(_xlpm.PercentCheck,IF(OR(S$1="Crit Chance",S$1="Crit Damage",S$1="Condition Duration"),1,0),_xlpm.Flat,$H96,_xlpm.Percentage,$H96*S$92,_xlpm.Derived,$H96*S$92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S$1,AND(_xlpm.PercentCheck=0,$G96="All")),_xlfn.IFS(AND($I96="Flat",$J96=0),_xlpm.Flat,AND($I96="Percentage",$J96=0),_xlpm.Percentage,$J96="Derived",_xlpm.Derived,$J96="Boon Enhancement",_xlpm.BoonEnhancement,$J96="Stacking",_xlpm.Stacking),""))</f>
        <v/>
      </c>
      <c r="T96" s="190" t="str" cm="1">
        <f t="array" ref="T96">_xlfn.LET(_xlpm.PercentCheck,IF(OR(T$1="Crit Chance",T$1="Crit Damage",T$1="Condition Duration"),1,0),_xlpm.Flat,$H96,_xlpm.Percentage,$H96*T$92,_xlpm.Derived,$H96*T$92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T$1,AND(_xlpm.PercentCheck=0,$G96="All")),_xlfn.IFS(AND($I96="Flat",$J96=0),_xlpm.Flat,AND($I96="Percentage",$J96=0),_xlpm.Percentage,$J96="Derived",_xlpm.Derived,$J96="Boon Enhancement",_xlpm.BoonEnhancement,$J96="Stacking",_xlpm.Stacking),""))</f>
        <v/>
      </c>
      <c r="U96" s="190" t="str" cm="1">
        <f t="array" ref="U96">_xlfn.LET(_xlpm.PercentCheck,IF(OR(U$1="Crit Chance",U$1="Crit Damage",U$1="Condition Duration"),1,0),_xlpm.Flat,$H96,_xlpm.Percentage,$H96*U$92,_xlpm.Derived,$H96*U$92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U$1,AND(_xlpm.PercentCheck=0,$G96="All")),_xlfn.IFS(AND($I96="Flat",$J96=0),_xlpm.Flat,AND($I96="Percentage",$J96=0),_xlpm.Percentage,$J96="Derived",_xlpm.Derived,$J96="Boon Enhancement",_xlpm.BoonEnhancement,$J96="Stacking",_xlpm.Stacking),""))</f>
        <v/>
      </c>
      <c r="V96" s="190" t="str" cm="1">
        <f t="array" ref="V96">_xlfn.LET(_xlpm.PercentCheck,IF(OR(V$1="Crit Chance",V$1="Crit Damage",V$1="Condition Duration"),1,0),_xlpm.Flat,$H96,_xlpm.Percentage,$H96*V$92,_xlpm.Derived,$H96*V$92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V$1,AND(_xlpm.PercentCheck=0,$G96="All")),_xlfn.IFS(AND($I96="Flat",$J96=0),_xlpm.Flat,AND($I96="Percentage",$J96=0),_xlpm.Percentage,$J96="Derived",_xlpm.Derived,$J96="Boon Enhancement",_xlpm.BoonEnhancement,$J96="Stacking",_xlpm.Stacking),""))</f>
        <v/>
      </c>
      <c r="W96" s="190" t="str" cm="1">
        <f t="array" ref="W96">_xlfn.LET(_xlpm.PercentCheck,IF(OR(W$1="Crit Chance",W$1="Crit Damage",W$1="Condition Duration"),1,0),_xlpm.Flat,$H96,_xlpm.Percentage,$H96*W$92,_xlpm.Derived,$H96*W$92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W$1,AND(_xlpm.PercentCheck=0,$G96="All")),_xlfn.IFS(AND($I96="Flat",$J96=0),_xlpm.Flat,AND($I96="Percentage",$J96=0),_xlpm.Percentage,$J96="Derived",_xlpm.Derived,$J96="Boon Enhancement",_xlpm.BoonEnhancement,$J96="Stacking",_xlpm.Stacking),""))</f>
        <v/>
      </c>
      <c r="X96" s="190" t="str" cm="1">
        <f t="array" ref="X96">_xlfn.LET(_xlpm.PercentCheck,IF(OR(X$1="Crit Chance",X$1="Crit Damage",X$1="Condition Duration"),1,0),_xlpm.Flat,$H96,_xlpm.Percentage,$H96*X$92,_xlpm.Derived,$H96*X$92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X$1,AND(_xlpm.PercentCheck=0,$G96="All")),_xlfn.IFS(AND($I96="Flat",$J96=0),_xlpm.Flat,AND($I96="Percentage",$J96=0),_xlpm.Percentage,$J96="Derived",_xlpm.Derived,$J96="Boon Enhancement",_xlpm.BoonEnhancement,$J96="Stacking",_xlpm.Stacking),""))</f>
        <v/>
      </c>
      <c r="Y96" s="190" t="str" cm="1">
        <f t="array" ref="Y96">_xlfn.LET(_xlpm.PercentCheck,IF(OR(Y$1="Crit Chance",Y$1="Crit Damage",Y$1="Condition Duration"),1,0),_xlpm.Flat,$H96,_xlpm.Percentage,$H96*Y$92,_xlpm.Derived,$H96*Y$92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Y$1,AND(_xlpm.PercentCheck=0,$G96="All")),_xlfn.IFS(AND($I96="Flat",$J96=0),_xlpm.Flat,AND($I96="Percentage",$J96=0),_xlpm.Percentage,$J96="Derived",_xlpm.Derived,$J96="Boon Enhancement",_xlpm.BoonEnhancement,$J96="Stacking",_xlpm.Stacking),""))</f>
        <v/>
      </c>
      <c r="Z96" s="190" t="str" cm="1">
        <f t="array" ref="Z96">_xlfn.LET(_xlpm.PercentCheck,IF(OR(Z$1="Crit Chance",Z$1="Crit Damage",Z$1="Condition Duration"),1,0),_xlpm.Flat,$H96,_xlpm.Percentage,$H96*Z$92,_xlpm.Derived,$H96*Z$92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Z$1,AND(_xlpm.PercentCheck=0,$G96="All")),_xlfn.IFS(AND($I96="Flat",$J96=0),_xlpm.Flat,AND($I96="Percentage",$J96=0),_xlpm.Percentage,$J96="Derived",_xlpm.Derived,$J96="Boon Enhancement",_xlpm.BoonEnhancement,$J96="Stacking",_xlpm.Stacking),""))</f>
        <v/>
      </c>
      <c r="AA96" s="190" t="str" cm="1">
        <f t="array" ref="AA96">_xlfn.LET(_xlpm.PercentCheck,IF(OR(AA$1="Crit Chance",AA$1="Crit Damage",AA$1="Condition Duration"),1,0),_xlpm.Flat,$H96,_xlpm.Percentage,$H96*AA$92,_xlpm.Derived,$H96*AA$92,_xlpm.BoonType,VLOOKUP($M96,BoonToggles,2,0),_xlpm.BoonEnhancement,IF(AND(ISLOGICAL(_xlpm.BoonType),_xlpm.BoonType=TRUE),IF($I96="Flat",$H96,_xlpm.Percentage),IF($I96="Flat",$H96*_xlpm.BoonType,_xlpm.Percentage*_xlpm.BoonType)),_xlpm.Stacking,IF($I96="Flat",$H96*Spec1MajorGrandmasterStacks,IF(_xlpm.PercentCheck=1,"",_xlpm.Percentage*Spec1MajorGrandmasterStacks)),IF(OR($G96=AA$1,AND(_xlpm.PercentCheck=0,$G96="All")),_xlfn.IFS(AND($I96="Flat",$J96=0),_xlpm.Flat,AND($I96="Percentage",$J96=0),_xlpm.Percentage,$J96="Derived",_xlpm.Derived,$J96="Boon Enhancement",_xlpm.BoonEnhancement,$J96="Stacking",_xlpm.Stacking),""))</f>
        <v/>
      </c>
    </row>
    <row r="97" spans="1:27" ht="14.25" customHeight="1">
      <c r="A97" s="566"/>
      <c r="B97" s="555"/>
      <c r="C97" s="194"/>
      <c r="D97" s="195"/>
      <c r="E97" s="195"/>
      <c r="F97" s="195"/>
      <c r="G97" s="195"/>
      <c r="H97" s="195"/>
      <c r="I97" s="195"/>
      <c r="J97" s="195"/>
      <c r="K97" s="195"/>
      <c r="L97" s="195"/>
      <c r="M97" s="195"/>
      <c r="N97" s="195"/>
      <c r="O97" s="196"/>
      <c r="P97" s="190" t="str" cm="1">
        <f t="array" ref="P97">_xlfn.LET(_xlpm.PercentCheck,IF(OR(P$1="Crit Chance",P$1="Crit Damage",P$1="Condition Duration"),1,0),_xlpm.Flat,$H97,_xlpm.Percentage,$H97*P$92,_xlpm.Derived,$H97*P$92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P$1,AND(_xlpm.PercentCheck=0,$G97="All")),_xlfn.IFS(AND($I97="Flat",$J97=0),_xlpm.Flat,AND($I97="Percentage",$J97=0),_xlpm.Percentage,$J97="Derived",_xlpm.Derived,$J97="Boon Enhancement",_xlpm.BoonEnhancement,$J97="Stacking",_xlpm.Stacking),""))</f>
        <v/>
      </c>
      <c r="Q97" s="190" t="str" cm="1">
        <f t="array" ref="Q97">_xlfn.LET(_xlpm.PercentCheck,IF(OR(Q$1="Crit Chance",Q$1="Crit Damage",Q$1="Condition Duration"),1,0),_xlpm.Flat,$H97,_xlpm.Percentage,$H97*Q$92,_xlpm.Derived,$H97*Q$92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Q$1,AND(_xlpm.PercentCheck=0,$G97="All")),_xlfn.IFS(AND($I97="Flat",$J97=0),_xlpm.Flat,AND($I97="Percentage",$J97=0),_xlpm.Percentage,$J97="Derived",_xlpm.Derived,$J97="Boon Enhancement",_xlpm.BoonEnhancement,$J97="Stacking",_xlpm.Stacking),""))</f>
        <v/>
      </c>
      <c r="R97" s="190" t="str" cm="1">
        <f t="array" ref="R97">_xlfn.LET(_xlpm.PercentCheck,IF(OR(R$1="Crit Chance",R$1="Crit Damage",R$1="Condition Duration"),1,0),_xlpm.Flat,$H97,_xlpm.Percentage,$H97*R$92,_xlpm.Derived,$H97*R$92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R$1,AND(_xlpm.PercentCheck=0,$G97="All")),_xlfn.IFS(AND($I97="Flat",$J97=0),_xlpm.Flat,AND($I97="Percentage",$J97=0),_xlpm.Percentage,$J97="Derived",_xlpm.Derived,$J97="Boon Enhancement",_xlpm.BoonEnhancement,$J97="Stacking",_xlpm.Stacking),""))</f>
        <v/>
      </c>
      <c r="S97" s="190" t="str" cm="1">
        <f t="array" ref="S97">_xlfn.LET(_xlpm.PercentCheck,IF(OR(S$1="Crit Chance",S$1="Crit Damage",S$1="Condition Duration"),1,0),_xlpm.Flat,$H97,_xlpm.Percentage,$H97*S$92,_xlpm.Derived,$H97*S$92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S$1,AND(_xlpm.PercentCheck=0,$G97="All")),_xlfn.IFS(AND($I97="Flat",$J97=0),_xlpm.Flat,AND($I97="Percentage",$J97=0),_xlpm.Percentage,$J97="Derived",_xlpm.Derived,$J97="Boon Enhancement",_xlpm.BoonEnhancement,$J97="Stacking",_xlpm.Stacking),""))</f>
        <v/>
      </c>
      <c r="T97" s="190" t="str" cm="1">
        <f t="array" ref="T97">_xlfn.LET(_xlpm.PercentCheck,IF(OR(T$1="Crit Chance",T$1="Crit Damage",T$1="Condition Duration"),1,0),_xlpm.Flat,$H97,_xlpm.Percentage,$H97*T$92,_xlpm.Derived,$H97*T$92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T$1,AND(_xlpm.PercentCheck=0,$G97="All")),_xlfn.IFS(AND($I97="Flat",$J97=0),_xlpm.Flat,AND($I97="Percentage",$J97=0),_xlpm.Percentage,$J97="Derived",_xlpm.Derived,$J97="Boon Enhancement",_xlpm.BoonEnhancement,$J97="Stacking",_xlpm.Stacking),""))</f>
        <v/>
      </c>
      <c r="U97" s="190" t="str" cm="1">
        <f t="array" ref="U97">_xlfn.LET(_xlpm.PercentCheck,IF(OR(U$1="Crit Chance",U$1="Crit Damage",U$1="Condition Duration"),1,0),_xlpm.Flat,$H97,_xlpm.Percentage,$H97*U$92,_xlpm.Derived,$H97*U$92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U$1,AND(_xlpm.PercentCheck=0,$G97="All")),_xlfn.IFS(AND($I97="Flat",$J97=0),_xlpm.Flat,AND($I97="Percentage",$J97=0),_xlpm.Percentage,$J97="Derived",_xlpm.Derived,$J97="Boon Enhancement",_xlpm.BoonEnhancement,$J97="Stacking",_xlpm.Stacking),""))</f>
        <v/>
      </c>
      <c r="V97" s="190" t="str" cm="1">
        <f t="array" ref="V97">_xlfn.LET(_xlpm.PercentCheck,IF(OR(V$1="Crit Chance",V$1="Crit Damage",V$1="Condition Duration"),1,0),_xlpm.Flat,$H97,_xlpm.Percentage,$H97*V$92,_xlpm.Derived,$H97*V$92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V$1,AND(_xlpm.PercentCheck=0,$G97="All")),_xlfn.IFS(AND($I97="Flat",$J97=0),_xlpm.Flat,AND($I97="Percentage",$J97=0),_xlpm.Percentage,$J97="Derived",_xlpm.Derived,$J97="Boon Enhancement",_xlpm.BoonEnhancement,$J97="Stacking",_xlpm.Stacking),""))</f>
        <v/>
      </c>
      <c r="W97" s="190" t="str" cm="1">
        <f t="array" ref="W97">_xlfn.LET(_xlpm.PercentCheck,IF(OR(W$1="Crit Chance",W$1="Crit Damage",W$1="Condition Duration"),1,0),_xlpm.Flat,$H97,_xlpm.Percentage,$H97*W$92,_xlpm.Derived,$H97*W$92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W$1,AND(_xlpm.PercentCheck=0,$G97="All")),_xlfn.IFS(AND($I97="Flat",$J97=0),_xlpm.Flat,AND($I97="Percentage",$J97=0),_xlpm.Percentage,$J97="Derived",_xlpm.Derived,$J97="Boon Enhancement",_xlpm.BoonEnhancement,$J97="Stacking",_xlpm.Stacking),""))</f>
        <v/>
      </c>
      <c r="X97" s="190" t="str" cm="1">
        <f t="array" ref="X97">_xlfn.LET(_xlpm.PercentCheck,IF(OR(X$1="Crit Chance",X$1="Crit Damage",X$1="Condition Duration"),1,0),_xlpm.Flat,$H97,_xlpm.Percentage,$H97*X$92,_xlpm.Derived,$H97*X$92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X$1,AND(_xlpm.PercentCheck=0,$G97="All")),_xlfn.IFS(AND($I97="Flat",$J97=0),_xlpm.Flat,AND($I97="Percentage",$J97=0),_xlpm.Percentage,$J97="Derived",_xlpm.Derived,$J97="Boon Enhancement",_xlpm.BoonEnhancement,$J97="Stacking",_xlpm.Stacking),""))</f>
        <v/>
      </c>
      <c r="Y97" s="190" t="str" cm="1">
        <f t="array" ref="Y97">_xlfn.LET(_xlpm.PercentCheck,IF(OR(Y$1="Crit Chance",Y$1="Crit Damage",Y$1="Condition Duration"),1,0),_xlpm.Flat,$H97,_xlpm.Percentage,$H97*Y$92,_xlpm.Derived,$H97*Y$92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Y$1,AND(_xlpm.PercentCheck=0,$G97="All")),_xlfn.IFS(AND($I97="Flat",$J97=0),_xlpm.Flat,AND($I97="Percentage",$J97=0),_xlpm.Percentage,$J97="Derived",_xlpm.Derived,$J97="Boon Enhancement",_xlpm.BoonEnhancement,$J97="Stacking",_xlpm.Stacking),""))</f>
        <v/>
      </c>
      <c r="Z97" s="190" t="str" cm="1">
        <f t="array" ref="Z97">_xlfn.LET(_xlpm.PercentCheck,IF(OR(Z$1="Crit Chance",Z$1="Crit Damage",Z$1="Condition Duration"),1,0),_xlpm.Flat,$H97,_xlpm.Percentage,$H97*Z$92,_xlpm.Derived,$H97*Z$92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Z$1,AND(_xlpm.PercentCheck=0,$G97="All")),_xlfn.IFS(AND($I97="Flat",$J97=0),_xlpm.Flat,AND($I97="Percentage",$J97=0),_xlpm.Percentage,$J97="Derived",_xlpm.Derived,$J97="Boon Enhancement",_xlpm.BoonEnhancement,$J97="Stacking",_xlpm.Stacking),""))</f>
        <v/>
      </c>
      <c r="AA97" s="190" t="str" cm="1">
        <f t="array" ref="AA97">_xlfn.LET(_xlpm.PercentCheck,IF(OR(AA$1="Crit Chance",AA$1="Crit Damage",AA$1="Condition Duration"),1,0),_xlpm.Flat,$H97,_xlpm.Percentage,$H97*AA$92,_xlpm.Derived,$H97*AA$92,_xlpm.BoonType,VLOOKUP($M97,BoonToggles,2,0),_xlpm.BoonEnhancement,IF(AND(ISLOGICAL(_xlpm.BoonType),_xlpm.BoonType=TRUE),IF($I97="Flat",$H97,_xlpm.Percentage),IF($I97="Flat",$H97*_xlpm.BoonType,_xlpm.Percentage*_xlpm.BoonType)),_xlpm.Stacking,IF($I97="Flat",$H97*Spec1MajorGrandmasterStacks,IF(_xlpm.PercentCheck=1,"",_xlpm.Percentage*Spec1MajorGrandmasterStacks)),IF(OR($G97=AA$1,AND(_xlpm.PercentCheck=0,$G97="All")),_xlfn.IFS(AND($I97="Flat",$J97=0),_xlpm.Flat,AND($I97="Percentage",$J97=0),_xlpm.Percentage,$J97="Derived",_xlpm.Derived,$J97="Boon Enhancement",_xlpm.BoonEnhancement,$J97="Stacking",_xlpm.Stacking),""))</f>
        <v/>
      </c>
    </row>
    <row r="98" spans="1:27" s="171" customFormat="1" ht="14.25" customHeight="1">
      <c r="A98" s="566"/>
      <c r="B98" s="559" t="s">
        <v>3500</v>
      </c>
      <c r="C98" s="559"/>
      <c r="D98" s="559"/>
      <c r="E98" s="559"/>
      <c r="F98" s="559"/>
      <c r="G98" s="559"/>
      <c r="H98" s="559"/>
      <c r="I98" s="559"/>
      <c r="J98" s="559"/>
      <c r="K98" s="559"/>
      <c r="L98" s="559"/>
      <c r="M98" s="559"/>
      <c r="N98" s="559"/>
      <c r="O98" s="560"/>
      <c r="P98" s="197">
        <f t="shared" ref="P98:AA98" si="35">SUM(P$93:P$97)</f>
        <v>0</v>
      </c>
      <c r="Q98" s="198">
        <f t="shared" si="35"/>
        <v>0</v>
      </c>
      <c r="R98" s="198">
        <f t="shared" si="35"/>
        <v>0</v>
      </c>
      <c r="S98" s="198">
        <f t="shared" si="35"/>
        <v>0</v>
      </c>
      <c r="T98" s="198">
        <f t="shared" si="35"/>
        <v>0</v>
      </c>
      <c r="U98" s="198">
        <f t="shared" si="35"/>
        <v>0</v>
      </c>
      <c r="V98" s="198">
        <f t="shared" si="35"/>
        <v>0</v>
      </c>
      <c r="W98" s="198">
        <f t="shared" si="35"/>
        <v>0</v>
      </c>
      <c r="X98" s="198">
        <f t="shared" si="35"/>
        <v>0</v>
      </c>
      <c r="Y98" s="199">
        <f t="shared" si="35"/>
        <v>0</v>
      </c>
      <c r="Z98" s="199">
        <f t="shared" si="35"/>
        <v>0</v>
      </c>
      <c r="AA98" s="199">
        <f t="shared" si="35"/>
        <v>0</v>
      </c>
    </row>
    <row r="99" spans="1:27" s="171" customFormat="1" ht="14.25" customHeight="1">
      <c r="A99" s="566"/>
      <c r="B99" s="559" t="s">
        <v>3501</v>
      </c>
      <c r="C99" s="559"/>
      <c r="D99" s="559"/>
      <c r="E99" s="559"/>
      <c r="F99" s="559"/>
      <c r="G99" s="559"/>
      <c r="H99" s="559"/>
      <c r="I99" s="559"/>
      <c r="J99" s="559"/>
      <c r="K99" s="559"/>
      <c r="L99" s="559"/>
      <c r="M99" s="559"/>
      <c r="N99" s="559"/>
      <c r="O99" s="560"/>
      <c r="P99" s="197">
        <f>SUM(P$92,SUMIFS(P$93:P$97,$I$93:$I$97,"Percentage",$J$93:$J$97,"&lt;&gt;Derived"))</f>
        <v>1657</v>
      </c>
      <c r="Q99" s="197">
        <f t="shared" ref="Q99:X99" si="36">SUM(Q$92,SUMIFS(Q$93:Q$97,$I$93:$I$97,"Percentage",$J$93:$J$97,"&lt;&gt;Derived"))</f>
        <v>1594</v>
      </c>
      <c r="R99" s="197">
        <f t="shared" si="36"/>
        <v>1221</v>
      </c>
      <c r="S99" s="197">
        <f t="shared" si="36"/>
        <v>1156</v>
      </c>
      <c r="T99" s="197">
        <f t="shared" si="36"/>
        <v>10</v>
      </c>
      <c r="U99" s="197">
        <f t="shared" si="36"/>
        <v>249.6</v>
      </c>
      <c r="V99" s="197">
        <f t="shared" si="36"/>
        <v>260</v>
      </c>
      <c r="W99" s="197">
        <f t="shared" si="36"/>
        <v>248</v>
      </c>
      <c r="X99" s="197">
        <f t="shared" si="36"/>
        <v>47</v>
      </c>
      <c r="Y99" s="480"/>
      <c r="Z99" s="480"/>
      <c r="AA99" s="480"/>
    </row>
    <row r="100" spans="1:27" ht="23.25">
      <c r="A100" s="566"/>
      <c r="B100" s="553" t="s">
        <v>95</v>
      </c>
      <c r="C100" s="200" t="str" cm="1">
        <f t="array" ref="C100:O100">IF(OR(Spec3MinorMasterCondition="(Select)",Spec3MinorMasterCondition=""),_xlfn._xlws.FILTER(TraitStats,(TraitStatsTable[Name]=Spec3MinorMaster)*(TraitStatsTable[Condition]=""),"No stat bonus"),_xlfn._xlws.FILTER(TraitStats,(TraitStatsTable[Name]=Spec3MinorMaster)*((TraitStatsTable[Condition]=Spec3MinorMasterCondition)+(TraitStatsTable[Condition]="")),"No stat bonus"))</f>
        <v>Symphonic Resonance</v>
      </c>
      <c r="D100" s="195" t="str">
        <v>Mesmer</v>
      </c>
      <c r="E100" s="195" t="str">
        <v>Troubadour</v>
      </c>
      <c r="F100" s="195" t="str">
        <v>Minor Master</v>
      </c>
      <c r="G100" s="195" t="str">
        <v>Condition Damage</v>
      </c>
      <c r="H100" s="195">
        <v>0.25</v>
      </c>
      <c r="I100" s="195" t="str">
        <v>Percentage</v>
      </c>
      <c r="J100" s="195">
        <v>0</v>
      </c>
      <c r="K100" s="195" t="str">
        <v>Yes</v>
      </c>
      <c r="L100" s="195" t="str">
        <v>Lute playing in background</v>
      </c>
      <c r="M100" s="195">
        <v>0</v>
      </c>
      <c r="N100" s="195" t="str">
        <v>+25% Condition Damage while Lute playing in background</v>
      </c>
      <c r="O100" s="196">
        <v>0</v>
      </c>
      <c r="P100" s="190" t="str" cm="1">
        <f t="array" ref="P100">_xlfn.LET(_xlpm.PercentCheck,IF(OR(P$1="Crit Chance",P$1="Crit Damage",P$1="Condition Duration"),1,0),_xlpm.Flat,$H100,_xlpm.Percentage,$H100*P$99,_xlpm.Derived,$H100*P$99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P$1,AND(_xlpm.PercentCheck=0,$G100="All")),_xlfn.IFS(AND($I100="Flat",$J100=0),_xlpm.Flat,AND($I100="Percentage",$J100=0),_xlpm.Percentage,$J100="Derived",_xlpm.Derived,$J100="Boon Enhancement",_xlpm.BoonEnhancement,$J100="Stacking",_xlpm.Stacking),""))</f>
        <v/>
      </c>
      <c r="Q100" s="190" t="str" cm="1">
        <f t="array" ref="Q100">_xlfn.LET(_xlpm.PercentCheck,IF(OR(Q$1="Crit Chance",Q$1="Crit Damage",Q$1="Condition Duration"),1,0),_xlpm.Flat,$H100,_xlpm.Percentage,$H100*Q$99,_xlpm.Derived,$H100*Q$99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Q$1,AND(_xlpm.PercentCheck=0,$G100="All")),_xlfn.IFS(AND($I100="Flat",$J100=0),_xlpm.Flat,AND($I100="Percentage",$J100=0),_xlpm.Percentage,$J100="Derived",_xlpm.Derived,$J100="Boon Enhancement",_xlpm.BoonEnhancement,$J100="Stacking",_xlpm.Stacking),""))</f>
        <v/>
      </c>
      <c r="R100" s="190" t="str" cm="1">
        <f t="array" ref="R100">_xlfn.LET(_xlpm.PercentCheck,IF(OR(R$1="Crit Chance",R$1="Crit Damage",R$1="Condition Duration"),1,0),_xlpm.Flat,$H100,_xlpm.Percentage,$H100*R$99,_xlpm.Derived,$H100*R$99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R$1,AND(_xlpm.PercentCheck=0,$G100="All")),_xlfn.IFS(AND($I100="Flat",$J100=0),_xlpm.Flat,AND($I100="Percentage",$J100=0),_xlpm.Percentage,$J100="Derived",_xlpm.Derived,$J100="Boon Enhancement",_xlpm.BoonEnhancement,$J100="Stacking",_xlpm.Stacking),""))</f>
        <v/>
      </c>
      <c r="S100" s="190" t="str" cm="1">
        <f t="array" ref="S100">_xlfn.LET(_xlpm.PercentCheck,IF(OR(S$1="Crit Chance",S$1="Crit Damage",S$1="Condition Duration"),1,0),_xlpm.Flat,$H100,_xlpm.Percentage,$H100*S$99,_xlpm.Derived,$H100*S$99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S$1,AND(_xlpm.PercentCheck=0,$G100="All")),_xlfn.IFS(AND($I100="Flat",$J100=0),_xlpm.Flat,AND($I100="Percentage",$J100=0),_xlpm.Percentage,$J100="Derived",_xlpm.Derived,$J100="Boon Enhancement",_xlpm.BoonEnhancement,$J100="Stacking",_xlpm.Stacking),""))</f>
        <v/>
      </c>
      <c r="T100" s="190" t="str" cm="1">
        <f t="array" ref="T100">_xlfn.LET(_xlpm.PercentCheck,IF(OR(T$1="Crit Chance",T$1="Crit Damage",T$1="Condition Duration"),1,0),_xlpm.Flat,$H100,_xlpm.Percentage,$H100*T$99,_xlpm.Derived,$H100*T$99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T$1,AND(_xlpm.PercentCheck=0,$G100="All")),_xlfn.IFS(AND($I100="Flat",$J100=0),_xlpm.Flat,AND($I100="Percentage",$J100=0),_xlpm.Percentage,$J100="Derived",_xlpm.Derived,$J100="Boon Enhancement",_xlpm.BoonEnhancement,$J100="Stacking",_xlpm.Stacking),""))</f>
        <v/>
      </c>
      <c r="U100" s="190" cm="1">
        <f t="array" ref="U100">_xlfn.LET(_xlpm.PercentCheck,IF(OR(U$1="Crit Chance",U$1="Crit Damage",U$1="Condition Duration"),1,0),_xlpm.Flat,$H100,_xlpm.Percentage,$H100*U$99,_xlpm.Derived,$H100*U$99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U$1,AND(_xlpm.PercentCheck=0,$G100="All")),_xlfn.IFS(AND($I100="Flat",$J100=0),_xlpm.Flat,AND($I100="Percentage",$J100=0),_xlpm.Percentage,$J100="Derived",_xlpm.Derived,$J100="Boon Enhancement",_xlpm.BoonEnhancement,$J100="Stacking",_xlpm.Stacking),""))</f>
        <v>62.4</v>
      </c>
      <c r="V100" s="190" t="str" cm="1">
        <f t="array" ref="V100">_xlfn.LET(_xlpm.PercentCheck,IF(OR(V$1="Crit Chance",V$1="Crit Damage",V$1="Condition Duration"),1,0),_xlpm.Flat,$H100,_xlpm.Percentage,$H100*V$99,_xlpm.Derived,$H100*V$99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V$1,AND(_xlpm.PercentCheck=0,$G100="All")),_xlfn.IFS(AND($I100="Flat",$J100=0),_xlpm.Flat,AND($I100="Percentage",$J100=0),_xlpm.Percentage,$J100="Derived",_xlpm.Derived,$J100="Boon Enhancement",_xlpm.BoonEnhancement,$J100="Stacking",_xlpm.Stacking),""))</f>
        <v/>
      </c>
      <c r="W100" s="190" t="str" cm="1">
        <f t="array" ref="W100">_xlfn.LET(_xlpm.PercentCheck,IF(OR(W$1="Crit Chance",W$1="Crit Damage",W$1="Condition Duration"),1,0),_xlpm.Flat,$H100,_xlpm.Percentage,$H100*W$99,_xlpm.Derived,$H100*W$99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W$1,AND(_xlpm.PercentCheck=0,$G100="All")),_xlfn.IFS(AND($I100="Flat",$J100=0),_xlpm.Flat,AND($I100="Percentage",$J100=0),_xlpm.Percentage,$J100="Derived",_xlpm.Derived,$J100="Boon Enhancement",_xlpm.BoonEnhancement,$J100="Stacking",_xlpm.Stacking),""))</f>
        <v/>
      </c>
      <c r="X100" s="190" t="str" cm="1">
        <f t="array" ref="X100">_xlfn.LET(_xlpm.PercentCheck,IF(OR(X$1="Crit Chance",X$1="Crit Damage",X$1="Condition Duration"),1,0),_xlpm.Flat,$H100,_xlpm.Percentage,$H100*X$99,_xlpm.Derived,$H100*X$99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X$1,AND(_xlpm.PercentCheck=0,$G100="All")),_xlfn.IFS(AND($I100="Flat",$J100=0),_xlpm.Flat,AND($I100="Percentage",$J100=0),_xlpm.Percentage,$J100="Derived",_xlpm.Derived,$J100="Boon Enhancement",_xlpm.BoonEnhancement,$J100="Stacking",_xlpm.Stacking),""))</f>
        <v/>
      </c>
      <c r="Y100" s="190" t="str" cm="1">
        <f t="array" ref="Y100">_xlfn.LET(_xlpm.PercentCheck,IF(OR(Y$1="Crit Chance",Y$1="Crit Damage",Y$1="Condition Duration"),1,0),_xlpm.Flat,$H100,_xlpm.Percentage,$H100*Y$99,_xlpm.Derived,$H100*Y$99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Y$1,AND(_xlpm.PercentCheck=0,$G100="All")),_xlfn.IFS(AND($I100="Flat",$J100=0),_xlpm.Flat,AND($I100="Percentage",$J100=0),_xlpm.Percentage,$J100="Derived",_xlpm.Derived,$J100="Boon Enhancement",_xlpm.BoonEnhancement,$J100="Stacking",_xlpm.Stacking),""))</f>
        <v/>
      </c>
      <c r="Z100" s="190" t="str" cm="1">
        <f t="array" ref="Z100">_xlfn.LET(_xlpm.PercentCheck,IF(OR(Z$1="Crit Chance",Z$1="Crit Damage",Z$1="Condition Duration"),1,0),_xlpm.Flat,$H100,_xlpm.Percentage,$H100*Z$99,_xlpm.Derived,$H100*Z$99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Z$1,AND(_xlpm.PercentCheck=0,$G100="All")),_xlfn.IFS(AND($I100="Flat",$J100=0),_xlpm.Flat,AND($I100="Percentage",$J100=0),_xlpm.Percentage,$J100="Derived",_xlpm.Derived,$J100="Boon Enhancement",_xlpm.BoonEnhancement,$J100="Stacking",_xlpm.Stacking),""))</f>
        <v/>
      </c>
      <c r="AA100" s="190" t="str" cm="1">
        <f t="array" ref="AA100">_xlfn.LET(_xlpm.PercentCheck,IF(OR(AA$1="Crit Chance",AA$1="Crit Damage",AA$1="Condition Duration"),1,0),_xlpm.Flat,$H100,_xlpm.Percentage,$H100*AA$99,_xlpm.Derived,$H100*AA$99,_xlpm.BoonType,VLOOKUP($M100,BoonToggles,2,0),_xlpm.BoonEnhancement,IF(AND(ISLOGICAL(_xlpm.BoonType),_xlpm.BoonType=TRUE),IF($I100="Flat",$H100,_xlpm.Percentage),IF($I100="Flat",$H100*_xlpm.BoonType,_xlpm.Percentage*_xlpm.BoonType)),_xlpm.Stacking,IF($I100="Flat",$H100*Spec1MajorGrandmasterStacks,IF(_xlpm.PercentCheck=1,"",_xlpm.Percentage*Spec1MajorGrandmasterStacks)),IF(OR($G100=AA$1,AND(_xlpm.PercentCheck=0,$G100="All")),_xlfn.IFS(AND($I100="Flat",$J100=0),_xlpm.Flat,AND($I100="Percentage",$J100=0),_xlpm.Percentage,$J100="Derived",_xlpm.Derived,$J100="Boon Enhancement",_xlpm.BoonEnhancement,$J100="Stacking",_xlpm.Stacking),""))</f>
        <v/>
      </c>
    </row>
    <row r="101" spans="1:27" ht="14.25" customHeight="1">
      <c r="A101" s="566"/>
      <c r="B101" s="554"/>
      <c r="C101" s="194"/>
      <c r="D101" s="195"/>
      <c r="E101" s="195"/>
      <c r="F101" s="195"/>
      <c r="G101" s="195"/>
      <c r="H101" s="195"/>
      <c r="I101" s="195"/>
      <c r="J101" s="195"/>
      <c r="K101" s="195"/>
      <c r="L101" s="195"/>
      <c r="M101" s="195"/>
      <c r="N101" s="195"/>
      <c r="O101" s="196"/>
      <c r="P101" s="190" t="str" cm="1">
        <f t="array" ref="P101">_xlfn.LET(_xlpm.PercentCheck,IF(OR(P$1="Crit Chance",P$1="Crit Damage",P$1="Condition Duration"),1,0),_xlpm.Flat,$H101,_xlpm.Percentage,$H101*P$99,_xlpm.Derived,$H101*P$99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P$1,AND(_xlpm.PercentCheck=0,$G101="All")),_xlfn.IFS(AND($I101="Flat",$J101=0),_xlpm.Flat,AND($I101="Percentage",$J101=0),_xlpm.Percentage,$J101="Derived",_xlpm.Derived,$J101="Boon Enhancement",_xlpm.BoonEnhancement,$J101="Stacking",_xlpm.Stacking),""))</f>
        <v/>
      </c>
      <c r="Q101" s="190" t="str" cm="1">
        <f t="array" ref="Q101">_xlfn.LET(_xlpm.PercentCheck,IF(OR(Q$1="Crit Chance",Q$1="Crit Damage",Q$1="Condition Duration"),1,0),_xlpm.Flat,$H101,_xlpm.Percentage,$H101*Q$99,_xlpm.Derived,$H101*Q$99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Q$1,AND(_xlpm.PercentCheck=0,$G101="All")),_xlfn.IFS(AND($I101="Flat",$J101=0),_xlpm.Flat,AND($I101="Percentage",$J101=0),_xlpm.Percentage,$J101="Derived",_xlpm.Derived,$J101="Boon Enhancement",_xlpm.BoonEnhancement,$J101="Stacking",_xlpm.Stacking),""))</f>
        <v/>
      </c>
      <c r="R101" s="190" t="str" cm="1">
        <f t="array" ref="R101">_xlfn.LET(_xlpm.PercentCheck,IF(OR(R$1="Crit Chance",R$1="Crit Damage",R$1="Condition Duration"),1,0),_xlpm.Flat,$H101,_xlpm.Percentage,$H101*R$99,_xlpm.Derived,$H101*R$99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R$1,AND(_xlpm.PercentCheck=0,$G101="All")),_xlfn.IFS(AND($I101="Flat",$J101=0),_xlpm.Flat,AND($I101="Percentage",$J101=0),_xlpm.Percentage,$J101="Derived",_xlpm.Derived,$J101="Boon Enhancement",_xlpm.BoonEnhancement,$J101="Stacking",_xlpm.Stacking),""))</f>
        <v/>
      </c>
      <c r="S101" s="190" t="str" cm="1">
        <f t="array" ref="S101">_xlfn.LET(_xlpm.PercentCheck,IF(OR(S$1="Crit Chance",S$1="Crit Damage",S$1="Condition Duration"),1,0),_xlpm.Flat,$H101,_xlpm.Percentage,$H101*S$99,_xlpm.Derived,$H101*S$99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S$1,AND(_xlpm.PercentCheck=0,$G101="All")),_xlfn.IFS(AND($I101="Flat",$J101=0),_xlpm.Flat,AND($I101="Percentage",$J101=0),_xlpm.Percentage,$J101="Derived",_xlpm.Derived,$J101="Boon Enhancement",_xlpm.BoonEnhancement,$J101="Stacking",_xlpm.Stacking),""))</f>
        <v/>
      </c>
      <c r="T101" s="190" t="str" cm="1">
        <f t="array" ref="T101">_xlfn.LET(_xlpm.PercentCheck,IF(OR(T$1="Crit Chance",T$1="Crit Damage",T$1="Condition Duration"),1,0),_xlpm.Flat,$H101,_xlpm.Percentage,$H101*T$99,_xlpm.Derived,$H101*T$99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T$1,AND(_xlpm.PercentCheck=0,$G101="All")),_xlfn.IFS(AND($I101="Flat",$J101=0),_xlpm.Flat,AND($I101="Percentage",$J101=0),_xlpm.Percentage,$J101="Derived",_xlpm.Derived,$J101="Boon Enhancement",_xlpm.BoonEnhancement,$J101="Stacking",_xlpm.Stacking),""))</f>
        <v/>
      </c>
      <c r="U101" s="190" t="str" cm="1">
        <f t="array" ref="U101">_xlfn.LET(_xlpm.PercentCheck,IF(OR(U$1="Crit Chance",U$1="Crit Damage",U$1="Condition Duration"),1,0),_xlpm.Flat,$H101,_xlpm.Percentage,$H101*U$99,_xlpm.Derived,$H101*U$99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U$1,AND(_xlpm.PercentCheck=0,$G101="All")),_xlfn.IFS(AND($I101="Flat",$J101=0),_xlpm.Flat,AND($I101="Percentage",$J101=0),_xlpm.Percentage,$J101="Derived",_xlpm.Derived,$J101="Boon Enhancement",_xlpm.BoonEnhancement,$J101="Stacking",_xlpm.Stacking),""))</f>
        <v/>
      </c>
      <c r="V101" s="190" t="str" cm="1">
        <f t="array" ref="V101">_xlfn.LET(_xlpm.PercentCheck,IF(OR(V$1="Crit Chance",V$1="Crit Damage",V$1="Condition Duration"),1,0),_xlpm.Flat,$H101,_xlpm.Percentage,$H101*V$99,_xlpm.Derived,$H101*V$99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V$1,AND(_xlpm.PercentCheck=0,$G101="All")),_xlfn.IFS(AND($I101="Flat",$J101=0),_xlpm.Flat,AND($I101="Percentage",$J101=0),_xlpm.Percentage,$J101="Derived",_xlpm.Derived,$J101="Boon Enhancement",_xlpm.BoonEnhancement,$J101="Stacking",_xlpm.Stacking),""))</f>
        <v/>
      </c>
      <c r="W101" s="190" t="str" cm="1">
        <f t="array" ref="W101">_xlfn.LET(_xlpm.PercentCheck,IF(OR(W$1="Crit Chance",W$1="Crit Damage",W$1="Condition Duration"),1,0),_xlpm.Flat,$H101,_xlpm.Percentage,$H101*W$99,_xlpm.Derived,$H101*W$99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W$1,AND(_xlpm.PercentCheck=0,$G101="All")),_xlfn.IFS(AND($I101="Flat",$J101=0),_xlpm.Flat,AND($I101="Percentage",$J101=0),_xlpm.Percentage,$J101="Derived",_xlpm.Derived,$J101="Boon Enhancement",_xlpm.BoonEnhancement,$J101="Stacking",_xlpm.Stacking),""))</f>
        <v/>
      </c>
      <c r="X101" s="190" t="str" cm="1">
        <f t="array" ref="X101">_xlfn.LET(_xlpm.PercentCheck,IF(OR(X$1="Crit Chance",X$1="Crit Damage",X$1="Condition Duration"),1,0),_xlpm.Flat,$H101,_xlpm.Percentage,$H101*X$99,_xlpm.Derived,$H101*X$99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X$1,AND(_xlpm.PercentCheck=0,$G101="All")),_xlfn.IFS(AND($I101="Flat",$J101=0),_xlpm.Flat,AND($I101="Percentage",$J101=0),_xlpm.Percentage,$J101="Derived",_xlpm.Derived,$J101="Boon Enhancement",_xlpm.BoonEnhancement,$J101="Stacking",_xlpm.Stacking),""))</f>
        <v/>
      </c>
      <c r="Y101" s="190" t="str" cm="1">
        <f t="array" ref="Y101">_xlfn.LET(_xlpm.PercentCheck,IF(OR(Y$1="Crit Chance",Y$1="Crit Damage",Y$1="Condition Duration"),1,0),_xlpm.Flat,$H101,_xlpm.Percentage,$H101*Y$99,_xlpm.Derived,$H101*Y$99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Y$1,AND(_xlpm.PercentCheck=0,$G101="All")),_xlfn.IFS(AND($I101="Flat",$J101=0),_xlpm.Flat,AND($I101="Percentage",$J101=0),_xlpm.Percentage,$J101="Derived",_xlpm.Derived,$J101="Boon Enhancement",_xlpm.BoonEnhancement,$J101="Stacking",_xlpm.Stacking),""))</f>
        <v/>
      </c>
      <c r="Z101" s="190" t="str" cm="1">
        <f t="array" ref="Z101">_xlfn.LET(_xlpm.PercentCheck,IF(OR(Z$1="Crit Chance",Z$1="Crit Damage",Z$1="Condition Duration"),1,0),_xlpm.Flat,$H101,_xlpm.Percentage,$H101*Z$99,_xlpm.Derived,$H101*Z$99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Z$1,AND(_xlpm.PercentCheck=0,$G101="All")),_xlfn.IFS(AND($I101="Flat",$J101=0),_xlpm.Flat,AND($I101="Percentage",$J101=0),_xlpm.Percentage,$J101="Derived",_xlpm.Derived,$J101="Boon Enhancement",_xlpm.BoonEnhancement,$J101="Stacking",_xlpm.Stacking),""))</f>
        <v/>
      </c>
      <c r="AA101" s="190" t="str" cm="1">
        <f t="array" ref="AA101">_xlfn.LET(_xlpm.PercentCheck,IF(OR(AA$1="Crit Chance",AA$1="Crit Damage",AA$1="Condition Duration"),1,0),_xlpm.Flat,$H101,_xlpm.Percentage,$H101*AA$99,_xlpm.Derived,$H101*AA$99,_xlpm.BoonType,VLOOKUP($M101,BoonToggles,2,0),_xlpm.BoonEnhancement,IF(AND(ISLOGICAL(_xlpm.BoonType),_xlpm.BoonType=TRUE),IF($I101="Flat",$H101,_xlpm.Percentage),IF($I101="Flat",$H101*_xlpm.BoonType,_xlpm.Percentage*_xlpm.BoonType)),_xlpm.Stacking,IF($I101="Flat",$H101*Spec1MajorGrandmasterStacks,IF(_xlpm.PercentCheck=1,"",_xlpm.Percentage*Spec1MajorGrandmasterStacks)),IF(OR($G101=AA$1,AND(_xlpm.PercentCheck=0,$G101="All")),_xlfn.IFS(AND($I101="Flat",$J101=0),_xlpm.Flat,AND($I101="Percentage",$J101=0),_xlpm.Percentage,$J101="Derived",_xlpm.Derived,$J101="Boon Enhancement",_xlpm.BoonEnhancement,$J101="Stacking",_xlpm.Stacking),""))</f>
        <v/>
      </c>
    </row>
    <row r="102" spans="1:27" ht="14.25" customHeight="1">
      <c r="A102" s="566"/>
      <c r="B102" s="554"/>
      <c r="C102" s="194"/>
      <c r="D102" s="195"/>
      <c r="E102" s="195"/>
      <c r="F102" s="195"/>
      <c r="G102" s="195"/>
      <c r="H102" s="195"/>
      <c r="I102" s="195"/>
      <c r="J102" s="195"/>
      <c r="K102" s="195"/>
      <c r="L102" s="195"/>
      <c r="M102" s="195"/>
      <c r="N102" s="195"/>
      <c r="O102" s="196"/>
      <c r="P102" s="190" t="str" cm="1">
        <f t="array" ref="P102">_xlfn.LET(_xlpm.PercentCheck,IF(OR(P$1="Crit Chance",P$1="Crit Damage",P$1="Condition Duration"),1,0),_xlpm.Flat,$H102,_xlpm.Percentage,$H102*P$99,_xlpm.Derived,$H102*P$99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P$1,AND(_xlpm.PercentCheck=0,$G102="All")),_xlfn.IFS(AND($I102="Flat",$J102=0),_xlpm.Flat,AND($I102="Percentage",$J102=0),_xlpm.Percentage,$J102="Derived",_xlpm.Derived,$J102="Boon Enhancement",_xlpm.BoonEnhancement,$J102="Stacking",_xlpm.Stacking),""))</f>
        <v/>
      </c>
      <c r="Q102" s="190" t="str" cm="1">
        <f t="array" ref="Q102">_xlfn.LET(_xlpm.PercentCheck,IF(OR(Q$1="Crit Chance",Q$1="Crit Damage",Q$1="Condition Duration"),1,0),_xlpm.Flat,$H102,_xlpm.Percentage,$H102*Q$99,_xlpm.Derived,$H102*Q$99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Q$1,AND(_xlpm.PercentCheck=0,$G102="All")),_xlfn.IFS(AND($I102="Flat",$J102=0),_xlpm.Flat,AND($I102="Percentage",$J102=0),_xlpm.Percentage,$J102="Derived",_xlpm.Derived,$J102="Boon Enhancement",_xlpm.BoonEnhancement,$J102="Stacking",_xlpm.Stacking),""))</f>
        <v/>
      </c>
      <c r="R102" s="190" t="str" cm="1">
        <f t="array" ref="R102">_xlfn.LET(_xlpm.PercentCheck,IF(OR(R$1="Crit Chance",R$1="Crit Damage",R$1="Condition Duration"),1,0),_xlpm.Flat,$H102,_xlpm.Percentage,$H102*R$99,_xlpm.Derived,$H102*R$99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R$1,AND(_xlpm.PercentCheck=0,$G102="All")),_xlfn.IFS(AND($I102="Flat",$J102=0),_xlpm.Flat,AND($I102="Percentage",$J102=0),_xlpm.Percentage,$J102="Derived",_xlpm.Derived,$J102="Boon Enhancement",_xlpm.BoonEnhancement,$J102="Stacking",_xlpm.Stacking),""))</f>
        <v/>
      </c>
      <c r="S102" s="190" t="str" cm="1">
        <f t="array" ref="S102">_xlfn.LET(_xlpm.PercentCheck,IF(OR(S$1="Crit Chance",S$1="Crit Damage",S$1="Condition Duration"),1,0),_xlpm.Flat,$H102,_xlpm.Percentage,$H102*S$99,_xlpm.Derived,$H102*S$99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S$1,AND(_xlpm.PercentCheck=0,$G102="All")),_xlfn.IFS(AND($I102="Flat",$J102=0),_xlpm.Flat,AND($I102="Percentage",$J102=0),_xlpm.Percentage,$J102="Derived",_xlpm.Derived,$J102="Boon Enhancement",_xlpm.BoonEnhancement,$J102="Stacking",_xlpm.Stacking),""))</f>
        <v/>
      </c>
      <c r="T102" s="190" t="str" cm="1">
        <f t="array" ref="T102">_xlfn.LET(_xlpm.PercentCheck,IF(OR(T$1="Crit Chance",T$1="Crit Damage",T$1="Condition Duration"),1,0),_xlpm.Flat,$H102,_xlpm.Percentage,$H102*T$99,_xlpm.Derived,$H102*T$99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T$1,AND(_xlpm.PercentCheck=0,$G102="All")),_xlfn.IFS(AND($I102="Flat",$J102=0),_xlpm.Flat,AND($I102="Percentage",$J102=0),_xlpm.Percentage,$J102="Derived",_xlpm.Derived,$J102="Boon Enhancement",_xlpm.BoonEnhancement,$J102="Stacking",_xlpm.Stacking),""))</f>
        <v/>
      </c>
      <c r="U102" s="190" t="str" cm="1">
        <f t="array" ref="U102">_xlfn.LET(_xlpm.PercentCheck,IF(OR(U$1="Crit Chance",U$1="Crit Damage",U$1="Condition Duration"),1,0),_xlpm.Flat,$H102,_xlpm.Percentage,$H102*U$99,_xlpm.Derived,$H102*U$99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U$1,AND(_xlpm.PercentCheck=0,$G102="All")),_xlfn.IFS(AND($I102="Flat",$J102=0),_xlpm.Flat,AND($I102="Percentage",$J102=0),_xlpm.Percentage,$J102="Derived",_xlpm.Derived,$J102="Boon Enhancement",_xlpm.BoonEnhancement,$J102="Stacking",_xlpm.Stacking),""))</f>
        <v/>
      </c>
      <c r="V102" s="190" t="str" cm="1">
        <f t="array" ref="V102">_xlfn.LET(_xlpm.PercentCheck,IF(OR(V$1="Crit Chance",V$1="Crit Damage",V$1="Condition Duration"),1,0),_xlpm.Flat,$H102,_xlpm.Percentage,$H102*V$99,_xlpm.Derived,$H102*V$99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V$1,AND(_xlpm.PercentCheck=0,$G102="All")),_xlfn.IFS(AND($I102="Flat",$J102=0),_xlpm.Flat,AND($I102="Percentage",$J102=0),_xlpm.Percentage,$J102="Derived",_xlpm.Derived,$J102="Boon Enhancement",_xlpm.BoonEnhancement,$J102="Stacking",_xlpm.Stacking),""))</f>
        <v/>
      </c>
      <c r="W102" s="190" t="str" cm="1">
        <f t="array" ref="W102">_xlfn.LET(_xlpm.PercentCheck,IF(OR(W$1="Crit Chance",W$1="Crit Damage",W$1="Condition Duration"),1,0),_xlpm.Flat,$H102,_xlpm.Percentage,$H102*W$99,_xlpm.Derived,$H102*W$99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W$1,AND(_xlpm.PercentCheck=0,$G102="All")),_xlfn.IFS(AND($I102="Flat",$J102=0),_xlpm.Flat,AND($I102="Percentage",$J102=0),_xlpm.Percentage,$J102="Derived",_xlpm.Derived,$J102="Boon Enhancement",_xlpm.BoonEnhancement,$J102="Stacking",_xlpm.Stacking),""))</f>
        <v/>
      </c>
      <c r="X102" s="190" t="str" cm="1">
        <f t="array" ref="X102">_xlfn.LET(_xlpm.PercentCheck,IF(OR(X$1="Crit Chance",X$1="Crit Damage",X$1="Condition Duration"),1,0),_xlpm.Flat,$H102,_xlpm.Percentage,$H102*X$99,_xlpm.Derived,$H102*X$99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X$1,AND(_xlpm.PercentCheck=0,$G102="All")),_xlfn.IFS(AND($I102="Flat",$J102=0),_xlpm.Flat,AND($I102="Percentage",$J102=0),_xlpm.Percentage,$J102="Derived",_xlpm.Derived,$J102="Boon Enhancement",_xlpm.BoonEnhancement,$J102="Stacking",_xlpm.Stacking),""))</f>
        <v/>
      </c>
      <c r="Y102" s="190" t="str" cm="1">
        <f t="array" ref="Y102">_xlfn.LET(_xlpm.PercentCheck,IF(OR(Y$1="Crit Chance",Y$1="Crit Damage",Y$1="Condition Duration"),1,0),_xlpm.Flat,$H102,_xlpm.Percentage,$H102*Y$99,_xlpm.Derived,$H102*Y$99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Y$1,AND(_xlpm.PercentCheck=0,$G102="All")),_xlfn.IFS(AND($I102="Flat",$J102=0),_xlpm.Flat,AND($I102="Percentage",$J102=0),_xlpm.Percentage,$J102="Derived",_xlpm.Derived,$J102="Boon Enhancement",_xlpm.BoonEnhancement,$J102="Stacking",_xlpm.Stacking),""))</f>
        <v/>
      </c>
      <c r="Z102" s="190" t="str" cm="1">
        <f t="array" ref="Z102">_xlfn.LET(_xlpm.PercentCheck,IF(OR(Z$1="Crit Chance",Z$1="Crit Damage",Z$1="Condition Duration"),1,0),_xlpm.Flat,$H102,_xlpm.Percentage,$H102*Z$99,_xlpm.Derived,$H102*Z$99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Z$1,AND(_xlpm.PercentCheck=0,$G102="All")),_xlfn.IFS(AND($I102="Flat",$J102=0),_xlpm.Flat,AND($I102="Percentage",$J102=0),_xlpm.Percentage,$J102="Derived",_xlpm.Derived,$J102="Boon Enhancement",_xlpm.BoonEnhancement,$J102="Stacking",_xlpm.Stacking),""))</f>
        <v/>
      </c>
      <c r="AA102" s="190" t="str" cm="1">
        <f t="array" ref="AA102">_xlfn.LET(_xlpm.PercentCheck,IF(OR(AA$1="Crit Chance",AA$1="Crit Damage",AA$1="Condition Duration"),1,0),_xlpm.Flat,$H102,_xlpm.Percentage,$H102*AA$99,_xlpm.Derived,$H102*AA$99,_xlpm.BoonType,VLOOKUP($M102,BoonToggles,2,0),_xlpm.BoonEnhancement,IF(AND(ISLOGICAL(_xlpm.BoonType),_xlpm.BoonType=TRUE),IF($I102="Flat",$H102,_xlpm.Percentage),IF($I102="Flat",$H102*_xlpm.BoonType,_xlpm.Percentage*_xlpm.BoonType)),_xlpm.Stacking,IF($I102="Flat",$H102*Spec1MajorGrandmasterStacks,IF(_xlpm.PercentCheck=1,"",_xlpm.Percentage*Spec1MajorGrandmasterStacks)),IF(OR($G102=AA$1,AND(_xlpm.PercentCheck=0,$G102="All")),_xlfn.IFS(AND($I102="Flat",$J102=0),_xlpm.Flat,AND($I102="Percentage",$J102=0),_xlpm.Percentage,$J102="Derived",_xlpm.Derived,$J102="Boon Enhancement",_xlpm.BoonEnhancement,$J102="Stacking",_xlpm.Stacking),""))</f>
        <v/>
      </c>
    </row>
    <row r="103" spans="1:27" ht="14.25" customHeight="1">
      <c r="A103" s="566"/>
      <c r="B103" s="554"/>
      <c r="C103" s="194"/>
      <c r="D103" s="195"/>
      <c r="E103" s="195"/>
      <c r="F103" s="195"/>
      <c r="G103" s="195"/>
      <c r="H103" s="195"/>
      <c r="I103" s="195"/>
      <c r="J103" s="195"/>
      <c r="K103" s="195"/>
      <c r="L103" s="195"/>
      <c r="M103" s="195"/>
      <c r="N103" s="195"/>
      <c r="O103" s="196"/>
      <c r="P103" s="190" t="str" cm="1">
        <f t="array" ref="P103">_xlfn.LET(_xlpm.PercentCheck,IF(OR(P$1="Crit Chance",P$1="Crit Damage",P$1="Condition Duration"),1,0),_xlpm.Flat,$H103,_xlpm.Percentage,$H103*P$99,_xlpm.Derived,$H103*P$99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P$1,AND(_xlpm.PercentCheck=0,$G103="All")),_xlfn.IFS(AND($I103="Flat",$J103=0),_xlpm.Flat,AND($I103="Percentage",$J103=0),_xlpm.Percentage,$J103="Derived",_xlpm.Derived,$J103="Boon Enhancement",_xlpm.BoonEnhancement,$J103="Stacking",_xlpm.Stacking),""))</f>
        <v/>
      </c>
      <c r="Q103" s="190" t="str" cm="1">
        <f t="array" ref="Q103">_xlfn.LET(_xlpm.PercentCheck,IF(OR(Q$1="Crit Chance",Q$1="Crit Damage",Q$1="Condition Duration"),1,0),_xlpm.Flat,$H103,_xlpm.Percentage,$H103*Q$99,_xlpm.Derived,$H103*Q$99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Q$1,AND(_xlpm.PercentCheck=0,$G103="All")),_xlfn.IFS(AND($I103="Flat",$J103=0),_xlpm.Flat,AND($I103="Percentage",$J103=0),_xlpm.Percentage,$J103="Derived",_xlpm.Derived,$J103="Boon Enhancement",_xlpm.BoonEnhancement,$J103="Stacking",_xlpm.Stacking),""))</f>
        <v/>
      </c>
      <c r="R103" s="190" t="str" cm="1">
        <f t="array" ref="R103">_xlfn.LET(_xlpm.PercentCheck,IF(OR(R$1="Crit Chance",R$1="Crit Damage",R$1="Condition Duration"),1,0),_xlpm.Flat,$H103,_xlpm.Percentage,$H103*R$99,_xlpm.Derived,$H103*R$99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R$1,AND(_xlpm.PercentCheck=0,$G103="All")),_xlfn.IFS(AND($I103="Flat",$J103=0),_xlpm.Flat,AND($I103="Percentage",$J103=0),_xlpm.Percentage,$J103="Derived",_xlpm.Derived,$J103="Boon Enhancement",_xlpm.BoonEnhancement,$J103="Stacking",_xlpm.Stacking),""))</f>
        <v/>
      </c>
      <c r="S103" s="190" t="str" cm="1">
        <f t="array" ref="S103">_xlfn.LET(_xlpm.PercentCheck,IF(OR(S$1="Crit Chance",S$1="Crit Damage",S$1="Condition Duration"),1,0),_xlpm.Flat,$H103,_xlpm.Percentage,$H103*S$99,_xlpm.Derived,$H103*S$99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S$1,AND(_xlpm.PercentCheck=0,$G103="All")),_xlfn.IFS(AND($I103="Flat",$J103=0),_xlpm.Flat,AND($I103="Percentage",$J103=0),_xlpm.Percentage,$J103="Derived",_xlpm.Derived,$J103="Boon Enhancement",_xlpm.BoonEnhancement,$J103="Stacking",_xlpm.Stacking),""))</f>
        <v/>
      </c>
      <c r="T103" s="190" t="str" cm="1">
        <f t="array" ref="T103">_xlfn.LET(_xlpm.PercentCheck,IF(OR(T$1="Crit Chance",T$1="Crit Damage",T$1="Condition Duration"),1,0),_xlpm.Flat,$H103,_xlpm.Percentage,$H103*T$99,_xlpm.Derived,$H103*T$99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T$1,AND(_xlpm.PercentCheck=0,$G103="All")),_xlfn.IFS(AND($I103="Flat",$J103=0),_xlpm.Flat,AND($I103="Percentage",$J103=0),_xlpm.Percentage,$J103="Derived",_xlpm.Derived,$J103="Boon Enhancement",_xlpm.BoonEnhancement,$J103="Stacking",_xlpm.Stacking),""))</f>
        <v/>
      </c>
      <c r="U103" s="190" t="str" cm="1">
        <f t="array" ref="U103">_xlfn.LET(_xlpm.PercentCheck,IF(OR(U$1="Crit Chance",U$1="Crit Damage",U$1="Condition Duration"),1,0),_xlpm.Flat,$H103,_xlpm.Percentage,$H103*U$99,_xlpm.Derived,$H103*U$99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U$1,AND(_xlpm.PercentCheck=0,$G103="All")),_xlfn.IFS(AND($I103="Flat",$J103=0),_xlpm.Flat,AND($I103="Percentage",$J103=0),_xlpm.Percentage,$J103="Derived",_xlpm.Derived,$J103="Boon Enhancement",_xlpm.BoonEnhancement,$J103="Stacking",_xlpm.Stacking),""))</f>
        <v/>
      </c>
      <c r="V103" s="190" t="str" cm="1">
        <f t="array" ref="V103">_xlfn.LET(_xlpm.PercentCheck,IF(OR(V$1="Crit Chance",V$1="Crit Damage",V$1="Condition Duration"),1,0),_xlpm.Flat,$H103,_xlpm.Percentage,$H103*V$99,_xlpm.Derived,$H103*V$99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V$1,AND(_xlpm.PercentCheck=0,$G103="All")),_xlfn.IFS(AND($I103="Flat",$J103=0),_xlpm.Flat,AND($I103="Percentage",$J103=0),_xlpm.Percentage,$J103="Derived",_xlpm.Derived,$J103="Boon Enhancement",_xlpm.BoonEnhancement,$J103="Stacking",_xlpm.Stacking),""))</f>
        <v/>
      </c>
      <c r="W103" s="190" t="str" cm="1">
        <f t="array" ref="W103">_xlfn.LET(_xlpm.PercentCheck,IF(OR(W$1="Crit Chance",W$1="Crit Damage",W$1="Condition Duration"),1,0),_xlpm.Flat,$H103,_xlpm.Percentage,$H103*W$99,_xlpm.Derived,$H103*W$99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W$1,AND(_xlpm.PercentCheck=0,$G103="All")),_xlfn.IFS(AND($I103="Flat",$J103=0),_xlpm.Flat,AND($I103="Percentage",$J103=0),_xlpm.Percentage,$J103="Derived",_xlpm.Derived,$J103="Boon Enhancement",_xlpm.BoonEnhancement,$J103="Stacking",_xlpm.Stacking),""))</f>
        <v/>
      </c>
      <c r="X103" s="190" t="str" cm="1">
        <f t="array" ref="X103">_xlfn.LET(_xlpm.PercentCheck,IF(OR(X$1="Crit Chance",X$1="Crit Damage",X$1="Condition Duration"),1,0),_xlpm.Flat,$H103,_xlpm.Percentage,$H103*X$99,_xlpm.Derived,$H103*X$99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X$1,AND(_xlpm.PercentCheck=0,$G103="All")),_xlfn.IFS(AND($I103="Flat",$J103=0),_xlpm.Flat,AND($I103="Percentage",$J103=0),_xlpm.Percentage,$J103="Derived",_xlpm.Derived,$J103="Boon Enhancement",_xlpm.BoonEnhancement,$J103="Stacking",_xlpm.Stacking),""))</f>
        <v/>
      </c>
      <c r="Y103" s="190" t="str" cm="1">
        <f t="array" ref="Y103">_xlfn.LET(_xlpm.PercentCheck,IF(OR(Y$1="Crit Chance",Y$1="Crit Damage",Y$1="Condition Duration"),1,0),_xlpm.Flat,$H103,_xlpm.Percentage,$H103*Y$99,_xlpm.Derived,$H103*Y$99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Y$1,AND(_xlpm.PercentCheck=0,$G103="All")),_xlfn.IFS(AND($I103="Flat",$J103=0),_xlpm.Flat,AND($I103="Percentage",$J103=0),_xlpm.Percentage,$J103="Derived",_xlpm.Derived,$J103="Boon Enhancement",_xlpm.BoonEnhancement,$J103="Stacking",_xlpm.Stacking),""))</f>
        <v/>
      </c>
      <c r="Z103" s="190" t="str" cm="1">
        <f t="array" ref="Z103">_xlfn.LET(_xlpm.PercentCheck,IF(OR(Z$1="Crit Chance",Z$1="Crit Damage",Z$1="Condition Duration"),1,0),_xlpm.Flat,$H103,_xlpm.Percentage,$H103*Z$99,_xlpm.Derived,$H103*Z$99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Z$1,AND(_xlpm.PercentCheck=0,$G103="All")),_xlfn.IFS(AND($I103="Flat",$J103=0),_xlpm.Flat,AND($I103="Percentage",$J103=0),_xlpm.Percentage,$J103="Derived",_xlpm.Derived,$J103="Boon Enhancement",_xlpm.BoonEnhancement,$J103="Stacking",_xlpm.Stacking),""))</f>
        <v/>
      </c>
      <c r="AA103" s="190" t="str" cm="1">
        <f t="array" ref="AA103">_xlfn.LET(_xlpm.PercentCheck,IF(OR(AA$1="Crit Chance",AA$1="Crit Damage",AA$1="Condition Duration"),1,0),_xlpm.Flat,$H103,_xlpm.Percentage,$H103*AA$99,_xlpm.Derived,$H103*AA$99,_xlpm.BoonType,VLOOKUP($M103,BoonToggles,2,0),_xlpm.BoonEnhancement,IF(AND(ISLOGICAL(_xlpm.BoonType),_xlpm.BoonType=TRUE),IF($I103="Flat",$H103,_xlpm.Percentage),IF($I103="Flat",$H103*_xlpm.BoonType,_xlpm.Percentage*_xlpm.BoonType)),_xlpm.Stacking,IF($I103="Flat",$H103*Spec1MajorGrandmasterStacks,IF(_xlpm.PercentCheck=1,"",_xlpm.Percentage*Spec1MajorGrandmasterStacks)),IF(OR($G103=AA$1,AND(_xlpm.PercentCheck=0,$G103="All")),_xlfn.IFS(AND($I103="Flat",$J103=0),_xlpm.Flat,AND($I103="Percentage",$J103=0),_xlpm.Percentage,$J103="Derived",_xlpm.Derived,$J103="Boon Enhancement",_xlpm.BoonEnhancement,$J103="Stacking",_xlpm.Stacking),""))</f>
        <v/>
      </c>
    </row>
    <row r="104" spans="1:27" ht="14.25" customHeight="1">
      <c r="A104" s="566"/>
      <c r="B104" s="555"/>
      <c r="C104" s="194"/>
      <c r="D104" s="195"/>
      <c r="E104" s="195"/>
      <c r="F104" s="195"/>
      <c r="G104" s="195"/>
      <c r="H104" s="195"/>
      <c r="I104" s="195"/>
      <c r="J104" s="195"/>
      <c r="K104" s="195"/>
      <c r="L104" s="195"/>
      <c r="M104" s="195"/>
      <c r="N104" s="195"/>
      <c r="O104" s="196"/>
      <c r="P104" s="190" t="str" cm="1">
        <f t="array" ref="P104">_xlfn.LET(_xlpm.PercentCheck,IF(OR(P$1="Crit Chance",P$1="Crit Damage",P$1="Condition Duration"),1,0),_xlpm.Flat,$H104,_xlpm.Percentage,$H104*P$99,_xlpm.Derived,$H104*P$99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P$1,AND(_xlpm.PercentCheck=0,$G104="All")),_xlfn.IFS(AND($I104="Flat",$J104=0),_xlpm.Flat,AND($I104="Percentage",$J104=0),_xlpm.Percentage,$J104="Derived",_xlpm.Derived,$J104="Boon Enhancement",_xlpm.BoonEnhancement,$J104="Stacking",_xlpm.Stacking),""))</f>
        <v/>
      </c>
      <c r="Q104" s="190" t="str" cm="1">
        <f t="array" ref="Q104">_xlfn.LET(_xlpm.PercentCheck,IF(OR(Q$1="Crit Chance",Q$1="Crit Damage",Q$1="Condition Duration"),1,0),_xlpm.Flat,$H104,_xlpm.Percentage,$H104*Q$99,_xlpm.Derived,$H104*Q$99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Q$1,AND(_xlpm.PercentCheck=0,$G104="All")),_xlfn.IFS(AND($I104="Flat",$J104=0),_xlpm.Flat,AND($I104="Percentage",$J104=0),_xlpm.Percentage,$J104="Derived",_xlpm.Derived,$J104="Boon Enhancement",_xlpm.BoonEnhancement,$J104="Stacking",_xlpm.Stacking),""))</f>
        <v/>
      </c>
      <c r="R104" s="190" t="str" cm="1">
        <f t="array" ref="R104">_xlfn.LET(_xlpm.PercentCheck,IF(OR(R$1="Crit Chance",R$1="Crit Damage",R$1="Condition Duration"),1,0),_xlpm.Flat,$H104,_xlpm.Percentage,$H104*R$99,_xlpm.Derived,$H104*R$99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R$1,AND(_xlpm.PercentCheck=0,$G104="All")),_xlfn.IFS(AND($I104="Flat",$J104=0),_xlpm.Flat,AND($I104="Percentage",$J104=0),_xlpm.Percentage,$J104="Derived",_xlpm.Derived,$J104="Boon Enhancement",_xlpm.BoonEnhancement,$J104="Stacking",_xlpm.Stacking),""))</f>
        <v/>
      </c>
      <c r="S104" s="190" t="str" cm="1">
        <f t="array" ref="S104">_xlfn.LET(_xlpm.PercentCheck,IF(OR(S$1="Crit Chance",S$1="Crit Damage",S$1="Condition Duration"),1,0),_xlpm.Flat,$H104,_xlpm.Percentage,$H104*S$99,_xlpm.Derived,$H104*S$99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S$1,AND(_xlpm.PercentCheck=0,$G104="All")),_xlfn.IFS(AND($I104="Flat",$J104=0),_xlpm.Flat,AND($I104="Percentage",$J104=0),_xlpm.Percentage,$J104="Derived",_xlpm.Derived,$J104="Boon Enhancement",_xlpm.BoonEnhancement,$J104="Stacking",_xlpm.Stacking),""))</f>
        <v/>
      </c>
      <c r="T104" s="190" t="str" cm="1">
        <f t="array" ref="T104">_xlfn.LET(_xlpm.PercentCheck,IF(OR(T$1="Crit Chance",T$1="Crit Damage",T$1="Condition Duration"),1,0),_xlpm.Flat,$H104,_xlpm.Percentage,$H104*T$99,_xlpm.Derived,$H104*T$99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T$1,AND(_xlpm.PercentCheck=0,$G104="All")),_xlfn.IFS(AND($I104="Flat",$J104=0),_xlpm.Flat,AND($I104="Percentage",$J104=0),_xlpm.Percentage,$J104="Derived",_xlpm.Derived,$J104="Boon Enhancement",_xlpm.BoonEnhancement,$J104="Stacking",_xlpm.Stacking),""))</f>
        <v/>
      </c>
      <c r="U104" s="190" t="str" cm="1">
        <f t="array" ref="U104">_xlfn.LET(_xlpm.PercentCheck,IF(OR(U$1="Crit Chance",U$1="Crit Damage",U$1="Condition Duration"),1,0),_xlpm.Flat,$H104,_xlpm.Percentage,$H104*U$99,_xlpm.Derived,$H104*U$99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U$1,AND(_xlpm.PercentCheck=0,$G104="All")),_xlfn.IFS(AND($I104="Flat",$J104=0),_xlpm.Flat,AND($I104="Percentage",$J104=0),_xlpm.Percentage,$J104="Derived",_xlpm.Derived,$J104="Boon Enhancement",_xlpm.BoonEnhancement,$J104="Stacking",_xlpm.Stacking),""))</f>
        <v/>
      </c>
      <c r="V104" s="190" t="str" cm="1">
        <f t="array" ref="V104">_xlfn.LET(_xlpm.PercentCheck,IF(OR(V$1="Crit Chance",V$1="Crit Damage",V$1="Condition Duration"),1,0),_xlpm.Flat,$H104,_xlpm.Percentage,$H104*V$99,_xlpm.Derived,$H104*V$99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V$1,AND(_xlpm.PercentCheck=0,$G104="All")),_xlfn.IFS(AND($I104="Flat",$J104=0),_xlpm.Flat,AND($I104="Percentage",$J104=0),_xlpm.Percentage,$J104="Derived",_xlpm.Derived,$J104="Boon Enhancement",_xlpm.BoonEnhancement,$J104="Stacking",_xlpm.Stacking),""))</f>
        <v/>
      </c>
      <c r="W104" s="190" t="str" cm="1">
        <f t="array" ref="W104">_xlfn.LET(_xlpm.PercentCheck,IF(OR(W$1="Crit Chance",W$1="Crit Damage",W$1="Condition Duration"),1,0),_xlpm.Flat,$H104,_xlpm.Percentage,$H104*W$99,_xlpm.Derived,$H104*W$99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W$1,AND(_xlpm.PercentCheck=0,$G104="All")),_xlfn.IFS(AND($I104="Flat",$J104=0),_xlpm.Flat,AND($I104="Percentage",$J104=0),_xlpm.Percentage,$J104="Derived",_xlpm.Derived,$J104="Boon Enhancement",_xlpm.BoonEnhancement,$J104="Stacking",_xlpm.Stacking),""))</f>
        <v/>
      </c>
      <c r="X104" s="190" t="str" cm="1">
        <f t="array" ref="X104">_xlfn.LET(_xlpm.PercentCheck,IF(OR(X$1="Crit Chance",X$1="Crit Damage",X$1="Condition Duration"),1,0),_xlpm.Flat,$H104,_xlpm.Percentage,$H104*X$99,_xlpm.Derived,$H104*X$99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X$1,AND(_xlpm.PercentCheck=0,$G104="All")),_xlfn.IFS(AND($I104="Flat",$J104=0),_xlpm.Flat,AND($I104="Percentage",$J104=0),_xlpm.Percentage,$J104="Derived",_xlpm.Derived,$J104="Boon Enhancement",_xlpm.BoonEnhancement,$J104="Stacking",_xlpm.Stacking),""))</f>
        <v/>
      </c>
      <c r="Y104" s="190" t="str" cm="1">
        <f t="array" ref="Y104">_xlfn.LET(_xlpm.PercentCheck,IF(OR(Y$1="Crit Chance",Y$1="Crit Damage",Y$1="Condition Duration"),1,0),_xlpm.Flat,$H104,_xlpm.Percentage,$H104*Y$99,_xlpm.Derived,$H104*Y$99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Y$1,AND(_xlpm.PercentCheck=0,$G104="All")),_xlfn.IFS(AND($I104="Flat",$J104=0),_xlpm.Flat,AND($I104="Percentage",$J104=0),_xlpm.Percentage,$J104="Derived",_xlpm.Derived,$J104="Boon Enhancement",_xlpm.BoonEnhancement,$J104="Stacking",_xlpm.Stacking),""))</f>
        <v/>
      </c>
      <c r="Z104" s="190" t="str" cm="1">
        <f t="array" ref="Z104">_xlfn.LET(_xlpm.PercentCheck,IF(OR(Z$1="Crit Chance",Z$1="Crit Damage",Z$1="Condition Duration"),1,0),_xlpm.Flat,$H104,_xlpm.Percentage,$H104*Z$99,_xlpm.Derived,$H104*Z$99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Z$1,AND(_xlpm.PercentCheck=0,$G104="All")),_xlfn.IFS(AND($I104="Flat",$J104=0),_xlpm.Flat,AND($I104="Percentage",$J104=0),_xlpm.Percentage,$J104="Derived",_xlpm.Derived,$J104="Boon Enhancement",_xlpm.BoonEnhancement,$J104="Stacking",_xlpm.Stacking),""))</f>
        <v/>
      </c>
      <c r="AA104" s="190" t="str" cm="1">
        <f t="array" ref="AA104">_xlfn.LET(_xlpm.PercentCheck,IF(OR(AA$1="Crit Chance",AA$1="Crit Damage",AA$1="Condition Duration"),1,0),_xlpm.Flat,$H104,_xlpm.Percentage,$H104*AA$99,_xlpm.Derived,$H104*AA$99,_xlpm.BoonType,VLOOKUP($M104,BoonToggles,2,0),_xlpm.BoonEnhancement,IF(AND(ISLOGICAL(_xlpm.BoonType),_xlpm.BoonType=TRUE),IF($I104="Flat",$H104,_xlpm.Percentage),IF($I104="Flat",$H104*_xlpm.BoonType,_xlpm.Percentage*_xlpm.BoonType)),_xlpm.Stacking,IF($I104="Flat",$H104*Spec1MajorGrandmasterStacks,IF(_xlpm.PercentCheck=1,"",_xlpm.Percentage*Spec1MajorGrandmasterStacks)),IF(OR($G104=AA$1,AND(_xlpm.PercentCheck=0,$G104="All")),_xlfn.IFS(AND($I104="Flat",$J104=0),_xlpm.Flat,AND($I104="Percentage",$J104=0),_xlpm.Percentage,$J104="Derived",_xlpm.Derived,$J104="Boon Enhancement",_xlpm.BoonEnhancement,$J104="Stacking",_xlpm.Stacking),""))</f>
        <v/>
      </c>
    </row>
    <row r="105" spans="1:27" s="171" customFormat="1" ht="14.25" customHeight="1">
      <c r="A105" s="566"/>
      <c r="B105" s="559" t="s">
        <v>3500</v>
      </c>
      <c r="C105" s="559"/>
      <c r="D105" s="559"/>
      <c r="E105" s="559"/>
      <c r="F105" s="559"/>
      <c r="G105" s="559"/>
      <c r="H105" s="559"/>
      <c r="I105" s="559"/>
      <c r="J105" s="559"/>
      <c r="K105" s="559"/>
      <c r="L105" s="559"/>
      <c r="M105" s="559"/>
      <c r="N105" s="559"/>
      <c r="O105" s="560"/>
      <c r="P105" s="197">
        <f t="shared" ref="P105:AA105" si="37">SUM(P$100:P$104)</f>
        <v>0</v>
      </c>
      <c r="Q105" s="198">
        <f t="shared" si="37"/>
        <v>0</v>
      </c>
      <c r="R105" s="198">
        <f t="shared" si="37"/>
        <v>0</v>
      </c>
      <c r="S105" s="198">
        <f t="shared" si="37"/>
        <v>0</v>
      </c>
      <c r="T105" s="198">
        <f t="shared" si="37"/>
        <v>0</v>
      </c>
      <c r="U105" s="198">
        <f t="shared" si="37"/>
        <v>62.4</v>
      </c>
      <c r="V105" s="198">
        <f t="shared" si="37"/>
        <v>0</v>
      </c>
      <c r="W105" s="198">
        <f t="shared" si="37"/>
        <v>0</v>
      </c>
      <c r="X105" s="198">
        <f t="shared" si="37"/>
        <v>0</v>
      </c>
      <c r="Y105" s="199">
        <f t="shared" si="37"/>
        <v>0</v>
      </c>
      <c r="Z105" s="199">
        <f t="shared" si="37"/>
        <v>0</v>
      </c>
      <c r="AA105" s="199">
        <f t="shared" si="37"/>
        <v>0</v>
      </c>
    </row>
    <row r="106" spans="1:27" s="171" customFormat="1" ht="14.25" customHeight="1">
      <c r="A106" s="566"/>
      <c r="B106" s="559" t="s">
        <v>3501</v>
      </c>
      <c r="C106" s="559"/>
      <c r="D106" s="559"/>
      <c r="E106" s="559"/>
      <c r="F106" s="559"/>
      <c r="G106" s="559"/>
      <c r="H106" s="559"/>
      <c r="I106" s="559"/>
      <c r="J106" s="559"/>
      <c r="K106" s="559"/>
      <c r="L106" s="559"/>
      <c r="M106" s="559"/>
      <c r="N106" s="559"/>
      <c r="O106" s="560"/>
      <c r="P106" s="197">
        <f>SUM(P$99,SUMIFS(P$100:P$104,$I$100:$I$104,"Percentage",$J$100:$J$104,"&lt;&gt;Derived"))</f>
        <v>1657</v>
      </c>
      <c r="Q106" s="197">
        <f t="shared" ref="Q106:X106" si="38">SUM(Q$99,SUMIFS(Q$100:Q$104,$I$100:$I$104,"Percentage",$J$100:$J$104,"&lt;&gt;Derived"))</f>
        <v>1594</v>
      </c>
      <c r="R106" s="197">
        <f t="shared" si="38"/>
        <v>1221</v>
      </c>
      <c r="S106" s="197">
        <f t="shared" si="38"/>
        <v>1156</v>
      </c>
      <c r="T106" s="197">
        <f t="shared" si="38"/>
        <v>10</v>
      </c>
      <c r="U106" s="197">
        <f t="shared" si="38"/>
        <v>312</v>
      </c>
      <c r="V106" s="197">
        <f t="shared" si="38"/>
        <v>260</v>
      </c>
      <c r="W106" s="197">
        <f t="shared" si="38"/>
        <v>248</v>
      </c>
      <c r="X106" s="197">
        <f t="shared" si="38"/>
        <v>47</v>
      </c>
      <c r="Y106" s="480"/>
      <c r="Z106" s="480"/>
      <c r="AA106" s="480"/>
    </row>
    <row r="107" spans="1:27" ht="14.25" customHeight="1">
      <c r="A107" s="566"/>
      <c r="B107" s="553" t="s">
        <v>22</v>
      </c>
      <c r="C107" s="200" t="str" cm="1">
        <f t="array" ref="C107">IF(OR(Spec3MajorMasterCondition="(Select)",Spec3MajorMasterCondition=""),_xlfn._xlws.FILTER(TraitStats,(TraitStatsTable[Name]=Spec3MajorMaster)*(TraitStatsTable[Condition]=""),"No stat bonus"),_xlfn._xlws.FILTER(TraitStats,(TraitStatsTable[Name]=Spec3MajorMaster)*((TraitStatsTable[Condition]=Spec3MajorMasterCondition)+(TraitStatsTable[Condition]="")),"No stat bonus"))</f>
        <v>No stat bonus</v>
      </c>
      <c r="D107" s="195"/>
      <c r="E107" s="195"/>
      <c r="F107" s="195"/>
      <c r="G107" s="195"/>
      <c r="H107" s="195"/>
      <c r="I107" s="195"/>
      <c r="J107" s="195"/>
      <c r="K107" s="195"/>
      <c r="L107" s="195"/>
      <c r="M107" s="195"/>
      <c r="N107" s="195"/>
      <c r="O107" s="196"/>
      <c r="P107" s="190" t="str" cm="1">
        <f t="array" ref="P107">_xlfn.LET(_xlpm.PercentCheck,IF(OR(P$1="Crit Chance",P$1="Crit Damage",P$1="Condition Duration"),1,0),_xlpm.Flat,$H107,_xlpm.Percentage,$H107*P$106,_xlpm.Derived,$H107*P$106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P$1,AND(_xlpm.PercentCheck=0,$G107="All")),_xlfn.IFS(AND($I107="Flat",$J107=0),_xlpm.Flat,AND($I107="Percentage",$J107=0),_xlpm.Percentage,$J107="Derived",_xlpm.Derived,$J107="Boon Enhancement",_xlpm.BoonEnhancement,$J107="Stacking",_xlpm.Stacking),""))</f>
        <v/>
      </c>
      <c r="Q107" s="190" t="str" cm="1">
        <f t="array" ref="Q107">_xlfn.LET(_xlpm.PercentCheck,IF(OR(Q$1="Crit Chance",Q$1="Crit Damage",Q$1="Condition Duration"),1,0),_xlpm.Flat,$H107,_xlpm.Percentage,$H107*Q$106,_xlpm.Derived,$H107*Q$106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Q$1,AND(_xlpm.PercentCheck=0,$G107="All")),_xlfn.IFS(AND($I107="Flat",$J107=0),_xlpm.Flat,AND($I107="Percentage",$J107=0),_xlpm.Percentage,$J107="Derived",_xlpm.Derived,$J107="Boon Enhancement",_xlpm.BoonEnhancement,$J107="Stacking",_xlpm.Stacking),""))</f>
        <v/>
      </c>
      <c r="R107" s="190" t="str" cm="1">
        <f t="array" ref="R107">_xlfn.LET(_xlpm.PercentCheck,IF(OR(R$1="Crit Chance",R$1="Crit Damage",R$1="Condition Duration"),1,0),_xlpm.Flat,$H107,_xlpm.Percentage,$H107*R$106,_xlpm.Derived,$H107*R$106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R$1,AND(_xlpm.PercentCheck=0,$G107="All")),_xlfn.IFS(AND($I107="Flat",$J107=0),_xlpm.Flat,AND($I107="Percentage",$J107=0),_xlpm.Percentage,$J107="Derived",_xlpm.Derived,$J107="Boon Enhancement",_xlpm.BoonEnhancement,$J107="Stacking",_xlpm.Stacking),""))</f>
        <v/>
      </c>
      <c r="S107" s="190" t="str" cm="1">
        <f t="array" ref="S107">_xlfn.LET(_xlpm.PercentCheck,IF(OR(S$1="Crit Chance",S$1="Crit Damage",S$1="Condition Duration"),1,0),_xlpm.Flat,$H107,_xlpm.Percentage,$H107*S$106,_xlpm.Derived,$H107*S$106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S$1,AND(_xlpm.PercentCheck=0,$G107="All")),_xlfn.IFS(AND($I107="Flat",$J107=0),_xlpm.Flat,AND($I107="Percentage",$J107=0),_xlpm.Percentage,$J107="Derived",_xlpm.Derived,$J107="Boon Enhancement",_xlpm.BoonEnhancement,$J107="Stacking",_xlpm.Stacking),""))</f>
        <v/>
      </c>
      <c r="T107" s="190" t="str" cm="1">
        <f t="array" ref="T107">_xlfn.LET(_xlpm.PercentCheck,IF(OR(T$1="Crit Chance",T$1="Crit Damage",T$1="Condition Duration"),1,0),_xlpm.Flat,$H107,_xlpm.Percentage,$H107*T$106,_xlpm.Derived,$H107*T$106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T$1,AND(_xlpm.PercentCheck=0,$G107="All")),_xlfn.IFS(AND($I107="Flat",$J107=0),_xlpm.Flat,AND($I107="Percentage",$J107=0),_xlpm.Percentage,$J107="Derived",_xlpm.Derived,$J107="Boon Enhancement",_xlpm.BoonEnhancement,$J107="Stacking",_xlpm.Stacking),""))</f>
        <v/>
      </c>
      <c r="U107" s="190" t="str" cm="1">
        <f t="array" ref="U107">_xlfn.LET(_xlpm.PercentCheck,IF(OR(U$1="Crit Chance",U$1="Crit Damage",U$1="Condition Duration"),1,0),_xlpm.Flat,$H107,_xlpm.Percentage,$H107*U$106,_xlpm.Derived,$H107*U$106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U$1,AND(_xlpm.PercentCheck=0,$G107="All")),_xlfn.IFS(AND($I107="Flat",$J107=0),_xlpm.Flat,AND($I107="Percentage",$J107=0),_xlpm.Percentage,$J107="Derived",_xlpm.Derived,$J107="Boon Enhancement",_xlpm.BoonEnhancement,$J107="Stacking",_xlpm.Stacking),""))</f>
        <v/>
      </c>
      <c r="V107" s="190" t="str" cm="1">
        <f t="array" ref="V107">_xlfn.LET(_xlpm.PercentCheck,IF(OR(V$1="Crit Chance",V$1="Crit Damage",V$1="Condition Duration"),1,0),_xlpm.Flat,$H107,_xlpm.Percentage,$H107*V$106,_xlpm.Derived,$H107*V$106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V$1,AND(_xlpm.PercentCheck=0,$G107="All")),_xlfn.IFS(AND($I107="Flat",$J107=0),_xlpm.Flat,AND($I107="Percentage",$J107=0),_xlpm.Percentage,$J107="Derived",_xlpm.Derived,$J107="Boon Enhancement",_xlpm.BoonEnhancement,$J107="Stacking",_xlpm.Stacking),""))</f>
        <v/>
      </c>
      <c r="W107" s="190" t="str" cm="1">
        <f t="array" ref="W107">_xlfn.LET(_xlpm.PercentCheck,IF(OR(W$1="Crit Chance",W$1="Crit Damage",W$1="Condition Duration"),1,0),_xlpm.Flat,$H107,_xlpm.Percentage,$H107*W$106,_xlpm.Derived,$H107*W$106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W$1,AND(_xlpm.PercentCheck=0,$G107="All")),_xlfn.IFS(AND($I107="Flat",$J107=0),_xlpm.Flat,AND($I107="Percentage",$J107=0),_xlpm.Percentage,$J107="Derived",_xlpm.Derived,$J107="Boon Enhancement",_xlpm.BoonEnhancement,$J107="Stacking",_xlpm.Stacking),""))</f>
        <v/>
      </c>
      <c r="X107" s="190" t="str" cm="1">
        <f t="array" ref="X107">_xlfn.LET(_xlpm.PercentCheck,IF(OR(X$1="Crit Chance",X$1="Crit Damage",X$1="Condition Duration"),1,0),_xlpm.Flat,$H107,_xlpm.Percentage,$H107*X$106,_xlpm.Derived,$H107*X$106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X$1,AND(_xlpm.PercentCheck=0,$G107="All")),_xlfn.IFS(AND($I107="Flat",$J107=0),_xlpm.Flat,AND($I107="Percentage",$J107=0),_xlpm.Percentage,$J107="Derived",_xlpm.Derived,$J107="Boon Enhancement",_xlpm.BoonEnhancement,$J107="Stacking",_xlpm.Stacking),""))</f>
        <v/>
      </c>
      <c r="Y107" s="190" t="str" cm="1">
        <f t="array" ref="Y107">_xlfn.LET(_xlpm.PercentCheck,IF(OR(Y$1="Crit Chance",Y$1="Crit Damage",Y$1="Condition Duration"),1,0),_xlpm.Flat,$H107,_xlpm.Percentage,$H107*Y$106,_xlpm.Derived,$H107*Y$106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Y$1,AND(_xlpm.PercentCheck=0,$G107="All")),_xlfn.IFS(AND($I107="Flat",$J107=0),_xlpm.Flat,AND($I107="Percentage",$J107=0),_xlpm.Percentage,$J107="Derived",_xlpm.Derived,$J107="Boon Enhancement",_xlpm.BoonEnhancement,$J107="Stacking",_xlpm.Stacking),""))</f>
        <v/>
      </c>
      <c r="Z107" s="190" t="str" cm="1">
        <f t="array" ref="Z107">_xlfn.LET(_xlpm.PercentCheck,IF(OR(Z$1="Crit Chance",Z$1="Crit Damage",Z$1="Condition Duration"),1,0),_xlpm.Flat,$H107,_xlpm.Percentage,$H107*Z$106,_xlpm.Derived,$H107*Z$106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Z$1,AND(_xlpm.PercentCheck=0,$G107="All")),_xlfn.IFS(AND($I107="Flat",$J107=0),_xlpm.Flat,AND($I107="Percentage",$J107=0),_xlpm.Percentage,$J107="Derived",_xlpm.Derived,$J107="Boon Enhancement",_xlpm.BoonEnhancement,$J107="Stacking",_xlpm.Stacking),""))</f>
        <v/>
      </c>
      <c r="AA107" s="190" t="str" cm="1">
        <f t="array" ref="AA107">_xlfn.LET(_xlpm.PercentCheck,IF(OR(AA$1="Crit Chance",AA$1="Crit Damage",AA$1="Condition Duration"),1,0),_xlpm.Flat,$H107,_xlpm.Percentage,$H107*AA$106,_xlpm.Derived,$H107*AA$106,_xlpm.BoonType,VLOOKUP($M107,BoonToggles,2,0),_xlpm.BoonEnhancement,IF(AND(ISLOGICAL(_xlpm.BoonType),_xlpm.BoonType=TRUE),IF($I107="Flat",$H107,_xlpm.Percentage),IF($I107="Flat",$H107*_xlpm.BoonType,_xlpm.Percentage*_xlpm.BoonType)),_xlpm.Stacking,IF($I107="Flat",$H107*Spec1MajorGrandmasterStacks,IF(_xlpm.PercentCheck=1,"",_xlpm.Percentage*Spec1MajorGrandmasterStacks)),IF(OR($G107=AA$1,AND(_xlpm.PercentCheck=0,$G107="All")),_xlfn.IFS(AND($I107="Flat",$J107=0),_xlpm.Flat,AND($I107="Percentage",$J107=0),_xlpm.Percentage,$J107="Derived",_xlpm.Derived,$J107="Boon Enhancement",_xlpm.BoonEnhancement,$J107="Stacking",_xlpm.Stacking),""))</f>
        <v/>
      </c>
    </row>
    <row r="108" spans="1:27" ht="14.25" customHeight="1">
      <c r="A108" s="566"/>
      <c r="B108" s="554"/>
      <c r="C108" s="194"/>
      <c r="D108" s="195"/>
      <c r="E108" s="195"/>
      <c r="F108" s="195"/>
      <c r="G108" s="195"/>
      <c r="H108" s="195"/>
      <c r="I108" s="195"/>
      <c r="J108" s="195"/>
      <c r="K108" s="195"/>
      <c r="L108" s="195"/>
      <c r="M108" s="195"/>
      <c r="N108" s="195"/>
      <c r="O108" s="196"/>
      <c r="P108" s="190" t="str" cm="1">
        <f t="array" ref="P108">_xlfn.LET(_xlpm.PercentCheck,IF(OR(P$1="Crit Chance",P$1="Crit Damage",P$1="Condition Duration"),1,0),_xlpm.Flat,$H108,_xlpm.Percentage,$H108*P$106,_xlpm.Derived,$H108*P$106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P$1,AND(_xlpm.PercentCheck=0,$G108="All")),_xlfn.IFS(AND($I108="Flat",$J108=0),_xlpm.Flat,AND($I108="Percentage",$J108=0),_xlpm.Percentage,$J108="Derived",_xlpm.Derived,$J108="Boon Enhancement",_xlpm.BoonEnhancement,$J108="Stacking",_xlpm.Stacking),""))</f>
        <v/>
      </c>
      <c r="Q108" s="190" t="str" cm="1">
        <f t="array" ref="Q108">_xlfn.LET(_xlpm.PercentCheck,IF(OR(Q$1="Crit Chance",Q$1="Crit Damage",Q$1="Condition Duration"),1,0),_xlpm.Flat,$H108,_xlpm.Percentage,$H108*Q$106,_xlpm.Derived,$H108*Q$106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Q$1,AND(_xlpm.PercentCheck=0,$G108="All")),_xlfn.IFS(AND($I108="Flat",$J108=0),_xlpm.Flat,AND($I108="Percentage",$J108=0),_xlpm.Percentage,$J108="Derived",_xlpm.Derived,$J108="Boon Enhancement",_xlpm.BoonEnhancement,$J108="Stacking",_xlpm.Stacking),""))</f>
        <v/>
      </c>
      <c r="R108" s="190" t="str" cm="1">
        <f t="array" ref="R108">_xlfn.LET(_xlpm.PercentCheck,IF(OR(R$1="Crit Chance",R$1="Crit Damage",R$1="Condition Duration"),1,0),_xlpm.Flat,$H108,_xlpm.Percentage,$H108*R$106,_xlpm.Derived,$H108*R$106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R$1,AND(_xlpm.PercentCheck=0,$G108="All")),_xlfn.IFS(AND($I108="Flat",$J108=0),_xlpm.Flat,AND($I108="Percentage",$J108=0),_xlpm.Percentage,$J108="Derived",_xlpm.Derived,$J108="Boon Enhancement",_xlpm.BoonEnhancement,$J108="Stacking",_xlpm.Stacking),""))</f>
        <v/>
      </c>
      <c r="S108" s="190" t="str" cm="1">
        <f t="array" ref="S108">_xlfn.LET(_xlpm.PercentCheck,IF(OR(S$1="Crit Chance",S$1="Crit Damage",S$1="Condition Duration"),1,0),_xlpm.Flat,$H108,_xlpm.Percentage,$H108*S$106,_xlpm.Derived,$H108*S$106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S$1,AND(_xlpm.PercentCheck=0,$G108="All")),_xlfn.IFS(AND($I108="Flat",$J108=0),_xlpm.Flat,AND($I108="Percentage",$J108=0),_xlpm.Percentage,$J108="Derived",_xlpm.Derived,$J108="Boon Enhancement",_xlpm.BoonEnhancement,$J108="Stacking",_xlpm.Stacking),""))</f>
        <v/>
      </c>
      <c r="T108" s="190" t="str" cm="1">
        <f t="array" ref="T108">_xlfn.LET(_xlpm.PercentCheck,IF(OR(T$1="Crit Chance",T$1="Crit Damage",T$1="Condition Duration"),1,0),_xlpm.Flat,$H108,_xlpm.Percentage,$H108*T$106,_xlpm.Derived,$H108*T$106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T$1,AND(_xlpm.PercentCheck=0,$G108="All")),_xlfn.IFS(AND($I108="Flat",$J108=0),_xlpm.Flat,AND($I108="Percentage",$J108=0),_xlpm.Percentage,$J108="Derived",_xlpm.Derived,$J108="Boon Enhancement",_xlpm.BoonEnhancement,$J108="Stacking",_xlpm.Stacking),""))</f>
        <v/>
      </c>
      <c r="U108" s="190" t="str" cm="1">
        <f t="array" ref="U108">_xlfn.LET(_xlpm.PercentCheck,IF(OR(U$1="Crit Chance",U$1="Crit Damage",U$1="Condition Duration"),1,0),_xlpm.Flat,$H108,_xlpm.Percentage,$H108*U$106,_xlpm.Derived,$H108*U$106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U$1,AND(_xlpm.PercentCheck=0,$G108="All")),_xlfn.IFS(AND($I108="Flat",$J108=0),_xlpm.Flat,AND($I108="Percentage",$J108=0),_xlpm.Percentage,$J108="Derived",_xlpm.Derived,$J108="Boon Enhancement",_xlpm.BoonEnhancement,$J108="Stacking",_xlpm.Stacking),""))</f>
        <v/>
      </c>
      <c r="V108" s="190" t="str" cm="1">
        <f t="array" ref="V108">_xlfn.LET(_xlpm.PercentCheck,IF(OR(V$1="Crit Chance",V$1="Crit Damage",V$1="Condition Duration"),1,0),_xlpm.Flat,$H108,_xlpm.Percentage,$H108*V$106,_xlpm.Derived,$H108*V$106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V$1,AND(_xlpm.PercentCheck=0,$G108="All")),_xlfn.IFS(AND($I108="Flat",$J108=0),_xlpm.Flat,AND($I108="Percentage",$J108=0),_xlpm.Percentage,$J108="Derived",_xlpm.Derived,$J108="Boon Enhancement",_xlpm.BoonEnhancement,$J108="Stacking",_xlpm.Stacking),""))</f>
        <v/>
      </c>
      <c r="W108" s="190" t="str" cm="1">
        <f t="array" ref="W108">_xlfn.LET(_xlpm.PercentCheck,IF(OR(W$1="Crit Chance",W$1="Crit Damage",W$1="Condition Duration"),1,0),_xlpm.Flat,$H108,_xlpm.Percentage,$H108*W$106,_xlpm.Derived,$H108*W$106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W$1,AND(_xlpm.PercentCheck=0,$G108="All")),_xlfn.IFS(AND($I108="Flat",$J108=0),_xlpm.Flat,AND($I108="Percentage",$J108=0),_xlpm.Percentage,$J108="Derived",_xlpm.Derived,$J108="Boon Enhancement",_xlpm.BoonEnhancement,$J108="Stacking",_xlpm.Stacking),""))</f>
        <v/>
      </c>
      <c r="X108" s="190" t="str" cm="1">
        <f t="array" ref="X108">_xlfn.LET(_xlpm.PercentCheck,IF(OR(X$1="Crit Chance",X$1="Crit Damage",X$1="Condition Duration"),1,0),_xlpm.Flat,$H108,_xlpm.Percentage,$H108*X$106,_xlpm.Derived,$H108*X$106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X$1,AND(_xlpm.PercentCheck=0,$G108="All")),_xlfn.IFS(AND($I108="Flat",$J108=0),_xlpm.Flat,AND($I108="Percentage",$J108=0),_xlpm.Percentage,$J108="Derived",_xlpm.Derived,$J108="Boon Enhancement",_xlpm.BoonEnhancement,$J108="Stacking",_xlpm.Stacking),""))</f>
        <v/>
      </c>
      <c r="Y108" s="190" t="str" cm="1">
        <f t="array" ref="Y108">_xlfn.LET(_xlpm.PercentCheck,IF(OR(Y$1="Crit Chance",Y$1="Crit Damage",Y$1="Condition Duration"),1,0),_xlpm.Flat,$H108,_xlpm.Percentage,$H108*Y$106,_xlpm.Derived,$H108*Y$106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Y$1,AND(_xlpm.PercentCheck=0,$G108="All")),_xlfn.IFS(AND($I108="Flat",$J108=0),_xlpm.Flat,AND($I108="Percentage",$J108=0),_xlpm.Percentage,$J108="Derived",_xlpm.Derived,$J108="Boon Enhancement",_xlpm.BoonEnhancement,$J108="Stacking",_xlpm.Stacking),""))</f>
        <v/>
      </c>
      <c r="Z108" s="190" t="str" cm="1">
        <f t="array" ref="Z108">_xlfn.LET(_xlpm.PercentCheck,IF(OR(Z$1="Crit Chance",Z$1="Crit Damage",Z$1="Condition Duration"),1,0),_xlpm.Flat,$H108,_xlpm.Percentage,$H108*Z$106,_xlpm.Derived,$H108*Z$106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Z$1,AND(_xlpm.PercentCheck=0,$G108="All")),_xlfn.IFS(AND($I108="Flat",$J108=0),_xlpm.Flat,AND($I108="Percentage",$J108=0),_xlpm.Percentage,$J108="Derived",_xlpm.Derived,$J108="Boon Enhancement",_xlpm.BoonEnhancement,$J108="Stacking",_xlpm.Stacking),""))</f>
        <v/>
      </c>
      <c r="AA108" s="190" t="str" cm="1">
        <f t="array" ref="AA108">_xlfn.LET(_xlpm.PercentCheck,IF(OR(AA$1="Crit Chance",AA$1="Crit Damage",AA$1="Condition Duration"),1,0),_xlpm.Flat,$H108,_xlpm.Percentage,$H108*AA$106,_xlpm.Derived,$H108*AA$106,_xlpm.BoonType,VLOOKUP($M108,BoonToggles,2,0),_xlpm.BoonEnhancement,IF(AND(ISLOGICAL(_xlpm.BoonType),_xlpm.BoonType=TRUE),IF($I108="Flat",$H108,_xlpm.Percentage),IF($I108="Flat",$H108*_xlpm.BoonType,_xlpm.Percentage*_xlpm.BoonType)),_xlpm.Stacking,IF($I108="Flat",$H108*Spec1MajorGrandmasterStacks,IF(_xlpm.PercentCheck=1,"",_xlpm.Percentage*Spec1MajorGrandmasterStacks)),IF(OR($G108=AA$1,AND(_xlpm.PercentCheck=0,$G108="All")),_xlfn.IFS(AND($I108="Flat",$J108=0),_xlpm.Flat,AND($I108="Percentage",$J108=0),_xlpm.Percentage,$J108="Derived",_xlpm.Derived,$J108="Boon Enhancement",_xlpm.BoonEnhancement,$J108="Stacking",_xlpm.Stacking),""))</f>
        <v/>
      </c>
    </row>
    <row r="109" spans="1:27" ht="14.25" customHeight="1">
      <c r="A109" s="566"/>
      <c r="B109" s="554"/>
      <c r="C109" s="194"/>
      <c r="D109" s="195"/>
      <c r="E109" s="195"/>
      <c r="F109" s="195"/>
      <c r="G109" s="195"/>
      <c r="H109" s="195"/>
      <c r="I109" s="195"/>
      <c r="J109" s="195"/>
      <c r="K109" s="195"/>
      <c r="L109" s="195"/>
      <c r="M109" s="195"/>
      <c r="N109" s="195"/>
      <c r="O109" s="196"/>
      <c r="P109" s="190" t="str" cm="1">
        <f t="array" ref="P109">_xlfn.LET(_xlpm.PercentCheck,IF(OR(P$1="Crit Chance",P$1="Crit Damage",P$1="Condition Duration"),1,0),_xlpm.Flat,$H109,_xlpm.Percentage,$H109*P$106,_xlpm.Derived,$H109*P$106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P$1,AND(_xlpm.PercentCheck=0,$G109="All")),_xlfn.IFS(AND($I109="Flat",$J109=0),_xlpm.Flat,AND($I109="Percentage",$J109=0),_xlpm.Percentage,$J109="Derived",_xlpm.Derived,$J109="Boon Enhancement",_xlpm.BoonEnhancement,$J109="Stacking",_xlpm.Stacking),""))</f>
        <v/>
      </c>
      <c r="Q109" s="190" t="str" cm="1">
        <f t="array" ref="Q109">_xlfn.LET(_xlpm.PercentCheck,IF(OR(Q$1="Crit Chance",Q$1="Crit Damage",Q$1="Condition Duration"),1,0),_xlpm.Flat,$H109,_xlpm.Percentage,$H109*Q$106,_xlpm.Derived,$H109*Q$106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Q$1,AND(_xlpm.PercentCheck=0,$G109="All")),_xlfn.IFS(AND($I109="Flat",$J109=0),_xlpm.Flat,AND($I109="Percentage",$J109=0),_xlpm.Percentage,$J109="Derived",_xlpm.Derived,$J109="Boon Enhancement",_xlpm.BoonEnhancement,$J109="Stacking",_xlpm.Stacking),""))</f>
        <v/>
      </c>
      <c r="R109" s="190" t="str" cm="1">
        <f t="array" ref="R109">_xlfn.LET(_xlpm.PercentCheck,IF(OR(R$1="Crit Chance",R$1="Crit Damage",R$1="Condition Duration"),1,0),_xlpm.Flat,$H109,_xlpm.Percentage,$H109*R$106,_xlpm.Derived,$H109*R$106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R$1,AND(_xlpm.PercentCheck=0,$G109="All")),_xlfn.IFS(AND($I109="Flat",$J109=0),_xlpm.Flat,AND($I109="Percentage",$J109=0),_xlpm.Percentage,$J109="Derived",_xlpm.Derived,$J109="Boon Enhancement",_xlpm.BoonEnhancement,$J109="Stacking",_xlpm.Stacking),""))</f>
        <v/>
      </c>
      <c r="S109" s="190" t="str" cm="1">
        <f t="array" ref="S109">_xlfn.LET(_xlpm.PercentCheck,IF(OR(S$1="Crit Chance",S$1="Crit Damage",S$1="Condition Duration"),1,0),_xlpm.Flat,$H109,_xlpm.Percentage,$H109*S$106,_xlpm.Derived,$H109*S$106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S$1,AND(_xlpm.PercentCheck=0,$G109="All")),_xlfn.IFS(AND($I109="Flat",$J109=0),_xlpm.Flat,AND($I109="Percentage",$J109=0),_xlpm.Percentage,$J109="Derived",_xlpm.Derived,$J109="Boon Enhancement",_xlpm.BoonEnhancement,$J109="Stacking",_xlpm.Stacking),""))</f>
        <v/>
      </c>
      <c r="T109" s="190" t="str" cm="1">
        <f t="array" ref="T109">_xlfn.LET(_xlpm.PercentCheck,IF(OR(T$1="Crit Chance",T$1="Crit Damage",T$1="Condition Duration"),1,0),_xlpm.Flat,$H109,_xlpm.Percentage,$H109*T$106,_xlpm.Derived,$H109*T$106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T$1,AND(_xlpm.PercentCheck=0,$G109="All")),_xlfn.IFS(AND($I109="Flat",$J109=0),_xlpm.Flat,AND($I109="Percentage",$J109=0),_xlpm.Percentage,$J109="Derived",_xlpm.Derived,$J109="Boon Enhancement",_xlpm.BoonEnhancement,$J109="Stacking",_xlpm.Stacking),""))</f>
        <v/>
      </c>
      <c r="U109" s="190" t="str" cm="1">
        <f t="array" ref="U109">_xlfn.LET(_xlpm.PercentCheck,IF(OR(U$1="Crit Chance",U$1="Crit Damage",U$1="Condition Duration"),1,0),_xlpm.Flat,$H109,_xlpm.Percentage,$H109*U$106,_xlpm.Derived,$H109*U$106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U$1,AND(_xlpm.PercentCheck=0,$G109="All")),_xlfn.IFS(AND($I109="Flat",$J109=0),_xlpm.Flat,AND($I109="Percentage",$J109=0),_xlpm.Percentage,$J109="Derived",_xlpm.Derived,$J109="Boon Enhancement",_xlpm.BoonEnhancement,$J109="Stacking",_xlpm.Stacking),""))</f>
        <v/>
      </c>
      <c r="V109" s="190" t="str" cm="1">
        <f t="array" ref="V109">_xlfn.LET(_xlpm.PercentCheck,IF(OR(V$1="Crit Chance",V$1="Crit Damage",V$1="Condition Duration"),1,0),_xlpm.Flat,$H109,_xlpm.Percentage,$H109*V$106,_xlpm.Derived,$H109*V$106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V$1,AND(_xlpm.PercentCheck=0,$G109="All")),_xlfn.IFS(AND($I109="Flat",$J109=0),_xlpm.Flat,AND($I109="Percentage",$J109=0),_xlpm.Percentage,$J109="Derived",_xlpm.Derived,$J109="Boon Enhancement",_xlpm.BoonEnhancement,$J109="Stacking",_xlpm.Stacking),""))</f>
        <v/>
      </c>
      <c r="W109" s="190" t="str" cm="1">
        <f t="array" ref="W109">_xlfn.LET(_xlpm.PercentCheck,IF(OR(W$1="Crit Chance",W$1="Crit Damage",W$1="Condition Duration"),1,0),_xlpm.Flat,$H109,_xlpm.Percentage,$H109*W$106,_xlpm.Derived,$H109*W$106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W$1,AND(_xlpm.PercentCheck=0,$G109="All")),_xlfn.IFS(AND($I109="Flat",$J109=0),_xlpm.Flat,AND($I109="Percentage",$J109=0),_xlpm.Percentage,$J109="Derived",_xlpm.Derived,$J109="Boon Enhancement",_xlpm.BoonEnhancement,$J109="Stacking",_xlpm.Stacking),""))</f>
        <v/>
      </c>
      <c r="X109" s="190" t="str" cm="1">
        <f t="array" ref="X109">_xlfn.LET(_xlpm.PercentCheck,IF(OR(X$1="Crit Chance",X$1="Crit Damage",X$1="Condition Duration"),1,0),_xlpm.Flat,$H109,_xlpm.Percentage,$H109*X$106,_xlpm.Derived,$H109*X$106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X$1,AND(_xlpm.PercentCheck=0,$G109="All")),_xlfn.IFS(AND($I109="Flat",$J109=0),_xlpm.Flat,AND($I109="Percentage",$J109=0),_xlpm.Percentage,$J109="Derived",_xlpm.Derived,$J109="Boon Enhancement",_xlpm.BoonEnhancement,$J109="Stacking",_xlpm.Stacking),""))</f>
        <v/>
      </c>
      <c r="Y109" s="190" t="str" cm="1">
        <f t="array" ref="Y109">_xlfn.LET(_xlpm.PercentCheck,IF(OR(Y$1="Crit Chance",Y$1="Crit Damage",Y$1="Condition Duration"),1,0),_xlpm.Flat,$H109,_xlpm.Percentage,$H109*Y$106,_xlpm.Derived,$H109*Y$106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Y$1,AND(_xlpm.PercentCheck=0,$G109="All")),_xlfn.IFS(AND($I109="Flat",$J109=0),_xlpm.Flat,AND($I109="Percentage",$J109=0),_xlpm.Percentage,$J109="Derived",_xlpm.Derived,$J109="Boon Enhancement",_xlpm.BoonEnhancement,$J109="Stacking",_xlpm.Stacking),""))</f>
        <v/>
      </c>
      <c r="Z109" s="190" t="str" cm="1">
        <f t="array" ref="Z109">_xlfn.LET(_xlpm.PercentCheck,IF(OR(Z$1="Crit Chance",Z$1="Crit Damage",Z$1="Condition Duration"),1,0),_xlpm.Flat,$H109,_xlpm.Percentage,$H109*Z$106,_xlpm.Derived,$H109*Z$106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Z$1,AND(_xlpm.PercentCheck=0,$G109="All")),_xlfn.IFS(AND($I109="Flat",$J109=0),_xlpm.Flat,AND($I109="Percentage",$J109=0),_xlpm.Percentage,$J109="Derived",_xlpm.Derived,$J109="Boon Enhancement",_xlpm.BoonEnhancement,$J109="Stacking",_xlpm.Stacking),""))</f>
        <v/>
      </c>
      <c r="AA109" s="190" t="str" cm="1">
        <f t="array" ref="AA109">_xlfn.LET(_xlpm.PercentCheck,IF(OR(AA$1="Crit Chance",AA$1="Crit Damage",AA$1="Condition Duration"),1,0),_xlpm.Flat,$H109,_xlpm.Percentage,$H109*AA$106,_xlpm.Derived,$H109*AA$106,_xlpm.BoonType,VLOOKUP($M109,BoonToggles,2,0),_xlpm.BoonEnhancement,IF(AND(ISLOGICAL(_xlpm.BoonType),_xlpm.BoonType=TRUE),IF($I109="Flat",$H109,_xlpm.Percentage),IF($I109="Flat",$H109*_xlpm.BoonType,_xlpm.Percentage*_xlpm.BoonType)),_xlpm.Stacking,IF($I109="Flat",$H109*Spec1MajorGrandmasterStacks,IF(_xlpm.PercentCheck=1,"",_xlpm.Percentage*Spec1MajorGrandmasterStacks)),IF(OR($G109=AA$1,AND(_xlpm.PercentCheck=0,$G109="All")),_xlfn.IFS(AND($I109="Flat",$J109=0),_xlpm.Flat,AND($I109="Percentage",$J109=0),_xlpm.Percentage,$J109="Derived",_xlpm.Derived,$J109="Boon Enhancement",_xlpm.BoonEnhancement,$J109="Stacking",_xlpm.Stacking),""))</f>
        <v/>
      </c>
    </row>
    <row r="110" spans="1:27" ht="14.25" customHeight="1">
      <c r="A110" s="566"/>
      <c r="B110" s="554"/>
      <c r="C110" s="194"/>
      <c r="D110" s="195"/>
      <c r="E110" s="195"/>
      <c r="F110" s="195"/>
      <c r="G110" s="195"/>
      <c r="H110" s="195"/>
      <c r="I110" s="195"/>
      <c r="J110" s="195"/>
      <c r="K110" s="195"/>
      <c r="L110" s="195"/>
      <c r="M110" s="195"/>
      <c r="N110" s="195"/>
      <c r="O110" s="196"/>
      <c r="P110" s="190" t="str" cm="1">
        <f t="array" ref="P110">_xlfn.LET(_xlpm.PercentCheck,IF(OR(P$1="Crit Chance",P$1="Crit Damage",P$1="Condition Duration"),1,0),_xlpm.Flat,$H110,_xlpm.Percentage,$H110*P$106,_xlpm.Derived,$H110*P$106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P$1,AND(_xlpm.PercentCheck=0,$G110="All")),_xlfn.IFS(AND($I110="Flat",$J110=0),_xlpm.Flat,AND($I110="Percentage",$J110=0),_xlpm.Percentage,$J110="Derived",_xlpm.Derived,$J110="Boon Enhancement",_xlpm.BoonEnhancement,$J110="Stacking",_xlpm.Stacking),""))</f>
        <v/>
      </c>
      <c r="Q110" s="190" t="str" cm="1">
        <f t="array" ref="Q110">_xlfn.LET(_xlpm.PercentCheck,IF(OR(Q$1="Crit Chance",Q$1="Crit Damage",Q$1="Condition Duration"),1,0),_xlpm.Flat,$H110,_xlpm.Percentage,$H110*Q$106,_xlpm.Derived,$H110*Q$106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Q$1,AND(_xlpm.PercentCheck=0,$G110="All")),_xlfn.IFS(AND($I110="Flat",$J110=0),_xlpm.Flat,AND($I110="Percentage",$J110=0),_xlpm.Percentage,$J110="Derived",_xlpm.Derived,$J110="Boon Enhancement",_xlpm.BoonEnhancement,$J110="Stacking",_xlpm.Stacking),""))</f>
        <v/>
      </c>
      <c r="R110" s="190" t="str" cm="1">
        <f t="array" ref="R110">_xlfn.LET(_xlpm.PercentCheck,IF(OR(R$1="Crit Chance",R$1="Crit Damage",R$1="Condition Duration"),1,0),_xlpm.Flat,$H110,_xlpm.Percentage,$H110*R$106,_xlpm.Derived,$H110*R$106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R$1,AND(_xlpm.PercentCheck=0,$G110="All")),_xlfn.IFS(AND($I110="Flat",$J110=0),_xlpm.Flat,AND($I110="Percentage",$J110=0),_xlpm.Percentage,$J110="Derived",_xlpm.Derived,$J110="Boon Enhancement",_xlpm.BoonEnhancement,$J110="Stacking",_xlpm.Stacking),""))</f>
        <v/>
      </c>
      <c r="S110" s="190" t="str" cm="1">
        <f t="array" ref="S110">_xlfn.LET(_xlpm.PercentCheck,IF(OR(S$1="Crit Chance",S$1="Crit Damage",S$1="Condition Duration"),1,0),_xlpm.Flat,$H110,_xlpm.Percentage,$H110*S$106,_xlpm.Derived,$H110*S$106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S$1,AND(_xlpm.PercentCheck=0,$G110="All")),_xlfn.IFS(AND($I110="Flat",$J110=0),_xlpm.Flat,AND($I110="Percentage",$J110=0),_xlpm.Percentage,$J110="Derived",_xlpm.Derived,$J110="Boon Enhancement",_xlpm.BoonEnhancement,$J110="Stacking",_xlpm.Stacking),""))</f>
        <v/>
      </c>
      <c r="T110" s="190" t="str" cm="1">
        <f t="array" ref="T110">_xlfn.LET(_xlpm.PercentCheck,IF(OR(T$1="Crit Chance",T$1="Crit Damage",T$1="Condition Duration"),1,0),_xlpm.Flat,$H110,_xlpm.Percentage,$H110*T$106,_xlpm.Derived,$H110*T$106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T$1,AND(_xlpm.PercentCheck=0,$G110="All")),_xlfn.IFS(AND($I110="Flat",$J110=0),_xlpm.Flat,AND($I110="Percentage",$J110=0),_xlpm.Percentage,$J110="Derived",_xlpm.Derived,$J110="Boon Enhancement",_xlpm.BoonEnhancement,$J110="Stacking",_xlpm.Stacking),""))</f>
        <v/>
      </c>
      <c r="U110" s="190" t="str" cm="1">
        <f t="array" ref="U110">_xlfn.LET(_xlpm.PercentCheck,IF(OR(U$1="Crit Chance",U$1="Crit Damage",U$1="Condition Duration"),1,0),_xlpm.Flat,$H110,_xlpm.Percentage,$H110*U$106,_xlpm.Derived,$H110*U$106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U$1,AND(_xlpm.PercentCheck=0,$G110="All")),_xlfn.IFS(AND($I110="Flat",$J110=0),_xlpm.Flat,AND($I110="Percentage",$J110=0),_xlpm.Percentage,$J110="Derived",_xlpm.Derived,$J110="Boon Enhancement",_xlpm.BoonEnhancement,$J110="Stacking",_xlpm.Stacking),""))</f>
        <v/>
      </c>
      <c r="V110" s="190" t="str" cm="1">
        <f t="array" ref="V110">_xlfn.LET(_xlpm.PercentCheck,IF(OR(V$1="Crit Chance",V$1="Crit Damage",V$1="Condition Duration"),1,0),_xlpm.Flat,$H110,_xlpm.Percentage,$H110*V$106,_xlpm.Derived,$H110*V$106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V$1,AND(_xlpm.PercentCheck=0,$G110="All")),_xlfn.IFS(AND($I110="Flat",$J110=0),_xlpm.Flat,AND($I110="Percentage",$J110=0),_xlpm.Percentage,$J110="Derived",_xlpm.Derived,$J110="Boon Enhancement",_xlpm.BoonEnhancement,$J110="Stacking",_xlpm.Stacking),""))</f>
        <v/>
      </c>
      <c r="W110" s="190" t="str" cm="1">
        <f t="array" ref="W110">_xlfn.LET(_xlpm.PercentCheck,IF(OR(W$1="Crit Chance",W$1="Crit Damage",W$1="Condition Duration"),1,0),_xlpm.Flat,$H110,_xlpm.Percentage,$H110*W$106,_xlpm.Derived,$H110*W$106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W$1,AND(_xlpm.PercentCheck=0,$G110="All")),_xlfn.IFS(AND($I110="Flat",$J110=0),_xlpm.Flat,AND($I110="Percentage",$J110=0),_xlpm.Percentage,$J110="Derived",_xlpm.Derived,$J110="Boon Enhancement",_xlpm.BoonEnhancement,$J110="Stacking",_xlpm.Stacking),""))</f>
        <v/>
      </c>
      <c r="X110" s="190" t="str" cm="1">
        <f t="array" ref="X110">_xlfn.LET(_xlpm.PercentCheck,IF(OR(X$1="Crit Chance",X$1="Crit Damage",X$1="Condition Duration"),1,0),_xlpm.Flat,$H110,_xlpm.Percentage,$H110*X$106,_xlpm.Derived,$H110*X$106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X$1,AND(_xlpm.PercentCheck=0,$G110="All")),_xlfn.IFS(AND($I110="Flat",$J110=0),_xlpm.Flat,AND($I110="Percentage",$J110=0),_xlpm.Percentage,$J110="Derived",_xlpm.Derived,$J110="Boon Enhancement",_xlpm.BoonEnhancement,$J110="Stacking",_xlpm.Stacking),""))</f>
        <v/>
      </c>
      <c r="Y110" s="190" t="str" cm="1">
        <f t="array" ref="Y110">_xlfn.LET(_xlpm.PercentCheck,IF(OR(Y$1="Crit Chance",Y$1="Crit Damage",Y$1="Condition Duration"),1,0),_xlpm.Flat,$H110,_xlpm.Percentage,$H110*Y$106,_xlpm.Derived,$H110*Y$106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Y$1,AND(_xlpm.PercentCheck=0,$G110="All")),_xlfn.IFS(AND($I110="Flat",$J110=0),_xlpm.Flat,AND($I110="Percentage",$J110=0),_xlpm.Percentage,$J110="Derived",_xlpm.Derived,$J110="Boon Enhancement",_xlpm.BoonEnhancement,$J110="Stacking",_xlpm.Stacking),""))</f>
        <v/>
      </c>
      <c r="Z110" s="190" t="str" cm="1">
        <f t="array" ref="Z110">_xlfn.LET(_xlpm.PercentCheck,IF(OR(Z$1="Crit Chance",Z$1="Crit Damage",Z$1="Condition Duration"),1,0),_xlpm.Flat,$H110,_xlpm.Percentage,$H110*Z$106,_xlpm.Derived,$H110*Z$106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Z$1,AND(_xlpm.PercentCheck=0,$G110="All")),_xlfn.IFS(AND($I110="Flat",$J110=0),_xlpm.Flat,AND($I110="Percentage",$J110=0),_xlpm.Percentage,$J110="Derived",_xlpm.Derived,$J110="Boon Enhancement",_xlpm.BoonEnhancement,$J110="Stacking",_xlpm.Stacking),""))</f>
        <v/>
      </c>
      <c r="AA110" s="190" t="str" cm="1">
        <f t="array" ref="AA110">_xlfn.LET(_xlpm.PercentCheck,IF(OR(AA$1="Crit Chance",AA$1="Crit Damage",AA$1="Condition Duration"),1,0),_xlpm.Flat,$H110,_xlpm.Percentage,$H110*AA$106,_xlpm.Derived,$H110*AA$106,_xlpm.BoonType,VLOOKUP($M110,BoonToggles,2,0),_xlpm.BoonEnhancement,IF(AND(ISLOGICAL(_xlpm.BoonType),_xlpm.BoonType=TRUE),IF($I110="Flat",$H110,_xlpm.Percentage),IF($I110="Flat",$H110*_xlpm.BoonType,_xlpm.Percentage*_xlpm.BoonType)),_xlpm.Stacking,IF($I110="Flat",$H110*Spec1MajorGrandmasterStacks,IF(_xlpm.PercentCheck=1,"",_xlpm.Percentage*Spec1MajorGrandmasterStacks)),IF(OR($G110=AA$1,AND(_xlpm.PercentCheck=0,$G110="All")),_xlfn.IFS(AND($I110="Flat",$J110=0),_xlpm.Flat,AND($I110="Percentage",$J110=0),_xlpm.Percentage,$J110="Derived",_xlpm.Derived,$J110="Boon Enhancement",_xlpm.BoonEnhancement,$J110="Stacking",_xlpm.Stacking),""))</f>
        <v/>
      </c>
    </row>
    <row r="111" spans="1:27" ht="14.25" customHeight="1">
      <c r="A111" s="566"/>
      <c r="B111" s="555"/>
      <c r="C111" s="194"/>
      <c r="D111" s="195"/>
      <c r="E111" s="195"/>
      <c r="F111" s="195"/>
      <c r="G111" s="195"/>
      <c r="H111" s="195"/>
      <c r="I111" s="195"/>
      <c r="J111" s="195"/>
      <c r="K111" s="195"/>
      <c r="L111" s="195"/>
      <c r="M111" s="195"/>
      <c r="N111" s="195"/>
      <c r="O111" s="196"/>
      <c r="P111" s="190" t="str" cm="1">
        <f t="array" ref="P111">_xlfn.LET(_xlpm.PercentCheck,IF(OR(P$1="Crit Chance",P$1="Crit Damage",P$1="Condition Duration"),1,0),_xlpm.Flat,$H111,_xlpm.Percentage,$H111*P$106,_xlpm.Derived,$H111*P$106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P$1,AND(_xlpm.PercentCheck=0,$G111="All")),_xlfn.IFS(AND($I111="Flat",$J111=0),_xlpm.Flat,AND($I111="Percentage",$J111=0),_xlpm.Percentage,$J111="Derived",_xlpm.Derived,$J111="Boon Enhancement",_xlpm.BoonEnhancement,$J111="Stacking",_xlpm.Stacking),""))</f>
        <v/>
      </c>
      <c r="Q111" s="190" t="str" cm="1">
        <f t="array" ref="Q111">_xlfn.LET(_xlpm.PercentCheck,IF(OR(Q$1="Crit Chance",Q$1="Crit Damage",Q$1="Condition Duration"),1,0),_xlpm.Flat,$H111,_xlpm.Percentage,$H111*Q$106,_xlpm.Derived,$H111*Q$106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Q$1,AND(_xlpm.PercentCheck=0,$G111="All")),_xlfn.IFS(AND($I111="Flat",$J111=0),_xlpm.Flat,AND($I111="Percentage",$J111=0),_xlpm.Percentage,$J111="Derived",_xlpm.Derived,$J111="Boon Enhancement",_xlpm.BoonEnhancement,$J111="Stacking",_xlpm.Stacking),""))</f>
        <v/>
      </c>
      <c r="R111" s="190" t="str" cm="1">
        <f t="array" ref="R111">_xlfn.LET(_xlpm.PercentCheck,IF(OR(R$1="Crit Chance",R$1="Crit Damage",R$1="Condition Duration"),1,0),_xlpm.Flat,$H111,_xlpm.Percentage,$H111*R$106,_xlpm.Derived,$H111*R$106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R$1,AND(_xlpm.PercentCheck=0,$G111="All")),_xlfn.IFS(AND($I111="Flat",$J111=0),_xlpm.Flat,AND($I111="Percentage",$J111=0),_xlpm.Percentage,$J111="Derived",_xlpm.Derived,$J111="Boon Enhancement",_xlpm.BoonEnhancement,$J111="Stacking",_xlpm.Stacking),""))</f>
        <v/>
      </c>
      <c r="S111" s="190" t="str" cm="1">
        <f t="array" ref="S111">_xlfn.LET(_xlpm.PercentCheck,IF(OR(S$1="Crit Chance",S$1="Crit Damage",S$1="Condition Duration"),1,0),_xlpm.Flat,$H111,_xlpm.Percentage,$H111*S$106,_xlpm.Derived,$H111*S$106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S$1,AND(_xlpm.PercentCheck=0,$G111="All")),_xlfn.IFS(AND($I111="Flat",$J111=0),_xlpm.Flat,AND($I111="Percentage",$J111=0),_xlpm.Percentage,$J111="Derived",_xlpm.Derived,$J111="Boon Enhancement",_xlpm.BoonEnhancement,$J111="Stacking",_xlpm.Stacking),""))</f>
        <v/>
      </c>
      <c r="T111" s="190" t="str" cm="1">
        <f t="array" ref="T111">_xlfn.LET(_xlpm.PercentCheck,IF(OR(T$1="Crit Chance",T$1="Crit Damage",T$1="Condition Duration"),1,0),_xlpm.Flat,$H111,_xlpm.Percentage,$H111*T$106,_xlpm.Derived,$H111*T$106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T$1,AND(_xlpm.PercentCheck=0,$G111="All")),_xlfn.IFS(AND($I111="Flat",$J111=0),_xlpm.Flat,AND($I111="Percentage",$J111=0),_xlpm.Percentage,$J111="Derived",_xlpm.Derived,$J111="Boon Enhancement",_xlpm.BoonEnhancement,$J111="Stacking",_xlpm.Stacking),""))</f>
        <v/>
      </c>
      <c r="U111" s="190" t="str" cm="1">
        <f t="array" ref="U111">_xlfn.LET(_xlpm.PercentCheck,IF(OR(U$1="Crit Chance",U$1="Crit Damage",U$1="Condition Duration"),1,0),_xlpm.Flat,$H111,_xlpm.Percentage,$H111*U$106,_xlpm.Derived,$H111*U$106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U$1,AND(_xlpm.PercentCheck=0,$G111="All")),_xlfn.IFS(AND($I111="Flat",$J111=0),_xlpm.Flat,AND($I111="Percentage",$J111=0),_xlpm.Percentage,$J111="Derived",_xlpm.Derived,$J111="Boon Enhancement",_xlpm.BoonEnhancement,$J111="Stacking",_xlpm.Stacking),""))</f>
        <v/>
      </c>
      <c r="V111" s="190" t="str" cm="1">
        <f t="array" ref="V111">_xlfn.LET(_xlpm.PercentCheck,IF(OR(V$1="Crit Chance",V$1="Crit Damage",V$1="Condition Duration"),1,0),_xlpm.Flat,$H111,_xlpm.Percentage,$H111*V$106,_xlpm.Derived,$H111*V$106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V$1,AND(_xlpm.PercentCheck=0,$G111="All")),_xlfn.IFS(AND($I111="Flat",$J111=0),_xlpm.Flat,AND($I111="Percentage",$J111=0),_xlpm.Percentage,$J111="Derived",_xlpm.Derived,$J111="Boon Enhancement",_xlpm.BoonEnhancement,$J111="Stacking",_xlpm.Stacking),""))</f>
        <v/>
      </c>
      <c r="W111" s="190" t="str" cm="1">
        <f t="array" ref="W111">_xlfn.LET(_xlpm.PercentCheck,IF(OR(W$1="Crit Chance",W$1="Crit Damage",W$1="Condition Duration"),1,0),_xlpm.Flat,$H111,_xlpm.Percentage,$H111*W$106,_xlpm.Derived,$H111*W$106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W$1,AND(_xlpm.PercentCheck=0,$G111="All")),_xlfn.IFS(AND($I111="Flat",$J111=0),_xlpm.Flat,AND($I111="Percentage",$J111=0),_xlpm.Percentage,$J111="Derived",_xlpm.Derived,$J111="Boon Enhancement",_xlpm.BoonEnhancement,$J111="Stacking",_xlpm.Stacking),""))</f>
        <v/>
      </c>
      <c r="X111" s="190" t="str" cm="1">
        <f t="array" ref="X111">_xlfn.LET(_xlpm.PercentCheck,IF(OR(X$1="Crit Chance",X$1="Crit Damage",X$1="Condition Duration"),1,0),_xlpm.Flat,$H111,_xlpm.Percentage,$H111*X$106,_xlpm.Derived,$H111*X$106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X$1,AND(_xlpm.PercentCheck=0,$G111="All")),_xlfn.IFS(AND($I111="Flat",$J111=0),_xlpm.Flat,AND($I111="Percentage",$J111=0),_xlpm.Percentage,$J111="Derived",_xlpm.Derived,$J111="Boon Enhancement",_xlpm.BoonEnhancement,$J111="Stacking",_xlpm.Stacking),""))</f>
        <v/>
      </c>
      <c r="Y111" s="190" t="str" cm="1">
        <f t="array" ref="Y111">_xlfn.LET(_xlpm.PercentCheck,IF(OR(Y$1="Crit Chance",Y$1="Crit Damage",Y$1="Condition Duration"),1,0),_xlpm.Flat,$H111,_xlpm.Percentage,$H111*Y$106,_xlpm.Derived,$H111*Y$106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Y$1,AND(_xlpm.PercentCheck=0,$G111="All")),_xlfn.IFS(AND($I111="Flat",$J111=0),_xlpm.Flat,AND($I111="Percentage",$J111=0),_xlpm.Percentage,$J111="Derived",_xlpm.Derived,$J111="Boon Enhancement",_xlpm.BoonEnhancement,$J111="Stacking",_xlpm.Stacking),""))</f>
        <v/>
      </c>
      <c r="Z111" s="190" t="str" cm="1">
        <f t="array" ref="Z111">_xlfn.LET(_xlpm.PercentCheck,IF(OR(Z$1="Crit Chance",Z$1="Crit Damage",Z$1="Condition Duration"),1,0),_xlpm.Flat,$H111,_xlpm.Percentage,$H111*Z$106,_xlpm.Derived,$H111*Z$106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Z$1,AND(_xlpm.PercentCheck=0,$G111="All")),_xlfn.IFS(AND($I111="Flat",$J111=0),_xlpm.Flat,AND($I111="Percentage",$J111=0),_xlpm.Percentage,$J111="Derived",_xlpm.Derived,$J111="Boon Enhancement",_xlpm.BoonEnhancement,$J111="Stacking",_xlpm.Stacking),""))</f>
        <v/>
      </c>
      <c r="AA111" s="190" t="str" cm="1">
        <f t="array" ref="AA111">_xlfn.LET(_xlpm.PercentCheck,IF(OR(AA$1="Crit Chance",AA$1="Crit Damage",AA$1="Condition Duration"),1,0),_xlpm.Flat,$H111,_xlpm.Percentage,$H111*AA$106,_xlpm.Derived,$H111*AA$106,_xlpm.BoonType,VLOOKUP($M111,BoonToggles,2,0),_xlpm.BoonEnhancement,IF(AND(ISLOGICAL(_xlpm.BoonType),_xlpm.BoonType=TRUE),IF($I111="Flat",$H111,_xlpm.Percentage),IF($I111="Flat",$H111*_xlpm.BoonType,_xlpm.Percentage*_xlpm.BoonType)),_xlpm.Stacking,IF($I111="Flat",$H111*Spec1MajorGrandmasterStacks,IF(_xlpm.PercentCheck=1,"",_xlpm.Percentage*Spec1MajorGrandmasterStacks)),IF(OR($G111=AA$1,AND(_xlpm.PercentCheck=0,$G111="All")),_xlfn.IFS(AND($I111="Flat",$J111=0),_xlpm.Flat,AND($I111="Percentage",$J111=0),_xlpm.Percentage,$J111="Derived",_xlpm.Derived,$J111="Boon Enhancement",_xlpm.BoonEnhancement,$J111="Stacking",_xlpm.Stacking),""))</f>
        <v/>
      </c>
    </row>
    <row r="112" spans="1:27" s="171" customFormat="1" ht="14.25" customHeight="1">
      <c r="A112" s="566"/>
      <c r="B112" s="559" t="s">
        <v>3500</v>
      </c>
      <c r="C112" s="559"/>
      <c r="D112" s="559"/>
      <c r="E112" s="559"/>
      <c r="F112" s="559"/>
      <c r="G112" s="559"/>
      <c r="H112" s="559"/>
      <c r="I112" s="559"/>
      <c r="J112" s="559"/>
      <c r="K112" s="559"/>
      <c r="L112" s="559"/>
      <c r="M112" s="559"/>
      <c r="N112" s="559"/>
      <c r="O112" s="560"/>
      <c r="P112" s="197">
        <f t="shared" ref="P112:AA112" si="39">SUM(P$107:P$111)</f>
        <v>0</v>
      </c>
      <c r="Q112" s="198">
        <f t="shared" si="39"/>
        <v>0</v>
      </c>
      <c r="R112" s="198">
        <f t="shared" si="39"/>
        <v>0</v>
      </c>
      <c r="S112" s="198">
        <f t="shared" si="39"/>
        <v>0</v>
      </c>
      <c r="T112" s="198">
        <f t="shared" si="39"/>
        <v>0</v>
      </c>
      <c r="U112" s="198">
        <f t="shared" si="39"/>
        <v>0</v>
      </c>
      <c r="V112" s="198">
        <f t="shared" si="39"/>
        <v>0</v>
      </c>
      <c r="W112" s="198">
        <f t="shared" si="39"/>
        <v>0</v>
      </c>
      <c r="X112" s="198">
        <f t="shared" si="39"/>
        <v>0</v>
      </c>
      <c r="Y112" s="199">
        <f t="shared" si="39"/>
        <v>0</v>
      </c>
      <c r="Z112" s="199">
        <f t="shared" si="39"/>
        <v>0</v>
      </c>
      <c r="AA112" s="199">
        <f t="shared" si="39"/>
        <v>0</v>
      </c>
    </row>
    <row r="113" spans="1:27" s="171" customFormat="1" ht="14.25" customHeight="1">
      <c r="A113" s="566"/>
      <c r="B113" s="559" t="s">
        <v>3501</v>
      </c>
      <c r="C113" s="559"/>
      <c r="D113" s="559"/>
      <c r="E113" s="559"/>
      <c r="F113" s="559"/>
      <c r="G113" s="559"/>
      <c r="H113" s="559"/>
      <c r="I113" s="559"/>
      <c r="J113" s="559"/>
      <c r="K113" s="559"/>
      <c r="L113" s="559"/>
      <c r="M113" s="559"/>
      <c r="N113" s="559"/>
      <c r="O113" s="560"/>
      <c r="P113" s="197">
        <f>SUM(P$106,SUMIFS(P$107:P$111,$I$107:$I$111,"Percentage",$J$107:$J$111,"&lt;&gt;Derived"))</f>
        <v>1657</v>
      </c>
      <c r="Q113" s="197">
        <f t="shared" ref="Q113:X113" si="40">SUM(Q$106,SUMIFS(Q$107:Q$111,$I$107:$I$111,"Percentage",$J$107:$J$111,"&lt;&gt;Derived"))</f>
        <v>1594</v>
      </c>
      <c r="R113" s="197">
        <f t="shared" si="40"/>
        <v>1221</v>
      </c>
      <c r="S113" s="197">
        <f t="shared" si="40"/>
        <v>1156</v>
      </c>
      <c r="T113" s="197">
        <f t="shared" si="40"/>
        <v>10</v>
      </c>
      <c r="U113" s="197">
        <f t="shared" si="40"/>
        <v>312</v>
      </c>
      <c r="V113" s="197">
        <f t="shared" si="40"/>
        <v>260</v>
      </c>
      <c r="W113" s="197">
        <f t="shared" si="40"/>
        <v>248</v>
      </c>
      <c r="X113" s="197">
        <f t="shared" si="40"/>
        <v>47</v>
      </c>
      <c r="Y113" s="480"/>
      <c r="Z113" s="480"/>
      <c r="AA113" s="480"/>
    </row>
    <row r="114" spans="1:27" ht="14.25" customHeight="1">
      <c r="A114" s="566"/>
      <c r="B114" s="556" t="s">
        <v>98</v>
      </c>
      <c r="C114" s="206" t="str" cm="1">
        <f t="array" ref="C114">IF(OR(Spec3MinorGrandmasterCondition="(Select)",Spec3MinorGrandmasterCondition=""),_xlfn._xlws.FILTER(TraitStats,(TraitStatsTable[Name]=Spec3MinorGrandmaster)*(TraitStatsTable[Condition]=""),"No stat bonus"),_xlfn._xlws.FILTER(TraitStats,(TraitStatsTable[Name]=Spec3MinorGrandmaster)*((TraitStatsTable[Condition]=Spec3MinorGrandmasterCondition)+(TraitStatsTable[Condition]="")),"No stat bonus"))</f>
        <v>No stat bonus</v>
      </c>
      <c r="D114" s="195"/>
      <c r="E114" s="195"/>
      <c r="F114" s="195"/>
      <c r="G114" s="195"/>
      <c r="H114" s="195"/>
      <c r="I114" s="195"/>
      <c r="J114" s="195"/>
      <c r="K114" s="195"/>
      <c r="L114" s="195"/>
      <c r="M114" s="195"/>
      <c r="N114" s="195"/>
      <c r="O114" s="196"/>
      <c r="P114" s="190" t="str" cm="1">
        <f t="array" ref="P114">_xlfn.LET(_xlpm.PercentCheck,IF(OR(P$1="Crit Chance",P$1="Crit Damage",P$1="Condition Duration"),1,0),_xlpm.Flat,$H114,_xlpm.Percentage,$H114*P$113,_xlpm.Derived,$H114*P$113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P$1,AND(_xlpm.PercentCheck=0,$G114="All")),_xlfn.IFS(AND($I114="Flat",$J114=0),_xlpm.Flat,AND($I114="Percentage",$J114=0),_xlpm.Percentage,$J114="Derived",_xlpm.Derived,$J114="Boon Enhancement",_xlpm.BoonEnhancement,$J114="Stacking",_xlpm.Stacking),""))</f>
        <v/>
      </c>
      <c r="Q114" s="190" t="str" cm="1">
        <f t="array" ref="Q114">_xlfn.LET(_xlpm.PercentCheck,IF(OR(Q$1="Crit Chance",Q$1="Crit Damage",Q$1="Condition Duration"),1,0),_xlpm.Flat,$H114,_xlpm.Percentage,$H114*Q$113,_xlpm.Derived,$H114*Q$113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Q$1,AND(_xlpm.PercentCheck=0,$G114="All")),_xlfn.IFS(AND($I114="Flat",$J114=0),_xlpm.Flat,AND($I114="Percentage",$J114=0),_xlpm.Percentage,$J114="Derived",_xlpm.Derived,$J114="Boon Enhancement",_xlpm.BoonEnhancement,$J114="Stacking",_xlpm.Stacking),""))</f>
        <v/>
      </c>
      <c r="R114" s="190" t="str" cm="1">
        <f t="array" ref="R114">_xlfn.LET(_xlpm.PercentCheck,IF(OR(R$1="Crit Chance",R$1="Crit Damage",R$1="Condition Duration"),1,0),_xlpm.Flat,$H114,_xlpm.Percentage,$H114*R$113,_xlpm.Derived,$H114*R$113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R$1,AND(_xlpm.PercentCheck=0,$G114="All")),_xlfn.IFS(AND($I114="Flat",$J114=0),_xlpm.Flat,AND($I114="Percentage",$J114=0),_xlpm.Percentage,$J114="Derived",_xlpm.Derived,$J114="Boon Enhancement",_xlpm.BoonEnhancement,$J114="Stacking",_xlpm.Stacking),""))</f>
        <v/>
      </c>
      <c r="S114" s="190" t="str" cm="1">
        <f t="array" ref="S114">_xlfn.LET(_xlpm.PercentCheck,IF(OR(S$1="Crit Chance",S$1="Crit Damage",S$1="Condition Duration"),1,0),_xlpm.Flat,$H114,_xlpm.Percentage,$H114*S$113,_xlpm.Derived,$H114*S$113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S$1,AND(_xlpm.PercentCheck=0,$G114="All")),_xlfn.IFS(AND($I114="Flat",$J114=0),_xlpm.Flat,AND($I114="Percentage",$J114=0),_xlpm.Percentage,$J114="Derived",_xlpm.Derived,$J114="Boon Enhancement",_xlpm.BoonEnhancement,$J114="Stacking",_xlpm.Stacking),""))</f>
        <v/>
      </c>
      <c r="T114" s="190" t="str" cm="1">
        <f t="array" ref="T114">_xlfn.LET(_xlpm.PercentCheck,IF(OR(T$1="Crit Chance",T$1="Crit Damage",T$1="Condition Duration"),1,0),_xlpm.Flat,$H114,_xlpm.Percentage,$H114*T$113,_xlpm.Derived,$H114*T$113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T$1,AND(_xlpm.PercentCheck=0,$G114="All")),_xlfn.IFS(AND($I114="Flat",$J114=0),_xlpm.Flat,AND($I114="Percentage",$J114=0),_xlpm.Percentage,$J114="Derived",_xlpm.Derived,$J114="Boon Enhancement",_xlpm.BoonEnhancement,$J114="Stacking",_xlpm.Stacking),""))</f>
        <v/>
      </c>
      <c r="U114" s="190" t="str" cm="1">
        <f t="array" ref="U114">_xlfn.LET(_xlpm.PercentCheck,IF(OR(U$1="Crit Chance",U$1="Crit Damage",U$1="Condition Duration"),1,0),_xlpm.Flat,$H114,_xlpm.Percentage,$H114*U$113,_xlpm.Derived,$H114*U$113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U$1,AND(_xlpm.PercentCheck=0,$G114="All")),_xlfn.IFS(AND($I114="Flat",$J114=0),_xlpm.Flat,AND($I114="Percentage",$J114=0),_xlpm.Percentage,$J114="Derived",_xlpm.Derived,$J114="Boon Enhancement",_xlpm.BoonEnhancement,$J114="Stacking",_xlpm.Stacking),""))</f>
        <v/>
      </c>
      <c r="V114" s="190" t="str" cm="1">
        <f t="array" ref="V114">_xlfn.LET(_xlpm.PercentCheck,IF(OR(V$1="Crit Chance",V$1="Crit Damage",V$1="Condition Duration"),1,0),_xlpm.Flat,$H114,_xlpm.Percentage,$H114*V$113,_xlpm.Derived,$H114*V$113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V$1,AND(_xlpm.PercentCheck=0,$G114="All")),_xlfn.IFS(AND($I114="Flat",$J114=0),_xlpm.Flat,AND($I114="Percentage",$J114=0),_xlpm.Percentage,$J114="Derived",_xlpm.Derived,$J114="Boon Enhancement",_xlpm.BoonEnhancement,$J114="Stacking",_xlpm.Stacking),""))</f>
        <v/>
      </c>
      <c r="W114" s="190" t="str" cm="1">
        <f t="array" ref="W114">_xlfn.LET(_xlpm.PercentCheck,IF(OR(W$1="Crit Chance",W$1="Crit Damage",W$1="Condition Duration"),1,0),_xlpm.Flat,$H114,_xlpm.Percentage,$H114*W$113,_xlpm.Derived,$H114*W$113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W$1,AND(_xlpm.PercentCheck=0,$G114="All")),_xlfn.IFS(AND($I114="Flat",$J114=0),_xlpm.Flat,AND($I114="Percentage",$J114=0),_xlpm.Percentage,$J114="Derived",_xlpm.Derived,$J114="Boon Enhancement",_xlpm.BoonEnhancement,$J114="Stacking",_xlpm.Stacking),""))</f>
        <v/>
      </c>
      <c r="X114" s="190" t="str" cm="1">
        <f t="array" ref="X114">_xlfn.LET(_xlpm.PercentCheck,IF(OR(X$1="Crit Chance",X$1="Crit Damage",X$1="Condition Duration"),1,0),_xlpm.Flat,$H114,_xlpm.Percentage,$H114*X$113,_xlpm.Derived,$H114*X$113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X$1,AND(_xlpm.PercentCheck=0,$G114="All")),_xlfn.IFS(AND($I114="Flat",$J114=0),_xlpm.Flat,AND($I114="Percentage",$J114=0),_xlpm.Percentage,$J114="Derived",_xlpm.Derived,$J114="Boon Enhancement",_xlpm.BoonEnhancement,$J114="Stacking",_xlpm.Stacking),""))</f>
        <v/>
      </c>
      <c r="Y114" s="190" t="str" cm="1">
        <f t="array" ref="Y114">_xlfn.LET(_xlpm.PercentCheck,IF(OR(Y$1="Crit Chance",Y$1="Crit Damage",Y$1="Condition Duration"),1,0),_xlpm.Flat,$H114,_xlpm.Percentage,$H114*Y$113,_xlpm.Derived,$H114*Y$113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Y$1,AND(_xlpm.PercentCheck=0,$G114="All")),_xlfn.IFS(AND($I114="Flat",$J114=0),_xlpm.Flat,AND($I114="Percentage",$J114=0),_xlpm.Percentage,$J114="Derived",_xlpm.Derived,$J114="Boon Enhancement",_xlpm.BoonEnhancement,$J114="Stacking",_xlpm.Stacking),""))</f>
        <v/>
      </c>
      <c r="Z114" s="190" t="str" cm="1">
        <f t="array" ref="Z114">_xlfn.LET(_xlpm.PercentCheck,IF(OR(Z$1="Crit Chance",Z$1="Crit Damage",Z$1="Condition Duration"),1,0),_xlpm.Flat,$H114,_xlpm.Percentage,$H114*Z$113,_xlpm.Derived,$H114*Z$113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Z$1,AND(_xlpm.PercentCheck=0,$G114="All")),_xlfn.IFS(AND($I114="Flat",$J114=0),_xlpm.Flat,AND($I114="Percentage",$J114=0),_xlpm.Percentage,$J114="Derived",_xlpm.Derived,$J114="Boon Enhancement",_xlpm.BoonEnhancement,$J114="Stacking",_xlpm.Stacking),""))</f>
        <v/>
      </c>
      <c r="AA114" s="190" t="str" cm="1">
        <f t="array" ref="AA114">_xlfn.LET(_xlpm.PercentCheck,IF(OR(AA$1="Crit Chance",AA$1="Crit Damage",AA$1="Condition Duration"),1,0),_xlpm.Flat,$H114,_xlpm.Percentage,$H114*AA$113,_xlpm.Derived,$H114*AA$113,_xlpm.BoonType,VLOOKUP($M114,BoonToggles,2,0),_xlpm.BoonEnhancement,IF(AND(ISLOGICAL(_xlpm.BoonType),_xlpm.BoonType=TRUE),IF($I114="Flat",$H114,_xlpm.Percentage),IF($I114="Flat",$H114*_xlpm.BoonType,_xlpm.Percentage*_xlpm.BoonType)),_xlpm.Stacking,IF($I114="Flat",$H114*Spec3MinorGrandmasterStacks,IF(_xlpm.PercentCheck=1,"",_xlpm.Percentage*Spec3MinorGrandmasterStacks)),IF(OR($G114=AA$1,AND(_xlpm.PercentCheck=0,$G114="All")),_xlfn.IFS(AND($I114="Flat",$J114=0),_xlpm.Flat,AND($I114="Percentage",$J114=0),_xlpm.Percentage,$J114="Derived",_xlpm.Derived,$J114="Boon Enhancement",_xlpm.BoonEnhancement,$J114="Stacking",_xlpm.Stacking),""))</f>
        <v/>
      </c>
    </row>
    <row r="115" spans="1:27" ht="14.25" customHeight="1">
      <c r="A115" s="566"/>
      <c r="B115" s="556"/>
      <c r="C115" s="194"/>
      <c r="D115" s="195"/>
      <c r="E115" s="195"/>
      <c r="F115" s="195"/>
      <c r="G115" s="195"/>
      <c r="H115" s="195"/>
      <c r="I115" s="195"/>
      <c r="J115" s="195"/>
      <c r="K115" s="195"/>
      <c r="L115" s="195"/>
      <c r="M115" s="195"/>
      <c r="N115" s="195"/>
      <c r="O115" s="196"/>
      <c r="P115" s="190" t="str" cm="1">
        <f t="array" ref="P115">_xlfn.LET(_xlpm.PercentCheck,IF(OR(P$1="Crit Chance",P$1="Crit Damage",P$1="Condition Duration"),1,0),_xlpm.Flat,$H115,_xlpm.Percentage,$H115*P$113,_xlpm.Derived,$H115*P$113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P$1,AND(_xlpm.PercentCheck=0,$G115="All")),_xlfn.IFS(AND($I115="Flat",$J115=0),_xlpm.Flat,AND($I115="Percentage",$J115=0),_xlpm.Percentage,$J115="Derived",_xlpm.Derived,$J115="Boon Enhancement",_xlpm.BoonEnhancement,$J115="Stacking",_xlpm.Stacking),""))</f>
        <v/>
      </c>
      <c r="Q115" s="190" t="str" cm="1">
        <f t="array" ref="Q115">_xlfn.LET(_xlpm.PercentCheck,IF(OR(Q$1="Crit Chance",Q$1="Crit Damage",Q$1="Condition Duration"),1,0),_xlpm.Flat,$H115,_xlpm.Percentage,$H115*Q$113,_xlpm.Derived,$H115*Q$113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Q$1,AND(_xlpm.PercentCheck=0,$G115="All")),_xlfn.IFS(AND($I115="Flat",$J115=0),_xlpm.Flat,AND($I115="Percentage",$J115=0),_xlpm.Percentage,$J115="Derived",_xlpm.Derived,$J115="Boon Enhancement",_xlpm.BoonEnhancement,$J115="Stacking",_xlpm.Stacking),""))</f>
        <v/>
      </c>
      <c r="R115" s="190" t="str" cm="1">
        <f t="array" ref="R115">_xlfn.LET(_xlpm.PercentCheck,IF(OR(R$1="Crit Chance",R$1="Crit Damage",R$1="Condition Duration"),1,0),_xlpm.Flat,$H115,_xlpm.Percentage,$H115*R$113,_xlpm.Derived,$H115*R$113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R$1,AND(_xlpm.PercentCheck=0,$G115="All")),_xlfn.IFS(AND($I115="Flat",$J115=0),_xlpm.Flat,AND($I115="Percentage",$J115=0),_xlpm.Percentage,$J115="Derived",_xlpm.Derived,$J115="Boon Enhancement",_xlpm.BoonEnhancement,$J115="Stacking",_xlpm.Stacking),""))</f>
        <v/>
      </c>
      <c r="S115" s="190" t="str" cm="1">
        <f t="array" ref="S115">_xlfn.LET(_xlpm.PercentCheck,IF(OR(S$1="Crit Chance",S$1="Crit Damage",S$1="Condition Duration"),1,0),_xlpm.Flat,$H115,_xlpm.Percentage,$H115*S$113,_xlpm.Derived,$H115*S$113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S$1,AND(_xlpm.PercentCheck=0,$G115="All")),_xlfn.IFS(AND($I115="Flat",$J115=0),_xlpm.Flat,AND($I115="Percentage",$J115=0),_xlpm.Percentage,$J115="Derived",_xlpm.Derived,$J115="Boon Enhancement",_xlpm.BoonEnhancement,$J115="Stacking",_xlpm.Stacking),""))</f>
        <v/>
      </c>
      <c r="T115" s="190" t="str" cm="1">
        <f t="array" ref="T115">_xlfn.LET(_xlpm.PercentCheck,IF(OR(T$1="Crit Chance",T$1="Crit Damage",T$1="Condition Duration"),1,0),_xlpm.Flat,$H115,_xlpm.Percentage,$H115*T$113,_xlpm.Derived,$H115*T$113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T$1,AND(_xlpm.PercentCheck=0,$G115="All")),_xlfn.IFS(AND($I115="Flat",$J115=0),_xlpm.Flat,AND($I115="Percentage",$J115=0),_xlpm.Percentage,$J115="Derived",_xlpm.Derived,$J115="Boon Enhancement",_xlpm.BoonEnhancement,$J115="Stacking",_xlpm.Stacking),""))</f>
        <v/>
      </c>
      <c r="U115" s="190" t="str" cm="1">
        <f t="array" ref="U115">_xlfn.LET(_xlpm.PercentCheck,IF(OR(U$1="Crit Chance",U$1="Crit Damage",U$1="Condition Duration"),1,0),_xlpm.Flat,$H115,_xlpm.Percentage,$H115*U$113,_xlpm.Derived,$H115*U$113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U$1,AND(_xlpm.PercentCheck=0,$G115="All")),_xlfn.IFS(AND($I115="Flat",$J115=0),_xlpm.Flat,AND($I115="Percentage",$J115=0),_xlpm.Percentage,$J115="Derived",_xlpm.Derived,$J115="Boon Enhancement",_xlpm.BoonEnhancement,$J115="Stacking",_xlpm.Stacking),""))</f>
        <v/>
      </c>
      <c r="V115" s="190" t="str" cm="1">
        <f t="array" ref="V115">_xlfn.LET(_xlpm.PercentCheck,IF(OR(V$1="Crit Chance",V$1="Crit Damage",V$1="Condition Duration"),1,0),_xlpm.Flat,$H115,_xlpm.Percentage,$H115*V$113,_xlpm.Derived,$H115*V$113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V$1,AND(_xlpm.PercentCheck=0,$G115="All")),_xlfn.IFS(AND($I115="Flat",$J115=0),_xlpm.Flat,AND($I115="Percentage",$J115=0),_xlpm.Percentage,$J115="Derived",_xlpm.Derived,$J115="Boon Enhancement",_xlpm.BoonEnhancement,$J115="Stacking",_xlpm.Stacking),""))</f>
        <v/>
      </c>
      <c r="W115" s="190" t="str" cm="1">
        <f t="array" ref="W115">_xlfn.LET(_xlpm.PercentCheck,IF(OR(W$1="Crit Chance",W$1="Crit Damage",W$1="Condition Duration"),1,0),_xlpm.Flat,$H115,_xlpm.Percentage,$H115*W$113,_xlpm.Derived,$H115*W$113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W$1,AND(_xlpm.PercentCheck=0,$G115="All")),_xlfn.IFS(AND($I115="Flat",$J115=0),_xlpm.Flat,AND($I115="Percentage",$J115=0),_xlpm.Percentage,$J115="Derived",_xlpm.Derived,$J115="Boon Enhancement",_xlpm.BoonEnhancement,$J115="Stacking",_xlpm.Stacking),""))</f>
        <v/>
      </c>
      <c r="X115" s="190" t="str" cm="1">
        <f t="array" ref="X115">_xlfn.LET(_xlpm.PercentCheck,IF(OR(X$1="Crit Chance",X$1="Crit Damage",X$1="Condition Duration"),1,0),_xlpm.Flat,$H115,_xlpm.Percentage,$H115*X$113,_xlpm.Derived,$H115*X$113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X$1,AND(_xlpm.PercentCheck=0,$G115="All")),_xlfn.IFS(AND($I115="Flat",$J115=0),_xlpm.Flat,AND($I115="Percentage",$J115=0),_xlpm.Percentage,$J115="Derived",_xlpm.Derived,$J115="Boon Enhancement",_xlpm.BoonEnhancement,$J115="Stacking",_xlpm.Stacking),""))</f>
        <v/>
      </c>
      <c r="Y115" s="190" t="str" cm="1">
        <f t="array" ref="Y115">_xlfn.LET(_xlpm.PercentCheck,IF(OR(Y$1="Crit Chance",Y$1="Crit Damage",Y$1="Condition Duration"),1,0),_xlpm.Flat,$H115,_xlpm.Percentage,$H115*Y$113,_xlpm.Derived,$H115*Y$113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Y$1,AND(_xlpm.PercentCheck=0,$G115="All")),_xlfn.IFS(AND($I115="Flat",$J115=0),_xlpm.Flat,AND($I115="Percentage",$J115=0),_xlpm.Percentage,$J115="Derived",_xlpm.Derived,$J115="Boon Enhancement",_xlpm.BoonEnhancement,$J115="Stacking",_xlpm.Stacking),""))</f>
        <v/>
      </c>
      <c r="Z115" s="190" t="str" cm="1">
        <f t="array" ref="Z115">_xlfn.LET(_xlpm.PercentCheck,IF(OR(Z$1="Crit Chance",Z$1="Crit Damage",Z$1="Condition Duration"),1,0),_xlpm.Flat,$H115,_xlpm.Percentage,$H115*Z$113,_xlpm.Derived,$H115*Z$113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Z$1,AND(_xlpm.PercentCheck=0,$G115="All")),_xlfn.IFS(AND($I115="Flat",$J115=0),_xlpm.Flat,AND($I115="Percentage",$J115=0),_xlpm.Percentage,$J115="Derived",_xlpm.Derived,$J115="Boon Enhancement",_xlpm.BoonEnhancement,$J115="Stacking",_xlpm.Stacking),""))</f>
        <v/>
      </c>
      <c r="AA115" s="190" t="str" cm="1">
        <f t="array" ref="AA115">_xlfn.LET(_xlpm.PercentCheck,IF(OR(AA$1="Crit Chance",AA$1="Crit Damage",AA$1="Condition Duration"),1,0),_xlpm.Flat,$H115,_xlpm.Percentage,$H115*AA$113,_xlpm.Derived,$H115*AA$113,_xlpm.BoonType,VLOOKUP($M115,BoonToggles,2,0),_xlpm.BoonEnhancement,IF(AND(ISLOGICAL(_xlpm.BoonType),_xlpm.BoonType=TRUE),IF($I115="Flat",$H115,_xlpm.Percentage),IF($I115="Flat",$H115*_xlpm.BoonType,_xlpm.Percentage*_xlpm.BoonType)),_xlpm.Stacking,IF($I115="Flat",$H115*Spec3MinorGrandmasterStacks,IF(_xlpm.PercentCheck=1,"",_xlpm.Percentage*Spec3MinorGrandmasterStacks)),IF(OR($G115=AA$1,AND(_xlpm.PercentCheck=0,$G115="All")),_xlfn.IFS(AND($I115="Flat",$J115=0),_xlpm.Flat,AND($I115="Percentage",$J115=0),_xlpm.Percentage,$J115="Derived",_xlpm.Derived,$J115="Boon Enhancement",_xlpm.BoonEnhancement,$J115="Stacking",_xlpm.Stacking),""))</f>
        <v/>
      </c>
    </row>
    <row r="116" spans="1:27" ht="14.25" customHeight="1">
      <c r="A116" s="566"/>
      <c r="B116" s="556"/>
      <c r="C116" s="194"/>
      <c r="D116" s="195"/>
      <c r="E116" s="195"/>
      <c r="F116" s="195"/>
      <c r="G116" s="195"/>
      <c r="H116" s="195"/>
      <c r="I116" s="195"/>
      <c r="J116" s="195"/>
      <c r="K116" s="195"/>
      <c r="L116" s="195"/>
      <c r="M116" s="195"/>
      <c r="N116" s="195"/>
      <c r="O116" s="196"/>
      <c r="P116" s="190" t="str" cm="1">
        <f t="array" ref="P116">_xlfn.LET(_xlpm.PercentCheck,IF(OR(P$1="Crit Chance",P$1="Crit Damage",P$1="Condition Duration"),1,0),_xlpm.Flat,$H116,_xlpm.Percentage,$H116*P$113,_xlpm.Derived,$H116*P$113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P$1,AND(_xlpm.PercentCheck=0,$G116="All")),_xlfn.IFS(AND($I116="Flat",$J116=0),_xlpm.Flat,AND($I116="Percentage",$J116=0),_xlpm.Percentage,$J116="Derived",_xlpm.Derived,$J116="Boon Enhancement",_xlpm.BoonEnhancement,$J116="Stacking",_xlpm.Stacking),""))</f>
        <v/>
      </c>
      <c r="Q116" s="190" t="str" cm="1">
        <f t="array" ref="Q116">_xlfn.LET(_xlpm.PercentCheck,IF(OR(Q$1="Crit Chance",Q$1="Crit Damage",Q$1="Condition Duration"),1,0),_xlpm.Flat,$H116,_xlpm.Percentage,$H116*Q$113,_xlpm.Derived,$H116*Q$113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Q$1,AND(_xlpm.PercentCheck=0,$G116="All")),_xlfn.IFS(AND($I116="Flat",$J116=0),_xlpm.Flat,AND($I116="Percentage",$J116=0),_xlpm.Percentage,$J116="Derived",_xlpm.Derived,$J116="Boon Enhancement",_xlpm.BoonEnhancement,$J116="Stacking",_xlpm.Stacking),""))</f>
        <v/>
      </c>
      <c r="R116" s="190" t="str" cm="1">
        <f t="array" ref="R116">_xlfn.LET(_xlpm.PercentCheck,IF(OR(R$1="Crit Chance",R$1="Crit Damage",R$1="Condition Duration"),1,0),_xlpm.Flat,$H116,_xlpm.Percentage,$H116*R$113,_xlpm.Derived,$H116*R$113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R$1,AND(_xlpm.PercentCheck=0,$G116="All")),_xlfn.IFS(AND($I116="Flat",$J116=0),_xlpm.Flat,AND($I116="Percentage",$J116=0),_xlpm.Percentage,$J116="Derived",_xlpm.Derived,$J116="Boon Enhancement",_xlpm.BoonEnhancement,$J116="Stacking",_xlpm.Stacking),""))</f>
        <v/>
      </c>
      <c r="S116" s="190" t="str" cm="1">
        <f t="array" ref="S116">_xlfn.LET(_xlpm.PercentCheck,IF(OR(S$1="Crit Chance",S$1="Crit Damage",S$1="Condition Duration"),1,0),_xlpm.Flat,$H116,_xlpm.Percentage,$H116*S$113,_xlpm.Derived,$H116*S$113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S$1,AND(_xlpm.PercentCheck=0,$G116="All")),_xlfn.IFS(AND($I116="Flat",$J116=0),_xlpm.Flat,AND($I116="Percentage",$J116=0),_xlpm.Percentage,$J116="Derived",_xlpm.Derived,$J116="Boon Enhancement",_xlpm.BoonEnhancement,$J116="Stacking",_xlpm.Stacking),""))</f>
        <v/>
      </c>
      <c r="T116" s="190" t="str" cm="1">
        <f t="array" ref="T116">_xlfn.LET(_xlpm.PercentCheck,IF(OR(T$1="Crit Chance",T$1="Crit Damage",T$1="Condition Duration"),1,0),_xlpm.Flat,$H116,_xlpm.Percentage,$H116*T$113,_xlpm.Derived,$H116*T$113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T$1,AND(_xlpm.PercentCheck=0,$G116="All")),_xlfn.IFS(AND($I116="Flat",$J116=0),_xlpm.Flat,AND($I116="Percentage",$J116=0),_xlpm.Percentage,$J116="Derived",_xlpm.Derived,$J116="Boon Enhancement",_xlpm.BoonEnhancement,$J116="Stacking",_xlpm.Stacking),""))</f>
        <v/>
      </c>
      <c r="U116" s="190" t="str" cm="1">
        <f t="array" ref="U116">_xlfn.LET(_xlpm.PercentCheck,IF(OR(U$1="Crit Chance",U$1="Crit Damage",U$1="Condition Duration"),1,0),_xlpm.Flat,$H116,_xlpm.Percentage,$H116*U$113,_xlpm.Derived,$H116*U$113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U$1,AND(_xlpm.PercentCheck=0,$G116="All")),_xlfn.IFS(AND($I116="Flat",$J116=0),_xlpm.Flat,AND($I116="Percentage",$J116=0),_xlpm.Percentage,$J116="Derived",_xlpm.Derived,$J116="Boon Enhancement",_xlpm.BoonEnhancement,$J116="Stacking",_xlpm.Stacking),""))</f>
        <v/>
      </c>
      <c r="V116" s="190" t="str" cm="1">
        <f t="array" ref="V116">_xlfn.LET(_xlpm.PercentCheck,IF(OR(V$1="Crit Chance",V$1="Crit Damage",V$1="Condition Duration"),1,0),_xlpm.Flat,$H116,_xlpm.Percentage,$H116*V$113,_xlpm.Derived,$H116*V$113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V$1,AND(_xlpm.PercentCheck=0,$G116="All")),_xlfn.IFS(AND($I116="Flat",$J116=0),_xlpm.Flat,AND($I116="Percentage",$J116=0),_xlpm.Percentage,$J116="Derived",_xlpm.Derived,$J116="Boon Enhancement",_xlpm.BoonEnhancement,$J116="Stacking",_xlpm.Stacking),""))</f>
        <v/>
      </c>
      <c r="W116" s="190" t="str" cm="1">
        <f t="array" ref="W116">_xlfn.LET(_xlpm.PercentCheck,IF(OR(W$1="Crit Chance",W$1="Crit Damage",W$1="Condition Duration"),1,0),_xlpm.Flat,$H116,_xlpm.Percentage,$H116*W$113,_xlpm.Derived,$H116*W$113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W$1,AND(_xlpm.PercentCheck=0,$G116="All")),_xlfn.IFS(AND($I116="Flat",$J116=0),_xlpm.Flat,AND($I116="Percentage",$J116=0),_xlpm.Percentage,$J116="Derived",_xlpm.Derived,$J116="Boon Enhancement",_xlpm.BoonEnhancement,$J116="Stacking",_xlpm.Stacking),""))</f>
        <v/>
      </c>
      <c r="X116" s="190" t="str" cm="1">
        <f t="array" ref="X116">_xlfn.LET(_xlpm.PercentCheck,IF(OR(X$1="Crit Chance",X$1="Crit Damage",X$1="Condition Duration"),1,0),_xlpm.Flat,$H116,_xlpm.Percentage,$H116*X$113,_xlpm.Derived,$H116*X$113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X$1,AND(_xlpm.PercentCheck=0,$G116="All")),_xlfn.IFS(AND($I116="Flat",$J116=0),_xlpm.Flat,AND($I116="Percentage",$J116=0),_xlpm.Percentage,$J116="Derived",_xlpm.Derived,$J116="Boon Enhancement",_xlpm.BoonEnhancement,$J116="Stacking",_xlpm.Stacking),""))</f>
        <v/>
      </c>
      <c r="Y116" s="190" t="str" cm="1">
        <f t="array" ref="Y116">_xlfn.LET(_xlpm.PercentCheck,IF(OR(Y$1="Crit Chance",Y$1="Crit Damage",Y$1="Condition Duration"),1,0),_xlpm.Flat,$H116,_xlpm.Percentage,$H116*Y$113,_xlpm.Derived,$H116*Y$113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Y$1,AND(_xlpm.PercentCheck=0,$G116="All")),_xlfn.IFS(AND($I116="Flat",$J116=0),_xlpm.Flat,AND($I116="Percentage",$J116=0),_xlpm.Percentage,$J116="Derived",_xlpm.Derived,$J116="Boon Enhancement",_xlpm.BoonEnhancement,$J116="Stacking",_xlpm.Stacking),""))</f>
        <v/>
      </c>
      <c r="Z116" s="190" t="str" cm="1">
        <f t="array" ref="Z116">_xlfn.LET(_xlpm.PercentCheck,IF(OR(Z$1="Crit Chance",Z$1="Crit Damage",Z$1="Condition Duration"),1,0),_xlpm.Flat,$H116,_xlpm.Percentage,$H116*Z$113,_xlpm.Derived,$H116*Z$113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Z$1,AND(_xlpm.PercentCheck=0,$G116="All")),_xlfn.IFS(AND($I116="Flat",$J116=0),_xlpm.Flat,AND($I116="Percentage",$J116=0),_xlpm.Percentage,$J116="Derived",_xlpm.Derived,$J116="Boon Enhancement",_xlpm.BoonEnhancement,$J116="Stacking",_xlpm.Stacking),""))</f>
        <v/>
      </c>
      <c r="AA116" s="190" t="str" cm="1">
        <f t="array" ref="AA116">_xlfn.LET(_xlpm.PercentCheck,IF(OR(AA$1="Crit Chance",AA$1="Crit Damage",AA$1="Condition Duration"),1,0),_xlpm.Flat,$H116,_xlpm.Percentage,$H116*AA$113,_xlpm.Derived,$H116*AA$113,_xlpm.BoonType,VLOOKUP($M116,BoonToggles,2,0),_xlpm.BoonEnhancement,IF(AND(ISLOGICAL(_xlpm.BoonType),_xlpm.BoonType=TRUE),IF($I116="Flat",$H116,_xlpm.Percentage),IF($I116="Flat",$H116*_xlpm.BoonType,_xlpm.Percentage*_xlpm.BoonType)),_xlpm.Stacking,IF($I116="Flat",$H116*Spec3MinorGrandmasterStacks,IF(_xlpm.PercentCheck=1,"",_xlpm.Percentage*Spec3MinorGrandmasterStacks)),IF(OR($G116=AA$1,AND(_xlpm.PercentCheck=0,$G116="All")),_xlfn.IFS(AND($I116="Flat",$J116=0),_xlpm.Flat,AND($I116="Percentage",$J116=0),_xlpm.Percentage,$J116="Derived",_xlpm.Derived,$J116="Boon Enhancement",_xlpm.BoonEnhancement,$J116="Stacking",_xlpm.Stacking),""))</f>
        <v/>
      </c>
    </row>
    <row r="117" spans="1:27" ht="14.25" customHeight="1">
      <c r="A117" s="566"/>
      <c r="B117" s="556"/>
      <c r="C117" s="194"/>
      <c r="D117" s="195"/>
      <c r="E117" s="195"/>
      <c r="F117" s="195"/>
      <c r="G117" s="195"/>
      <c r="H117" s="195"/>
      <c r="I117" s="195"/>
      <c r="J117" s="195"/>
      <c r="K117" s="195"/>
      <c r="L117" s="195"/>
      <c r="M117" s="195"/>
      <c r="N117" s="195"/>
      <c r="O117" s="196"/>
      <c r="P117" s="190" t="str" cm="1">
        <f t="array" ref="P117">_xlfn.LET(_xlpm.PercentCheck,IF(OR(P$1="Crit Chance",P$1="Crit Damage",P$1="Condition Duration"),1,0),_xlpm.Flat,$H117,_xlpm.Percentage,$H117*P$113,_xlpm.Derived,$H117*P$113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P$1,AND(_xlpm.PercentCheck=0,$G117="All")),_xlfn.IFS(AND($I117="Flat",$J117=0),_xlpm.Flat,AND($I117="Percentage",$J117=0),_xlpm.Percentage,$J117="Derived",_xlpm.Derived,$J117="Boon Enhancement",_xlpm.BoonEnhancement,$J117="Stacking",_xlpm.Stacking),""))</f>
        <v/>
      </c>
      <c r="Q117" s="190" t="str" cm="1">
        <f t="array" ref="Q117">_xlfn.LET(_xlpm.PercentCheck,IF(OR(Q$1="Crit Chance",Q$1="Crit Damage",Q$1="Condition Duration"),1,0),_xlpm.Flat,$H117,_xlpm.Percentage,$H117*Q$113,_xlpm.Derived,$H117*Q$113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Q$1,AND(_xlpm.PercentCheck=0,$G117="All")),_xlfn.IFS(AND($I117="Flat",$J117=0),_xlpm.Flat,AND($I117="Percentage",$J117=0),_xlpm.Percentage,$J117="Derived",_xlpm.Derived,$J117="Boon Enhancement",_xlpm.BoonEnhancement,$J117="Stacking",_xlpm.Stacking),""))</f>
        <v/>
      </c>
      <c r="R117" s="190" t="str" cm="1">
        <f t="array" ref="R117">_xlfn.LET(_xlpm.PercentCheck,IF(OR(R$1="Crit Chance",R$1="Crit Damage",R$1="Condition Duration"),1,0),_xlpm.Flat,$H117,_xlpm.Percentage,$H117*R$113,_xlpm.Derived,$H117*R$113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R$1,AND(_xlpm.PercentCheck=0,$G117="All")),_xlfn.IFS(AND($I117="Flat",$J117=0),_xlpm.Flat,AND($I117="Percentage",$J117=0),_xlpm.Percentage,$J117="Derived",_xlpm.Derived,$J117="Boon Enhancement",_xlpm.BoonEnhancement,$J117="Stacking",_xlpm.Stacking),""))</f>
        <v/>
      </c>
      <c r="S117" s="190" t="str" cm="1">
        <f t="array" ref="S117">_xlfn.LET(_xlpm.PercentCheck,IF(OR(S$1="Crit Chance",S$1="Crit Damage",S$1="Condition Duration"),1,0),_xlpm.Flat,$H117,_xlpm.Percentage,$H117*S$113,_xlpm.Derived,$H117*S$113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S$1,AND(_xlpm.PercentCheck=0,$G117="All")),_xlfn.IFS(AND($I117="Flat",$J117=0),_xlpm.Flat,AND($I117="Percentage",$J117=0),_xlpm.Percentage,$J117="Derived",_xlpm.Derived,$J117="Boon Enhancement",_xlpm.BoonEnhancement,$J117="Stacking",_xlpm.Stacking),""))</f>
        <v/>
      </c>
      <c r="T117" s="190" t="str" cm="1">
        <f t="array" ref="T117">_xlfn.LET(_xlpm.PercentCheck,IF(OR(T$1="Crit Chance",T$1="Crit Damage",T$1="Condition Duration"),1,0),_xlpm.Flat,$H117,_xlpm.Percentage,$H117*T$113,_xlpm.Derived,$H117*T$113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T$1,AND(_xlpm.PercentCheck=0,$G117="All")),_xlfn.IFS(AND($I117="Flat",$J117=0),_xlpm.Flat,AND($I117="Percentage",$J117=0),_xlpm.Percentage,$J117="Derived",_xlpm.Derived,$J117="Boon Enhancement",_xlpm.BoonEnhancement,$J117="Stacking",_xlpm.Stacking),""))</f>
        <v/>
      </c>
      <c r="U117" s="190" t="str" cm="1">
        <f t="array" ref="U117">_xlfn.LET(_xlpm.PercentCheck,IF(OR(U$1="Crit Chance",U$1="Crit Damage",U$1="Condition Duration"),1,0),_xlpm.Flat,$H117,_xlpm.Percentage,$H117*U$113,_xlpm.Derived,$H117*U$113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U$1,AND(_xlpm.PercentCheck=0,$G117="All")),_xlfn.IFS(AND($I117="Flat",$J117=0),_xlpm.Flat,AND($I117="Percentage",$J117=0),_xlpm.Percentage,$J117="Derived",_xlpm.Derived,$J117="Boon Enhancement",_xlpm.BoonEnhancement,$J117="Stacking",_xlpm.Stacking),""))</f>
        <v/>
      </c>
      <c r="V117" s="190" t="str" cm="1">
        <f t="array" ref="V117">_xlfn.LET(_xlpm.PercentCheck,IF(OR(V$1="Crit Chance",V$1="Crit Damage",V$1="Condition Duration"),1,0),_xlpm.Flat,$H117,_xlpm.Percentage,$H117*V$113,_xlpm.Derived,$H117*V$113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V$1,AND(_xlpm.PercentCheck=0,$G117="All")),_xlfn.IFS(AND($I117="Flat",$J117=0),_xlpm.Flat,AND($I117="Percentage",$J117=0),_xlpm.Percentage,$J117="Derived",_xlpm.Derived,$J117="Boon Enhancement",_xlpm.BoonEnhancement,$J117="Stacking",_xlpm.Stacking),""))</f>
        <v/>
      </c>
      <c r="W117" s="190" t="str" cm="1">
        <f t="array" ref="W117">_xlfn.LET(_xlpm.PercentCheck,IF(OR(W$1="Crit Chance",W$1="Crit Damage",W$1="Condition Duration"),1,0),_xlpm.Flat,$H117,_xlpm.Percentage,$H117*W$113,_xlpm.Derived,$H117*W$113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W$1,AND(_xlpm.PercentCheck=0,$G117="All")),_xlfn.IFS(AND($I117="Flat",$J117=0),_xlpm.Flat,AND($I117="Percentage",$J117=0),_xlpm.Percentage,$J117="Derived",_xlpm.Derived,$J117="Boon Enhancement",_xlpm.BoonEnhancement,$J117="Stacking",_xlpm.Stacking),""))</f>
        <v/>
      </c>
      <c r="X117" s="190" t="str" cm="1">
        <f t="array" ref="X117">_xlfn.LET(_xlpm.PercentCheck,IF(OR(X$1="Crit Chance",X$1="Crit Damage",X$1="Condition Duration"),1,0),_xlpm.Flat,$H117,_xlpm.Percentage,$H117*X$113,_xlpm.Derived,$H117*X$113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X$1,AND(_xlpm.PercentCheck=0,$G117="All")),_xlfn.IFS(AND($I117="Flat",$J117=0),_xlpm.Flat,AND($I117="Percentage",$J117=0),_xlpm.Percentage,$J117="Derived",_xlpm.Derived,$J117="Boon Enhancement",_xlpm.BoonEnhancement,$J117="Stacking",_xlpm.Stacking),""))</f>
        <v/>
      </c>
      <c r="Y117" s="190" t="str" cm="1">
        <f t="array" ref="Y117">_xlfn.LET(_xlpm.PercentCheck,IF(OR(Y$1="Crit Chance",Y$1="Crit Damage",Y$1="Condition Duration"),1,0),_xlpm.Flat,$H117,_xlpm.Percentage,$H117*Y$113,_xlpm.Derived,$H117*Y$113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Y$1,AND(_xlpm.PercentCheck=0,$G117="All")),_xlfn.IFS(AND($I117="Flat",$J117=0),_xlpm.Flat,AND($I117="Percentage",$J117=0),_xlpm.Percentage,$J117="Derived",_xlpm.Derived,$J117="Boon Enhancement",_xlpm.BoonEnhancement,$J117="Stacking",_xlpm.Stacking),""))</f>
        <v/>
      </c>
      <c r="Z117" s="190" t="str" cm="1">
        <f t="array" ref="Z117">_xlfn.LET(_xlpm.PercentCheck,IF(OR(Z$1="Crit Chance",Z$1="Crit Damage",Z$1="Condition Duration"),1,0),_xlpm.Flat,$H117,_xlpm.Percentage,$H117*Z$113,_xlpm.Derived,$H117*Z$113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Z$1,AND(_xlpm.PercentCheck=0,$G117="All")),_xlfn.IFS(AND($I117="Flat",$J117=0),_xlpm.Flat,AND($I117="Percentage",$J117=0),_xlpm.Percentage,$J117="Derived",_xlpm.Derived,$J117="Boon Enhancement",_xlpm.BoonEnhancement,$J117="Stacking",_xlpm.Stacking),""))</f>
        <v/>
      </c>
      <c r="AA117" s="190" t="str" cm="1">
        <f t="array" ref="AA117">_xlfn.LET(_xlpm.PercentCheck,IF(OR(AA$1="Crit Chance",AA$1="Crit Damage",AA$1="Condition Duration"),1,0),_xlpm.Flat,$H117,_xlpm.Percentage,$H117*AA$113,_xlpm.Derived,$H117*AA$113,_xlpm.BoonType,VLOOKUP($M117,BoonToggles,2,0),_xlpm.BoonEnhancement,IF(AND(ISLOGICAL(_xlpm.BoonType),_xlpm.BoonType=TRUE),IF($I117="Flat",$H117,_xlpm.Percentage),IF($I117="Flat",$H117*_xlpm.BoonType,_xlpm.Percentage*_xlpm.BoonType)),_xlpm.Stacking,IF($I117="Flat",$H117*Spec3MinorGrandmasterStacks,IF(_xlpm.PercentCheck=1,"",_xlpm.Percentage*Spec3MinorGrandmasterStacks)),IF(OR($G117=AA$1,AND(_xlpm.PercentCheck=0,$G117="All")),_xlfn.IFS(AND($I117="Flat",$J117=0),_xlpm.Flat,AND($I117="Percentage",$J117=0),_xlpm.Percentage,$J117="Derived",_xlpm.Derived,$J117="Boon Enhancement",_xlpm.BoonEnhancement,$J117="Stacking",_xlpm.Stacking),""))</f>
        <v/>
      </c>
    </row>
    <row r="118" spans="1:27" ht="14.25" customHeight="1">
      <c r="A118" s="566"/>
      <c r="B118" s="557"/>
      <c r="C118" s="194"/>
      <c r="D118" s="195"/>
      <c r="E118" s="195"/>
      <c r="F118" s="195"/>
      <c r="G118" s="195"/>
      <c r="H118" s="195"/>
      <c r="I118" s="195"/>
      <c r="J118" s="195"/>
      <c r="K118" s="195"/>
      <c r="L118" s="195"/>
      <c r="M118" s="195"/>
      <c r="N118" s="195"/>
      <c r="O118" s="196"/>
      <c r="P118" s="190" t="str" cm="1">
        <f t="array" ref="P118">_xlfn.LET(_xlpm.PercentCheck,IF(OR(P$1="Crit Chance",P$1="Crit Damage",P$1="Condition Duration"),1,0),_xlpm.Flat,$H118,_xlpm.Percentage,$H118*P$113,_xlpm.Derived,$H118*P$113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P$1,AND(_xlpm.PercentCheck=0,$G118="All")),_xlfn.IFS(AND($I118="Flat",$J118=0),_xlpm.Flat,AND($I118="Percentage",$J118=0),_xlpm.Percentage,$J118="Derived",_xlpm.Derived,$J118="Boon Enhancement",_xlpm.BoonEnhancement,$J118="Stacking",_xlpm.Stacking),""))</f>
        <v/>
      </c>
      <c r="Q118" s="190" t="str" cm="1">
        <f t="array" ref="Q118">_xlfn.LET(_xlpm.PercentCheck,IF(OR(Q$1="Crit Chance",Q$1="Crit Damage",Q$1="Condition Duration"),1,0),_xlpm.Flat,$H118,_xlpm.Percentage,$H118*Q$113,_xlpm.Derived,$H118*Q$113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Q$1,AND(_xlpm.PercentCheck=0,$G118="All")),_xlfn.IFS(AND($I118="Flat",$J118=0),_xlpm.Flat,AND($I118="Percentage",$J118=0),_xlpm.Percentage,$J118="Derived",_xlpm.Derived,$J118="Boon Enhancement",_xlpm.BoonEnhancement,$J118="Stacking",_xlpm.Stacking),""))</f>
        <v/>
      </c>
      <c r="R118" s="190" t="str" cm="1">
        <f t="array" ref="R118">_xlfn.LET(_xlpm.PercentCheck,IF(OR(R$1="Crit Chance",R$1="Crit Damage",R$1="Condition Duration"),1,0),_xlpm.Flat,$H118,_xlpm.Percentage,$H118*R$113,_xlpm.Derived,$H118*R$113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R$1,AND(_xlpm.PercentCheck=0,$G118="All")),_xlfn.IFS(AND($I118="Flat",$J118=0),_xlpm.Flat,AND($I118="Percentage",$J118=0),_xlpm.Percentage,$J118="Derived",_xlpm.Derived,$J118="Boon Enhancement",_xlpm.BoonEnhancement,$J118="Stacking",_xlpm.Stacking),""))</f>
        <v/>
      </c>
      <c r="S118" s="190" t="str" cm="1">
        <f t="array" ref="S118">_xlfn.LET(_xlpm.PercentCheck,IF(OR(S$1="Crit Chance",S$1="Crit Damage",S$1="Condition Duration"),1,0),_xlpm.Flat,$H118,_xlpm.Percentage,$H118*S$113,_xlpm.Derived,$H118*S$113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S$1,AND(_xlpm.PercentCheck=0,$G118="All")),_xlfn.IFS(AND($I118="Flat",$J118=0),_xlpm.Flat,AND($I118="Percentage",$J118=0),_xlpm.Percentage,$J118="Derived",_xlpm.Derived,$J118="Boon Enhancement",_xlpm.BoonEnhancement,$J118="Stacking",_xlpm.Stacking),""))</f>
        <v/>
      </c>
      <c r="T118" s="190" t="str" cm="1">
        <f t="array" ref="T118">_xlfn.LET(_xlpm.PercentCheck,IF(OR(T$1="Crit Chance",T$1="Crit Damage",T$1="Condition Duration"),1,0),_xlpm.Flat,$H118,_xlpm.Percentage,$H118*T$113,_xlpm.Derived,$H118*T$113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T$1,AND(_xlpm.PercentCheck=0,$G118="All")),_xlfn.IFS(AND($I118="Flat",$J118=0),_xlpm.Flat,AND($I118="Percentage",$J118=0),_xlpm.Percentage,$J118="Derived",_xlpm.Derived,$J118="Boon Enhancement",_xlpm.BoonEnhancement,$J118="Stacking",_xlpm.Stacking),""))</f>
        <v/>
      </c>
      <c r="U118" s="190" t="str" cm="1">
        <f t="array" ref="U118">_xlfn.LET(_xlpm.PercentCheck,IF(OR(U$1="Crit Chance",U$1="Crit Damage",U$1="Condition Duration"),1,0),_xlpm.Flat,$H118,_xlpm.Percentage,$H118*U$113,_xlpm.Derived,$H118*U$113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U$1,AND(_xlpm.PercentCheck=0,$G118="All")),_xlfn.IFS(AND($I118="Flat",$J118=0),_xlpm.Flat,AND($I118="Percentage",$J118=0),_xlpm.Percentage,$J118="Derived",_xlpm.Derived,$J118="Boon Enhancement",_xlpm.BoonEnhancement,$J118="Stacking",_xlpm.Stacking),""))</f>
        <v/>
      </c>
      <c r="V118" s="190" t="str" cm="1">
        <f t="array" ref="V118">_xlfn.LET(_xlpm.PercentCheck,IF(OR(V$1="Crit Chance",V$1="Crit Damage",V$1="Condition Duration"),1,0),_xlpm.Flat,$H118,_xlpm.Percentage,$H118*V$113,_xlpm.Derived,$H118*V$113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V$1,AND(_xlpm.PercentCheck=0,$G118="All")),_xlfn.IFS(AND($I118="Flat",$J118=0),_xlpm.Flat,AND($I118="Percentage",$J118=0),_xlpm.Percentage,$J118="Derived",_xlpm.Derived,$J118="Boon Enhancement",_xlpm.BoonEnhancement,$J118="Stacking",_xlpm.Stacking),""))</f>
        <v/>
      </c>
      <c r="W118" s="190" t="str" cm="1">
        <f t="array" ref="W118">_xlfn.LET(_xlpm.PercentCheck,IF(OR(W$1="Crit Chance",W$1="Crit Damage",W$1="Condition Duration"),1,0),_xlpm.Flat,$H118,_xlpm.Percentage,$H118*W$113,_xlpm.Derived,$H118*W$113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W$1,AND(_xlpm.PercentCheck=0,$G118="All")),_xlfn.IFS(AND($I118="Flat",$J118=0),_xlpm.Flat,AND($I118="Percentage",$J118=0),_xlpm.Percentage,$J118="Derived",_xlpm.Derived,$J118="Boon Enhancement",_xlpm.BoonEnhancement,$J118="Stacking",_xlpm.Stacking),""))</f>
        <v/>
      </c>
      <c r="X118" s="190" t="str" cm="1">
        <f t="array" ref="X118">_xlfn.LET(_xlpm.PercentCheck,IF(OR(X$1="Crit Chance",X$1="Crit Damage",X$1="Condition Duration"),1,0),_xlpm.Flat,$H118,_xlpm.Percentage,$H118*X$113,_xlpm.Derived,$H118*X$113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X$1,AND(_xlpm.PercentCheck=0,$G118="All")),_xlfn.IFS(AND($I118="Flat",$J118=0),_xlpm.Flat,AND($I118="Percentage",$J118=0),_xlpm.Percentage,$J118="Derived",_xlpm.Derived,$J118="Boon Enhancement",_xlpm.BoonEnhancement,$J118="Stacking",_xlpm.Stacking),""))</f>
        <v/>
      </c>
      <c r="Y118" s="190" t="str" cm="1">
        <f t="array" ref="Y118">_xlfn.LET(_xlpm.PercentCheck,IF(OR(Y$1="Crit Chance",Y$1="Crit Damage",Y$1="Condition Duration"),1,0),_xlpm.Flat,$H118,_xlpm.Percentage,$H118*Y$113,_xlpm.Derived,$H118*Y$113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Y$1,AND(_xlpm.PercentCheck=0,$G118="All")),_xlfn.IFS(AND($I118="Flat",$J118=0),_xlpm.Flat,AND($I118="Percentage",$J118=0),_xlpm.Percentage,$J118="Derived",_xlpm.Derived,$J118="Boon Enhancement",_xlpm.BoonEnhancement,$J118="Stacking",_xlpm.Stacking),""))</f>
        <v/>
      </c>
      <c r="Z118" s="190" t="str" cm="1">
        <f t="array" ref="Z118">_xlfn.LET(_xlpm.PercentCheck,IF(OR(Z$1="Crit Chance",Z$1="Crit Damage",Z$1="Condition Duration"),1,0),_xlpm.Flat,$H118,_xlpm.Percentage,$H118*Z$113,_xlpm.Derived,$H118*Z$113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Z$1,AND(_xlpm.PercentCheck=0,$G118="All")),_xlfn.IFS(AND($I118="Flat",$J118=0),_xlpm.Flat,AND($I118="Percentage",$J118=0),_xlpm.Percentage,$J118="Derived",_xlpm.Derived,$J118="Boon Enhancement",_xlpm.BoonEnhancement,$J118="Stacking",_xlpm.Stacking),""))</f>
        <v/>
      </c>
      <c r="AA118" s="190" t="str" cm="1">
        <f t="array" ref="AA118">_xlfn.LET(_xlpm.PercentCheck,IF(OR(AA$1="Crit Chance",AA$1="Crit Damage",AA$1="Condition Duration"),1,0),_xlpm.Flat,$H118,_xlpm.Percentage,$H118*AA$113,_xlpm.Derived,$H118*AA$113,_xlpm.BoonType,VLOOKUP($M118,BoonToggles,2,0),_xlpm.BoonEnhancement,IF(AND(ISLOGICAL(_xlpm.BoonType),_xlpm.BoonType=TRUE),IF($I118="Flat",$H118,_xlpm.Percentage),IF($I118="Flat",$H118*_xlpm.BoonType,_xlpm.Percentage*_xlpm.BoonType)),_xlpm.Stacking,IF($I118="Flat",$H118*Spec3MinorGrandmasterStacks,IF(_xlpm.PercentCheck=1,"",_xlpm.Percentage*Spec3MinorGrandmasterStacks)),IF(OR($G118=AA$1,AND(_xlpm.PercentCheck=0,$G118="All")),_xlfn.IFS(AND($I118="Flat",$J118=0),_xlpm.Flat,AND($I118="Percentage",$J118=0),_xlpm.Percentage,$J118="Derived",_xlpm.Derived,$J118="Boon Enhancement",_xlpm.BoonEnhancement,$J118="Stacking",_xlpm.Stacking),""))</f>
        <v/>
      </c>
    </row>
    <row r="119" spans="1:27" s="171" customFormat="1" ht="14.25" customHeight="1">
      <c r="A119" s="566"/>
      <c r="B119" s="559" t="s">
        <v>3500</v>
      </c>
      <c r="C119" s="559"/>
      <c r="D119" s="559"/>
      <c r="E119" s="559"/>
      <c r="F119" s="559"/>
      <c r="G119" s="559"/>
      <c r="H119" s="559"/>
      <c r="I119" s="559"/>
      <c r="J119" s="559"/>
      <c r="K119" s="559"/>
      <c r="L119" s="559"/>
      <c r="M119" s="559"/>
      <c r="N119" s="559"/>
      <c r="O119" s="560"/>
      <c r="P119" s="197">
        <f t="shared" ref="P119:AA119" si="41">SUM(P$114:P$118)</f>
        <v>0</v>
      </c>
      <c r="Q119" s="198">
        <f t="shared" si="41"/>
        <v>0</v>
      </c>
      <c r="R119" s="198">
        <f t="shared" si="41"/>
        <v>0</v>
      </c>
      <c r="S119" s="198">
        <f t="shared" si="41"/>
        <v>0</v>
      </c>
      <c r="T119" s="198">
        <f t="shared" si="41"/>
        <v>0</v>
      </c>
      <c r="U119" s="198">
        <f t="shared" si="41"/>
        <v>0</v>
      </c>
      <c r="V119" s="198">
        <f t="shared" si="41"/>
        <v>0</v>
      </c>
      <c r="W119" s="198">
        <f t="shared" si="41"/>
        <v>0</v>
      </c>
      <c r="X119" s="198">
        <f t="shared" si="41"/>
        <v>0</v>
      </c>
      <c r="Y119" s="199">
        <f t="shared" si="41"/>
        <v>0</v>
      </c>
      <c r="Z119" s="199">
        <f t="shared" si="41"/>
        <v>0</v>
      </c>
      <c r="AA119" s="199">
        <f t="shared" si="41"/>
        <v>0</v>
      </c>
    </row>
    <row r="120" spans="1:27" s="171" customFormat="1" ht="14.25" customHeight="1">
      <c r="A120" s="566"/>
      <c r="B120" s="559" t="s">
        <v>3501</v>
      </c>
      <c r="C120" s="559"/>
      <c r="D120" s="559"/>
      <c r="E120" s="559"/>
      <c r="F120" s="559"/>
      <c r="G120" s="559"/>
      <c r="H120" s="559"/>
      <c r="I120" s="559"/>
      <c r="J120" s="559"/>
      <c r="K120" s="559"/>
      <c r="L120" s="559"/>
      <c r="M120" s="559"/>
      <c r="N120" s="559"/>
      <c r="O120" s="560"/>
      <c r="P120" s="197">
        <f>SUM(P$113,SUMIFS(P$114:P$118,$I$114:$I$118,"Percentage",$J$114:$J$118,"&lt;&gt;Derived"))</f>
        <v>1657</v>
      </c>
      <c r="Q120" s="197">
        <f t="shared" ref="Q120:X120" si="42">SUM(Q$113,SUMIFS(Q$114:Q$118,$I$114:$I$118,"Percentage",$J$114:$J$118,"&lt;&gt;Derived"))</f>
        <v>1594</v>
      </c>
      <c r="R120" s="197">
        <f t="shared" si="42"/>
        <v>1221</v>
      </c>
      <c r="S120" s="197">
        <f t="shared" si="42"/>
        <v>1156</v>
      </c>
      <c r="T120" s="197">
        <f t="shared" si="42"/>
        <v>10</v>
      </c>
      <c r="U120" s="197">
        <f t="shared" si="42"/>
        <v>312</v>
      </c>
      <c r="V120" s="197">
        <f t="shared" si="42"/>
        <v>260</v>
      </c>
      <c r="W120" s="197">
        <f t="shared" si="42"/>
        <v>248</v>
      </c>
      <c r="X120" s="197">
        <f t="shared" si="42"/>
        <v>47</v>
      </c>
      <c r="Y120" s="480"/>
      <c r="Z120" s="480"/>
      <c r="AA120" s="480"/>
    </row>
    <row r="121" spans="1:27" ht="14.25" customHeight="1">
      <c r="A121" s="566"/>
      <c r="B121" s="556" t="s">
        <v>24</v>
      </c>
      <c r="C121" s="200" t="str" cm="1">
        <f t="array" ref="C121">IF(OR(Spec3MajorGrandmasterCondition="(Select)",Spec3MajorGrandmasterCondition=""),_xlfn._xlws.FILTER(TraitStats,(TraitStatsTable[Name]=Spec3MajorGrandmaster)*(TraitStatsTable[Condition]=""),"No stat bonus"),_xlfn._xlws.FILTER(TraitStats,(TraitStatsTable[Name]=Spec3MajorGrandmaster)*((TraitStatsTable[Condition]=Spec3MajorGrandmasterCondition)+(TraitStatsTable[Condition]="")),"No stat bonus"))</f>
        <v>No stat bonus</v>
      </c>
      <c r="D121" s="195"/>
      <c r="E121" s="195"/>
      <c r="F121" s="195"/>
      <c r="G121" s="195"/>
      <c r="H121" s="195"/>
      <c r="I121" s="195"/>
      <c r="J121" s="195"/>
      <c r="K121" s="195"/>
      <c r="L121" s="195"/>
      <c r="M121" s="195"/>
      <c r="N121" s="195"/>
      <c r="O121" s="196"/>
      <c r="P121" s="190" t="str" cm="1">
        <f t="array" ref="P121">_xlfn.LET(_xlpm.PercentCheck,IF(OR(P$1="Crit Chance",P$1="Crit Damage",P$1="Condition Duration"),1,0),_xlpm.Flat,$H121,_xlpm.Percentage,$H121*P$120,_xlpm.Derived,$H121*P$120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P$1,AND(_xlpm.PercentCheck=0,$G121="All")),_xlfn.IFS(AND($I121="Flat",$J121=0),_xlpm.Flat,AND($I121="Percentage",$J121=0),_xlpm.Percentage,$J121="Derived",_xlpm.Derived,$J121="Boon Enhancement",_xlpm.BoonEnhancement,$J121="Stacking",_xlpm.Stacking),""))</f>
        <v/>
      </c>
      <c r="Q121" s="190" t="str" cm="1">
        <f t="array" ref="Q121">_xlfn.LET(_xlpm.PercentCheck,IF(OR(Q$1="Crit Chance",Q$1="Crit Damage",Q$1="Condition Duration"),1,0),_xlpm.Flat,$H121,_xlpm.Percentage,$H121*Q$120,_xlpm.Derived,$H121*Q$120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Q$1,AND(_xlpm.PercentCheck=0,$G121="All")),_xlfn.IFS(AND($I121="Flat",$J121=0),_xlpm.Flat,AND($I121="Percentage",$J121=0),_xlpm.Percentage,$J121="Derived",_xlpm.Derived,$J121="Boon Enhancement",_xlpm.BoonEnhancement,$J121="Stacking",_xlpm.Stacking),""))</f>
        <v/>
      </c>
      <c r="R121" s="190" t="str" cm="1">
        <f t="array" ref="R121">_xlfn.LET(_xlpm.PercentCheck,IF(OR(R$1="Crit Chance",R$1="Crit Damage",R$1="Condition Duration"),1,0),_xlpm.Flat,$H121,_xlpm.Percentage,$H121*R$120,_xlpm.Derived,$H121*R$120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R$1,AND(_xlpm.PercentCheck=0,$G121="All")),_xlfn.IFS(AND($I121="Flat",$J121=0),_xlpm.Flat,AND($I121="Percentage",$J121=0),_xlpm.Percentage,$J121="Derived",_xlpm.Derived,$J121="Boon Enhancement",_xlpm.BoonEnhancement,$J121="Stacking",_xlpm.Stacking),""))</f>
        <v/>
      </c>
      <c r="S121" s="190" t="str" cm="1">
        <f t="array" ref="S121">_xlfn.LET(_xlpm.PercentCheck,IF(OR(S$1="Crit Chance",S$1="Crit Damage",S$1="Condition Duration"),1,0),_xlpm.Flat,$H121,_xlpm.Percentage,$H121*S$120,_xlpm.Derived,$H121*S$120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S$1,AND(_xlpm.PercentCheck=0,$G121="All")),_xlfn.IFS(AND($I121="Flat",$J121=0),_xlpm.Flat,AND($I121="Percentage",$J121=0),_xlpm.Percentage,$J121="Derived",_xlpm.Derived,$J121="Boon Enhancement",_xlpm.BoonEnhancement,$J121="Stacking",_xlpm.Stacking),""))</f>
        <v/>
      </c>
      <c r="T121" s="190" t="str" cm="1">
        <f t="array" ref="T121">_xlfn.LET(_xlpm.PercentCheck,IF(OR(T$1="Crit Chance",T$1="Crit Damage",T$1="Condition Duration"),1,0),_xlpm.Flat,$H121,_xlpm.Percentage,$H121*T$120,_xlpm.Derived,$H121*T$120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T$1,AND(_xlpm.PercentCheck=0,$G121="All")),_xlfn.IFS(AND($I121="Flat",$J121=0),_xlpm.Flat,AND($I121="Percentage",$J121=0),_xlpm.Percentage,$J121="Derived",_xlpm.Derived,$J121="Boon Enhancement",_xlpm.BoonEnhancement,$J121="Stacking",_xlpm.Stacking),""))</f>
        <v/>
      </c>
      <c r="U121" s="190" t="str" cm="1">
        <f t="array" ref="U121">_xlfn.LET(_xlpm.PercentCheck,IF(OR(U$1="Crit Chance",U$1="Crit Damage",U$1="Condition Duration"),1,0),_xlpm.Flat,$H121,_xlpm.Percentage,$H121*U$120,_xlpm.Derived,$H121*U$120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U$1,AND(_xlpm.PercentCheck=0,$G121="All")),_xlfn.IFS(AND($I121="Flat",$J121=0),_xlpm.Flat,AND($I121="Percentage",$J121=0),_xlpm.Percentage,$J121="Derived",_xlpm.Derived,$J121="Boon Enhancement",_xlpm.BoonEnhancement,$J121="Stacking",_xlpm.Stacking),""))</f>
        <v/>
      </c>
      <c r="V121" s="190" t="str" cm="1">
        <f t="array" ref="V121">_xlfn.LET(_xlpm.PercentCheck,IF(OR(V$1="Crit Chance",V$1="Crit Damage",V$1="Condition Duration"),1,0),_xlpm.Flat,$H121,_xlpm.Percentage,$H121*V$120,_xlpm.Derived,$H121*V$120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V$1,AND(_xlpm.PercentCheck=0,$G121="All")),_xlfn.IFS(AND($I121="Flat",$J121=0),_xlpm.Flat,AND($I121="Percentage",$J121=0),_xlpm.Percentage,$J121="Derived",_xlpm.Derived,$J121="Boon Enhancement",_xlpm.BoonEnhancement,$J121="Stacking",_xlpm.Stacking),""))</f>
        <v/>
      </c>
      <c r="W121" s="190" t="str" cm="1">
        <f t="array" ref="W121">_xlfn.LET(_xlpm.PercentCheck,IF(OR(W$1="Crit Chance",W$1="Crit Damage",W$1="Condition Duration"),1,0),_xlpm.Flat,$H121,_xlpm.Percentage,$H121*W$120,_xlpm.Derived,$H121*W$120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W$1,AND(_xlpm.PercentCheck=0,$G121="All")),_xlfn.IFS(AND($I121="Flat",$J121=0),_xlpm.Flat,AND($I121="Percentage",$J121=0),_xlpm.Percentage,$J121="Derived",_xlpm.Derived,$J121="Boon Enhancement",_xlpm.BoonEnhancement,$J121="Stacking",_xlpm.Stacking),""))</f>
        <v/>
      </c>
      <c r="X121" s="190" t="str" cm="1">
        <f t="array" ref="X121">_xlfn.LET(_xlpm.PercentCheck,IF(OR(X$1="Crit Chance",X$1="Crit Damage",X$1="Condition Duration"),1,0),_xlpm.Flat,$H121,_xlpm.Percentage,$H121*X$120,_xlpm.Derived,$H121*X$120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X$1,AND(_xlpm.PercentCheck=0,$G121="All")),_xlfn.IFS(AND($I121="Flat",$J121=0),_xlpm.Flat,AND($I121="Percentage",$J121=0),_xlpm.Percentage,$J121="Derived",_xlpm.Derived,$J121="Boon Enhancement",_xlpm.BoonEnhancement,$J121="Stacking",_xlpm.Stacking),""))</f>
        <v/>
      </c>
      <c r="Y121" s="190" t="str" cm="1">
        <f t="array" ref="Y121">_xlfn.LET(_xlpm.PercentCheck,IF(OR(Y$1="Crit Chance",Y$1="Crit Damage",Y$1="Condition Duration"),1,0),_xlpm.Flat,$H121,_xlpm.Percentage,$H121*Y$120,_xlpm.Derived,$H121*Y$120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Y$1,AND(_xlpm.PercentCheck=0,$G121="All")),_xlfn.IFS(AND($I121="Flat",$J121=0),_xlpm.Flat,AND($I121="Percentage",$J121=0),_xlpm.Percentage,$J121="Derived",_xlpm.Derived,$J121="Boon Enhancement",_xlpm.BoonEnhancement,$J121="Stacking",_xlpm.Stacking),""))</f>
        <v/>
      </c>
      <c r="Z121" s="190" t="str" cm="1">
        <f t="array" ref="Z121">_xlfn.LET(_xlpm.PercentCheck,IF(OR(Z$1="Crit Chance",Z$1="Crit Damage",Z$1="Condition Duration"),1,0),_xlpm.Flat,$H121,_xlpm.Percentage,$H121*Z$120,_xlpm.Derived,$H121*Z$120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Z$1,AND(_xlpm.PercentCheck=0,$G121="All")),_xlfn.IFS(AND($I121="Flat",$J121=0),_xlpm.Flat,AND($I121="Percentage",$J121=0),_xlpm.Percentage,$J121="Derived",_xlpm.Derived,$J121="Boon Enhancement",_xlpm.BoonEnhancement,$J121="Stacking",_xlpm.Stacking),""))</f>
        <v/>
      </c>
      <c r="AA121" s="190" t="str" cm="1">
        <f t="array" ref="AA121">_xlfn.LET(_xlpm.PercentCheck,IF(OR(AA$1="Crit Chance",AA$1="Crit Damage",AA$1="Condition Duration"),1,0),_xlpm.Flat,$H121,_xlpm.Percentage,$H121*AA$120,_xlpm.Derived,$H121*AA$120,_xlpm.BoonType,VLOOKUP($M121,BoonToggles,2,0),_xlpm.BoonEnhancement,IF(AND(ISLOGICAL(_xlpm.BoonType),_xlpm.BoonType=TRUE),IF($I121="Flat",$H121,_xlpm.Percentage),IF($I121="Flat",$H121*_xlpm.BoonType,_xlpm.Percentage*_xlpm.BoonType)),_xlpm.Stacking,IF($I121="Flat",$H121*Spec3MajorGrandmasterStacks,IF(_xlpm.PercentCheck=1,"",_xlpm.Percentage*Spec3MajorGrandmasterStacks)),IF(OR($G121=AA$1,AND(_xlpm.PercentCheck=0,$G121="All")),_xlfn.IFS(AND($I121="Flat",$J121=0),_xlpm.Flat,AND($I121="Percentage",$J121=0),_xlpm.Percentage,$J121="Derived",_xlpm.Derived,$J121="Boon Enhancement",_xlpm.BoonEnhancement,$J121="Stacking",_xlpm.Stacking),""))</f>
        <v/>
      </c>
    </row>
    <row r="122" spans="1:27" ht="14.25" customHeight="1">
      <c r="A122" s="566"/>
      <c r="B122" s="556"/>
      <c r="C122" s="194"/>
      <c r="D122" s="195"/>
      <c r="E122" s="195"/>
      <c r="F122" s="195"/>
      <c r="G122" s="195"/>
      <c r="H122" s="195"/>
      <c r="I122" s="195"/>
      <c r="J122" s="195"/>
      <c r="K122" s="195"/>
      <c r="L122" s="195"/>
      <c r="M122" s="195"/>
      <c r="N122" s="195"/>
      <c r="O122" s="196"/>
      <c r="P122" s="190" t="str" cm="1">
        <f t="array" ref="P122">_xlfn.LET(_xlpm.PercentCheck,IF(OR(P$1="Crit Chance",P$1="Crit Damage",P$1="Condition Duration"),1,0),_xlpm.Flat,$H122,_xlpm.Percentage,$H122*P$120,_xlpm.Derived,$H122*P$120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P$1,AND(_xlpm.PercentCheck=0,$G122="All")),_xlfn.IFS(AND($I122="Flat",$J122=0),_xlpm.Flat,AND($I122="Percentage",$J122=0),_xlpm.Percentage,$J122="Derived",_xlpm.Derived,$J122="Boon Enhancement",_xlpm.BoonEnhancement,$J122="Stacking",_xlpm.Stacking),""))</f>
        <v/>
      </c>
      <c r="Q122" s="190" t="str" cm="1">
        <f t="array" ref="Q122">_xlfn.LET(_xlpm.PercentCheck,IF(OR(Q$1="Crit Chance",Q$1="Crit Damage",Q$1="Condition Duration"),1,0),_xlpm.Flat,$H122,_xlpm.Percentage,$H122*Q$120,_xlpm.Derived,$H122*Q$120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Q$1,AND(_xlpm.PercentCheck=0,$G122="All")),_xlfn.IFS(AND($I122="Flat",$J122=0),_xlpm.Flat,AND($I122="Percentage",$J122=0),_xlpm.Percentage,$J122="Derived",_xlpm.Derived,$J122="Boon Enhancement",_xlpm.BoonEnhancement,$J122="Stacking",_xlpm.Stacking),""))</f>
        <v/>
      </c>
      <c r="R122" s="190" t="str" cm="1">
        <f t="array" ref="R122">_xlfn.LET(_xlpm.PercentCheck,IF(OR(R$1="Crit Chance",R$1="Crit Damage",R$1="Condition Duration"),1,0),_xlpm.Flat,$H122,_xlpm.Percentage,$H122*R$120,_xlpm.Derived,$H122*R$120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R$1,AND(_xlpm.PercentCheck=0,$G122="All")),_xlfn.IFS(AND($I122="Flat",$J122=0),_xlpm.Flat,AND($I122="Percentage",$J122=0),_xlpm.Percentage,$J122="Derived",_xlpm.Derived,$J122="Boon Enhancement",_xlpm.BoonEnhancement,$J122="Stacking",_xlpm.Stacking),""))</f>
        <v/>
      </c>
      <c r="S122" s="190" t="str" cm="1">
        <f t="array" ref="S122">_xlfn.LET(_xlpm.PercentCheck,IF(OR(S$1="Crit Chance",S$1="Crit Damage",S$1="Condition Duration"),1,0),_xlpm.Flat,$H122,_xlpm.Percentage,$H122*S$120,_xlpm.Derived,$H122*S$120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S$1,AND(_xlpm.PercentCheck=0,$G122="All")),_xlfn.IFS(AND($I122="Flat",$J122=0),_xlpm.Flat,AND($I122="Percentage",$J122=0),_xlpm.Percentage,$J122="Derived",_xlpm.Derived,$J122="Boon Enhancement",_xlpm.BoonEnhancement,$J122="Stacking",_xlpm.Stacking),""))</f>
        <v/>
      </c>
      <c r="T122" s="190" t="str" cm="1">
        <f t="array" ref="T122">_xlfn.LET(_xlpm.PercentCheck,IF(OR(T$1="Crit Chance",T$1="Crit Damage",T$1="Condition Duration"),1,0),_xlpm.Flat,$H122,_xlpm.Percentage,$H122*T$120,_xlpm.Derived,$H122*T$120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T$1,AND(_xlpm.PercentCheck=0,$G122="All")),_xlfn.IFS(AND($I122="Flat",$J122=0),_xlpm.Flat,AND($I122="Percentage",$J122=0),_xlpm.Percentage,$J122="Derived",_xlpm.Derived,$J122="Boon Enhancement",_xlpm.BoonEnhancement,$J122="Stacking",_xlpm.Stacking),""))</f>
        <v/>
      </c>
      <c r="U122" s="190" t="str" cm="1">
        <f t="array" ref="U122">_xlfn.LET(_xlpm.PercentCheck,IF(OR(U$1="Crit Chance",U$1="Crit Damage",U$1="Condition Duration"),1,0),_xlpm.Flat,$H122,_xlpm.Percentage,$H122*U$120,_xlpm.Derived,$H122*U$120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U$1,AND(_xlpm.PercentCheck=0,$G122="All")),_xlfn.IFS(AND($I122="Flat",$J122=0),_xlpm.Flat,AND($I122="Percentage",$J122=0),_xlpm.Percentage,$J122="Derived",_xlpm.Derived,$J122="Boon Enhancement",_xlpm.BoonEnhancement,$J122="Stacking",_xlpm.Stacking),""))</f>
        <v/>
      </c>
      <c r="V122" s="190" t="str" cm="1">
        <f t="array" ref="V122">_xlfn.LET(_xlpm.PercentCheck,IF(OR(V$1="Crit Chance",V$1="Crit Damage",V$1="Condition Duration"),1,0),_xlpm.Flat,$H122,_xlpm.Percentage,$H122*V$120,_xlpm.Derived,$H122*V$120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V$1,AND(_xlpm.PercentCheck=0,$G122="All")),_xlfn.IFS(AND($I122="Flat",$J122=0),_xlpm.Flat,AND($I122="Percentage",$J122=0),_xlpm.Percentage,$J122="Derived",_xlpm.Derived,$J122="Boon Enhancement",_xlpm.BoonEnhancement,$J122="Stacking",_xlpm.Stacking),""))</f>
        <v/>
      </c>
      <c r="W122" s="190" t="str" cm="1">
        <f t="array" ref="W122">_xlfn.LET(_xlpm.PercentCheck,IF(OR(W$1="Crit Chance",W$1="Crit Damage",W$1="Condition Duration"),1,0),_xlpm.Flat,$H122,_xlpm.Percentage,$H122*W$120,_xlpm.Derived,$H122*W$120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W$1,AND(_xlpm.PercentCheck=0,$G122="All")),_xlfn.IFS(AND($I122="Flat",$J122=0),_xlpm.Flat,AND($I122="Percentage",$J122=0),_xlpm.Percentage,$J122="Derived",_xlpm.Derived,$J122="Boon Enhancement",_xlpm.BoonEnhancement,$J122="Stacking",_xlpm.Stacking),""))</f>
        <v/>
      </c>
      <c r="X122" s="190" t="str" cm="1">
        <f t="array" ref="X122">_xlfn.LET(_xlpm.PercentCheck,IF(OR(X$1="Crit Chance",X$1="Crit Damage",X$1="Condition Duration"),1,0),_xlpm.Flat,$H122,_xlpm.Percentage,$H122*X$120,_xlpm.Derived,$H122*X$120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X$1,AND(_xlpm.PercentCheck=0,$G122="All")),_xlfn.IFS(AND($I122="Flat",$J122=0),_xlpm.Flat,AND($I122="Percentage",$J122=0),_xlpm.Percentage,$J122="Derived",_xlpm.Derived,$J122="Boon Enhancement",_xlpm.BoonEnhancement,$J122="Stacking",_xlpm.Stacking),""))</f>
        <v/>
      </c>
      <c r="Y122" s="190" t="str" cm="1">
        <f t="array" ref="Y122">_xlfn.LET(_xlpm.PercentCheck,IF(OR(Y$1="Crit Chance",Y$1="Crit Damage",Y$1="Condition Duration"),1,0),_xlpm.Flat,$H122,_xlpm.Percentage,$H122*Y$120,_xlpm.Derived,$H122*Y$120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Y$1,AND(_xlpm.PercentCheck=0,$G122="All")),_xlfn.IFS(AND($I122="Flat",$J122=0),_xlpm.Flat,AND($I122="Percentage",$J122=0),_xlpm.Percentage,$J122="Derived",_xlpm.Derived,$J122="Boon Enhancement",_xlpm.BoonEnhancement,$J122="Stacking",_xlpm.Stacking),""))</f>
        <v/>
      </c>
      <c r="Z122" s="190" t="str" cm="1">
        <f t="array" ref="Z122">_xlfn.LET(_xlpm.PercentCheck,IF(OR(Z$1="Crit Chance",Z$1="Crit Damage",Z$1="Condition Duration"),1,0),_xlpm.Flat,$H122,_xlpm.Percentage,$H122*Z$120,_xlpm.Derived,$H122*Z$120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Z$1,AND(_xlpm.PercentCheck=0,$G122="All")),_xlfn.IFS(AND($I122="Flat",$J122=0),_xlpm.Flat,AND($I122="Percentage",$J122=0),_xlpm.Percentage,$J122="Derived",_xlpm.Derived,$J122="Boon Enhancement",_xlpm.BoonEnhancement,$J122="Stacking",_xlpm.Stacking),""))</f>
        <v/>
      </c>
      <c r="AA122" s="190" t="str" cm="1">
        <f t="array" ref="AA122">_xlfn.LET(_xlpm.PercentCheck,IF(OR(AA$1="Crit Chance",AA$1="Crit Damage",AA$1="Condition Duration"),1,0),_xlpm.Flat,$H122,_xlpm.Percentage,$H122*AA$120,_xlpm.Derived,$H122*AA$120,_xlpm.BoonType,VLOOKUP($M122,BoonToggles,2,0),_xlpm.BoonEnhancement,IF(AND(ISLOGICAL(_xlpm.BoonType),_xlpm.BoonType=TRUE),IF($I122="Flat",$H122,_xlpm.Percentage),IF($I122="Flat",$H122*_xlpm.BoonType,_xlpm.Percentage*_xlpm.BoonType)),_xlpm.Stacking,IF($I122="Flat",$H122*Spec3MajorGrandmasterStacks,IF(_xlpm.PercentCheck=1,"",_xlpm.Percentage*Spec3MajorGrandmasterStacks)),IF(OR($G122=AA$1,AND(_xlpm.PercentCheck=0,$G122="All")),_xlfn.IFS(AND($I122="Flat",$J122=0),_xlpm.Flat,AND($I122="Percentage",$J122=0),_xlpm.Percentage,$J122="Derived",_xlpm.Derived,$J122="Boon Enhancement",_xlpm.BoonEnhancement,$J122="Stacking",_xlpm.Stacking),""))</f>
        <v/>
      </c>
    </row>
    <row r="123" spans="1:27" ht="14.25" customHeight="1">
      <c r="A123" s="566"/>
      <c r="B123" s="556"/>
      <c r="C123" s="194"/>
      <c r="D123" s="195"/>
      <c r="E123" s="195"/>
      <c r="F123" s="195"/>
      <c r="G123" s="195"/>
      <c r="H123" s="195"/>
      <c r="I123" s="195"/>
      <c r="J123" s="195"/>
      <c r="K123" s="195"/>
      <c r="L123" s="195"/>
      <c r="M123" s="195"/>
      <c r="N123" s="195"/>
      <c r="O123" s="196"/>
      <c r="P123" s="190" t="str" cm="1">
        <f t="array" ref="P123">_xlfn.LET(_xlpm.PercentCheck,IF(OR(P$1="Crit Chance",P$1="Crit Damage",P$1="Condition Duration"),1,0),_xlpm.Flat,$H123,_xlpm.Percentage,$H123*P$120,_xlpm.Derived,$H123*P$120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P$1,AND(_xlpm.PercentCheck=0,$G123="All")),_xlfn.IFS(AND($I123="Flat",$J123=0),_xlpm.Flat,AND($I123="Percentage",$J123=0),_xlpm.Percentage,$J123="Derived",_xlpm.Derived,$J123="Boon Enhancement",_xlpm.BoonEnhancement,$J123="Stacking",_xlpm.Stacking),""))</f>
        <v/>
      </c>
      <c r="Q123" s="190" t="str" cm="1">
        <f t="array" ref="Q123">_xlfn.LET(_xlpm.PercentCheck,IF(OR(Q$1="Crit Chance",Q$1="Crit Damage",Q$1="Condition Duration"),1,0),_xlpm.Flat,$H123,_xlpm.Percentage,$H123*Q$120,_xlpm.Derived,$H123*Q$120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Q$1,AND(_xlpm.PercentCheck=0,$G123="All")),_xlfn.IFS(AND($I123="Flat",$J123=0),_xlpm.Flat,AND($I123="Percentage",$J123=0),_xlpm.Percentage,$J123="Derived",_xlpm.Derived,$J123="Boon Enhancement",_xlpm.BoonEnhancement,$J123="Stacking",_xlpm.Stacking),""))</f>
        <v/>
      </c>
      <c r="R123" s="190" t="str" cm="1">
        <f t="array" ref="R123">_xlfn.LET(_xlpm.PercentCheck,IF(OR(R$1="Crit Chance",R$1="Crit Damage",R$1="Condition Duration"),1,0),_xlpm.Flat,$H123,_xlpm.Percentage,$H123*R$120,_xlpm.Derived,$H123*R$120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R$1,AND(_xlpm.PercentCheck=0,$G123="All")),_xlfn.IFS(AND($I123="Flat",$J123=0),_xlpm.Flat,AND($I123="Percentage",$J123=0),_xlpm.Percentage,$J123="Derived",_xlpm.Derived,$J123="Boon Enhancement",_xlpm.BoonEnhancement,$J123="Stacking",_xlpm.Stacking),""))</f>
        <v/>
      </c>
      <c r="S123" s="190" t="str" cm="1">
        <f t="array" ref="S123">_xlfn.LET(_xlpm.PercentCheck,IF(OR(S$1="Crit Chance",S$1="Crit Damage",S$1="Condition Duration"),1,0),_xlpm.Flat,$H123,_xlpm.Percentage,$H123*S$120,_xlpm.Derived,$H123*S$120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S$1,AND(_xlpm.PercentCheck=0,$G123="All")),_xlfn.IFS(AND($I123="Flat",$J123=0),_xlpm.Flat,AND($I123="Percentage",$J123=0),_xlpm.Percentage,$J123="Derived",_xlpm.Derived,$J123="Boon Enhancement",_xlpm.BoonEnhancement,$J123="Stacking",_xlpm.Stacking),""))</f>
        <v/>
      </c>
      <c r="T123" s="190" t="str" cm="1">
        <f t="array" ref="T123">_xlfn.LET(_xlpm.PercentCheck,IF(OR(T$1="Crit Chance",T$1="Crit Damage",T$1="Condition Duration"),1,0),_xlpm.Flat,$H123,_xlpm.Percentage,$H123*T$120,_xlpm.Derived,$H123*T$120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T$1,AND(_xlpm.PercentCheck=0,$G123="All")),_xlfn.IFS(AND($I123="Flat",$J123=0),_xlpm.Flat,AND($I123="Percentage",$J123=0),_xlpm.Percentage,$J123="Derived",_xlpm.Derived,$J123="Boon Enhancement",_xlpm.BoonEnhancement,$J123="Stacking",_xlpm.Stacking),""))</f>
        <v/>
      </c>
      <c r="U123" s="190" t="str" cm="1">
        <f t="array" ref="U123">_xlfn.LET(_xlpm.PercentCheck,IF(OR(U$1="Crit Chance",U$1="Crit Damage",U$1="Condition Duration"),1,0),_xlpm.Flat,$H123,_xlpm.Percentage,$H123*U$120,_xlpm.Derived,$H123*U$120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U$1,AND(_xlpm.PercentCheck=0,$G123="All")),_xlfn.IFS(AND($I123="Flat",$J123=0),_xlpm.Flat,AND($I123="Percentage",$J123=0),_xlpm.Percentage,$J123="Derived",_xlpm.Derived,$J123="Boon Enhancement",_xlpm.BoonEnhancement,$J123="Stacking",_xlpm.Stacking),""))</f>
        <v/>
      </c>
      <c r="V123" s="190" t="str" cm="1">
        <f t="array" ref="V123">_xlfn.LET(_xlpm.PercentCheck,IF(OR(V$1="Crit Chance",V$1="Crit Damage",V$1="Condition Duration"),1,0),_xlpm.Flat,$H123,_xlpm.Percentage,$H123*V$120,_xlpm.Derived,$H123*V$120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V$1,AND(_xlpm.PercentCheck=0,$G123="All")),_xlfn.IFS(AND($I123="Flat",$J123=0),_xlpm.Flat,AND($I123="Percentage",$J123=0),_xlpm.Percentage,$J123="Derived",_xlpm.Derived,$J123="Boon Enhancement",_xlpm.BoonEnhancement,$J123="Stacking",_xlpm.Stacking),""))</f>
        <v/>
      </c>
      <c r="W123" s="190" t="str" cm="1">
        <f t="array" ref="W123">_xlfn.LET(_xlpm.PercentCheck,IF(OR(W$1="Crit Chance",W$1="Crit Damage",W$1="Condition Duration"),1,0),_xlpm.Flat,$H123,_xlpm.Percentage,$H123*W$120,_xlpm.Derived,$H123*W$120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W$1,AND(_xlpm.PercentCheck=0,$G123="All")),_xlfn.IFS(AND($I123="Flat",$J123=0),_xlpm.Flat,AND($I123="Percentage",$J123=0),_xlpm.Percentage,$J123="Derived",_xlpm.Derived,$J123="Boon Enhancement",_xlpm.BoonEnhancement,$J123="Stacking",_xlpm.Stacking),""))</f>
        <v/>
      </c>
      <c r="X123" s="190" t="str" cm="1">
        <f t="array" ref="X123">_xlfn.LET(_xlpm.PercentCheck,IF(OR(X$1="Crit Chance",X$1="Crit Damage",X$1="Condition Duration"),1,0),_xlpm.Flat,$H123,_xlpm.Percentage,$H123*X$120,_xlpm.Derived,$H123*X$120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X$1,AND(_xlpm.PercentCheck=0,$G123="All")),_xlfn.IFS(AND($I123="Flat",$J123=0),_xlpm.Flat,AND($I123="Percentage",$J123=0),_xlpm.Percentage,$J123="Derived",_xlpm.Derived,$J123="Boon Enhancement",_xlpm.BoonEnhancement,$J123="Stacking",_xlpm.Stacking),""))</f>
        <v/>
      </c>
      <c r="Y123" s="190" t="str" cm="1">
        <f t="array" ref="Y123">_xlfn.LET(_xlpm.PercentCheck,IF(OR(Y$1="Crit Chance",Y$1="Crit Damage",Y$1="Condition Duration"),1,0),_xlpm.Flat,$H123,_xlpm.Percentage,$H123*Y$120,_xlpm.Derived,$H123*Y$120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Y$1,AND(_xlpm.PercentCheck=0,$G123="All")),_xlfn.IFS(AND($I123="Flat",$J123=0),_xlpm.Flat,AND($I123="Percentage",$J123=0),_xlpm.Percentage,$J123="Derived",_xlpm.Derived,$J123="Boon Enhancement",_xlpm.BoonEnhancement,$J123="Stacking",_xlpm.Stacking),""))</f>
        <v/>
      </c>
      <c r="Z123" s="190" t="str" cm="1">
        <f t="array" ref="Z123">_xlfn.LET(_xlpm.PercentCheck,IF(OR(Z$1="Crit Chance",Z$1="Crit Damage",Z$1="Condition Duration"),1,0),_xlpm.Flat,$H123,_xlpm.Percentage,$H123*Z$120,_xlpm.Derived,$H123*Z$120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Z$1,AND(_xlpm.PercentCheck=0,$G123="All")),_xlfn.IFS(AND($I123="Flat",$J123=0),_xlpm.Flat,AND($I123="Percentage",$J123=0),_xlpm.Percentage,$J123="Derived",_xlpm.Derived,$J123="Boon Enhancement",_xlpm.BoonEnhancement,$J123="Stacking",_xlpm.Stacking),""))</f>
        <v/>
      </c>
      <c r="AA123" s="190" t="str" cm="1">
        <f t="array" ref="AA123">_xlfn.LET(_xlpm.PercentCheck,IF(OR(AA$1="Crit Chance",AA$1="Crit Damage",AA$1="Condition Duration"),1,0),_xlpm.Flat,$H123,_xlpm.Percentage,$H123*AA$120,_xlpm.Derived,$H123*AA$120,_xlpm.BoonType,VLOOKUP($M123,BoonToggles,2,0),_xlpm.BoonEnhancement,IF(AND(ISLOGICAL(_xlpm.BoonType),_xlpm.BoonType=TRUE),IF($I123="Flat",$H123,_xlpm.Percentage),IF($I123="Flat",$H123*_xlpm.BoonType,_xlpm.Percentage*_xlpm.BoonType)),_xlpm.Stacking,IF($I123="Flat",$H123*Spec3MajorGrandmasterStacks,IF(_xlpm.PercentCheck=1,"",_xlpm.Percentage*Spec3MajorGrandmasterStacks)),IF(OR($G123=AA$1,AND(_xlpm.PercentCheck=0,$G123="All")),_xlfn.IFS(AND($I123="Flat",$J123=0),_xlpm.Flat,AND($I123="Percentage",$J123=0),_xlpm.Percentage,$J123="Derived",_xlpm.Derived,$J123="Boon Enhancement",_xlpm.BoonEnhancement,$J123="Stacking",_xlpm.Stacking),""))</f>
        <v/>
      </c>
    </row>
    <row r="124" spans="1:27" ht="14.25" customHeight="1">
      <c r="A124" s="566"/>
      <c r="B124" s="556"/>
      <c r="C124" s="194"/>
      <c r="D124" s="195"/>
      <c r="E124" s="195"/>
      <c r="F124" s="195"/>
      <c r="G124" s="195"/>
      <c r="H124" s="195"/>
      <c r="I124" s="195"/>
      <c r="J124" s="195"/>
      <c r="K124" s="195"/>
      <c r="L124" s="195"/>
      <c r="M124" s="195"/>
      <c r="N124" s="195"/>
      <c r="O124" s="196"/>
      <c r="P124" s="190" t="str" cm="1">
        <f t="array" ref="P124">_xlfn.LET(_xlpm.PercentCheck,IF(OR(P$1="Crit Chance",P$1="Crit Damage",P$1="Condition Duration"),1,0),_xlpm.Flat,$H124,_xlpm.Percentage,$H124*P$120,_xlpm.Derived,$H124*P$120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P$1,AND(_xlpm.PercentCheck=0,$G124="All")),_xlfn.IFS(AND($I124="Flat",$J124=0),_xlpm.Flat,AND($I124="Percentage",$J124=0),_xlpm.Percentage,$J124="Derived",_xlpm.Derived,$J124="Boon Enhancement",_xlpm.BoonEnhancement,$J124="Stacking",_xlpm.Stacking),""))</f>
        <v/>
      </c>
      <c r="Q124" s="190" t="str" cm="1">
        <f t="array" ref="Q124">_xlfn.LET(_xlpm.PercentCheck,IF(OR(Q$1="Crit Chance",Q$1="Crit Damage",Q$1="Condition Duration"),1,0),_xlpm.Flat,$H124,_xlpm.Percentage,$H124*Q$120,_xlpm.Derived,$H124*Q$120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Q$1,AND(_xlpm.PercentCheck=0,$G124="All")),_xlfn.IFS(AND($I124="Flat",$J124=0),_xlpm.Flat,AND($I124="Percentage",$J124=0),_xlpm.Percentage,$J124="Derived",_xlpm.Derived,$J124="Boon Enhancement",_xlpm.BoonEnhancement,$J124="Stacking",_xlpm.Stacking),""))</f>
        <v/>
      </c>
      <c r="R124" s="190" t="str" cm="1">
        <f t="array" ref="R124">_xlfn.LET(_xlpm.PercentCheck,IF(OR(R$1="Crit Chance",R$1="Crit Damage",R$1="Condition Duration"),1,0),_xlpm.Flat,$H124,_xlpm.Percentage,$H124*R$120,_xlpm.Derived,$H124*R$120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R$1,AND(_xlpm.PercentCheck=0,$G124="All")),_xlfn.IFS(AND($I124="Flat",$J124=0),_xlpm.Flat,AND($I124="Percentage",$J124=0),_xlpm.Percentage,$J124="Derived",_xlpm.Derived,$J124="Boon Enhancement",_xlpm.BoonEnhancement,$J124="Stacking",_xlpm.Stacking),""))</f>
        <v/>
      </c>
      <c r="S124" s="190" t="str" cm="1">
        <f t="array" ref="S124">_xlfn.LET(_xlpm.PercentCheck,IF(OR(S$1="Crit Chance",S$1="Crit Damage",S$1="Condition Duration"),1,0),_xlpm.Flat,$H124,_xlpm.Percentage,$H124*S$120,_xlpm.Derived,$H124*S$120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S$1,AND(_xlpm.PercentCheck=0,$G124="All")),_xlfn.IFS(AND($I124="Flat",$J124=0),_xlpm.Flat,AND($I124="Percentage",$J124=0),_xlpm.Percentage,$J124="Derived",_xlpm.Derived,$J124="Boon Enhancement",_xlpm.BoonEnhancement,$J124="Stacking",_xlpm.Stacking),""))</f>
        <v/>
      </c>
      <c r="T124" s="190" t="str" cm="1">
        <f t="array" ref="T124">_xlfn.LET(_xlpm.PercentCheck,IF(OR(T$1="Crit Chance",T$1="Crit Damage",T$1="Condition Duration"),1,0),_xlpm.Flat,$H124,_xlpm.Percentage,$H124*T$120,_xlpm.Derived,$H124*T$120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T$1,AND(_xlpm.PercentCheck=0,$G124="All")),_xlfn.IFS(AND($I124="Flat",$J124=0),_xlpm.Flat,AND($I124="Percentage",$J124=0),_xlpm.Percentage,$J124="Derived",_xlpm.Derived,$J124="Boon Enhancement",_xlpm.BoonEnhancement,$J124="Stacking",_xlpm.Stacking),""))</f>
        <v/>
      </c>
      <c r="U124" s="190" t="str" cm="1">
        <f t="array" ref="U124">_xlfn.LET(_xlpm.PercentCheck,IF(OR(U$1="Crit Chance",U$1="Crit Damage",U$1="Condition Duration"),1,0),_xlpm.Flat,$H124,_xlpm.Percentage,$H124*U$120,_xlpm.Derived,$H124*U$120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U$1,AND(_xlpm.PercentCheck=0,$G124="All")),_xlfn.IFS(AND($I124="Flat",$J124=0),_xlpm.Flat,AND($I124="Percentage",$J124=0),_xlpm.Percentage,$J124="Derived",_xlpm.Derived,$J124="Boon Enhancement",_xlpm.BoonEnhancement,$J124="Stacking",_xlpm.Stacking),""))</f>
        <v/>
      </c>
      <c r="V124" s="190" t="str" cm="1">
        <f t="array" ref="V124">_xlfn.LET(_xlpm.PercentCheck,IF(OR(V$1="Crit Chance",V$1="Crit Damage",V$1="Condition Duration"),1,0),_xlpm.Flat,$H124,_xlpm.Percentage,$H124*V$120,_xlpm.Derived,$H124*V$120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V$1,AND(_xlpm.PercentCheck=0,$G124="All")),_xlfn.IFS(AND($I124="Flat",$J124=0),_xlpm.Flat,AND($I124="Percentage",$J124=0),_xlpm.Percentage,$J124="Derived",_xlpm.Derived,$J124="Boon Enhancement",_xlpm.BoonEnhancement,$J124="Stacking",_xlpm.Stacking),""))</f>
        <v/>
      </c>
      <c r="W124" s="190" t="str" cm="1">
        <f t="array" ref="W124">_xlfn.LET(_xlpm.PercentCheck,IF(OR(W$1="Crit Chance",W$1="Crit Damage",W$1="Condition Duration"),1,0),_xlpm.Flat,$H124,_xlpm.Percentage,$H124*W$120,_xlpm.Derived,$H124*W$120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W$1,AND(_xlpm.PercentCheck=0,$G124="All")),_xlfn.IFS(AND($I124="Flat",$J124=0),_xlpm.Flat,AND($I124="Percentage",$J124=0),_xlpm.Percentage,$J124="Derived",_xlpm.Derived,$J124="Boon Enhancement",_xlpm.BoonEnhancement,$J124="Stacking",_xlpm.Stacking),""))</f>
        <v/>
      </c>
      <c r="X124" s="190" t="str" cm="1">
        <f t="array" ref="X124">_xlfn.LET(_xlpm.PercentCheck,IF(OR(X$1="Crit Chance",X$1="Crit Damage",X$1="Condition Duration"),1,0),_xlpm.Flat,$H124,_xlpm.Percentage,$H124*X$120,_xlpm.Derived,$H124*X$120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X$1,AND(_xlpm.PercentCheck=0,$G124="All")),_xlfn.IFS(AND($I124="Flat",$J124=0),_xlpm.Flat,AND($I124="Percentage",$J124=0),_xlpm.Percentage,$J124="Derived",_xlpm.Derived,$J124="Boon Enhancement",_xlpm.BoonEnhancement,$J124="Stacking",_xlpm.Stacking),""))</f>
        <v/>
      </c>
      <c r="Y124" s="190" t="str" cm="1">
        <f t="array" ref="Y124">_xlfn.LET(_xlpm.PercentCheck,IF(OR(Y$1="Crit Chance",Y$1="Crit Damage",Y$1="Condition Duration"),1,0),_xlpm.Flat,$H124,_xlpm.Percentage,$H124*Y$120,_xlpm.Derived,$H124*Y$120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Y$1,AND(_xlpm.PercentCheck=0,$G124="All")),_xlfn.IFS(AND($I124="Flat",$J124=0),_xlpm.Flat,AND($I124="Percentage",$J124=0),_xlpm.Percentage,$J124="Derived",_xlpm.Derived,$J124="Boon Enhancement",_xlpm.BoonEnhancement,$J124="Stacking",_xlpm.Stacking),""))</f>
        <v/>
      </c>
      <c r="Z124" s="190" t="str" cm="1">
        <f t="array" ref="Z124">_xlfn.LET(_xlpm.PercentCheck,IF(OR(Z$1="Crit Chance",Z$1="Crit Damage",Z$1="Condition Duration"),1,0),_xlpm.Flat,$H124,_xlpm.Percentage,$H124*Z$120,_xlpm.Derived,$H124*Z$120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Z$1,AND(_xlpm.PercentCheck=0,$G124="All")),_xlfn.IFS(AND($I124="Flat",$J124=0),_xlpm.Flat,AND($I124="Percentage",$J124=0),_xlpm.Percentage,$J124="Derived",_xlpm.Derived,$J124="Boon Enhancement",_xlpm.BoonEnhancement,$J124="Stacking",_xlpm.Stacking),""))</f>
        <v/>
      </c>
      <c r="AA124" s="190" t="str" cm="1">
        <f t="array" ref="AA124">_xlfn.LET(_xlpm.PercentCheck,IF(OR(AA$1="Crit Chance",AA$1="Crit Damage",AA$1="Condition Duration"),1,0),_xlpm.Flat,$H124,_xlpm.Percentage,$H124*AA$120,_xlpm.Derived,$H124*AA$120,_xlpm.BoonType,VLOOKUP($M124,BoonToggles,2,0),_xlpm.BoonEnhancement,IF(AND(ISLOGICAL(_xlpm.BoonType),_xlpm.BoonType=TRUE),IF($I124="Flat",$H124,_xlpm.Percentage),IF($I124="Flat",$H124*_xlpm.BoonType,_xlpm.Percentage*_xlpm.BoonType)),_xlpm.Stacking,IF($I124="Flat",$H124*Spec3MajorGrandmasterStacks,IF(_xlpm.PercentCheck=1,"",_xlpm.Percentage*Spec3MajorGrandmasterStacks)),IF(OR($G124=AA$1,AND(_xlpm.PercentCheck=0,$G124="All")),_xlfn.IFS(AND($I124="Flat",$J124=0),_xlpm.Flat,AND($I124="Percentage",$J124=0),_xlpm.Percentage,$J124="Derived",_xlpm.Derived,$J124="Boon Enhancement",_xlpm.BoonEnhancement,$J124="Stacking",_xlpm.Stacking),""))</f>
        <v/>
      </c>
    </row>
    <row r="125" spans="1:27" ht="14.25" customHeight="1">
      <c r="A125" s="566"/>
      <c r="B125" s="557"/>
      <c r="C125" s="194"/>
      <c r="D125" s="195"/>
      <c r="E125" s="195"/>
      <c r="F125" s="195"/>
      <c r="G125" s="195"/>
      <c r="H125" s="195"/>
      <c r="I125" s="195"/>
      <c r="J125" s="195"/>
      <c r="K125" s="195"/>
      <c r="L125" s="195"/>
      <c r="M125" s="195"/>
      <c r="N125" s="195"/>
      <c r="O125" s="196"/>
      <c r="P125" s="190" t="str" cm="1">
        <f t="array" ref="P125">_xlfn.LET(_xlpm.PercentCheck,IF(OR(P$1="Crit Chance",P$1="Crit Damage",P$1="Condition Duration"),1,0),_xlpm.Flat,$H125,_xlpm.Percentage,$H125*P$120,_xlpm.Derived,$H125*P$120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P$1,AND(_xlpm.PercentCheck=0,$G125="All")),_xlfn.IFS(AND($I125="Flat",$J125=0),_xlpm.Flat,AND($I125="Percentage",$J125=0),_xlpm.Percentage,$J125="Derived",_xlpm.Derived,$J125="Boon Enhancement",_xlpm.BoonEnhancement,$J125="Stacking",_xlpm.Stacking),""))</f>
        <v/>
      </c>
      <c r="Q125" s="190" t="str" cm="1">
        <f t="array" ref="Q125">_xlfn.LET(_xlpm.PercentCheck,IF(OR(Q$1="Crit Chance",Q$1="Crit Damage",Q$1="Condition Duration"),1,0),_xlpm.Flat,$H125,_xlpm.Percentage,$H125*Q$120,_xlpm.Derived,$H125*Q$120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Q$1,AND(_xlpm.PercentCheck=0,$G125="All")),_xlfn.IFS(AND($I125="Flat",$J125=0),_xlpm.Flat,AND($I125="Percentage",$J125=0),_xlpm.Percentage,$J125="Derived",_xlpm.Derived,$J125="Boon Enhancement",_xlpm.BoonEnhancement,$J125="Stacking",_xlpm.Stacking),""))</f>
        <v/>
      </c>
      <c r="R125" s="190" t="str" cm="1">
        <f t="array" ref="R125">_xlfn.LET(_xlpm.PercentCheck,IF(OR(R$1="Crit Chance",R$1="Crit Damage",R$1="Condition Duration"),1,0),_xlpm.Flat,$H125,_xlpm.Percentage,$H125*R$120,_xlpm.Derived,$H125*R$120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R$1,AND(_xlpm.PercentCheck=0,$G125="All")),_xlfn.IFS(AND($I125="Flat",$J125=0),_xlpm.Flat,AND($I125="Percentage",$J125=0),_xlpm.Percentage,$J125="Derived",_xlpm.Derived,$J125="Boon Enhancement",_xlpm.BoonEnhancement,$J125="Stacking",_xlpm.Stacking),""))</f>
        <v/>
      </c>
      <c r="S125" s="190" t="str" cm="1">
        <f t="array" ref="S125">_xlfn.LET(_xlpm.PercentCheck,IF(OR(S$1="Crit Chance",S$1="Crit Damage",S$1="Condition Duration"),1,0),_xlpm.Flat,$H125,_xlpm.Percentage,$H125*S$120,_xlpm.Derived,$H125*S$120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S$1,AND(_xlpm.PercentCheck=0,$G125="All")),_xlfn.IFS(AND($I125="Flat",$J125=0),_xlpm.Flat,AND($I125="Percentage",$J125=0),_xlpm.Percentage,$J125="Derived",_xlpm.Derived,$J125="Boon Enhancement",_xlpm.BoonEnhancement,$J125="Stacking",_xlpm.Stacking),""))</f>
        <v/>
      </c>
      <c r="T125" s="190" t="str" cm="1">
        <f t="array" ref="T125">_xlfn.LET(_xlpm.PercentCheck,IF(OR(T$1="Crit Chance",T$1="Crit Damage",T$1="Condition Duration"),1,0),_xlpm.Flat,$H125,_xlpm.Percentage,$H125*T$120,_xlpm.Derived,$H125*T$120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T$1,AND(_xlpm.PercentCheck=0,$G125="All")),_xlfn.IFS(AND($I125="Flat",$J125=0),_xlpm.Flat,AND($I125="Percentage",$J125=0),_xlpm.Percentage,$J125="Derived",_xlpm.Derived,$J125="Boon Enhancement",_xlpm.BoonEnhancement,$J125="Stacking",_xlpm.Stacking),""))</f>
        <v/>
      </c>
      <c r="U125" s="190" t="str" cm="1">
        <f t="array" ref="U125">_xlfn.LET(_xlpm.PercentCheck,IF(OR(U$1="Crit Chance",U$1="Crit Damage",U$1="Condition Duration"),1,0),_xlpm.Flat,$H125,_xlpm.Percentage,$H125*U$120,_xlpm.Derived,$H125*U$120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U$1,AND(_xlpm.PercentCheck=0,$G125="All")),_xlfn.IFS(AND($I125="Flat",$J125=0),_xlpm.Flat,AND($I125="Percentage",$J125=0),_xlpm.Percentage,$J125="Derived",_xlpm.Derived,$J125="Boon Enhancement",_xlpm.BoonEnhancement,$J125="Stacking",_xlpm.Stacking),""))</f>
        <v/>
      </c>
      <c r="V125" s="190" t="str" cm="1">
        <f t="array" ref="V125">_xlfn.LET(_xlpm.PercentCheck,IF(OR(V$1="Crit Chance",V$1="Crit Damage",V$1="Condition Duration"),1,0),_xlpm.Flat,$H125,_xlpm.Percentage,$H125*V$120,_xlpm.Derived,$H125*V$120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V$1,AND(_xlpm.PercentCheck=0,$G125="All")),_xlfn.IFS(AND($I125="Flat",$J125=0),_xlpm.Flat,AND($I125="Percentage",$J125=0),_xlpm.Percentage,$J125="Derived",_xlpm.Derived,$J125="Boon Enhancement",_xlpm.BoonEnhancement,$J125="Stacking",_xlpm.Stacking),""))</f>
        <v/>
      </c>
      <c r="W125" s="190" t="str" cm="1">
        <f t="array" ref="W125">_xlfn.LET(_xlpm.PercentCheck,IF(OR(W$1="Crit Chance",W$1="Crit Damage",W$1="Condition Duration"),1,0),_xlpm.Flat,$H125,_xlpm.Percentage,$H125*W$120,_xlpm.Derived,$H125*W$120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W$1,AND(_xlpm.PercentCheck=0,$G125="All")),_xlfn.IFS(AND($I125="Flat",$J125=0),_xlpm.Flat,AND($I125="Percentage",$J125=0),_xlpm.Percentage,$J125="Derived",_xlpm.Derived,$J125="Boon Enhancement",_xlpm.BoonEnhancement,$J125="Stacking",_xlpm.Stacking),""))</f>
        <v/>
      </c>
      <c r="X125" s="190" t="str" cm="1">
        <f t="array" ref="X125">_xlfn.LET(_xlpm.PercentCheck,IF(OR(X$1="Crit Chance",X$1="Crit Damage",X$1="Condition Duration"),1,0),_xlpm.Flat,$H125,_xlpm.Percentage,$H125*X$120,_xlpm.Derived,$H125*X$120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X$1,AND(_xlpm.PercentCheck=0,$G125="All")),_xlfn.IFS(AND($I125="Flat",$J125=0),_xlpm.Flat,AND($I125="Percentage",$J125=0),_xlpm.Percentage,$J125="Derived",_xlpm.Derived,$J125="Boon Enhancement",_xlpm.BoonEnhancement,$J125="Stacking",_xlpm.Stacking),""))</f>
        <v/>
      </c>
      <c r="Y125" s="190" t="str" cm="1">
        <f t="array" ref="Y125">_xlfn.LET(_xlpm.PercentCheck,IF(OR(Y$1="Crit Chance",Y$1="Crit Damage",Y$1="Condition Duration"),1,0),_xlpm.Flat,$H125,_xlpm.Percentage,$H125*Y$120,_xlpm.Derived,$H125*Y$120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Y$1,AND(_xlpm.PercentCheck=0,$G125="All")),_xlfn.IFS(AND($I125="Flat",$J125=0),_xlpm.Flat,AND($I125="Percentage",$J125=0),_xlpm.Percentage,$J125="Derived",_xlpm.Derived,$J125="Boon Enhancement",_xlpm.BoonEnhancement,$J125="Stacking",_xlpm.Stacking),""))</f>
        <v/>
      </c>
      <c r="Z125" s="190" t="str" cm="1">
        <f t="array" ref="Z125">_xlfn.LET(_xlpm.PercentCheck,IF(OR(Z$1="Crit Chance",Z$1="Crit Damage",Z$1="Condition Duration"),1,0),_xlpm.Flat,$H125,_xlpm.Percentage,$H125*Z$120,_xlpm.Derived,$H125*Z$120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Z$1,AND(_xlpm.PercentCheck=0,$G125="All")),_xlfn.IFS(AND($I125="Flat",$J125=0),_xlpm.Flat,AND($I125="Percentage",$J125=0),_xlpm.Percentage,$J125="Derived",_xlpm.Derived,$J125="Boon Enhancement",_xlpm.BoonEnhancement,$J125="Stacking",_xlpm.Stacking),""))</f>
        <v/>
      </c>
      <c r="AA125" s="190" t="str" cm="1">
        <f t="array" ref="AA125">_xlfn.LET(_xlpm.PercentCheck,IF(OR(AA$1="Crit Chance",AA$1="Crit Damage",AA$1="Condition Duration"),1,0),_xlpm.Flat,$H125,_xlpm.Percentage,$H125*AA$120,_xlpm.Derived,$H125*AA$120,_xlpm.BoonType,VLOOKUP($M125,BoonToggles,2,0),_xlpm.BoonEnhancement,IF(AND(ISLOGICAL(_xlpm.BoonType),_xlpm.BoonType=TRUE),IF($I125="Flat",$H125,_xlpm.Percentage),IF($I125="Flat",$H125*_xlpm.BoonType,_xlpm.Percentage*_xlpm.BoonType)),_xlpm.Stacking,IF($I125="Flat",$H125*Spec3MajorGrandmasterStacks,IF(_xlpm.PercentCheck=1,"",_xlpm.Percentage*Spec3MajorGrandmasterStacks)),IF(OR($G125=AA$1,AND(_xlpm.PercentCheck=0,$G125="All")),_xlfn.IFS(AND($I125="Flat",$J125=0),_xlpm.Flat,AND($I125="Percentage",$J125=0),_xlpm.Percentage,$J125="Derived",_xlpm.Derived,$J125="Boon Enhancement",_xlpm.BoonEnhancement,$J125="Stacking",_xlpm.Stacking),""))</f>
        <v/>
      </c>
    </row>
    <row r="126" spans="1:27" s="171" customFormat="1" ht="14.25" customHeight="1">
      <c r="A126" s="566"/>
      <c r="B126" s="559" t="s">
        <v>3500</v>
      </c>
      <c r="C126" s="559"/>
      <c r="D126" s="559"/>
      <c r="E126" s="559"/>
      <c r="F126" s="559"/>
      <c r="G126" s="559"/>
      <c r="H126" s="559"/>
      <c r="I126" s="559"/>
      <c r="J126" s="559"/>
      <c r="K126" s="559"/>
      <c r="L126" s="559"/>
      <c r="M126" s="559"/>
      <c r="N126" s="559"/>
      <c r="O126" s="560"/>
      <c r="P126" s="197">
        <f t="shared" ref="P126:AA126" si="43">SUM(P$121:P$125)</f>
        <v>0</v>
      </c>
      <c r="Q126" s="198">
        <f t="shared" si="43"/>
        <v>0</v>
      </c>
      <c r="R126" s="198">
        <f t="shared" si="43"/>
        <v>0</v>
      </c>
      <c r="S126" s="198">
        <f t="shared" si="43"/>
        <v>0</v>
      </c>
      <c r="T126" s="198">
        <f t="shared" si="43"/>
        <v>0</v>
      </c>
      <c r="U126" s="198">
        <f t="shared" si="43"/>
        <v>0</v>
      </c>
      <c r="V126" s="198">
        <f t="shared" si="43"/>
        <v>0</v>
      </c>
      <c r="W126" s="198">
        <f t="shared" si="43"/>
        <v>0</v>
      </c>
      <c r="X126" s="198">
        <f t="shared" si="43"/>
        <v>0</v>
      </c>
      <c r="Y126" s="199">
        <f t="shared" si="43"/>
        <v>0</v>
      </c>
      <c r="Z126" s="199">
        <f t="shared" si="43"/>
        <v>0</v>
      </c>
      <c r="AA126" s="199">
        <f t="shared" si="43"/>
        <v>0</v>
      </c>
    </row>
    <row r="127" spans="1:27" s="171" customFormat="1" ht="15" customHeight="1">
      <c r="A127" s="566"/>
      <c r="B127" s="561" t="s">
        <v>3501</v>
      </c>
      <c r="C127" s="561"/>
      <c r="D127" s="561"/>
      <c r="E127" s="561"/>
      <c r="F127" s="561"/>
      <c r="G127" s="561"/>
      <c r="H127" s="561"/>
      <c r="I127" s="561"/>
      <c r="J127" s="561"/>
      <c r="K127" s="561"/>
      <c r="L127" s="561"/>
      <c r="M127" s="561"/>
      <c r="N127" s="561"/>
      <c r="O127" s="562"/>
      <c r="P127" s="481">
        <f>SUM(P$120,SUMIFS(P$121:P$125,$I$121:$I$125,"Percentage",$J$121:$J$125,"&lt;&gt;Derived"))</f>
        <v>1657</v>
      </c>
      <c r="Q127" s="481">
        <f t="shared" ref="Q127:X127" si="44">SUM(Q$120,SUMIFS(Q$121:Q$125,$I$121:$I$125,"Percentage",$J$121:$J$125,"&lt;&gt;Derived"))</f>
        <v>1594</v>
      </c>
      <c r="R127" s="481">
        <f t="shared" si="44"/>
        <v>1221</v>
      </c>
      <c r="S127" s="481">
        <f t="shared" si="44"/>
        <v>1156</v>
      </c>
      <c r="T127" s="481">
        <f t="shared" si="44"/>
        <v>10</v>
      </c>
      <c r="U127" s="481">
        <f t="shared" si="44"/>
        <v>312</v>
      </c>
      <c r="V127" s="481">
        <f t="shared" si="44"/>
        <v>260</v>
      </c>
      <c r="W127" s="481">
        <f t="shared" si="44"/>
        <v>248</v>
      </c>
      <c r="X127" s="481">
        <f t="shared" si="44"/>
        <v>47</v>
      </c>
      <c r="Y127" s="481"/>
      <c r="Z127" s="481"/>
      <c r="AA127" s="481"/>
    </row>
    <row r="128" spans="1:27">
      <c r="N128" s="550" t="s">
        <v>3502</v>
      </c>
      <c r="O128" s="485" t="str">
        <f>Spec1</f>
        <v>Illusions</v>
      </c>
      <c r="P128" s="210">
        <f>SUM(P$7,P$21,P$35)</f>
        <v>0</v>
      </c>
      <c r="Q128" s="211">
        <f t="shared" ref="Q128:AA128" si="45">SUM(Q$7,Q$21,Q$35)</f>
        <v>0</v>
      </c>
      <c r="R128" s="211">
        <f t="shared" si="45"/>
        <v>0</v>
      </c>
      <c r="S128" s="211">
        <f t="shared" si="45"/>
        <v>0</v>
      </c>
      <c r="T128" s="211">
        <f t="shared" si="45"/>
        <v>0</v>
      </c>
      <c r="U128" s="211">
        <f t="shared" si="45"/>
        <v>9.6</v>
      </c>
      <c r="V128" s="211">
        <f t="shared" si="45"/>
        <v>0</v>
      </c>
      <c r="W128" s="211">
        <f t="shared" si="45"/>
        <v>0</v>
      </c>
      <c r="X128" s="211">
        <f t="shared" si="45"/>
        <v>0</v>
      </c>
      <c r="Y128" s="212">
        <f t="shared" si="45"/>
        <v>0</v>
      </c>
      <c r="Z128" s="212">
        <f>SUM(Z$7,Z$21,Z$35)</f>
        <v>0</v>
      </c>
      <c r="AA128" s="212">
        <f t="shared" si="45"/>
        <v>0</v>
      </c>
    </row>
    <row r="129" spans="14:27" ht="15" customHeight="1">
      <c r="N129" s="551"/>
      <c r="O129" s="209" t="str">
        <f>Spec2</f>
        <v>Inspiration</v>
      </c>
      <c r="P129" s="213">
        <f>SUM(P$49,P$63,P$77)</f>
        <v>0</v>
      </c>
      <c r="Q129" s="214">
        <f t="shared" ref="Q129:AA129" si="46">SUM(Q$49,Q$63,Q$77)</f>
        <v>0</v>
      </c>
      <c r="R129" s="214">
        <f t="shared" si="46"/>
        <v>0</v>
      </c>
      <c r="S129" s="214">
        <f t="shared" si="46"/>
        <v>0</v>
      </c>
      <c r="T129" s="214">
        <f t="shared" si="46"/>
        <v>0</v>
      </c>
      <c r="U129" s="214">
        <f t="shared" si="46"/>
        <v>0</v>
      </c>
      <c r="V129" s="214">
        <f t="shared" si="46"/>
        <v>0</v>
      </c>
      <c r="W129" s="214">
        <f t="shared" si="46"/>
        <v>0</v>
      </c>
      <c r="X129" s="214">
        <f>SUM(X$49,X$63,X$77)</f>
        <v>0</v>
      </c>
      <c r="Y129" s="215">
        <f t="shared" si="46"/>
        <v>0</v>
      </c>
      <c r="Z129" s="215">
        <f t="shared" si="46"/>
        <v>0</v>
      </c>
      <c r="AA129" s="215">
        <f t="shared" si="46"/>
        <v>0</v>
      </c>
    </row>
    <row r="130" spans="14:27" ht="15" customHeight="1">
      <c r="N130" s="552"/>
      <c r="O130" s="216" t="str">
        <f>Spec3</f>
        <v>Troubadour</v>
      </c>
      <c r="P130" s="213">
        <f>SUM(P$91,P$105,P$119)</f>
        <v>0</v>
      </c>
      <c r="Q130" s="214">
        <f t="shared" ref="Q130:AA130" si="47">SUM(Q$91,Q$105,Q$119)</f>
        <v>0</v>
      </c>
      <c r="R130" s="214">
        <f t="shared" si="47"/>
        <v>0</v>
      </c>
      <c r="S130" s="214">
        <f t="shared" si="47"/>
        <v>0</v>
      </c>
      <c r="T130" s="214">
        <f t="shared" si="47"/>
        <v>0</v>
      </c>
      <c r="U130" s="214">
        <f>SUM(U$91,U$105,U$119)</f>
        <v>62.4</v>
      </c>
      <c r="V130" s="214">
        <f t="shared" si="47"/>
        <v>0</v>
      </c>
      <c r="W130" s="214">
        <f t="shared" si="47"/>
        <v>0</v>
      </c>
      <c r="X130" s="214">
        <f t="shared" si="47"/>
        <v>0</v>
      </c>
      <c r="Y130" s="215">
        <f t="shared" si="47"/>
        <v>0</v>
      </c>
      <c r="Z130" s="215">
        <f t="shared" si="47"/>
        <v>0</v>
      </c>
      <c r="AA130" s="215">
        <f t="shared" si="47"/>
        <v>0</v>
      </c>
    </row>
    <row r="131" spans="14:27" ht="15" customHeight="1">
      <c r="N131" s="410" t="s">
        <v>3503</v>
      </c>
      <c r="O131" s="411" t="s">
        <v>3503</v>
      </c>
      <c r="P131" s="484">
        <f t="shared" ref="P131:U131" si="48">SUMIFS($H2:$H125,$I2:$I125,"Flat",$G2:$G125,P1)</f>
        <v>0</v>
      </c>
      <c r="Q131" s="409">
        <f t="shared" si="48"/>
        <v>0</v>
      </c>
      <c r="R131" s="409">
        <f t="shared" si="48"/>
        <v>0</v>
      </c>
      <c r="S131" s="409">
        <f t="shared" si="48"/>
        <v>0</v>
      </c>
      <c r="T131" s="409">
        <f t="shared" si="48"/>
        <v>0</v>
      </c>
      <c r="U131" s="409">
        <f t="shared" si="48"/>
        <v>0</v>
      </c>
      <c r="V131" s="409">
        <f>SUMIFS($H2:$H125,$I2:$I125,"Flat",$G2:$G125,V1)</f>
        <v>0</v>
      </c>
      <c r="W131" s="409">
        <f t="shared" ref="V131:X131" si="49">SUMIFS($H2:$H125,$I2:$I125,"Flat",$G2:$G125,W1)</f>
        <v>0</v>
      </c>
      <c r="X131" s="409">
        <f t="shared" si="49"/>
        <v>0</v>
      </c>
      <c r="Y131" s="489"/>
      <c r="Z131" s="489"/>
      <c r="AA131" s="490"/>
    </row>
    <row r="132" spans="14:27" ht="15" customHeight="1">
      <c r="X132" s="486" t="s">
        <v>3504</v>
      </c>
      <c r="Y132" s="487">
        <f>SUM(Y7,Y14,Y21,Y28,Y35,Y42,Y49,Y56,Y63,Y70,Y77,Y84,Y91,Y98,Y105,Y112,Y119,Y126)</f>
        <v>0</v>
      </c>
      <c r="Z132" s="487">
        <f>SUM(Z7,Z14,Z21,Z28,Z35,Z42,Z49,Z56,Z63,Z70,Z77,Z84,Z91,Z98,Z105,Z112,Z119,Z126)</f>
        <v>0</v>
      </c>
      <c r="AA132" s="488">
        <f>SUM(AA7,AA14,AA21,AA28,AA35,AA42,AA49,AA56,AA63,AA70,AA77,AA84,AA91,AA98,AA105,AA112,AA119,AA126)</f>
        <v>0</v>
      </c>
    </row>
    <row r="133" spans="14:27" ht="15" customHeight="1"/>
    <row r="134" spans="14:27" ht="15" customHeight="1"/>
    <row r="135" spans="14:27" ht="15" customHeight="1"/>
  </sheetData>
  <sheetProtection sheet="1" objects="1" scenarios="1"/>
  <mergeCells count="59">
    <mergeCell ref="B126:O126"/>
    <mergeCell ref="B127:O127"/>
    <mergeCell ref="A44:A85"/>
    <mergeCell ref="A86:A127"/>
    <mergeCell ref="A2:A43"/>
    <mergeCell ref="B106:O106"/>
    <mergeCell ref="B112:O112"/>
    <mergeCell ref="B113:O113"/>
    <mergeCell ref="B119:O119"/>
    <mergeCell ref="B120:O120"/>
    <mergeCell ref="B91:O91"/>
    <mergeCell ref="B92:O92"/>
    <mergeCell ref="B98:O98"/>
    <mergeCell ref="B99:O99"/>
    <mergeCell ref="B105:O105"/>
    <mergeCell ref="B71:O71"/>
    <mergeCell ref="B56:O56"/>
    <mergeCell ref="B57:O57"/>
    <mergeCell ref="B63:O63"/>
    <mergeCell ref="B64:O64"/>
    <mergeCell ref="B70:O70"/>
    <mergeCell ref="A1:B1"/>
    <mergeCell ref="B93:B97"/>
    <mergeCell ref="B100:B104"/>
    <mergeCell ref="B114:B118"/>
    <mergeCell ref="B107:B111"/>
    <mergeCell ref="B2:B6"/>
    <mergeCell ref="B9:B13"/>
    <mergeCell ref="B7:O7"/>
    <mergeCell ref="B8:O8"/>
    <mergeCell ref="B14:O14"/>
    <mergeCell ref="B15:O15"/>
    <mergeCell ref="B21:O21"/>
    <mergeCell ref="B77:O77"/>
    <mergeCell ref="B78:O78"/>
    <mergeCell ref="B84:O84"/>
    <mergeCell ref="B85:O85"/>
    <mergeCell ref="B121:B125"/>
    <mergeCell ref="B58:B62"/>
    <mergeCell ref="B65:B69"/>
    <mergeCell ref="B72:B76"/>
    <mergeCell ref="B79:B83"/>
    <mergeCell ref="B86:B90"/>
    <mergeCell ref="N128:N130"/>
    <mergeCell ref="B51:B55"/>
    <mergeCell ref="B16:B20"/>
    <mergeCell ref="B23:B27"/>
    <mergeCell ref="B30:B34"/>
    <mergeCell ref="B37:B41"/>
    <mergeCell ref="B44:B48"/>
    <mergeCell ref="B22:O22"/>
    <mergeCell ref="B28:O28"/>
    <mergeCell ref="B29:O29"/>
    <mergeCell ref="B35:O35"/>
    <mergeCell ref="B36:O36"/>
    <mergeCell ref="B42:O42"/>
    <mergeCell ref="B43:O43"/>
    <mergeCell ref="B49:O49"/>
    <mergeCell ref="B50:O5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DAF6-7C4D-423D-A44F-EC7DBF0D68D7}">
  <dimension ref="A1:C3"/>
  <sheetViews>
    <sheetView workbookViewId="0">
      <selection activeCell="G11" sqref="G11"/>
    </sheetView>
  </sheetViews>
  <sheetFormatPr defaultRowHeight="15"/>
  <cols>
    <col min="2" max="2" width="17.7109375" bestFit="1" customWidth="1"/>
    <col min="3" max="3" width="13.5703125" bestFit="1" customWidth="1"/>
  </cols>
  <sheetData>
    <row r="1" spans="1:3">
      <c r="B1" t="s">
        <v>86</v>
      </c>
      <c r="C1" t="s">
        <v>84</v>
      </c>
    </row>
    <row r="2" spans="1:3">
      <c r="A2" t="s">
        <v>54</v>
      </c>
    </row>
    <row r="3" spans="1:3">
      <c r="A3" t="s">
        <v>3505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C7A5-8B3F-4D3F-83E8-A2CB3A43FDD1}">
  <dimension ref="A1:W43"/>
  <sheetViews>
    <sheetView topLeftCell="B1" workbookViewId="0">
      <selection activeCell="F20" sqref="F20"/>
    </sheetView>
  </sheetViews>
  <sheetFormatPr defaultRowHeight="14.25"/>
  <cols>
    <col min="1" max="1" width="19.5703125" style="28" customWidth="1"/>
    <col min="2" max="2" width="36.5703125" style="28" bestFit="1" customWidth="1"/>
    <col min="3" max="3" width="13" style="28" customWidth="1"/>
    <col min="4" max="4" width="13.140625" style="28" bestFit="1" customWidth="1"/>
    <col min="5" max="5" width="13.7109375" style="28" bestFit="1" customWidth="1"/>
    <col min="6" max="6" width="17.28515625" style="28" bestFit="1" customWidth="1"/>
    <col min="7" max="7" width="13.140625" style="28" bestFit="1" customWidth="1"/>
    <col min="8" max="8" width="8" style="28" bestFit="1" customWidth="1"/>
    <col min="9" max="9" width="13.140625" style="28" bestFit="1" customWidth="1"/>
    <col min="10" max="10" width="11" style="28" bestFit="1" customWidth="1"/>
    <col min="11" max="11" width="11.5703125" style="28" bestFit="1" customWidth="1"/>
    <col min="12" max="12" width="25.140625" style="28" bestFit="1" customWidth="1"/>
    <col min="13" max="13" width="25" style="28" bestFit="1" customWidth="1"/>
    <col min="14" max="14" width="17" style="28" bestFit="1" customWidth="1"/>
    <col min="15" max="15" width="15.5703125" style="28" customWidth="1"/>
    <col min="16" max="16" width="9.7109375" style="28" customWidth="1"/>
    <col min="17" max="17" width="8.85546875" style="28" bestFit="1" customWidth="1"/>
    <col min="18" max="18" width="25.5703125" style="28" bestFit="1" customWidth="1"/>
    <col min="19" max="19" width="6.28515625" style="28" bestFit="1" customWidth="1"/>
    <col min="20" max="20" width="9.140625" style="28"/>
    <col min="21" max="21" width="26.7109375" style="28" bestFit="1" customWidth="1"/>
    <col min="22" max="22" width="5.140625" style="28" bestFit="1" customWidth="1"/>
    <col min="23" max="23" width="7.85546875" style="28" bestFit="1" customWidth="1"/>
    <col min="24" max="16384" width="9.140625" style="28"/>
  </cols>
  <sheetData>
    <row r="1" spans="1:23" ht="19.5">
      <c r="A1" s="579" t="s">
        <v>3506</v>
      </c>
      <c r="B1" s="579"/>
      <c r="C1" s="579"/>
      <c r="D1" s="579"/>
      <c r="E1" s="579"/>
      <c r="F1" s="579"/>
      <c r="G1" s="579"/>
      <c r="H1" s="579"/>
      <c r="I1" s="579"/>
      <c r="J1" s="579"/>
      <c r="M1" s="579" t="s">
        <v>3507</v>
      </c>
      <c r="N1" s="579"/>
      <c r="O1" s="579"/>
      <c r="P1" s="579"/>
      <c r="Q1" s="173"/>
      <c r="R1" s="28" t="s">
        <v>3508</v>
      </c>
      <c r="T1" s="360"/>
      <c r="V1" s="360"/>
      <c r="W1" s="360"/>
    </row>
    <row r="2" spans="1:23">
      <c r="A2" s="581" t="s">
        <v>3509</v>
      </c>
      <c r="B2" s="582"/>
      <c r="C2" s="582"/>
      <c r="D2" s="582"/>
      <c r="E2" s="582" t="s">
        <v>3510</v>
      </c>
      <c r="F2" s="582"/>
      <c r="G2" s="582"/>
      <c r="H2" s="583"/>
      <c r="I2" s="395"/>
      <c r="J2" s="395"/>
      <c r="M2" s="396" t="s">
        <v>90</v>
      </c>
      <c r="N2" s="396" t="s">
        <v>3496</v>
      </c>
      <c r="O2" s="396" t="s">
        <v>2162</v>
      </c>
      <c r="P2" s="396" t="s">
        <v>3511</v>
      </c>
      <c r="Q2" s="173"/>
      <c r="R2" s="28" t="s">
        <v>3512</v>
      </c>
      <c r="T2" s="361"/>
      <c r="V2" s="361"/>
      <c r="W2" s="361"/>
    </row>
    <row r="3" spans="1:23">
      <c r="A3" s="514" t="s">
        <v>3370</v>
      </c>
      <c r="B3" s="368" t="s">
        <v>3371</v>
      </c>
      <c r="C3" s="368" t="s">
        <v>3372</v>
      </c>
      <c r="D3" s="380" t="s">
        <v>3513</v>
      </c>
      <c r="E3" s="368" t="s">
        <v>3370</v>
      </c>
      <c r="F3" s="368" t="s">
        <v>3371</v>
      </c>
      <c r="G3" s="368" t="s">
        <v>3372</v>
      </c>
      <c r="H3" s="380" t="s">
        <v>3513</v>
      </c>
      <c r="I3" s="380"/>
      <c r="J3" s="375"/>
      <c r="M3" s="397" t="str">
        <f>'Build &amp; Totals'!A33</f>
        <v>Superior Rune of the Pack</v>
      </c>
      <c r="N3" s="328" cm="1">
        <f t="array" ref="N3">_xlfn.LET(_xlpm.val,VLOOKUP(M3,RuneTable,2,0),IF(_xlpm.val="Amount","",_xlpm.val))</f>
        <v>25</v>
      </c>
      <c r="O3" s="328" t="str" cm="1">
        <f t="array" ref="O3">_xlfn.LET(_xlpm.val,VLOOKUP(M3,RuneTable,3,0),IF(_xlpm.val="Stat","",_xlpm.val))</f>
        <v>Power</v>
      </c>
      <c r="P3" s="330">
        <v>1</v>
      </c>
      <c r="Q3" s="173"/>
      <c r="R3" s="28" t="s">
        <v>3514</v>
      </c>
      <c r="T3" s="361"/>
      <c r="U3" s="361"/>
      <c r="V3" s="361"/>
      <c r="W3" s="361"/>
    </row>
    <row r="4" spans="1:23">
      <c r="A4" s="376" t="str">
        <f>IF(UtilBonusType="Derived",VLOOKUP('Build &amp; Totals'!$B$51,Utilities!$A$3:B$122,2,0),"")</f>
        <v>Power</v>
      </c>
      <c r="B4" s="387">
        <f>IF(UtilBonusType="Derived",VLOOKUP('Build &amp; Totals'!$B$51,Utilities!$A$3:C$122,3,0),"")</f>
        <v>0.01</v>
      </c>
      <c r="C4" s="377" t="str">
        <f>IF(UtilBonusType="Derived",VLOOKUP('Build &amp; Totals'!$B$51,Utilities!$A$3:D$122,4,0),"")</f>
        <v>Precision</v>
      </c>
      <c r="D4" s="388" cm="1">
        <f t="array" ref="D4">_xlfn.LET(_xlpm.val,B4*INDEX(StatSubtotals,MATCH(Helpers!C4,StatList,0)),IF(ISERROR(_xlpm.val),"",_xlpm.val))</f>
        <v>15.94</v>
      </c>
      <c r="E4" s="377" t="str" cm="1">
        <f t="array" ref="E4">_xlfn.LET(_xlpm.val,IF(UtilBonusType="Derived",VLOOKUP('Build &amp; Totals'!$B$51,Utilities!$A$3:E$122,5,0),""),IF(OR(ISNA(_xlpm.val),_xlpm.val=0),"",_xlpm.val))</f>
        <v/>
      </c>
      <c r="F4" s="377" t="str" cm="1">
        <f t="array" ref="F4">_xlfn.LET(_xlpm.val,IF(UtilBonusType="Derived",VLOOKUP('Build &amp; Totals'!$B$51,Utilities!$A$3:F$122,6,0),""),IF(OR(ISNA(_xlpm.val),_xlpm.val=0),"",_xlpm.val))</f>
        <v/>
      </c>
      <c r="G4" s="387" t="str" cm="1">
        <f t="array" ref="G4">_xlfn.LET(_xlpm.val,IF(UtilBonusType="Derived",VLOOKUP('Build &amp; Totals'!$B$51,Utilities!$A$3:G$122,7,0),""),IF(OR(ISNA(_xlpm.val),_xlpm.val=0),"",_xlpm.val))</f>
        <v/>
      </c>
      <c r="H4" s="389" t="str" cm="1">
        <f t="array" ref="H4">_xlfn.LET(_xlpm.val,F4*INDEX(StatSubtotals,MATCH(Helpers!G4,StatList,0)),IF(ISERROR(_xlpm.val),"",_xlpm.val))</f>
        <v/>
      </c>
      <c r="I4" s="386"/>
      <c r="J4" s="386"/>
      <c r="M4" s="177" t="str">
        <f>'Build &amp; Totals'!A34</f>
        <v>Superior Rune of Strength</v>
      </c>
      <c r="N4" s="178" cm="1">
        <f t="array" ref="N4">_xlfn.LET(_xlpm.val,VLOOKUP(M4,RuneTable,IF(P4=2,4,2),0),IF(_xlpm.val="Amount","",_xlpm.val))</f>
        <v>25</v>
      </c>
      <c r="O4" s="178" t="str" cm="1">
        <f t="array" ref="O4">_xlfn.LET(_xlpm.val,VLOOKUP(M4,RuneTable,IF(P4=2,5,3),0),IF(_xlpm.val="Stat","",_xlpm.val))</f>
        <v>Power</v>
      </c>
      <c r="P4" s="179">
        <f>COUNTIF(M3:M4,M4)</f>
        <v>1</v>
      </c>
      <c r="Q4" s="173"/>
      <c r="R4" s="28" t="s">
        <v>3515</v>
      </c>
      <c r="T4" s="361"/>
    </row>
    <row r="5" spans="1:23">
      <c r="M5" s="177" t="str">
        <f>'Build &amp; Totals'!A35</f>
        <v>Superior Rune of Strength</v>
      </c>
      <c r="N5" s="180" cm="1">
        <f t="array" ref="N5">_xlfn.LET(_xlpm.val,VLOOKUP(M5,RuneTable,_xlfn.IFS(P5=3,6,P5=2,4,P5=1,2),0),IF(_xlpm.val="Amount","",_xlpm.val))</f>
        <v>0.1</v>
      </c>
      <c r="O5" s="178" t="str" cm="1">
        <f t="array" ref="O5">_xlfn.LET(_xlpm.val,VLOOKUP(M5,RuneTable,_xlfn.IFS(P5=3,7,P5=2,5,P5=1,3),0),IF(_xlpm.val="Stat","",_xlpm.val))</f>
        <v>Might Duration</v>
      </c>
      <c r="P5" s="179">
        <f>COUNTIF(M3:M5,M5)</f>
        <v>2</v>
      </c>
      <c r="Q5" s="173"/>
      <c r="T5" s="361"/>
    </row>
    <row r="6" spans="1:23">
      <c r="A6" s="580" t="s">
        <v>3516</v>
      </c>
      <c r="B6" s="580"/>
      <c r="C6" s="395"/>
      <c r="D6" s="395"/>
      <c r="E6" s="395"/>
      <c r="F6" s="395"/>
      <c r="G6" s="395"/>
      <c r="H6" s="395"/>
      <c r="I6" s="395"/>
      <c r="J6" s="395"/>
      <c r="M6" s="177" t="str">
        <f>'Build &amp; Totals'!A36</f>
        <v>Superior Rune of Strength</v>
      </c>
      <c r="N6" s="178" cm="1">
        <f t="array" ref="N6">_xlfn.LET(_xlpm.val,VLOOKUP(M6,RuneTable,_xlfn.IFS(P6=4,8,P6=3,6,P6=2,4,P6=1,2),0),IF(_xlpm.val="Amount","",_xlpm.val))</f>
        <v>50</v>
      </c>
      <c r="O6" s="178" t="str" cm="1">
        <f t="array" ref="O6">_xlfn.LET(_xlpm.val,VLOOKUP(M6,RuneTable,_xlfn.IFS(P6=4,9,P6=3,7,P6=2,5,P6=1,3),0),IF(_xlpm.val="Stat","",_xlpm.val))</f>
        <v>Power</v>
      </c>
      <c r="P6" s="179">
        <f>COUNTIF(M3:M6,M6)</f>
        <v>3</v>
      </c>
      <c r="Q6" s="173"/>
      <c r="T6" s="361"/>
    </row>
    <row r="7" spans="1:23" ht="15">
      <c r="A7" s="514" t="s">
        <v>3370</v>
      </c>
      <c r="B7" s="384" t="s">
        <v>2163</v>
      </c>
      <c r="C7" s="385"/>
      <c r="D7" s="369"/>
      <c r="E7" s="369"/>
      <c r="F7" s="369"/>
      <c r="G7" s="369"/>
      <c r="H7" s="369"/>
      <c r="I7" s="369"/>
      <c r="J7" s="369"/>
      <c r="L7" s="505"/>
      <c r="M7" s="177" t="str">
        <f>'Build &amp; Totals'!A37</f>
        <v>Superior Rune of Strength</v>
      </c>
      <c r="N7" s="178" cm="1">
        <f t="array" ref="N7">_xlfn.LET(_xlpm.val,VLOOKUP(M7,RuneTable,_xlfn.IFS(P7=5,10,P7=4,8,P7=3,6,P7=2,4,P7=1,2),0),IF(_xlpm.val="Amount","",_xlpm.val))</f>
        <v>0.2</v>
      </c>
      <c r="O7" s="178" t="str" cm="1">
        <f t="array" ref="O7">_xlfn.LET(_xlpm.val,VLOOKUP(M7,RuneTable,_xlfn.IFS(P7=5,11,P7=4,9,P7=3,7,P7=2,5,P7=1,3),0),IF(_xlpm.val="Stat","",_xlpm.val))</f>
        <v>Might Duration</v>
      </c>
      <c r="P7" s="179">
        <f>COUNTIF(M3:M7,M7)</f>
        <v>4</v>
      </c>
      <c r="Q7" s="173"/>
      <c r="T7" s="361"/>
    </row>
    <row r="8" spans="1:23">
      <c r="A8" s="376" t="str">
        <f>IF(UtilBonusType="Healthy",VLOOKUP('Build &amp; Totals'!$B$51,Utilities!$A$3:$L$122,12,0),"")</f>
        <v/>
      </c>
      <c r="B8" s="185" t="str">
        <f>IF(UtilBonusType="Healthy",VLOOKUP('Build &amp; Totals'!$B$51,Utilities!$A$3:$K$122,11,0),"")</f>
        <v/>
      </c>
      <c r="C8" s="184"/>
      <c r="D8" s="386"/>
      <c r="E8" s="386"/>
      <c r="F8" s="386"/>
      <c r="G8" s="386"/>
      <c r="H8" s="386"/>
      <c r="I8" s="386"/>
      <c r="J8" s="386"/>
      <c r="M8" s="183" t="str">
        <f>'Build &amp; Totals'!A38</f>
        <v>(Select)</v>
      </c>
      <c r="N8" s="182" t="str" cm="1">
        <f t="array" ref="N8">_xlfn.LET(_xlpm.val,VLOOKUP(M8,RuneTable,_xlfn.IFS(P8=6,12,P8=5,10,P8=4,8,P8=3,6,P8=2,4,P8=1,2),0),IF(_xlpm.val="Amount","",_xlpm.val))</f>
        <v/>
      </c>
      <c r="O8" s="182" t="str" cm="1">
        <f t="array" ref="O8">_xlfn.LET(_xlpm.val,VLOOKUP(M8,RuneTable,_xlfn.IFS(P8=6,13,P8=5,11,P8=4,9,P8=3,7,P8=2,5,P8=1,3),0),IF(_xlpm.val="Stat","",_xlpm.val))</f>
        <v/>
      </c>
      <c r="P8" s="184">
        <f>COUNTIF(M3:M8,M8)</f>
        <v>1</v>
      </c>
      <c r="Q8" s="173"/>
      <c r="T8" s="361"/>
    </row>
    <row r="9" spans="1:23">
      <c r="M9" s="173"/>
      <c r="N9" s="173"/>
      <c r="O9" s="173"/>
      <c r="P9" s="398"/>
      <c r="Q9" s="398"/>
      <c r="R9" s="361"/>
      <c r="S9" s="361"/>
      <c r="T9" s="361"/>
    </row>
    <row r="10" spans="1:23">
      <c r="A10" s="581" t="s">
        <v>3517</v>
      </c>
      <c r="B10" s="582"/>
      <c r="C10" s="582"/>
      <c r="D10" s="582"/>
      <c r="E10" s="582"/>
      <c r="F10" s="582" t="s">
        <v>3518</v>
      </c>
      <c r="G10" s="582"/>
      <c r="H10" s="582"/>
      <c r="I10" s="582"/>
      <c r="J10" s="583"/>
      <c r="M10" s="578" t="s">
        <v>3519</v>
      </c>
      <c r="N10" s="578"/>
      <c r="O10" s="578"/>
      <c r="P10" s="578"/>
      <c r="Q10" s="398"/>
      <c r="R10" s="361"/>
      <c r="S10" s="361"/>
      <c r="T10" s="361"/>
    </row>
    <row r="11" spans="1:23">
      <c r="A11" s="514" t="s">
        <v>3371</v>
      </c>
      <c r="B11" s="368" t="s">
        <v>3370</v>
      </c>
      <c r="C11" s="368" t="s">
        <v>3373</v>
      </c>
      <c r="D11" s="368" t="s">
        <v>3372</v>
      </c>
      <c r="E11" s="368" t="s">
        <v>3513</v>
      </c>
      <c r="F11" s="368" t="s">
        <v>3371</v>
      </c>
      <c r="G11" s="368" t="s">
        <v>3370</v>
      </c>
      <c r="H11" s="368" t="s">
        <v>3373</v>
      </c>
      <c r="I11" s="368" t="s">
        <v>3372</v>
      </c>
      <c r="J11" s="372" t="s">
        <v>3513</v>
      </c>
      <c r="M11" s="584" t="s">
        <v>2643</v>
      </c>
      <c r="N11" s="584"/>
      <c r="O11" s="584"/>
      <c r="P11" s="584"/>
      <c r="Q11" s="173"/>
      <c r="S11" s="361"/>
      <c r="T11" s="361"/>
    </row>
    <row r="12" spans="1:23">
      <c r="A12" s="381" t="str">
        <f>IF(UtilBonusType="Stepped",VLOOKUP('Build &amp; Totals'!$B$51,Utilities!$A$3:$T$122,13,0),"")</f>
        <v/>
      </c>
      <c r="B12" s="513" t="str">
        <f>IF(UtilBonusType="Stepped",VLOOKUP('Build &amp; Totals'!$B$51,Utilities!$A$3:$T$122,14,0),"")</f>
        <v/>
      </c>
      <c r="C12" s="513" t="str">
        <f>IF(UtilBonusType="Stepped",VLOOKUP('Build &amp; Totals'!$B$51,Utilities!$A$3:$T$122,15,0),"")</f>
        <v/>
      </c>
      <c r="D12" s="513" t="str">
        <f>IF(UtilBonusType="Stepped",VLOOKUP('Build &amp; Totals'!$B$51,Utilities!$A$3:$T$122,16,0),"")</f>
        <v/>
      </c>
      <c r="E12" s="382" t="str" cm="1">
        <f t="array" ref="E12">_xlfn.LET(_xlpm.fromstat,INDEX('Build &amp; Totals'!B56:B64,MATCH(Helpers!D12,StatList,0)),_xlpm.steps,TRUNC(_xlpm.fromstat/C12),_xlpm.val,A12*_xlpm.steps,IF(ISERROR(_xlpm.val),"",_xlpm.val))</f>
        <v/>
      </c>
      <c r="F12" s="513" t="str">
        <f>IF(UtilBonusType="Stepped",VLOOKUP('Build &amp; Totals'!$B$51,Utilities!$A$3:$T$122,17,0),"")</f>
        <v/>
      </c>
      <c r="G12" s="513" t="str">
        <f>IF(UtilBonusType="Stepped",VLOOKUP('Build &amp; Totals'!$B$51,Utilities!$A$3:$T$122,18,0),"")</f>
        <v/>
      </c>
      <c r="H12" s="513" t="str">
        <f>IF(UtilBonusType="Stepped",VLOOKUP('Build &amp; Totals'!$B$51,Utilities!$A$3:$T$122,19,0),"")</f>
        <v/>
      </c>
      <c r="I12" s="513" t="str">
        <f>IF(UtilBonusType="Stepped",VLOOKUP('Build &amp; Totals'!$B$51,Utilities!$A$3:$T$122,20,0),"")</f>
        <v/>
      </c>
      <c r="J12" s="383" t="str" cm="1">
        <f t="array" ref="J12">_xlfn.LET(_xlpm.fromstat,INDEX('Build &amp; Totals'!B56:B64,MATCH(Helpers!I12,StatList,0)),_xlpm.steps,TRUNC(_xlpm.fromstat/H12),_xlpm.val,F12*_xlpm.steps,IF(ISERROR(_xlpm.val),"",_xlpm.val))</f>
        <v/>
      </c>
      <c r="M12" s="514" t="s">
        <v>90</v>
      </c>
      <c r="N12" s="514" t="s">
        <v>2162</v>
      </c>
      <c r="O12" s="514" t="s">
        <v>3369</v>
      </c>
      <c r="P12" s="372" t="s">
        <v>2163</v>
      </c>
      <c r="Q12" s="173"/>
      <c r="S12" s="361"/>
      <c r="T12" s="361"/>
    </row>
    <row r="13" spans="1:23">
      <c r="B13" s="28" t="str">
        <f>IF(UtilBonusType="Stepped",VLOOKUP('Build &amp; Totals'!$B$51,Utilities!$A$3:$T$122,14,0),"")</f>
        <v/>
      </c>
      <c r="M13" s="397" t="str">
        <f>Signet1</f>
        <v>Superconducting Signet</v>
      </c>
      <c r="N13" s="328" t="str" cm="1">
        <f t="array" ref="N13">_xlfn.LET(_xlpm.val,VLOOKUP($M13,SignetPassives,3,FALSE),IF(ISNA(_xlpm.val),"",_xlpm.val))</f>
        <v>Condition Damage</v>
      </c>
      <c r="O13" s="504" t="str" cm="1">
        <f t="array" ref="O13">_xlfn.LET(_xlpm.val,IF(VLOOKUP(M13,Signets!A3:D16,4,0)&lt;1,"Percentage","Flat"),IF(ISNA(_xlpm.val),"",_xlpm.val))</f>
        <v>Percentage</v>
      </c>
      <c r="P13" s="329" cm="1">
        <f t="array" ref="P13">_xlfn.LET(_xlpm.val,VLOOKUP($M13,SignetPassives,4,FALSE),IF(ISNA(_xlpm.val),"",IF(_xlpm.val&lt;1,_xlpm.val*INDEX(TraitPercentageAccumulations,1,MATCH($N13,StatList,0)),_xlpm.val)))</f>
        <v>31.200000000000003</v>
      </c>
      <c r="Q13" s="173"/>
      <c r="S13" s="361"/>
      <c r="T13" s="361"/>
    </row>
    <row r="14" spans="1:23">
      <c r="A14" s="580" t="s">
        <v>2171</v>
      </c>
      <c r="B14" s="580"/>
      <c r="C14" s="367"/>
      <c r="D14" s="367"/>
      <c r="E14" s="367"/>
      <c r="F14" s="367"/>
      <c r="G14" s="367"/>
      <c r="H14" s="367"/>
      <c r="I14" s="367"/>
      <c r="J14" s="367"/>
      <c r="M14" s="177" t="str">
        <f>Signet2</f>
        <v>Signet of Midnight</v>
      </c>
      <c r="N14" s="178" t="str" cm="1">
        <f t="array" ref="N14">_xlfn.LET(_xlpm.val,VLOOKUP($M14,SignetPassives,3,FALSE),IF(ISNA(_xlpm.val),"",_xlpm.val))</f>
        <v>Expertise</v>
      </c>
      <c r="O14" s="504" t="str" cm="1">
        <f t="array" ref="O14">_xlfn.LET(_xlpm.val,IF(VLOOKUP(M14,Signets!A4:D17,4,0)&lt;1,"Percentage","Flat"),IF(ISNA(_xlpm.val),"",_xlpm.val))</f>
        <v>Flat</v>
      </c>
      <c r="P14" s="329" cm="1">
        <f t="array" ref="P14">_xlfn.LET(_xlpm.val,VLOOKUP($M14,SignetPassives,4,FALSE),IF(ISNA(_xlpm.val),"",IF(_xlpm.val&lt;1,_xlpm.val*INDEX(TraitPercentageAccumulations,1,MATCH($N14,StatList,0)),_xlpm.val)))</f>
        <v>180</v>
      </c>
      <c r="Q14" s="173"/>
      <c r="S14" s="361"/>
      <c r="T14" s="361"/>
      <c r="U14" s="361"/>
      <c r="V14" s="361"/>
      <c r="W14" s="361"/>
    </row>
    <row r="15" spans="1:23">
      <c r="A15" s="514" t="s">
        <v>3370</v>
      </c>
      <c r="B15" s="514" t="s">
        <v>2163</v>
      </c>
      <c r="C15" s="375"/>
      <c r="D15" s="369"/>
      <c r="E15" s="369"/>
      <c r="F15" s="369"/>
      <c r="G15" s="369"/>
      <c r="H15" s="369"/>
      <c r="I15" s="369"/>
      <c r="J15" s="369"/>
      <c r="M15" s="183" t="str">
        <f>Signet3</f>
        <v>(Select)</v>
      </c>
      <c r="N15" s="182" t="str" cm="1">
        <f t="array" ref="N15">_xlfn.LET(_xlpm.val,VLOOKUP($M15,SignetPassives,3,FALSE),IF(ISNA(_xlpm.val),"",_xlpm.val))</f>
        <v/>
      </c>
      <c r="O15" s="504" t="str" cm="1">
        <f t="array" ref="O15">_xlfn.LET(_xlpm.val,IF(VLOOKUP(M15,Signets!A5:D18,4,0)&lt;1,"Percentage","Flat"),IF(ISNA(_xlpm.val),"",_xlpm.val))</f>
        <v/>
      </c>
      <c r="P15" s="329" t="str" cm="1">
        <f t="array" ref="P15">_xlfn.LET(_xlpm.val,VLOOKUP($M15,SignetPassives,4,FALSE),IF(ISNA(_xlpm.val),"",IF(_xlpm.val&lt;1,_xlpm.val*INDEX(TraitPercentageAccumulations,1,MATCH($N15,StatList,0)),_xlpm.val)))</f>
        <v/>
      </c>
      <c r="Q15" s="173"/>
      <c r="S15" s="361"/>
      <c r="T15" s="361"/>
      <c r="U15" s="361"/>
      <c r="V15" s="361"/>
      <c r="W15" s="361"/>
    </row>
    <row r="16" spans="1:23">
      <c r="A16" s="376" t="str">
        <f>IF(UtilBonusType="Flat",VLOOKUP('Build &amp; Totals'!$B$51,Utilities!$A$3:$X$122,23,0),"")</f>
        <v/>
      </c>
      <c r="B16" s="377" t="str">
        <f>IF(UtilBonusType="Flat",VLOOKUP('Build &amp; Totals'!$B$51,Utilities!$A$3:$X$122,24,0),"")</f>
        <v/>
      </c>
      <c r="C16" s="378"/>
      <c r="D16" s="379"/>
      <c r="E16" s="379"/>
      <c r="F16" s="379"/>
      <c r="G16" s="379"/>
      <c r="H16" s="379"/>
      <c r="I16" s="379"/>
      <c r="J16" s="379"/>
      <c r="M16" s="173"/>
      <c r="N16" s="173"/>
      <c r="O16" s="173"/>
      <c r="P16" s="173"/>
      <c r="Q16" s="173"/>
      <c r="S16" s="361"/>
      <c r="T16" s="361"/>
      <c r="U16" s="361"/>
      <c r="V16" s="361"/>
      <c r="W16" s="361"/>
    </row>
    <row r="17" spans="1:23">
      <c r="M17" s="173"/>
      <c r="N17" s="173"/>
      <c r="O17" s="173"/>
      <c r="P17" s="173"/>
      <c r="Q17" s="398" t="str" cm="1">
        <f t="array" ref="Q17">_xlfn.LET(_xlpm.val,VLOOKUP($P17,SignetPassives,3,FALSE),IF(ISNA(_xlpm.val),"",_xlpm.val))</f>
        <v/>
      </c>
      <c r="R17" s="362" t="str" cm="1">
        <f t="array" ref="R17">_xlfn.LET(_xlpm.val,VLOOKUP($P17,SignetPassives,4,FALSE),IF(ISNA(_xlpm.val),"",IF(_xlpm.val&lt;1,_xlpm.val*INDEX($A$19:$I$20,2,MATCH($Q17,$A$19:$I$19,0)),_xlpm.val)))</f>
        <v/>
      </c>
      <c r="S17" s="361"/>
      <c r="T17" s="361"/>
      <c r="U17" s="361"/>
      <c r="V17" s="361"/>
      <c r="W17" s="361"/>
    </row>
    <row r="18" spans="1:23">
      <c r="A18" s="580" t="s">
        <v>3520</v>
      </c>
      <c r="B18" s="580"/>
      <c r="C18" s="580"/>
      <c r="D18" s="580"/>
      <c r="E18" s="580"/>
      <c r="F18" s="580"/>
      <c r="G18" s="580"/>
      <c r="H18" s="580"/>
      <c r="I18" s="580"/>
      <c r="J18" s="580"/>
      <c r="K18" s="580"/>
      <c r="L18" s="580"/>
      <c r="M18" s="173"/>
      <c r="N18" s="412" t="s">
        <v>3521</v>
      </c>
      <c r="O18" s="173"/>
      <c r="P18" s="173"/>
      <c r="Q18" s="398" t="str" cm="1">
        <f t="array" ref="Q18">_xlfn.LET(_xlpm.val,VLOOKUP($P18,SignetPassives,3,FALSE),IF(ISNA(_xlpm.val),"",_xlpm.val))</f>
        <v/>
      </c>
      <c r="R18" s="362" t="str" cm="1">
        <f t="array" ref="R18">_xlfn.LET(_xlpm.val,VLOOKUP($P18,SignetPassives,4,FALSE),IF(ISNA(_xlpm.val),"",IF(_xlpm.val&lt;1,_xlpm.val*INDEX($A$19:$I$20,2,MATCH($Q18,$A$19:$I$19,0)),_xlpm.val)))</f>
        <v/>
      </c>
      <c r="S18" s="361"/>
      <c r="T18" s="361"/>
      <c r="U18" s="361"/>
      <c r="V18" s="361"/>
      <c r="W18" s="361"/>
    </row>
    <row r="19" spans="1:23">
      <c r="A19" s="514" t="s">
        <v>6</v>
      </c>
      <c r="B19" s="514" t="s">
        <v>7</v>
      </c>
      <c r="C19" s="514" t="s">
        <v>8</v>
      </c>
      <c r="D19" s="514" t="s">
        <v>9</v>
      </c>
      <c r="E19" s="514" t="s">
        <v>10</v>
      </c>
      <c r="F19" s="514" t="s">
        <v>11</v>
      </c>
      <c r="G19" s="371" t="s">
        <v>12</v>
      </c>
      <c r="H19" s="514" t="s">
        <v>13</v>
      </c>
      <c r="I19" s="514" t="s">
        <v>14</v>
      </c>
      <c r="J19" s="368" t="s">
        <v>2197</v>
      </c>
      <c r="K19" s="368" t="s">
        <v>2232</v>
      </c>
      <c r="L19" s="372" t="s">
        <v>86</v>
      </c>
      <c r="M19" s="173"/>
      <c r="N19" s="405" t="str">
        <f>VLOOKUP(Class,Helpers!M23:O31,3,0)</f>
        <v>Medium</v>
      </c>
      <c r="O19" s="173"/>
      <c r="P19" s="173"/>
      <c r="Q19" s="398" t="str" cm="1">
        <f t="array" ref="Q19">_xlfn.LET(_xlpm.val,VLOOKUP($P19,SignetPassives,3,FALSE),IF(ISNA(_xlpm.val),"",_xlpm.val))</f>
        <v/>
      </c>
      <c r="R19" s="362" t="str" cm="1">
        <f t="array" ref="R19">_xlfn.LET(_xlpm.val,VLOOKUP($P19,SignetPassives,4,FALSE),IF(ISNA(_xlpm.val),"",IF(_xlpm.val&lt;1,_xlpm.val*INDEX($A$19:$I$20,2,MATCH($Q19,$A$19:$I$19,0)),_xlpm.val)))</f>
        <v/>
      </c>
      <c r="S19" s="361"/>
      <c r="T19" s="361"/>
      <c r="U19" s="361"/>
      <c r="V19" s="361"/>
      <c r="W19" s="361"/>
    </row>
    <row r="20" spans="1:23" ht="18">
      <c r="A20" s="370">
        <f>SUM('Build &amp; Totals'!C17:C31,'Build &amp; Totals'!C50,IF(UtilBonusType = "Flat",'Build &amp; Totals'!C51, 0),'Build &amp; Totals'!C40:C44,'Build &amp; Totals'!C33:C38,SUMIFS($P$13:$P$15,$N$13:$N$15,A19,$O$13:$O$15,"Flat"),TraitPowerFlatTotal,1000)</f>
        <v>1657</v>
      </c>
      <c r="B20" s="370">
        <f>SUM('Build &amp; Totals'!D17:D31,'Build &amp; Totals'!D50,IF(UtilBonusType = "Flat",'Build &amp; Totals'!D51, 0),'Build &amp; Totals'!D40:D44,'Build &amp; Totals'!D33:D38,SUMIFS($P$13:$P$15,$N$13:$N$15,B19,$O$13:$O$15,"Flat"),TraitPrecisionFlatTotal,1000)</f>
        <v>1594</v>
      </c>
      <c r="C20" s="370">
        <f>SUM('Build &amp; Totals'!E17:E31,'Build &amp; Totals'!E50,IF(UtilBonusType = "Flat",'Build &amp; Totals'!E51, 0),'Build &amp; Totals'!E40:E44,'Build &amp; Totals'!E33:E38,SUMIFS($P$13:$P$15,$N$13:$N$15,C19,$O$13:$O$15,"Flat"),TraitToughnessFlatTotal,1000)</f>
        <v>1221</v>
      </c>
      <c r="D20" s="370">
        <f>SUM('Build &amp; Totals'!F17:F31,'Build &amp; Totals'!F50,IF(UtilBonusType = "Flat",'Build &amp; Totals'!F51, 0),'Build &amp; Totals'!F40:F44,'Build &amp; Totals'!F33:F38,SUMIFS($P$13:$P$15,$N$13:$N$15,D19,$O$13:$O$15,"Flat"),TraitVitalityFlatTotal,1000)</f>
        <v>1156</v>
      </c>
      <c r="E20" s="370">
        <f>SUM('Build &amp; Totals'!G17:G31,'Build &amp; Totals'!G50,IF(UtilBonusType = "Flat",'Build &amp; Totals'!G51, 0),'Build &amp; Totals'!G40:G44,'Build &amp; Totals'!G46:G48,'Build &amp; Totals'!G33:G38,SUMIFS($P$13:$P$15,$N$13:$N$15,E19,$O$13:$O$15,"Flat"),TraitConcentrationFlatTotal)</f>
        <v>10</v>
      </c>
      <c r="F20" s="370">
        <f>SUM('Build &amp; Totals'!H17:H31,'Build &amp; Totals'!H50,IF(UtilBonusType = "Flat",'Build &amp; Totals'!H51, 0),'Build &amp; Totals'!H40:H44,'Build &amp; Totals'!H33:H38,SUMIFS($P$13:$P$15,$N$13:$N$15,F19,$O$13:$O$15,"Flat"),TraitConditionDamageFlatTotal)</f>
        <v>240</v>
      </c>
      <c r="G20" s="370">
        <f>SUM('Build &amp; Totals'!I17:I31,'Build &amp; Totals'!I50,IF(UtilBonusType = "Flat",'Build &amp; Totals'!I51, 0),'Build &amp; Totals'!I40:I44,'Build &amp; Totals'!I33:I38,SUMIFS($P$13:$P$15,$N$13:$N$15,G19,$O$13:$O$15,"Flat"),TraitExpertiseFlatTotal)</f>
        <v>260</v>
      </c>
      <c r="H20" s="370">
        <f>SUM('Build &amp; Totals'!J17:J31,'Build &amp; Totals'!J50,IF(UtilBonusType = "Flat",'Build &amp; Totals'!J51, 0),'Build &amp; Totals'!J40:J44,'Build &amp; Totals'!J46:J48,'Build &amp; Totals'!J33:J38,SUMIFS($P$13:$P$15,$N$13:$N$15,H19,$O$13:$O$15,"Flat"),TraitFerocityFlatTotal)</f>
        <v>248</v>
      </c>
      <c r="I20" s="370">
        <f>SUM('Build &amp; Totals'!K17:K31,'Build &amp; Totals'!K50,IF(UtilBonusType = "Flat",'Build &amp; Totals'!K51, 0),'Build &amp; Totals'!K40:K44,'Build &amp; Totals'!K46:K48,'Build &amp; Totals'!K33:K38,SUMIFS($P$13:$P$15,$N$13:$N$15,I19,$O$13:$O$15,"Flat"),TraitHealingPowerFlatTotal)</f>
        <v>47</v>
      </c>
      <c r="J20" s="373" t="s">
        <v>3522</v>
      </c>
      <c r="K20" s="373" t="s">
        <v>3522</v>
      </c>
      <c r="L20" s="374" t="s">
        <v>3522</v>
      </c>
      <c r="M20" s="173"/>
      <c r="N20" s="173"/>
      <c r="O20" s="173"/>
      <c r="P20" s="399"/>
      <c r="Q20" s="400"/>
      <c r="R20" s="363"/>
      <c r="S20" s="361"/>
      <c r="T20" s="361"/>
      <c r="U20" s="361"/>
      <c r="V20" s="361"/>
      <c r="W20" s="361"/>
    </row>
    <row r="21" spans="1:23">
      <c r="C21" s="346"/>
      <c r="M21" s="173"/>
      <c r="N21" s="173"/>
      <c r="O21" s="173"/>
      <c r="P21" s="401"/>
      <c r="Q21" s="402"/>
      <c r="R21" s="364"/>
      <c r="S21" s="361"/>
      <c r="T21" s="361"/>
      <c r="U21" s="361"/>
      <c r="V21" s="361"/>
      <c r="W21" s="361"/>
    </row>
    <row r="22" spans="1:23">
      <c r="M22" s="578" t="s">
        <v>3523</v>
      </c>
      <c r="N22" s="578"/>
      <c r="O22" s="578"/>
      <c r="P22" s="403"/>
      <c r="Q22" s="404"/>
      <c r="R22" s="365"/>
      <c r="S22" s="361"/>
      <c r="T22" s="361"/>
      <c r="U22" s="361"/>
      <c r="V22" s="361"/>
      <c r="W22" s="361"/>
    </row>
    <row r="23" spans="1:23">
      <c r="A23" s="325" t="s">
        <v>3524</v>
      </c>
      <c r="M23" s="397" t="s">
        <v>573</v>
      </c>
      <c r="N23" s="328">
        <v>9212</v>
      </c>
      <c r="O23" s="330" t="s">
        <v>3525</v>
      </c>
      <c r="P23" s="398"/>
      <c r="Q23" s="173"/>
      <c r="R23" s="362"/>
      <c r="S23" s="361"/>
      <c r="T23" s="361"/>
      <c r="U23" s="361"/>
      <c r="V23" s="361"/>
      <c r="W23" s="361"/>
    </row>
    <row r="24" spans="1:23">
      <c r="A24" s="306" t="str">
        <f>Spec1</f>
        <v>Illusions</v>
      </c>
      <c r="M24" s="177" t="s">
        <v>109</v>
      </c>
      <c r="N24" s="178">
        <v>1645</v>
      </c>
      <c r="O24" s="179" t="s">
        <v>3525</v>
      </c>
      <c r="P24" s="398"/>
      <c r="Q24" s="398"/>
      <c r="R24" s="361"/>
      <c r="S24" s="361"/>
      <c r="T24" s="361"/>
      <c r="U24" s="361"/>
      <c r="V24" s="361"/>
      <c r="W24" s="361"/>
    </row>
    <row r="25" spans="1:23">
      <c r="A25" s="316" t="str">
        <f>Spec2</f>
        <v>Inspiration</v>
      </c>
      <c r="M25" s="177" t="s">
        <v>343</v>
      </c>
      <c r="N25" s="178">
        <v>5922</v>
      </c>
      <c r="O25" s="179" t="s">
        <v>3525</v>
      </c>
      <c r="P25" s="398"/>
      <c r="Q25" s="398"/>
      <c r="R25" s="361"/>
      <c r="S25" s="361"/>
      <c r="T25" s="361"/>
      <c r="U25" s="361"/>
      <c r="V25" s="361"/>
      <c r="W25" s="361"/>
    </row>
    <row r="26" spans="1:23">
      <c r="A26" s="390" t="str">
        <f>Spec3</f>
        <v>Troubadour</v>
      </c>
      <c r="M26" s="406" t="s">
        <v>3</v>
      </c>
      <c r="N26" s="178">
        <v>5922</v>
      </c>
      <c r="O26" s="179" t="s">
        <v>3526</v>
      </c>
      <c r="P26" s="398"/>
      <c r="Q26" s="398"/>
      <c r="R26" s="361"/>
      <c r="S26" s="361"/>
      <c r="T26" s="361"/>
      <c r="U26" s="361"/>
      <c r="V26" s="361"/>
      <c r="W26" s="361"/>
    </row>
    <row r="27" spans="1:23">
      <c r="M27" s="177" t="s">
        <v>1263</v>
      </c>
      <c r="N27" s="178">
        <v>1645</v>
      </c>
      <c r="O27" s="179" t="s">
        <v>3526</v>
      </c>
      <c r="P27" s="398"/>
      <c r="Q27" s="398"/>
      <c r="R27" s="361"/>
      <c r="S27" s="361"/>
      <c r="T27" s="361"/>
      <c r="U27" s="361"/>
      <c r="V27" s="361"/>
      <c r="W27" s="361"/>
    </row>
    <row r="28" spans="1:23">
      <c r="A28" s="585" t="s">
        <v>3527</v>
      </c>
      <c r="B28" s="585"/>
      <c r="L28" s="361"/>
      <c r="M28" s="177" t="s">
        <v>1034</v>
      </c>
      <c r="N28" s="178">
        <v>5922</v>
      </c>
      <c r="O28" s="179" t="s">
        <v>3526</v>
      </c>
      <c r="P28" s="398"/>
      <c r="Q28" s="398"/>
      <c r="R28" s="361"/>
      <c r="S28" s="361"/>
      <c r="T28" s="361"/>
      <c r="U28" s="361"/>
      <c r="V28" s="361"/>
      <c r="W28" s="361"/>
    </row>
    <row r="29" spans="1:23">
      <c r="A29" s="311" t="s">
        <v>7</v>
      </c>
      <c r="B29" s="391">
        <f>SUM('Build &amp; Totals'!D4:D54)+1000</f>
        <v>1594</v>
      </c>
      <c r="L29" s="361"/>
      <c r="M29" s="406" t="s">
        <v>1717</v>
      </c>
      <c r="N29" s="178">
        <v>5922</v>
      </c>
      <c r="O29" s="179" t="s">
        <v>3528</v>
      </c>
      <c r="P29" s="398"/>
      <c r="Q29" s="398"/>
      <c r="R29" s="361"/>
      <c r="S29" s="361"/>
      <c r="T29" s="361"/>
      <c r="U29" s="361"/>
      <c r="V29" s="361"/>
      <c r="W29" s="361"/>
    </row>
    <row r="30" spans="1:23">
      <c r="A30" s="207" t="s">
        <v>10</v>
      </c>
      <c r="B30" s="392">
        <f>SUM('Build &amp; Totals'!G4:G54)</f>
        <v>10</v>
      </c>
      <c r="L30" s="361"/>
      <c r="M30" s="406" t="s">
        <v>1492</v>
      </c>
      <c r="N30" s="178">
        <v>1645</v>
      </c>
      <c r="O30" s="179" t="s">
        <v>3528</v>
      </c>
      <c r="P30" s="398"/>
      <c r="Q30" s="398"/>
      <c r="R30" s="361"/>
      <c r="S30" s="361"/>
      <c r="T30" s="361"/>
      <c r="U30" s="361"/>
      <c r="V30" s="361"/>
      <c r="W30" s="361"/>
    </row>
    <row r="31" spans="1:23">
      <c r="A31" s="393" t="s">
        <v>12</v>
      </c>
      <c r="B31" s="394">
        <f>SUM('Build &amp; Totals'!I4:I54)</f>
        <v>260</v>
      </c>
      <c r="L31" s="361"/>
      <c r="M31" s="407" t="s">
        <v>1937</v>
      </c>
      <c r="N31" s="182">
        <v>9212</v>
      </c>
      <c r="O31" s="184" t="s">
        <v>3528</v>
      </c>
      <c r="P31" s="398"/>
      <c r="Q31" s="398"/>
      <c r="R31" s="361"/>
      <c r="S31" s="361"/>
      <c r="T31" s="361"/>
      <c r="U31" s="361"/>
      <c r="V31" s="361"/>
      <c r="W31" s="361"/>
    </row>
    <row r="32" spans="1:23" ht="15" customHeight="1">
      <c r="L32" s="361"/>
      <c r="M32" s="361"/>
      <c r="N32" s="361"/>
      <c r="O32" s="361"/>
      <c r="P32" s="361"/>
      <c r="Q32" s="361"/>
      <c r="R32" s="361"/>
      <c r="S32" s="361"/>
      <c r="T32" s="361"/>
      <c r="U32" s="361"/>
      <c r="V32" s="361"/>
      <c r="W32" s="361"/>
    </row>
    <row r="33" spans="1:23" ht="15" customHeight="1">
      <c r="A33" s="454" t="s">
        <v>3529</v>
      </c>
      <c r="L33" s="361"/>
      <c r="M33" s="366"/>
      <c r="N33" s="361"/>
      <c r="O33" s="361"/>
      <c r="P33" s="361"/>
      <c r="Q33" s="361"/>
      <c r="R33" s="361"/>
      <c r="S33" s="361"/>
      <c r="T33" s="361"/>
      <c r="U33" s="361"/>
      <c r="V33" s="361"/>
      <c r="W33" s="361"/>
    </row>
    <row r="34" spans="1:23">
      <c r="A34" s="457" t="s">
        <v>4</v>
      </c>
      <c r="L34" s="361"/>
      <c r="M34" s="361"/>
      <c r="N34" s="361"/>
      <c r="O34" s="361"/>
      <c r="P34" s="361"/>
      <c r="Q34" s="361"/>
      <c r="R34" s="361"/>
      <c r="S34" s="361"/>
      <c r="T34" s="361"/>
      <c r="U34" s="361"/>
      <c r="V34" s="361"/>
      <c r="W34" s="361"/>
    </row>
    <row r="35" spans="1:23">
      <c r="A35" s="458" t="s">
        <v>6</v>
      </c>
      <c r="L35" s="361"/>
      <c r="M35" s="361"/>
      <c r="N35" s="361"/>
      <c r="O35" s="361"/>
      <c r="P35" s="361"/>
      <c r="Q35" s="361"/>
      <c r="R35" s="361"/>
      <c r="S35" s="361"/>
      <c r="T35" s="361"/>
      <c r="U35" s="361"/>
      <c r="V35" s="361"/>
      <c r="W35" s="361"/>
    </row>
    <row r="36" spans="1:23">
      <c r="A36" s="458" t="s">
        <v>7</v>
      </c>
    </row>
    <row r="37" spans="1:23">
      <c r="A37" s="458" t="s">
        <v>8</v>
      </c>
    </row>
    <row r="38" spans="1:23">
      <c r="A38" s="458" t="s">
        <v>9</v>
      </c>
    </row>
    <row r="39" spans="1:23">
      <c r="A39" s="458" t="s">
        <v>10</v>
      </c>
    </row>
    <row r="40" spans="1:23">
      <c r="A40" s="458" t="s">
        <v>11</v>
      </c>
    </row>
    <row r="41" spans="1:23">
      <c r="A41" s="458" t="s">
        <v>12</v>
      </c>
    </row>
    <row r="42" spans="1:23">
      <c r="A42" s="458" t="s">
        <v>13</v>
      </c>
    </row>
    <row r="43" spans="1:23">
      <c r="A43" s="459" t="s">
        <v>14</v>
      </c>
    </row>
  </sheetData>
  <sheetProtection sheet="1" objects="1" scenarios="1"/>
  <mergeCells count="13">
    <mergeCell ref="A28:B28"/>
    <mergeCell ref="A18:L18"/>
    <mergeCell ref="A1:J1"/>
    <mergeCell ref="E2:H2"/>
    <mergeCell ref="A2:D2"/>
    <mergeCell ref="A14:B14"/>
    <mergeCell ref="M22:O22"/>
    <mergeCell ref="M1:P1"/>
    <mergeCell ref="A6:B6"/>
    <mergeCell ref="A10:E10"/>
    <mergeCell ref="F10:J10"/>
    <mergeCell ref="M11:P11"/>
    <mergeCell ref="M10:P10"/>
  </mergeCells>
  <dataValidations count="8">
    <dataValidation allowBlank="1" showInputMessage="1" showErrorMessage="1" promptTitle="Named Range" prompt="Named range list to filter remaining available options with Specialisation Filter &amp; Elite Specialisation Check in Trait Filters &amp; Checks sheet." sqref="A23" xr:uid="{D8D15C8D-665B-4948-9FA5-DC248A05197D}"/>
    <dataValidation allowBlank="1" showInputMessage="1" showErrorMessage="1" promptTitle="Named Range" prompt="Used to find appropriate Defence values for gear in Build &amp; Totals." sqref="N18" xr:uid="{DA2187E4-FC52-48E3-B1A6-0486B8075E5E}"/>
    <dataValidation allowBlank="1" showInputMessage="1" showErrorMessage="1" promptTitle="Resolution Table" prompt="Utility bonus resolution based on bonus type(s) assigned." sqref="A1:J1" xr:uid="{EF7E9591-341E-4BF3-A70C-4FB0AB19C12A}"/>
    <dataValidation allowBlank="1" showInputMessage="1" showErrorMessage="1" promptTitle="Helper Table" prompt="Used to calculate percentage-based bonus values. Crit Chance, Crit Damage and Condition Duration included for functionality in Conditionals Helper." sqref="A18:L18" xr:uid="{0F3DE5DF-3DF5-4E36-9041-846010EE16BD}"/>
    <dataValidation allowBlank="1" showInputMessage="1" showErrorMessage="1" promptTitle="Named Range" prompt="Named ranges for inclusion of hard cap limits in Build &amp; Totals." sqref="A28:B28" xr:uid="{4F263D52-E7F1-44D1-AB16-FF0A7ADE531D}"/>
    <dataValidation allowBlank="1" showInputMessage="1" showErrorMessage="1" promptTitle="Helper Table &amp; Named Range" prompt="Used in resolving bonus attributes and values based on rune selection count." sqref="M1:P1" xr:uid="{6CAAFB56-FF7B-4E2D-BBFE-964232F6C613}"/>
    <dataValidation allowBlank="1" showInputMessage="1" showErrorMessage="1" promptTitle="Named Range" prompt="Used in Build &amp; Totals." sqref="M10" xr:uid="{118B5431-C8D2-431F-97F0-79C669436DAC}"/>
    <dataValidation allowBlank="1" showInputMessage="1" showErrorMessage="1" promptTitle="Helper Table" sqref="M22:O22" xr:uid="{E62BF2AA-77B7-4E72-8774-BDD2800EC1CF}"/>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FE95F-E2B5-41A3-B57D-0E4F9099BA06}">
  <dimension ref="A1:AY85"/>
  <sheetViews>
    <sheetView topLeftCell="Q1" workbookViewId="0">
      <selection activeCell="Z5" sqref="Z5"/>
    </sheetView>
  </sheetViews>
  <sheetFormatPr defaultRowHeight="15"/>
  <cols>
    <col min="1" max="1" width="16" bestFit="1" customWidth="1"/>
    <col min="2" max="2" width="18" bestFit="1" customWidth="1"/>
    <col min="3" max="3" width="21.85546875" bestFit="1" customWidth="1"/>
    <col min="4" max="4" width="22.42578125" bestFit="1" customWidth="1"/>
    <col min="5" max="5" width="36.5703125" bestFit="1" customWidth="1"/>
    <col min="6" max="6" width="21.42578125" bestFit="1" customWidth="1"/>
    <col min="7" max="7" width="24" bestFit="1" customWidth="1"/>
    <col min="8" max="8" width="21.85546875" bestFit="1" customWidth="1"/>
    <col min="9" max="9" width="17.42578125" bestFit="1" customWidth="1"/>
    <col min="10" max="10" width="14.85546875" bestFit="1" customWidth="1"/>
    <col min="11" max="11" width="18.140625" bestFit="1" customWidth="1"/>
    <col min="12" max="12" width="12.5703125" bestFit="1" customWidth="1"/>
    <col min="13" max="13" width="10.140625" bestFit="1" customWidth="1"/>
    <col min="14" max="14" width="7.28515625" bestFit="1" customWidth="1"/>
    <col min="15" max="15" width="11.140625" bestFit="1" customWidth="1"/>
    <col min="16" max="16" width="18.7109375" customWidth="1"/>
    <col min="17" max="17" width="17.42578125" bestFit="1" customWidth="1"/>
    <col min="18" max="18" width="16.140625" bestFit="1" customWidth="1"/>
    <col min="19" max="19" width="36.5703125" bestFit="1" customWidth="1"/>
    <col min="20" max="20" width="12" bestFit="1" customWidth="1"/>
    <col min="21" max="22" width="17.42578125" bestFit="1" customWidth="1"/>
    <col min="24" max="24" width="17.42578125" bestFit="1" customWidth="1"/>
    <col min="25" max="25" width="20.85546875" bestFit="1" customWidth="1"/>
    <col min="26" max="35" width="2" bestFit="1" customWidth="1"/>
    <col min="36" max="51" width="3" bestFit="1" customWidth="1"/>
  </cols>
  <sheetData>
    <row r="1" spans="1:51" ht="18.75" customHeight="1">
      <c r="A1" s="518" t="s">
        <v>3530</v>
      </c>
      <c r="B1" s="518"/>
      <c r="C1" s="518"/>
      <c r="D1" s="518"/>
      <c r="E1" s="518"/>
      <c r="F1" s="518"/>
      <c r="G1" s="518"/>
      <c r="H1" s="28"/>
      <c r="J1" s="591" t="s">
        <v>3531</v>
      </c>
      <c r="K1" s="591"/>
      <c r="L1" s="591"/>
      <c r="M1" s="591"/>
      <c r="Q1" s="591" t="s">
        <v>3532</v>
      </c>
      <c r="R1" s="591"/>
      <c r="S1" s="591"/>
      <c r="T1" s="591"/>
      <c r="U1" s="591"/>
      <c r="V1" s="591"/>
      <c r="X1" s="591" t="s">
        <v>3533</v>
      </c>
      <c r="Y1" s="591"/>
    </row>
    <row r="2" spans="1:51">
      <c r="A2" s="237" t="s">
        <v>104</v>
      </c>
      <c r="B2" s="238" t="s">
        <v>94</v>
      </c>
      <c r="C2" s="238" t="s">
        <v>19</v>
      </c>
      <c r="D2" s="238" t="s">
        <v>95</v>
      </c>
      <c r="E2" s="238" t="s">
        <v>22</v>
      </c>
      <c r="F2" s="238" t="s">
        <v>98</v>
      </c>
      <c r="G2" s="238" t="s">
        <v>24</v>
      </c>
      <c r="H2" s="239" t="s">
        <v>3534</v>
      </c>
      <c r="J2" s="223" t="s">
        <v>103</v>
      </c>
      <c r="K2" s="224" t="s">
        <v>104</v>
      </c>
      <c r="L2" s="224" t="s">
        <v>3369</v>
      </c>
      <c r="M2" s="225" t="s">
        <v>107</v>
      </c>
      <c r="P2" s="5"/>
      <c r="Q2" s="592" t="str">
        <f>IF(Spec1 = 0, "(Select)",Spec1)</f>
        <v>Illusions</v>
      </c>
      <c r="R2" s="592"/>
      <c r="S2" s="592"/>
      <c r="T2" s="592"/>
      <c r="U2" s="592"/>
      <c r="V2" s="592"/>
      <c r="X2" s="600" t="str">
        <f>IF(Spec1 = 0, "(Select)",Spec1)</f>
        <v>Illusions</v>
      </c>
      <c r="Y2" s="600"/>
    </row>
    <row r="3" spans="1:51">
      <c r="A3" s="595" t="str">
        <f>IF(Spec1 = 0,"(Select)",Spec1)</f>
        <v>Illusions</v>
      </c>
      <c r="B3" s="589" t="str" cm="1">
        <f t="array" ref="B3">_xlfn.LET(_xlpm.val,_xlfn._xlws.FILTER('Full Traits'!$A:$A,('Full Traits'!$C:$C=$A$3) * ('Full Traits'!$D:$D=B$2),""),IF(_xlpm.val="","(Select)",_xlpm.val))</f>
        <v>Cry of Pain</v>
      </c>
      <c r="C3" s="203" t="s">
        <v>4</v>
      </c>
      <c r="D3" s="589" t="str" cm="1">
        <f t="array" ref="D3">_xlfn.LET(_xlpm.val,_xlfn._xlws.FILTER('Full Traits'!$A:$A,('Full Traits'!$C:$C=$A$3) * ('Full Traits'!$D:$D=D$2),""),IF(_xlpm.val="","(Select)",_xlpm.val))</f>
        <v>Compounding Power</v>
      </c>
      <c r="E3" s="203" t="s">
        <v>4</v>
      </c>
      <c r="F3" s="589" t="str" cm="1">
        <f t="array" ref="F3">_xlfn.LET(_xlpm.val,_xlfn._xlws.FILTER('Full Traits'!$A:$A,('Full Traits'!$C:$C=$A$3) * ('Full Traits'!$D:$D=F$2),""),IF(_xlpm.val="","(Select)",_xlpm.val))</f>
        <v>Master of Misdirection</v>
      </c>
      <c r="G3" s="203" t="s">
        <v>4</v>
      </c>
      <c r="H3" s="601" cm="1">
        <f t="array" ref="H3">_xlfn.LET(_xlpm.specCheck,INDEX($J$4:$K$85,MATCH(Spec1,$K$4:$K$85,0),1),IF(OR(_xlpm.specCheck=Class,_xlpm.specCheck=0),1,0))</f>
        <v>0</v>
      </c>
      <c r="J3" s="223"/>
      <c r="K3" s="224"/>
      <c r="L3" s="224"/>
      <c r="M3" s="225"/>
      <c r="P3" s="5"/>
      <c r="Q3" s="267" t="s">
        <v>94</v>
      </c>
      <c r="R3" s="268" t="s">
        <v>19</v>
      </c>
      <c r="S3" s="268" t="s">
        <v>95</v>
      </c>
      <c r="T3" s="268" t="s">
        <v>22</v>
      </c>
      <c r="U3" s="268" t="s">
        <v>98</v>
      </c>
      <c r="V3" s="269" t="s">
        <v>24</v>
      </c>
      <c r="X3" s="275" t="s">
        <v>94</v>
      </c>
      <c r="Y3" s="278" t="str">
        <f>Spec1MinorAdept</f>
        <v>Cry of Pain</v>
      </c>
      <c r="Z3" s="274" cm="1">
        <f t="array" ref="Z3">_xlfn.LET(_xlpm.stackmax,INDEX(TraitStats,MATCH(Spec1MinorAdept,TraitStatsTable[Name],0),13),_xlpm.seq,IF(ISNA(_xlpm.stackmax),0,IF(_xlpm.stackmax=0,0,_xlfn.SEQUENCE(1,_xlpm.stackmax+1,0,1))),_xlpm.seq)</f>
        <v>0</v>
      </c>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30"/>
    </row>
    <row r="4" spans="1:51" ht="17.25" customHeight="1">
      <c r="A4" s="595"/>
      <c r="B4" s="589"/>
      <c r="C4" s="314" t="str" cm="1">
        <f t="array" ref="C4:C6">_xlfn._xlws.FILTER('Full Traits'!$A:$A,('Full Traits'!$C:$C=$A3) * ('Full Traits'!$D:$D=C$2),"")</f>
        <v>Shatter Storm</v>
      </c>
      <c r="D4" s="589"/>
      <c r="E4" s="314" t="str" cm="1">
        <f t="array" ref="E4:E6">_xlfn._xlws.FILTER('Full Traits'!$A:$A,('Full Traits'!$C:$C=$A3) * ('Full Traits'!$D:$D=E$2),"")</f>
        <v>Escape Artist</v>
      </c>
      <c r="F4" s="589"/>
      <c r="G4" s="314" t="str" cm="1">
        <f t="array" ref="G4:G6">_xlfn._xlws.FILTER('Full Traits'!$A:$A,('Full Traits'!$C:$C=$A3) * ('Full Traits'!$D:$D=G$2),"")</f>
        <v>Phantasmal Force</v>
      </c>
      <c r="H4" s="601"/>
      <c r="J4" s="234"/>
      <c r="K4" s="226" t="s">
        <v>4</v>
      </c>
      <c r="L4" s="227" t="s">
        <v>3535</v>
      </c>
      <c r="M4" s="228" t="s">
        <v>4</v>
      </c>
      <c r="P4" s="5"/>
      <c r="Q4" s="270" t="s">
        <v>4</v>
      </c>
      <c r="R4" s="271" t="s">
        <v>4</v>
      </c>
      <c r="S4" s="271" t="s">
        <v>4</v>
      </c>
      <c r="T4" s="271" t="s">
        <v>4</v>
      </c>
      <c r="U4" s="271" t="s">
        <v>4</v>
      </c>
      <c r="V4" s="228" t="s">
        <v>4</v>
      </c>
      <c r="X4" s="276" t="s">
        <v>19</v>
      </c>
      <c r="Y4" s="279" t="str">
        <f>Spec1MajorAdept</f>
        <v>Persistence of Memory</v>
      </c>
      <c r="Z4" s="274" cm="1">
        <f t="array" ref="Z4">_xlfn.LET(_xlpm.stackmax,INDEX(TraitStats,MATCH(Spec1MajorAdept,TraitStatsTable[Name],0),13),_xlpm.seq,IF(ISNA(_xlpm.stackmax),0,IF(_xlpm.stackmax=0,0,_xlfn.SEQUENCE(1,_xlpm.stackmax+1,0,1))),_xlpm.seq)</f>
        <v>0</v>
      </c>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30"/>
    </row>
    <row r="5" spans="1:51">
      <c r="A5" s="595"/>
      <c r="B5" s="589"/>
      <c r="C5" s="195" t="str">
        <v>Persistence of Memory</v>
      </c>
      <c r="D5" s="589"/>
      <c r="E5" s="195" t="str">
        <v>Phantasmal Haste</v>
      </c>
      <c r="F5" s="589"/>
      <c r="G5" s="195" t="str">
        <v>Master of Fragmentation</v>
      </c>
      <c r="H5" s="601"/>
      <c r="J5" s="235" t="s">
        <v>109</v>
      </c>
      <c r="K5" s="229" t="s">
        <v>110</v>
      </c>
      <c r="L5" s="218" t="s">
        <v>3535</v>
      </c>
      <c r="M5" s="230" t="str" cm="1">
        <f t="array" ref="M5">_xlfn.LET(_xlpm.EliteList,_xlfn._xlws.FILTER($K$2:$K$85,$L$2:$L$85="Elite"),IF($J5=Class,IF(COUNTIF(ChosenSpecs,$K5)=0,IF(AND($L5="Elite",SUM(COUNTIF(ChosenSpecs,_xlpm.EliteList))&gt;0),"",$K5),""),""))</f>
        <v/>
      </c>
      <c r="Q5" s="274" t="str" cm="1">
        <f t="array" ref="Q5">_xlfn.LET(_xlpm.filter,_xlfn._xlws.FILTER('Trait Stats'!$J:$J,'Trait Stats'!$A:$A=Spec1MinorAdept,""),IF(_xlpm.filter=0,"",_xlpm.filter))</f>
        <v/>
      </c>
      <c r="R5" s="218" t="str" cm="1">
        <f t="array" ref="R5">_xlfn.LET(_xlpm.filter,_xlfn._xlws.FILTER('Trait Stats'!$J:$J,'Trait Stats'!$A:$A=Spec1MajorAdept,""),IF(_xlpm.filter=0,"",_xlpm.filter))</f>
        <v/>
      </c>
      <c r="S5" s="218" t="str" cm="1">
        <f t="array" ref="S5">_xlfn.LET(_xlpm.filter,_xlfn._xlws.FILTER('Trait Stats'!$J:$J,'Trait Stats'!$A:$A=Spec1MinorMaster,""),IF(_xlpm.filter=0,"",_xlpm.filter))</f>
        <v>Illusion created</v>
      </c>
      <c r="T5" s="218" t="str" cm="1">
        <f t="array" ref="T5">_xlfn.LET(_xlpm.filter,_xlfn._xlws.FILTER(TraitStatsTable[Condition],TraitStatsTable[Name]=Spec1MajorMaster,""),IF(_xlpm.filter=0,"",_xlpm.filter))</f>
        <v/>
      </c>
      <c r="U5" s="218" t="str" cm="1">
        <f t="array" ref="U5">_xlfn.LET(_xlpm.filter,_xlfn._xlws.FILTER('Trait Stats'!$J:$J,'Trait Stats'!$A:$A=Spec1MinorGrandmaster,""),IF(_xlpm.filter=0,"",_xlpm.filter))</f>
        <v/>
      </c>
      <c r="V5" s="230" t="str" cm="1">
        <f t="array" ref="V5">_xlfn.LET(_xlpm.filter,_xlfn._xlws.FILTER('Trait Stats'!$J:$J,'Trait Stats'!$A:$A=Spec1MajorGrandmaster,""),IF(_xlpm.filter=0,"",_xlpm.filter))</f>
        <v/>
      </c>
      <c r="X5" s="276" t="s">
        <v>95</v>
      </c>
      <c r="Y5" s="279" t="str">
        <f>Spec1MinorMaster</f>
        <v>Compounding Power</v>
      </c>
      <c r="Z5" s="274" cm="1">
        <f t="array" ref="Z5:AE5">_xlfn.LET(_xlpm.stackmax,INDEX(TraitStats,MATCH(Spec1MinorMaster,TraitStatsTable[Name],0),13),_xlpm.seq,IF(ISNA(_xlpm.stackmax),0,IF(_xlpm.stackmax=0,0,_xlfn.SEQUENCE(1,_xlpm.stackmax+1,0,1))),_xlpm.seq)</f>
        <v>0</v>
      </c>
      <c r="AA5" s="218">
        <v>1</v>
      </c>
      <c r="AB5" s="218">
        <v>2</v>
      </c>
      <c r="AC5" s="218">
        <v>3</v>
      </c>
      <c r="AD5" s="218">
        <v>4</v>
      </c>
      <c r="AE5" s="218">
        <v>5</v>
      </c>
      <c r="AF5" s="218"/>
      <c r="AG5" s="218"/>
      <c r="AH5" s="218"/>
      <c r="AI5" s="218"/>
      <c r="AJ5" s="218"/>
      <c r="AK5" s="218"/>
      <c r="AL5" s="218"/>
      <c r="AM5" s="218"/>
      <c r="AN5" s="218"/>
      <c r="AO5" s="218"/>
      <c r="AP5" s="218"/>
      <c r="AQ5" s="218"/>
      <c r="AR5" s="218"/>
      <c r="AS5" s="218"/>
      <c r="AT5" s="218"/>
      <c r="AU5" s="218"/>
      <c r="AV5" s="218"/>
      <c r="AW5" s="218"/>
      <c r="AX5" s="218"/>
      <c r="AY5" s="230"/>
    </row>
    <row r="6" spans="1:51">
      <c r="A6" s="596"/>
      <c r="B6" s="598"/>
      <c r="C6" s="241" t="str">
        <v>The Pledge</v>
      </c>
      <c r="D6" s="598"/>
      <c r="E6" s="241" t="str">
        <v>Maim the Disillusioned</v>
      </c>
      <c r="F6" s="598"/>
      <c r="G6" s="241" t="str">
        <v>Malicious Sorcery</v>
      </c>
      <c r="H6" s="602"/>
      <c r="J6" s="235" t="s">
        <v>109</v>
      </c>
      <c r="K6" s="229" t="s">
        <v>137</v>
      </c>
      <c r="L6" s="218" t="s">
        <v>3535</v>
      </c>
      <c r="M6" s="230" t="str" cm="1">
        <f t="array" ref="M6">_xlfn.LET(_xlpm.EliteList,_xlfn._xlws.FILTER($K$2:$K$85,$L$2:$L$85="Elite"),IF($J6=Class,IF(COUNTIF(ChosenSpecs,$K6)=0,IF(AND($L6="Elite",SUM(COUNTIF(ChosenSpecs,_xlpm.EliteList))&gt;0),"",$K6),""),""))</f>
        <v/>
      </c>
      <c r="Q6" s="274"/>
      <c r="R6" s="218"/>
      <c r="S6" s="218"/>
      <c r="T6" s="218"/>
      <c r="U6" s="218"/>
      <c r="V6" s="230"/>
      <c r="X6" s="276" t="s">
        <v>22</v>
      </c>
      <c r="Y6" s="279" t="str">
        <f>Spec1MajorMaster</f>
        <v>(Select)</v>
      </c>
      <c r="Z6" s="274" cm="1">
        <f t="array" ref="Z6">_xlfn.LET(_xlpm.stackmax,INDEX(TraitStats,MATCH(Spec1MajorMaster,TraitStatsTable[Name],0),13),_xlpm.seq,IF(ISNA(_xlpm.stackmax),0,IF(_xlpm.stackmax=0,0,_xlfn.SEQUENCE(1,_xlpm.stackmax+1,0,1))),_xlpm.seq)</f>
        <v>0</v>
      </c>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30"/>
    </row>
    <row r="7" spans="1:51">
      <c r="A7" s="595" t="str">
        <f>IF(Spec2 = 0,"(Select)",Spec2)</f>
        <v>Inspiration</v>
      </c>
      <c r="B7" s="589" t="str" cm="1">
        <f t="array" ref="B7">_xlfn.LET(_xlpm.val,_xlfn._xlws.FILTER('Full Traits'!$A:$A,('Full Traits'!$C:$C=$A$7) * ('Full Traits'!$D:$D=B$2),""),IF(_xlpm.val="","(Select)",_xlpm.val))</f>
        <v>Mender's Purity</v>
      </c>
      <c r="C7" s="203" t="s">
        <v>4</v>
      </c>
      <c r="D7" s="589" t="str" cm="1">
        <f t="array" ref="D7">_xlfn.LET(_xlpm.val,_xlfn._xlws.FILTER('Full Traits'!$A:$A,('Full Traits'!$C:$C=$A$7) * ('Full Traits'!$D:$D=D$2),""),IF(_xlpm.val="","(Select)",_xlpm.val))</f>
        <v>Inspiring Distortion</v>
      </c>
      <c r="E7" s="203" t="s">
        <v>4</v>
      </c>
      <c r="F7" s="589" t="str" cm="1">
        <f t="array" ref="F7">_xlfn.LET(_xlpm.val,_xlfn._xlws.FILTER('Full Traits'!$A:$A,('Full Traits'!$C:$C=$A$7) * ('Full Traits'!$D:$D=F$2),""),IF(_xlpm.val="","(Select)",_xlpm.val))</f>
        <v>Illusionary Inspiration</v>
      </c>
      <c r="G7" s="203" t="s">
        <v>4</v>
      </c>
      <c r="H7" s="601" cm="1">
        <f t="array" ref="H7">_xlfn.LET(_xlpm.specCheck,INDEX($J$4:$K$85,MATCH(Spec2,$K$4:$K$85,0),1),IF(OR(_xlpm.specCheck=Class,_xlpm.specCheck=0),1,0))</f>
        <v>0</v>
      </c>
      <c r="J7" s="235" t="s">
        <v>109</v>
      </c>
      <c r="K7" s="229" t="s">
        <v>162</v>
      </c>
      <c r="L7" s="218" t="s">
        <v>3535</v>
      </c>
      <c r="M7" s="230" t="str" cm="1">
        <f t="array" ref="M7">_xlfn.LET(_xlpm.EliteList,_xlfn._xlws.FILTER($K$2:$K$85,$L$2:$L$85="Elite"),IF($J7=Class,IF(COUNTIF(ChosenSpecs,$K7)=0,IF(AND($L7="Elite",SUM(COUNTIF(ChosenSpecs,_xlpm.EliteList))&gt;0),"",$K7),""),""))</f>
        <v/>
      </c>
      <c r="Q7" s="272"/>
      <c r="R7" s="218"/>
      <c r="S7" s="218"/>
      <c r="T7" s="218"/>
      <c r="U7" s="218"/>
      <c r="V7" s="230"/>
      <c r="X7" s="276" t="s">
        <v>98</v>
      </c>
      <c r="Y7" s="279" t="str">
        <f>Spec1MinorGrandmaster</f>
        <v>Master of Misdirection</v>
      </c>
      <c r="Z7" s="274" cm="1">
        <f t="array" ref="Z7">_xlfn.LET(_xlpm.stackmax,INDEX(TraitStats,MATCH(Spec1MinorGrandmaster,TraitStatsTable[Name],0),13),_xlpm.seq,IF(ISNA(_xlpm.stackmax),0,IF(_xlpm.stackmax=0,0,_xlfn.SEQUENCE(1,_xlpm.stackmax+1,0,1))),_xlpm.seq)</f>
        <v>0</v>
      </c>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30"/>
    </row>
    <row r="8" spans="1:51">
      <c r="A8" s="595"/>
      <c r="B8" s="589"/>
      <c r="C8" s="314" t="str" cm="1">
        <f t="array" ref="C8:C10">_xlfn._xlws.FILTER('Full Traits'!$A:$A,('Full Traits'!$C:$C=$A$7) * ('Full Traits'!$D:$D=C$2),"")</f>
        <v>Medic's Feedback</v>
      </c>
      <c r="D8" s="589"/>
      <c r="E8" s="314" t="str" cm="1">
        <f t="array" ref="E8:E10">_xlfn._xlws.FILTER('Full Traits'!$A:$A,('Full Traits'!$C:$C=$A$7) * ('Full Traits'!$D:$D=E$2),"")</f>
        <v>Warden's Feedback</v>
      </c>
      <c r="F8" s="589"/>
      <c r="G8" s="314" t="str" cm="1">
        <f t="array" ref="G8:G10">_xlfn._xlws.FILTER('Full Traits'!$A:$A,('Full Traits'!$C:$C=$A$7) * ('Full Traits'!$D:$D=G$2),"")</f>
        <v>Mental Defense</v>
      </c>
      <c r="H8" s="601"/>
      <c r="J8" s="235" t="s">
        <v>109</v>
      </c>
      <c r="K8" s="229" t="s">
        <v>187</v>
      </c>
      <c r="L8" s="218" t="s">
        <v>3535</v>
      </c>
      <c r="M8" s="230" t="str" cm="1">
        <f t="array" ref="M8">_xlfn.LET(_xlpm.EliteList,_xlfn._xlws.FILTER($K$2:$K$85,$L$2:$L$85="Elite"),IF($J8=Class,IF(COUNTIF(ChosenSpecs,$K8)=0,IF(AND($L8="Elite",SUM(COUNTIF(ChosenSpecs,_xlpm.EliteList))&gt;0),"",$K8),""),""))</f>
        <v/>
      </c>
      <c r="Q8" s="272"/>
      <c r="R8" s="218"/>
      <c r="S8" s="218"/>
      <c r="T8" s="218"/>
      <c r="U8" s="218"/>
      <c r="V8" s="230"/>
      <c r="X8" s="276" t="s">
        <v>24</v>
      </c>
      <c r="Y8" s="279" t="str">
        <f>Spec1MajorGrandmaster</f>
        <v>(Select)</v>
      </c>
      <c r="Z8" s="274" cm="1">
        <f t="array" ref="Z8">_xlfn.LET(_xlpm.stackmax,INDEX(TraitStats,MATCH(Spec1MajorGrandmaster,TraitStatsTable[Name],0),13),_xlpm.seq,IF(ISNA(_xlpm.stackmax),0,IF(_xlpm.stackmax=0,0,_xlfn.SEQUENCE(1,_xlpm.stackmax+1,0,1))),_xlpm.seq)</f>
        <v>0</v>
      </c>
      <c r="AA8" s="218"/>
      <c r="AB8" s="218"/>
      <c r="AC8" s="218"/>
      <c r="AD8" s="218"/>
      <c r="AE8" s="218"/>
      <c r="AF8" s="218"/>
      <c r="AG8" s="218"/>
      <c r="AH8" s="218"/>
      <c r="AI8" s="218"/>
      <c r="AJ8" s="218"/>
      <c r="AK8" s="218"/>
      <c r="AL8" s="218"/>
      <c r="AM8" s="218"/>
      <c r="AN8" s="218"/>
      <c r="AO8" s="218"/>
      <c r="AP8" s="218"/>
      <c r="AQ8" s="218"/>
      <c r="AR8" s="218"/>
      <c r="AS8" s="218"/>
      <c r="AT8" s="218"/>
      <c r="AU8" s="218"/>
      <c r="AV8" s="218"/>
      <c r="AW8" s="218"/>
      <c r="AX8" s="218"/>
      <c r="AY8" s="230"/>
    </row>
    <row r="9" spans="1:51">
      <c r="A9" s="595"/>
      <c r="B9" s="589"/>
      <c r="C9" s="195" t="str">
        <v>Restorative Mantras</v>
      </c>
      <c r="D9" s="589"/>
      <c r="E9" s="195" t="str">
        <v>Ego Restoration</v>
      </c>
      <c r="F9" s="589"/>
      <c r="G9" s="195" t="str">
        <v>Restorative Illusions</v>
      </c>
      <c r="H9" s="601"/>
      <c r="J9" s="235" t="s">
        <v>109</v>
      </c>
      <c r="K9" s="229" t="s">
        <v>212</v>
      </c>
      <c r="L9" s="218" t="s">
        <v>3535</v>
      </c>
      <c r="M9" s="230" t="str" cm="1">
        <f t="array" ref="M9">_xlfn.LET(_xlpm.EliteList,_xlfn._xlws.FILTER($K$2:$K$85,$L$2:$L$85="Elite"),IF($J9=Class,IF(COUNTIF(ChosenSpecs,$K9)=0,IF(AND($L9="Elite",SUM(COUNTIF(ChosenSpecs,_xlpm.EliteList))&gt;0),"",$K9),""),""))</f>
        <v/>
      </c>
      <c r="Q9" s="272"/>
      <c r="R9" s="218"/>
      <c r="S9" s="218"/>
      <c r="T9" s="218"/>
      <c r="U9" s="218"/>
      <c r="V9" s="230"/>
      <c r="X9" s="594" t="str">
        <f>IF(Spec2 = 0, "(Select)",Spec2)</f>
        <v>Inspiration</v>
      </c>
      <c r="Y9" s="594"/>
      <c r="Z9" s="266"/>
      <c r="AA9" s="265"/>
      <c r="AB9" s="265"/>
      <c r="AC9" s="265"/>
      <c r="AD9" s="265"/>
      <c r="AE9" s="265"/>
      <c r="AF9" s="265"/>
      <c r="AG9" s="265"/>
      <c r="AH9" s="265"/>
      <c r="AI9" s="265"/>
      <c r="AJ9" s="265"/>
      <c r="AK9" s="265"/>
      <c r="AL9" s="265"/>
      <c r="AM9" s="265"/>
      <c r="AN9" s="265"/>
      <c r="AO9" s="265"/>
      <c r="AP9" s="265"/>
      <c r="AQ9" s="265"/>
      <c r="AR9" s="265"/>
      <c r="AS9" s="265"/>
      <c r="AT9" s="265"/>
      <c r="AU9" s="265"/>
      <c r="AV9" s="265"/>
      <c r="AW9" s="265"/>
      <c r="AX9" s="265"/>
      <c r="AY9" s="265"/>
    </row>
    <row r="10" spans="1:51">
      <c r="A10" s="596"/>
      <c r="B10" s="598"/>
      <c r="C10" s="241" t="str">
        <v>Sympathetic Visage</v>
      </c>
      <c r="D10" s="598"/>
      <c r="E10" s="241" t="str">
        <v>Temporal Enchanter</v>
      </c>
      <c r="F10" s="598"/>
      <c r="G10" s="241" t="str">
        <v>Blurred Inscriptions</v>
      </c>
      <c r="H10" s="602"/>
      <c r="J10" s="235" t="s">
        <v>109</v>
      </c>
      <c r="K10" s="229" t="s">
        <v>237</v>
      </c>
      <c r="L10" s="218" t="s">
        <v>3536</v>
      </c>
      <c r="M10" s="230" t="str" cm="1">
        <f t="array" ref="M10">_xlfn.LET(_xlpm.EliteList,_xlfn._xlws.FILTER($K$2:$K$85,$L$2:$L$85="Elite"),IF($J10=Class,IF(COUNTIF(ChosenSpecs,$K10)=0,IF(AND($L10="Elite",SUM(COUNTIF(ChosenSpecs,_xlpm.EliteList))&gt;0),"",$K10),""),""))</f>
        <v/>
      </c>
      <c r="Q10" s="272"/>
      <c r="R10" s="218"/>
      <c r="S10" s="218"/>
      <c r="T10" s="218"/>
      <c r="U10" s="218"/>
      <c r="V10" s="230"/>
      <c r="X10" s="275" t="s">
        <v>94</v>
      </c>
      <c r="Y10" s="278" t="str">
        <f>Spec2MinorAdept</f>
        <v>Mender's Purity</v>
      </c>
      <c r="Z10" s="274" cm="1">
        <f t="array" ref="Z10">_xlfn.LET(_xlpm.stackmax,INDEX(TraitStats,MATCH(Spec2MinorAdept,TraitStatsTable[Name],0),13),_xlpm.seq,IF(ISNA(_xlpm.stackmax),0,IF(_xlpm.stackmax=0,0,_xlfn.SEQUENCE(1,_xlpm.stackmax+1,0,1))),_xlpm.seq)</f>
        <v>0</v>
      </c>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30"/>
    </row>
    <row r="11" spans="1:51">
      <c r="A11" s="595" t="str">
        <f>IF(Spec3 = 0,"(Select)",Spec3)</f>
        <v>Troubadour</v>
      </c>
      <c r="B11" s="589" t="str" cm="1">
        <f t="array" ref="B11">_xlfn.LET(_xlpm.val,_xlfn._xlws.FILTER('Full Traits'!$A:$A,('Full Traits'!$C:$C=$A$11) * ('Full Traits'!$D:$D=B$2),""),IF(_xlpm.val="","(Select)",_xlpm.val))</f>
        <v>Wandering Minstrel</v>
      </c>
      <c r="C11" s="203" t="s">
        <v>4</v>
      </c>
      <c r="D11" s="589" t="str" cm="1">
        <f t="array" ref="D11">_xlfn.LET(_xlpm.val,_xlfn._xlws.FILTER('Full Traits'!$A:$A,('Full Traits'!$C:$C=$A$11) * ('Full Traits'!$D:$D=D$2),""),IF(_xlpm.val="","(Select)",_xlpm.val))</f>
        <v>Symphonic Resonance</v>
      </c>
      <c r="E11" s="203" t="s">
        <v>4</v>
      </c>
      <c r="F11" s="589" t="str" cm="1">
        <f t="array" ref="F11">_xlfn.LET(_xlpm.val,_xlfn._xlws.FILTER('Full Traits'!$A:$A,('Full Traits'!$C:$C=$A$11) * ('Full Traits'!$D:$D=F$2),""),IF(_xlpm.val="","(Select)",_xlpm.val))</f>
        <v>Harmonize</v>
      </c>
      <c r="G11" s="203" t="s">
        <v>4</v>
      </c>
      <c r="H11" s="601" cm="1">
        <f t="array" ref="H11">_xlfn.LET(_xlpm.specCheck,INDEX($J$4:$K$85,MATCH(Spec3,$K$4:$K$85,0),1),IF(OR(_xlpm.specCheck=Class,_xlpm.specCheck=0),1,0))</f>
        <v>0</v>
      </c>
      <c r="J11" s="235" t="s">
        <v>109</v>
      </c>
      <c r="K11" s="229" t="s">
        <v>265</v>
      </c>
      <c r="L11" s="218" t="s">
        <v>3536</v>
      </c>
      <c r="M11" s="230" t="str" cm="1">
        <f t="array" ref="M11">_xlfn.LET(_xlpm.EliteList,_xlfn._xlws.FILTER($K$2:$K$85,$L$2:$L$85="Elite"),IF($J11=Class,IF(COUNTIF(ChosenSpecs,$K11)=0,IF(AND($L11="Elite",SUM(COUNTIF(ChosenSpecs,_xlpm.EliteList))&gt;0),"",$K11),""),""))</f>
        <v/>
      </c>
      <c r="Q11" s="272"/>
      <c r="R11" s="218"/>
      <c r="S11" s="218"/>
      <c r="T11" s="218"/>
      <c r="U11" s="218"/>
      <c r="V11" s="230"/>
      <c r="X11" s="276" t="s">
        <v>19</v>
      </c>
      <c r="Y11" s="279" t="str">
        <f>Spec2MajorAdept</f>
        <v>(Select)</v>
      </c>
      <c r="Z11" s="274" cm="1">
        <f t="array" ref="Z11">_xlfn.LET(_xlpm.stackmax,INDEX(TraitStats,MATCH(Spec2MajorAdept,TraitStatsTable[Name],0),13),_xlpm.seq,IF(ISNA(_xlpm.stackmax),0,IF(_xlpm.stackmax=0,0,_xlfn.SEQUENCE(1,_xlpm.stackmax+1,0,1))),_xlpm.seq)</f>
        <v>0</v>
      </c>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30"/>
    </row>
    <row r="12" spans="1:51">
      <c r="A12" s="595"/>
      <c r="B12" s="589"/>
      <c r="C12" s="314" t="str" cm="1">
        <f t="array" ref="C12:C14">_xlfn._xlws.FILTER('Full Traits'!$A:$A,('Full Traits'!$C:$C=$A$11) * ('Full Traits'!$D:$D=C$2),"")</f>
        <v>Mayhem</v>
      </c>
      <c r="D12" s="589"/>
      <c r="E12" s="314" t="str" cm="1">
        <f t="array" ref="E12:E14">_xlfn._xlws.FILTER('Full Traits'!$A:$A,('Full Traits'!$C:$C=$A$11) * ('Full Traits'!$D:$D=E$2),"")</f>
        <v>Shredding</v>
      </c>
      <c r="F12" s="589"/>
      <c r="G12" s="314" t="str" cm="1">
        <f t="array" ref="G12:G14">_xlfn._xlws.FILTER('Full Traits'!$A:$A,('Full Traits'!$C:$C=$A$11) * ('Full Traits'!$D:$D=G$2),"")</f>
        <v>Fortissimo</v>
      </c>
      <c r="H12" s="601"/>
      <c r="J12" s="235" t="s">
        <v>109</v>
      </c>
      <c r="K12" s="229" t="s">
        <v>292</v>
      </c>
      <c r="L12" s="218" t="s">
        <v>3536</v>
      </c>
      <c r="M12" s="230" t="str" cm="1">
        <f t="array" ref="M12">_xlfn.LET(_xlpm.EliteList,_xlfn._xlws.FILTER($K$2:$K$85,$L$2:$L$85="Elite"),IF($J12=Class,IF(COUNTIF(ChosenSpecs,$K12)=0,IF(AND($L12="Elite",SUM(COUNTIF(ChosenSpecs,_xlpm.EliteList))&gt;0),"",$K12),""),""))</f>
        <v/>
      </c>
      <c r="Q12" s="272"/>
      <c r="R12" s="218"/>
      <c r="S12" s="218"/>
      <c r="T12" s="218"/>
      <c r="U12" s="218"/>
      <c r="V12" s="230"/>
      <c r="X12" s="276" t="s">
        <v>95</v>
      </c>
      <c r="Y12" s="279" t="str">
        <f>Spec2MinorMaster</f>
        <v>Inspiring Distortion</v>
      </c>
      <c r="Z12" s="274" cm="1">
        <f t="array" ref="Z12">_xlfn.LET(_xlpm.stackmax,INDEX(TraitStats,MATCH(Spec2MinorMaster,TraitStatsTable[Name],0),13),_xlpm.seq,IF(ISNA(_xlpm.stackmax),0,IF(_xlpm.stackmax=0,0,_xlfn.SEQUENCE(1,_xlpm.stackmax+1,0,1))),_xlpm.seq)</f>
        <v>0</v>
      </c>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30"/>
    </row>
    <row r="13" spans="1:51">
      <c r="A13" s="595"/>
      <c r="B13" s="589"/>
      <c r="C13" s="195" t="str">
        <v>Raconteur</v>
      </c>
      <c r="D13" s="589"/>
      <c r="E13" s="195" t="str">
        <v>Life of the Party</v>
      </c>
      <c r="F13" s="589"/>
      <c r="G13" s="195" t="str">
        <v>Call and Response</v>
      </c>
      <c r="H13" s="601"/>
      <c r="J13" s="235" t="s">
        <v>109</v>
      </c>
      <c r="K13" s="229" t="s">
        <v>318</v>
      </c>
      <c r="L13" s="218" t="s">
        <v>3536</v>
      </c>
      <c r="M13" s="230" t="str" cm="1">
        <f t="array" ref="M13">_xlfn.LET(_xlpm.EliteList,_xlfn._xlws.FILTER($K$2:$K$85,$L$2:$L$85="Elite"),IF($J13=Class,IF(COUNTIF(ChosenSpecs,$K13)=0,IF(AND($L13="Elite",SUM(COUNTIF(ChosenSpecs,_xlpm.EliteList))&gt;0),"",$K13),""),""))</f>
        <v/>
      </c>
      <c r="Q13" s="272"/>
      <c r="R13" s="218"/>
      <c r="S13" s="218"/>
      <c r="T13" s="218"/>
      <c r="U13" s="218"/>
      <c r="V13" s="230"/>
      <c r="X13" s="276" t="s">
        <v>22</v>
      </c>
      <c r="Y13" s="279" t="str">
        <f>Spec2MajorMaster</f>
        <v>Warden's Feedback</v>
      </c>
      <c r="Z13" s="274" cm="1">
        <f t="array" ref="Z13">_xlfn.LET(_xlpm.stackmax,INDEX(TraitStats,MATCH(Spec2MajorMaster,TraitStatsTable[Name],0),13),_xlpm.seq,IF(ISNA(_xlpm.stackmax),0,IF(_xlpm.stackmax=0,0,_xlfn.SEQUENCE(1,_xlpm.stackmax+1,0,1))),_xlpm.seq)</f>
        <v>0</v>
      </c>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30"/>
    </row>
    <row r="14" spans="1:51">
      <c r="A14" s="597"/>
      <c r="B14" s="590"/>
      <c r="C14" s="195" t="str">
        <v>Syncopate</v>
      </c>
      <c r="D14" s="590"/>
      <c r="E14" s="195" t="str">
        <v>Love Song</v>
      </c>
      <c r="F14" s="590"/>
      <c r="G14" s="195" t="str">
        <v>Altered Chord</v>
      </c>
      <c r="H14" s="603"/>
      <c r="J14" s="235" t="s">
        <v>343</v>
      </c>
      <c r="K14" s="229" t="s">
        <v>344</v>
      </c>
      <c r="L14" s="218" t="s">
        <v>3535</v>
      </c>
      <c r="M14" s="230" t="str" cm="1">
        <f t="array" ref="M14">_xlfn.LET(_xlpm.EliteList,_xlfn._xlws.FILTER($K$2:$K$85,$L$2:$L$85="Elite"),IF($J14=Class,IF(COUNTIF(ChosenSpecs,$K14)=0,IF(AND($L14="Elite",SUM(COUNTIF(ChosenSpecs,_xlpm.EliteList))&gt;0),"",$K14),""),""))</f>
        <v/>
      </c>
      <c r="Q14" s="599" t="str">
        <f>IF(Spec2 = 0, "(Select)",Spec2)</f>
        <v>Inspiration</v>
      </c>
      <c r="R14" s="599"/>
      <c r="S14" s="599"/>
      <c r="T14" s="599"/>
      <c r="U14" s="599"/>
      <c r="V14" s="599"/>
      <c r="X14" s="276" t="s">
        <v>98</v>
      </c>
      <c r="Y14" s="279" t="str">
        <f>Spec2MinorGrandmaster</f>
        <v>Illusionary Inspiration</v>
      </c>
      <c r="Z14" s="274" cm="1">
        <f t="array" ref="Z14">_xlfn.LET(_xlpm.stackmax,INDEX(TraitStats,MATCH(Spec2MinorGrandmaster,TraitStatsTable[Name],0),13),_xlpm.seq,IF(ISNA(_xlpm.stackmax),0,IF(_xlpm.stackmax=0,0,_xlfn.SEQUENCE(1,_xlpm.stackmax+1,0,1))),_xlpm.seq)</f>
        <v>0</v>
      </c>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30"/>
    </row>
    <row r="15" spans="1:51">
      <c r="J15" s="235" t="s">
        <v>343</v>
      </c>
      <c r="K15" s="229" t="s">
        <v>151</v>
      </c>
      <c r="L15" s="218" t="s">
        <v>3535</v>
      </c>
      <c r="M15" s="230" t="str" cm="1">
        <f t="array" ref="M15">_xlfn.LET(_xlpm.EliteList,_xlfn._xlws.FILTER($K$2:$K$85,$L$2:$L$85="Elite"),IF($J15=Class,IF(COUNTIF(ChosenSpecs,$K15)=0,IF(AND($L15="Elite",SUM(COUNTIF(ChosenSpecs,_xlpm.EliteList))&gt;0),"",$K15),""),""))</f>
        <v/>
      </c>
      <c r="Q15" s="267" t="s">
        <v>94</v>
      </c>
      <c r="R15" s="268" t="s">
        <v>19</v>
      </c>
      <c r="S15" s="268" t="s">
        <v>95</v>
      </c>
      <c r="T15" s="268" t="s">
        <v>22</v>
      </c>
      <c r="U15" s="268" t="s">
        <v>98</v>
      </c>
      <c r="V15" s="269" t="s">
        <v>24</v>
      </c>
      <c r="X15" s="276" t="s">
        <v>24</v>
      </c>
      <c r="Y15" s="279" t="str">
        <f>Spec2MajorGrandmaster</f>
        <v>(Select)</v>
      </c>
      <c r="Z15" s="274" cm="1">
        <f t="array" ref="Z15">_xlfn.LET(_xlpm.stackmax,INDEX(TraitStats,MATCH(Spec2MajorGrandmaster,TraitStatsTable[Name],0),13),_xlpm.seq,IF(ISNA(_xlpm.stackmax),0,IF(_xlpm.stackmax=0,0,_xlfn.SEQUENCE(1,_xlpm.stackmax+1,0,1))),_xlpm.seq)</f>
        <v>0</v>
      </c>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30"/>
    </row>
    <row r="16" spans="1:51">
      <c r="A16" s="578" t="s">
        <v>3537</v>
      </c>
      <c r="B16" s="578"/>
      <c r="C16" s="578"/>
      <c r="D16" s="578"/>
      <c r="E16" s="578"/>
      <c r="F16" s="578"/>
      <c r="J16" s="235" t="s">
        <v>343</v>
      </c>
      <c r="K16" s="229" t="s">
        <v>393</v>
      </c>
      <c r="L16" s="218" t="s">
        <v>3535</v>
      </c>
      <c r="M16" s="230" t="str" cm="1">
        <f t="array" ref="M16">_xlfn.LET(_xlpm.EliteList,_xlfn._xlws.FILTER($K$2:$K$85,$L$2:$L$85="Elite"),IF($J16=Class,IF(COUNTIF(ChosenSpecs,$K16)=0,IF(AND($L16="Elite",SUM(COUNTIF(ChosenSpecs,_xlpm.EliteList))&gt;0),"",$K16),""),""))</f>
        <v/>
      </c>
      <c r="Q16" s="270" t="s">
        <v>4</v>
      </c>
      <c r="R16" s="271" t="s">
        <v>4</v>
      </c>
      <c r="S16" s="271" t="s">
        <v>4</v>
      </c>
      <c r="T16" s="271" t="s">
        <v>4</v>
      </c>
      <c r="U16" s="271" t="s">
        <v>4</v>
      </c>
      <c r="V16" s="228" t="s">
        <v>4</v>
      </c>
      <c r="X16" s="594" t="str">
        <f>IF(Spec3 = 0, "(Select)",Spec3)</f>
        <v>Troubadour</v>
      </c>
      <c r="Y16" s="594"/>
      <c r="Z16" s="266"/>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row>
    <row r="17" spans="1:51" ht="15" customHeight="1">
      <c r="A17" s="242" t="s">
        <v>3495</v>
      </c>
      <c r="B17" s="243" t="s">
        <v>105</v>
      </c>
      <c r="C17" s="244" t="s">
        <v>90</v>
      </c>
      <c r="D17" s="245" t="s">
        <v>3538</v>
      </c>
      <c r="E17" s="239" t="s">
        <v>3539</v>
      </c>
      <c r="F17" s="246" t="s">
        <v>3540</v>
      </c>
      <c r="J17" s="235" t="s">
        <v>343</v>
      </c>
      <c r="K17" s="229" t="s">
        <v>417</v>
      </c>
      <c r="L17" s="218" t="s">
        <v>3535</v>
      </c>
      <c r="M17" s="230" t="str" cm="1">
        <f t="array" ref="M17">_xlfn.LET(_xlpm.EliteList,_xlfn._xlws.FILTER($K$2:$K$85,$L$2:$L$85="Elite"),IF($J17=Class,IF(COUNTIF(ChosenSpecs,$K17)=0,IF(AND($L17="Elite",SUM(COUNTIF(ChosenSpecs,_xlpm.EliteList))&gt;0),"",$K17),""),""))</f>
        <v/>
      </c>
      <c r="Q17" s="272" t="str" cm="1">
        <f t="array" ref="Q17">_xlfn.LET(_xlpm.filter,_xlfn._xlws.FILTER('Trait Stats'!$J:$J,'Trait Stats'!$A:$A=Spec2MinorAdept,""),IF(_xlpm.filter=0,"",_xlpm.filter))</f>
        <v/>
      </c>
      <c r="R17" s="218" t="str" cm="1">
        <f t="array" ref="R17">_xlfn.LET(_xlpm.filter,_xlfn._xlws.FILTER('Trait Stats'!$J:$J,'Trait Stats'!$A:$A=Spec2MajorAdept,""),IF(_xlpm.filter=0,"",_xlpm.filter))</f>
        <v/>
      </c>
      <c r="S17" s="218" t="str" cm="1">
        <f t="array" ref="S17">_xlfn.LET(_xlpm.filter,_xlfn._xlws.FILTER('Trait Stats'!$J:$J,'Trait Stats'!$A:$A=Spec2MinorMaster,""),IF(_xlpm.filter=0,"",_xlpm.filter))</f>
        <v/>
      </c>
      <c r="T17" s="218" t="str" cm="1">
        <f t="array" ref="T17">_xlfn.LET(_xlpm.filter,_xlfn._xlws.FILTER('Trait Stats'!$J:$J,'Trait Stats'!$A:$A=Spec2MajorMaster,""),IF(_xlpm.filter=0,"",_xlpm.filter))</f>
        <v/>
      </c>
      <c r="U17" s="218" t="str" cm="1">
        <f t="array" ref="U17">_xlfn.LET(_xlpm.filter,_xlfn._xlws.FILTER('Trait Stats'!$J:$J,'Trait Stats'!$A:$A=Spec2MinorGrandmaster,""),IF(_xlpm.filter=0,"",_xlpm.filter))</f>
        <v/>
      </c>
      <c r="V17" s="230" t="str" cm="1">
        <f t="array" ref="V17">_xlfn.LET(_xlpm.filter,_xlfn._xlws.FILTER('Trait Stats'!$J:$J,'Trait Stats'!$A:$A=Spec2MajorGrandmaster,""),IF(_xlpm.filter=0,"",_xlpm.filter))</f>
        <v/>
      </c>
      <c r="X17" s="275" t="s">
        <v>94</v>
      </c>
      <c r="Y17" s="278" t="str">
        <f>Spec3MinorAdept</f>
        <v>Wandering Minstrel</v>
      </c>
      <c r="Z17" s="274" cm="1">
        <f t="array" ref="Z17">_xlfn.LET(_xlpm.stackmax,INDEX(TraitStats,MATCH(Spec3MinorAdept,TraitStatsTable[Name],0),13),_xlpm.seq,IF(ISNA(_xlpm.stackmax),0,IF(_xlpm.stackmax=0,0,_xlfn.SEQUENCE(1,_xlpm.stackmax+1,0,1))),_xlpm.seq)</f>
        <v>0</v>
      </c>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30"/>
    </row>
    <row r="18" spans="1:51" ht="15" customHeight="1">
      <c r="A18" s="586" t="str">
        <f>IF(Spec1 = 0,"(Select)",Spec1)</f>
        <v>Illusions</v>
      </c>
      <c r="B18" s="259" t="s">
        <v>94</v>
      </c>
      <c r="C18" s="203" t="str">
        <f>Spec1MinorAdept</f>
        <v>Cry of Pain</v>
      </c>
      <c r="D18" s="247" t="s">
        <v>3541</v>
      </c>
      <c r="E18" s="248" cm="1">
        <f t="array" ref="E18">_xlfn.LET(_xlpm.check,IF(INDEX(TraitStats,MATCH(Spec1MinorAdept,TraitStatsTable[Name],0),8)="Stacking",1,0),IF(ISNA(_xlpm.check),0,_xlpm.check))</f>
        <v>0</v>
      </c>
      <c r="F18" s="249" cm="1">
        <f t="array" ref="F18">_xlfn.LET(_xlpm.check,IF(COUNTIFS(TraitStatsTable[Name],Spec1MinorAdept,TraitStatsTable[Conditional?],"Yes")&gt;0,1,0),IF(ISNA(_xlpm.check),0,_xlpm.check))</f>
        <v>0</v>
      </c>
      <c r="J18" s="235" t="s">
        <v>343</v>
      </c>
      <c r="K18" s="229" t="s">
        <v>442</v>
      </c>
      <c r="L18" s="218" t="s">
        <v>3535</v>
      </c>
      <c r="M18" s="230" t="str" cm="1">
        <f t="array" ref="M18">_xlfn.LET(_xlpm.EliteList,_xlfn._xlws.FILTER($K$2:$K$85,$L$2:$L$85="Elite"),IF($J18=Class,IF(COUNTIF(ChosenSpecs,$K18)=0,IF(AND($L18="Elite",SUM(COUNTIF(ChosenSpecs,_xlpm.EliteList))&gt;0),"",$K18),""),""))</f>
        <v/>
      </c>
      <c r="Q18" s="272"/>
      <c r="R18" s="218"/>
      <c r="S18" s="218"/>
      <c r="T18" s="218"/>
      <c r="U18" s="218"/>
      <c r="V18" s="230"/>
      <c r="X18" s="276" t="s">
        <v>19</v>
      </c>
      <c r="Y18" s="279" t="str">
        <f>Spec3MajorAdept</f>
        <v>Illusionary Defense</v>
      </c>
      <c r="Z18" s="274" cm="1">
        <f t="array" ref="Z18">_xlfn.LET(_xlpm.stackmax,INDEX(TraitStats,MATCH(Spec3MajorAdept,TraitStatsTable[Name],0),13),_xlpm.seq,IF(ISNA(_xlpm.stackmax),0,IF(_xlpm.stackmax=0,0,_xlfn.SEQUENCE(1,_xlpm.stackmax+1,0,1))),_xlpm.seq)</f>
        <v>0</v>
      </c>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30"/>
    </row>
    <row r="19" spans="1:51">
      <c r="A19" s="587"/>
      <c r="B19" s="260" t="s">
        <v>19</v>
      </c>
      <c r="C19" s="195" t="str">
        <f>Spec1MajorAdept</f>
        <v>Persistence of Memory</v>
      </c>
      <c r="D19" s="250" cm="1">
        <f t="array" ref="D19">_xlfn.LET(_xlpm.val,IF(AND(INDEX('Full Traits'!$A$2:$B$1000,MATCH(Spec1MajorAdept,'Full Traits'!$A$2:$A$1000,0),2)=Class,VLOOKUP(Spec1MajorAdept,'Full Traits'!$A$2:$C$1000,3,0)=Spec1),1,0),IF(ISNA(_xlpm.val),IF(OR(Spec1MajorAdept=0,Spec1MajorAdept="(Select)"),1,0),_xlpm.val))</f>
        <v>0</v>
      </c>
      <c r="E19" s="250" cm="1">
        <f t="array" ref="E19">_xlfn.LET(_xlpm.check,IF(INDEX(TraitStats,MATCH(Spec1MajorAdept,TraitStatsTable[Name],0),8)="Stacking",1,0),IF(ISNA(_xlpm.check),0,_xlpm.check))</f>
        <v>0</v>
      </c>
      <c r="F19" s="251" cm="1">
        <f t="array" ref="F19">_xlfn.LET(_xlpm.check,IF(COUNTIFS(TraitStatsTable[Name],Spec1MajorAdept,TraitStatsTable[Conditional?],"Yes")&gt;0,1,0),IF(ISNA(_xlpm.check),0,_xlpm.check))</f>
        <v>0</v>
      </c>
      <c r="J19" s="235" t="s">
        <v>343</v>
      </c>
      <c r="K19" s="229" t="s">
        <v>467</v>
      </c>
      <c r="L19" s="218" t="s">
        <v>3536</v>
      </c>
      <c r="M19" s="230" t="str" cm="1">
        <f t="array" ref="M19">_xlfn.LET(_xlpm.EliteList,_xlfn._xlws.FILTER($K$2:$K$85,$L$2:$L$85="Elite"),IF($J19=Class,IF(COUNTIF(ChosenSpecs,$K19)=0,IF(AND($L19="Elite",SUM(COUNTIF(ChosenSpecs,_xlpm.EliteList))&gt;0),"",$K19),""),""))</f>
        <v/>
      </c>
      <c r="Q19" s="272"/>
      <c r="R19" s="218"/>
      <c r="S19" s="218"/>
      <c r="T19" s="218"/>
      <c r="U19" s="218"/>
      <c r="V19" s="230"/>
      <c r="X19" s="276" t="s">
        <v>95</v>
      </c>
      <c r="Y19" s="279" t="str">
        <f>Spec3MinorMaster</f>
        <v>Symphonic Resonance</v>
      </c>
      <c r="Z19" s="274" cm="1">
        <f t="array" ref="Z19">_xlfn.LET(_xlpm.stackmax,INDEX(TraitStats,MATCH(Spec3MinorMaster,TraitStatsTable[Name],0),13),_xlpm.seq,IF(ISNA(_xlpm.stackmax),0,IF(_xlpm.stackmax=0,0,_xlfn.SEQUENCE(1,_xlpm.stackmax+1,0,1))),_xlpm.seq)</f>
        <v>0</v>
      </c>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30"/>
    </row>
    <row r="20" spans="1:51" ht="15" customHeight="1">
      <c r="A20" s="587"/>
      <c r="B20" s="260" t="s">
        <v>95</v>
      </c>
      <c r="C20" s="195" t="str">
        <f>Spec1MinorMaster</f>
        <v>Compounding Power</v>
      </c>
      <c r="D20" s="252" t="s">
        <v>3541</v>
      </c>
      <c r="E20" s="250" cm="1">
        <f t="array" ref="E20">_xlfn.LET(_xlpm.check,IF(INDEX(TraitStats,MATCH(Spec1MinorMaster,TraitStatsTable[Name],0),8)="Stacking",1,0),IF(ISNA(_xlpm.check),0,_xlpm.check))</f>
        <v>1</v>
      </c>
      <c r="F20" s="251" cm="1">
        <f t="array" ref="F20">_xlfn.LET(_xlpm.check,IF(COUNTIFS(TraitStatsTable[Name],Spec1MinorMaster,TraitStatsTable[Conditional?],"Yes")&gt;0,1,0),IF(ISNA(_xlpm.check),0,_xlpm.check))</f>
        <v>1</v>
      </c>
      <c r="J20" s="235" t="s">
        <v>343</v>
      </c>
      <c r="K20" s="229" t="s">
        <v>494</v>
      </c>
      <c r="L20" s="218" t="s">
        <v>3536</v>
      </c>
      <c r="M20" s="230" t="str" cm="1">
        <f t="array" ref="M20">_xlfn.LET(_xlpm.EliteList,_xlfn._xlws.FILTER($K$2:$K$85,$L$2:$L$85="Elite"),IF($J20=Class,IF(COUNTIF(ChosenSpecs,$K20)=0,IF(AND($L20="Elite",SUM(COUNTIF(ChosenSpecs,_xlpm.EliteList))&gt;0),"",$K20),""),""))</f>
        <v/>
      </c>
      <c r="Q20" s="272"/>
      <c r="R20" s="218"/>
      <c r="S20" s="218"/>
      <c r="T20" s="218"/>
      <c r="U20" s="218"/>
      <c r="V20" s="230"/>
      <c r="X20" s="276" t="s">
        <v>22</v>
      </c>
      <c r="Y20" s="279" t="str">
        <f>Spec3MajorMaster</f>
        <v>(Select)</v>
      </c>
      <c r="Z20" s="274" cm="1">
        <f t="array" ref="Z20">_xlfn.LET(_xlpm.stackmax,INDEX(TraitStats,MATCH(Spec3MajorMaster,TraitStatsTable[Name],0),13),_xlpm.seq,IF(ISNA(_xlpm.stackmax),0,IF(_xlpm.stackmax=0,0,_xlfn.SEQUENCE(1,_xlpm.stackmax+1,0,1))),_xlpm.seq)</f>
        <v>0</v>
      </c>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30"/>
    </row>
    <row r="21" spans="1:51" ht="15" customHeight="1">
      <c r="A21" s="587"/>
      <c r="B21" s="260" t="s">
        <v>22</v>
      </c>
      <c r="C21" s="195" t="str">
        <f>Spec1MajorMaster</f>
        <v>(Select)</v>
      </c>
      <c r="D21" s="252" cm="1">
        <f t="array" ref="D21">_xlfn.LET(_xlpm.val,IF(AND(INDEX('Full Traits'!$A$2:$B$1000,MATCH(Spec1MajorMaster,'Full Traits'!$A$2:$A$1000,0),2)=Class,VLOOKUP(Spec1MajorMaster,'Full Traits'!$A$2:$C$1000,3,0)=Spec1),1,0),IF(ISNA(_xlpm.val),IF(OR(Spec1MajorMaster=0,Spec1MajorMaster="(Select)"),1,0),_xlpm.val))</f>
        <v>1</v>
      </c>
      <c r="E21" s="250" cm="1">
        <f t="array" ref="E21">_xlfn.LET(_xlpm.check,IF(INDEX(TraitStats,MATCH(Spec1MajorMaster,TraitStatsTable[Name],0),8)="Stacking",1,0),IF(ISNA(_xlpm.check),0,_xlpm.check))</f>
        <v>0</v>
      </c>
      <c r="F21" s="251" cm="1">
        <f t="array" ref="F21">_xlfn.LET(_xlpm.check,IF(COUNTIFS(TraitStatsTable[Name],Spec1MajorMaster,TraitStatsTable[Conditional?],"Yes")&gt;0,1,0),IF(ISNA(_xlpm.check),0,_xlpm.check))</f>
        <v>0</v>
      </c>
      <c r="J21" s="235" t="s">
        <v>343</v>
      </c>
      <c r="K21" s="229" t="s">
        <v>521</v>
      </c>
      <c r="L21" s="218" t="s">
        <v>3536</v>
      </c>
      <c r="M21" s="230" t="str" cm="1">
        <f t="array" ref="M21">_xlfn.LET(_xlpm.EliteList,_xlfn._xlws.FILTER($K$2:$K$85,$L$2:$L$85="Elite"),IF($J21=Class,IF(COUNTIF(ChosenSpecs,$K21)=0,IF(AND($L21="Elite",SUM(COUNTIF(ChosenSpecs,_xlpm.EliteList))&gt;0),"",$K21),""),""))</f>
        <v/>
      </c>
      <c r="Q21" s="272"/>
      <c r="R21" s="218"/>
      <c r="S21" s="218"/>
      <c r="T21" s="218"/>
      <c r="U21" s="218"/>
      <c r="V21" s="230"/>
      <c r="X21" s="276" t="s">
        <v>98</v>
      </c>
      <c r="Y21" s="279" t="str">
        <f>Spec3MinorGrandmaster</f>
        <v>Harmonize</v>
      </c>
      <c r="Z21" s="274" cm="1">
        <f t="array" ref="Z21">_xlfn.LET(_xlpm.stackmax,INDEX(TraitStats,MATCH(Spec3MinorGrandmaster,TraitStatsTable[Name],0),13),_xlpm.seq,IF(ISNA(_xlpm.stackmax),0,IF(_xlpm.stackmax=0,0,_xlfn.SEQUENCE(1,_xlpm.stackmax+1,0,1))),_xlpm.seq)</f>
        <v>0</v>
      </c>
      <c r="AA21" s="218"/>
      <c r="AB21" s="218"/>
      <c r="AC21" s="218"/>
      <c r="AD21" s="218"/>
      <c r="AE21" s="218"/>
      <c r="AF21" s="218"/>
      <c r="AG21" s="218"/>
      <c r="AH21" s="218"/>
      <c r="AI21" s="218"/>
      <c r="AJ21" s="218"/>
      <c r="AK21" s="218"/>
      <c r="AL21" s="218"/>
      <c r="AM21" s="218"/>
      <c r="AN21" s="218"/>
      <c r="AO21" s="232"/>
      <c r="AP21" s="218"/>
      <c r="AQ21" s="218"/>
      <c r="AR21" s="218"/>
      <c r="AS21" s="218"/>
      <c r="AT21" s="218"/>
      <c r="AU21" s="218"/>
      <c r="AV21" s="218"/>
      <c r="AW21" s="218"/>
      <c r="AX21" s="218"/>
      <c r="AY21" s="230"/>
    </row>
    <row r="22" spans="1:51" ht="15" customHeight="1">
      <c r="A22" s="587"/>
      <c r="B22" s="260" t="s">
        <v>98</v>
      </c>
      <c r="C22" s="195" t="str">
        <f>Spec1MinorGrandmaster</f>
        <v>Master of Misdirection</v>
      </c>
      <c r="D22" s="252" t="s">
        <v>3541</v>
      </c>
      <c r="E22" s="250" cm="1">
        <f t="array" ref="E22">_xlfn.LET(_xlpm.check,IF(INDEX(TraitStats,MATCH(Spec1MinorGrandmaster,TraitStatsTable[Name],0),8)="Stacking",1,0),IF(ISNA(_xlpm.check),0,_xlpm.check))</f>
        <v>0</v>
      </c>
      <c r="F22" s="251" cm="1">
        <f t="array" ref="F22">_xlfn.LET(_xlpm.check,IF(COUNTIFS(TraitStatsTable[Name],Spec1MinorGrandmaster,TraitStatsTable[Conditional?],"Yes")&gt;0,1,0),IF(ISNA(_xlpm.check),0,_xlpm.check))</f>
        <v>0</v>
      </c>
      <c r="J22" s="235" t="s">
        <v>343</v>
      </c>
      <c r="K22" s="229" t="s">
        <v>548</v>
      </c>
      <c r="L22" s="218" t="s">
        <v>3536</v>
      </c>
      <c r="M22" s="230" t="str" cm="1">
        <f t="array" ref="M22">_xlfn.LET(_xlpm.EliteList,_xlfn._xlws.FILTER($K$2:$K$85,$L$2:$L$85="Elite"),IF($J22=Class,IF(COUNTIF(ChosenSpecs,$K22)=0,IF(AND($L22="Elite",SUM(COUNTIF(ChosenSpecs,_xlpm.EliteList))&gt;0),"",$K22),""),""))</f>
        <v/>
      </c>
      <c r="Q22" s="272"/>
      <c r="R22" s="218"/>
      <c r="S22" s="218"/>
      <c r="T22" s="218"/>
      <c r="U22" s="218"/>
      <c r="V22" s="230"/>
      <c r="X22" s="277" t="s">
        <v>24</v>
      </c>
      <c r="Y22" s="280" t="str">
        <f>Spec3MajorGrandmaster</f>
        <v>(Select)</v>
      </c>
      <c r="Z22" s="281" cm="1">
        <f t="array" ref="Z22">_xlfn.LET(_xlpm.stackmax,INDEX(TraitStats,MATCH(Spec3MajorGrandmaster,TraitStatsTable[Name],0),13),_xlpm.seq,IF(ISNA(_xlpm.stackmax),0,IF(_xlpm.stackmax=0,0,_xlfn.SEQUENCE(1,_xlpm.stackmax+1,0,1))),_xlpm.seq)</f>
        <v>0</v>
      </c>
      <c r="AA22" s="232"/>
      <c r="AB22" s="232"/>
      <c r="AC22" s="232"/>
      <c r="AD22" s="232"/>
      <c r="AE22" s="232"/>
      <c r="AF22" s="232"/>
      <c r="AG22" s="232"/>
      <c r="AH22" s="232"/>
      <c r="AI22" s="232"/>
      <c r="AJ22" s="232"/>
      <c r="AK22" s="232"/>
      <c r="AL22" s="232"/>
      <c r="AM22" s="232"/>
      <c r="AN22" s="232"/>
      <c r="AO22" s="232"/>
      <c r="AP22" s="232"/>
      <c r="AQ22" s="232"/>
      <c r="AR22" s="232"/>
      <c r="AS22" s="232"/>
      <c r="AT22" s="232"/>
      <c r="AU22" s="232"/>
      <c r="AV22" s="232"/>
      <c r="AW22" s="232"/>
      <c r="AX22" s="232"/>
      <c r="AY22" s="233"/>
    </row>
    <row r="23" spans="1:51" ht="15.75" customHeight="1">
      <c r="A23" s="593"/>
      <c r="B23" s="263" t="s">
        <v>24</v>
      </c>
      <c r="C23" s="264" t="str">
        <f>Spec1MajorGrandmaster</f>
        <v>(Select)</v>
      </c>
      <c r="D23" s="253" cm="1">
        <f t="array" ref="D23">_xlfn.LET(_xlpm.val,IF(AND(INDEX('Full Traits'!$A$2:$B$1000,MATCH(Spec1MajorGrandmaster,'Full Traits'!$A$2:$A$1000,0),2)=Class,VLOOKUP(Spec1MajorGrandmaster,'Full Traits'!$A$2:$C$1000,3,0)=Spec1),1,0),IF(ISNA(_xlpm.val),IF(OR(Spec1MajorGrandmaster=0,Spec1MajorGrandmaster="(Select)"),1,0),_xlpm.val))</f>
        <v>1</v>
      </c>
      <c r="E23" s="254" cm="1">
        <f t="array" ref="E23">_xlfn.LET(_xlpm.check,IF(INDEX(TraitStats,MATCH(Spec1MajorGrandmaster,TraitStatsTable[Name],0),8)="Stacking",1,0),IF(ISNA(_xlpm.check),0,_xlpm.check))</f>
        <v>0</v>
      </c>
      <c r="F23" s="255" cm="1">
        <f t="array" ref="F23">_xlfn.LET(_xlpm.check,IF(COUNTIFS(TraitStatsTable[Name],Spec1MajorGrandmaster,TraitStatsTable[Conditional?],"Yes")&gt;0,1,0),IF(ISNA(_xlpm.check),0,_xlpm.check))</f>
        <v>0</v>
      </c>
      <c r="J23" s="235" t="s">
        <v>573</v>
      </c>
      <c r="K23" s="229" t="s">
        <v>574</v>
      </c>
      <c r="L23" s="218" t="s">
        <v>3535</v>
      </c>
      <c r="M23" s="230" t="str" cm="1">
        <f t="array" ref="M23">_xlfn.LET(_xlpm.EliteList,_xlfn._xlws.FILTER($K$2:$K$85,$L$2:$L$85="Elite"),IF($J23=Class,IF(COUNTIF(ChosenSpecs,$K23)=0,IF(AND($L23="Elite",SUM(COUNTIF(ChosenSpecs,_xlpm.EliteList))&gt;0),"",$K23),""),""))</f>
        <v/>
      </c>
      <c r="Q23" s="272"/>
      <c r="R23" s="218"/>
      <c r="S23" s="218"/>
      <c r="T23" s="218"/>
      <c r="U23" s="218"/>
      <c r="V23" s="230"/>
    </row>
    <row r="24" spans="1:51" ht="15" customHeight="1">
      <c r="A24" s="586" t="str">
        <f>IF(Spec2 = 0,"(Select)",Spec2)</f>
        <v>Inspiration</v>
      </c>
      <c r="B24" s="259" t="s">
        <v>94</v>
      </c>
      <c r="C24" s="203" t="str">
        <f>Spec2MinorAdept</f>
        <v>Mender's Purity</v>
      </c>
      <c r="D24" s="247" t="s">
        <v>3541</v>
      </c>
      <c r="E24" s="248" cm="1">
        <f t="array" ref="E24">_xlfn.LET(_xlpm.check,IF(INDEX(TraitStats,MATCH(Spec2MinorAdept,TraitStatsTable[Name],0),8)="Stacking",1,0),IF(ISNA(_xlpm.check),0,_xlpm.check))</f>
        <v>0</v>
      </c>
      <c r="F24" s="249" cm="1">
        <f t="array" ref="F24">_xlfn.LET(_xlpm.check,IF(COUNTIFS(TraitStatsTable[Name],Spec2MinorAdept,TraitStatsTable[Conditional?],"Yes")&gt;0,1,0),IF(ISNA(_xlpm.check),0,_xlpm.check))</f>
        <v>0</v>
      </c>
      <c r="J24" s="235" t="s">
        <v>573</v>
      </c>
      <c r="K24" s="229" t="s">
        <v>599</v>
      </c>
      <c r="L24" s="218" t="s">
        <v>3535</v>
      </c>
      <c r="M24" s="230" t="str" cm="1">
        <f t="array" ref="M24">_xlfn.LET(_xlpm.EliteList,_xlfn._xlws.FILTER($K$2:$K$85,$L$2:$L$85="Elite"),IF($J24=Class,IF(COUNTIF(ChosenSpecs,$K24)=0,IF(AND($L24="Elite",SUM(COUNTIF(ChosenSpecs,_xlpm.EliteList))&gt;0),"",$K24),""),""))</f>
        <v/>
      </c>
      <c r="Q24" s="272"/>
      <c r="R24" s="218"/>
      <c r="S24" s="218"/>
      <c r="T24" s="218"/>
      <c r="U24" s="218"/>
      <c r="V24" s="230"/>
    </row>
    <row r="25" spans="1:51" ht="15" customHeight="1">
      <c r="A25" s="587"/>
      <c r="B25" s="260" t="s">
        <v>19</v>
      </c>
      <c r="C25" s="195" t="str">
        <f>Spec2MajorAdept</f>
        <v>(Select)</v>
      </c>
      <c r="D25" s="247" cm="1">
        <f t="array" ref="D25">_xlfn.LET(_xlpm.val,IF(AND(INDEX('Full Traits'!$A$2:$B$1000,MATCH(Spec2MajorAdept,'Full Traits'!$A$2:$A$1000,0),2)=Class,VLOOKUP(Spec2MajorAdept,'Full Traits'!$A$2:$C$1000,3,0)=Spec2),1,0),IF(ISNA(_xlpm.val),IF(OR(Spec2MajorAdept=0,Spec2MajorAdept="(Select)"),1,0),_xlpm.val))</f>
        <v>1</v>
      </c>
      <c r="E25" s="248" cm="1">
        <f t="array" ref="E25">_xlfn.LET(_xlpm.check,IF(INDEX(TraitStats,MATCH(Spec2MajorAdept,TraitStatsTable[Name],0),8)="Stacking",1,0),IF(ISNA(_xlpm.check),0,_xlpm.check))</f>
        <v>0</v>
      </c>
      <c r="F25" s="249" cm="1">
        <f t="array" ref="F25">_xlfn.LET(_xlpm.check,IF(COUNTIFS(TraitStatsTable[Name],Spec2MajorAdept,TraitStatsTable[Conditional?],"Yes")&gt;0,1,0),IF(ISNA(_xlpm.check),0,_xlpm.check))</f>
        <v>0</v>
      </c>
      <c r="J25" s="235" t="s">
        <v>573</v>
      </c>
      <c r="K25" s="229" t="s">
        <v>624</v>
      </c>
      <c r="L25" s="218" t="s">
        <v>3535</v>
      </c>
      <c r="M25" s="230" t="str" cm="1">
        <f t="array" ref="M25">_xlfn.LET(_xlpm.EliteList,_xlfn._xlws.FILTER($K$2:$K$85,$L$2:$L$85="Elite"),IF($J25=Class,IF(COUNTIF(ChosenSpecs,$K25)=0,IF(AND($L25="Elite",SUM(COUNTIF(ChosenSpecs,_xlpm.EliteList))&gt;0),"",$K25),""),""))</f>
        <v/>
      </c>
      <c r="Q25" s="273"/>
      <c r="R25" s="232"/>
      <c r="S25" s="232"/>
      <c r="T25" s="232"/>
      <c r="U25" s="232"/>
      <c r="V25" s="233"/>
    </row>
    <row r="26" spans="1:51" ht="15" customHeight="1">
      <c r="A26" s="587"/>
      <c r="B26" s="260" t="s">
        <v>95</v>
      </c>
      <c r="C26" s="195" t="str">
        <f>Spec2MinorMaster</f>
        <v>Inspiring Distortion</v>
      </c>
      <c r="D26" s="252" t="s">
        <v>3541</v>
      </c>
      <c r="E26" s="250" cm="1">
        <f t="array" ref="E26">_xlfn.LET(_xlpm.check,IF(INDEX(TraitStats,MATCH(Spec2MinorMaster,TraitStatsTable[Name],0),8)="Stacking",1,0),IF(ISNA(_xlpm.check),0,_xlpm.check))</f>
        <v>0</v>
      </c>
      <c r="F26" s="251" cm="1">
        <f t="array" ref="F26">_xlfn.LET(_xlpm.check,IF(COUNTIFS(TraitStatsTable[Name],Spec2MinorMaster,TraitStatsTable[Conditional?],"Yes")&gt;0,1,0),IF(ISNA(_xlpm.check),0,_xlpm.check))</f>
        <v>0</v>
      </c>
      <c r="J26" s="235" t="s">
        <v>573</v>
      </c>
      <c r="K26" s="229" t="s">
        <v>649</v>
      </c>
      <c r="L26" s="218" t="s">
        <v>3535</v>
      </c>
      <c r="M26" s="230" t="str" cm="1">
        <f t="array" ref="M26">_xlfn.LET(_xlpm.EliteList,_xlfn._xlws.FILTER($K$2:$K$85,$L$2:$L$85="Elite"),IF($J26=Class,IF(COUNTIF(ChosenSpecs,$K26)=0,IF(AND($L26="Elite",SUM(COUNTIF(ChosenSpecs,_xlpm.EliteList))&gt;0),"",$K26),""),""))</f>
        <v/>
      </c>
      <c r="Q26" s="592" t="str">
        <f>IF(Spec3 = 0, "(Select)",Spec3)</f>
        <v>Troubadour</v>
      </c>
      <c r="R26" s="592"/>
      <c r="S26" s="592"/>
      <c r="T26" s="592"/>
      <c r="U26" s="592"/>
      <c r="V26" s="592"/>
    </row>
    <row r="27" spans="1:51" ht="15" customHeight="1">
      <c r="A27" s="587"/>
      <c r="B27" s="260" t="s">
        <v>22</v>
      </c>
      <c r="C27" s="195" t="str">
        <f>Spec2MajorMaster</f>
        <v>Warden's Feedback</v>
      </c>
      <c r="D27" s="252" cm="1">
        <f t="array" ref="D27">_xlfn.LET(_xlpm.val,IF(AND(INDEX('Full Traits'!$A$2:$B$1000,MATCH(Spec2MajorMaster,'Full Traits'!$A$2:$A$1000,0),2)=Class,VLOOKUP(Spec2MajorMaster,'Full Traits'!$A$2:$C$1000,3,0)=Spec2),1,0),IF(ISNA(_xlpm.val),IF(OR(Spec2MajorMaster=0,Spec2MajorMaster="(Select)"),1,0),_xlpm.val))</f>
        <v>0</v>
      </c>
      <c r="E27" s="250" cm="1">
        <f t="array" ref="E27">_xlfn.LET(_xlpm.check,IF(INDEX(TraitStats,MATCH(Spec2MajorMaster,TraitStatsTable[Name],0),8)="Stacking",1,0),IF(ISNA(_xlpm.check),0,_xlpm.check))</f>
        <v>0</v>
      </c>
      <c r="F27" s="251" cm="1">
        <f t="array" ref="F27">_xlfn.LET(_xlpm.check,IF(COUNTIFS(TraitStatsTable[Name],Spec2MajorMaster,TraitStatsTable[Conditional?],"Yes")&gt;0,1,0),IF(ISNA(_xlpm.check),0,_xlpm.check))</f>
        <v>0</v>
      </c>
      <c r="J27" s="235" t="s">
        <v>573</v>
      </c>
      <c r="K27" s="229" t="s">
        <v>674</v>
      </c>
      <c r="L27" s="218" t="s">
        <v>3535</v>
      </c>
      <c r="M27" s="230" t="str" cm="1">
        <f t="array" ref="M27">_xlfn.LET(_xlpm.EliteList,_xlfn._xlws.FILTER($K$2:$K$85,$L$2:$L$85="Elite"),IF($J27=Class,IF(COUNTIF(ChosenSpecs,$K27)=0,IF(AND($L27="Elite",SUM(COUNTIF(ChosenSpecs,_xlpm.EliteList))&gt;0),"",$K27),""),""))</f>
        <v/>
      </c>
      <c r="Q27" s="267" t="s">
        <v>94</v>
      </c>
      <c r="R27" s="268" t="s">
        <v>19</v>
      </c>
      <c r="S27" s="268" t="s">
        <v>95</v>
      </c>
      <c r="T27" s="268" t="s">
        <v>22</v>
      </c>
      <c r="U27" s="268" t="s">
        <v>98</v>
      </c>
      <c r="V27" s="269" t="s">
        <v>24</v>
      </c>
    </row>
    <row r="28" spans="1:51" ht="15" customHeight="1">
      <c r="A28" s="587"/>
      <c r="B28" s="260" t="s">
        <v>98</v>
      </c>
      <c r="C28" s="195" t="str">
        <f>Spec2MinorGrandmaster</f>
        <v>Illusionary Inspiration</v>
      </c>
      <c r="D28" s="252" t="s">
        <v>3541</v>
      </c>
      <c r="E28" s="250" cm="1">
        <f t="array" ref="E28">_xlfn.LET(_xlpm.check,IF(INDEX(TraitStats,MATCH(Spec2MinorGrandmaster,TraitStatsTable[Name],0),8)="Stacking",1,0),IF(ISNA(_xlpm.check),0,_xlpm.check))</f>
        <v>0</v>
      </c>
      <c r="F28" s="251" cm="1">
        <f t="array" ref="F28">_xlfn.LET(_xlpm.check,IF(COUNTIFS(TraitStatsTable[Name],Spec2MinorGrandmaster,TraitStatsTable[Conditional?],"Yes")&gt;0,1,0),IF(ISNA(_xlpm.check),0,_xlpm.check))</f>
        <v>0</v>
      </c>
      <c r="J28" s="235" t="s">
        <v>573</v>
      </c>
      <c r="K28" s="229" t="s">
        <v>699</v>
      </c>
      <c r="L28" s="218" t="s">
        <v>3536</v>
      </c>
      <c r="M28" s="230" t="str" cm="1">
        <f t="array" ref="M28">_xlfn.LET(_xlpm.EliteList,_xlfn._xlws.FILTER($K$2:$K$85,$L$2:$L$85="Elite"),IF($J28=Class,IF(COUNTIF(ChosenSpecs,$K28)=0,IF(AND($L28="Elite",SUM(COUNTIF(ChosenSpecs,_xlpm.EliteList))&gt;0),"",$K28),""),""))</f>
        <v/>
      </c>
      <c r="Q28" s="270" t="s">
        <v>4</v>
      </c>
      <c r="R28" s="271" t="s">
        <v>4</v>
      </c>
      <c r="S28" s="271" t="s">
        <v>4</v>
      </c>
      <c r="T28" s="271" t="s">
        <v>4</v>
      </c>
      <c r="U28" s="271" t="s">
        <v>4</v>
      </c>
      <c r="V28" s="228" t="s">
        <v>4</v>
      </c>
    </row>
    <row r="29" spans="1:51" ht="16.5" customHeight="1">
      <c r="A29" s="593"/>
      <c r="B29" s="263" t="s">
        <v>24</v>
      </c>
      <c r="C29" s="264" t="str">
        <f>Spec2MajorGrandmaster</f>
        <v>(Select)</v>
      </c>
      <c r="D29" s="253" cm="1">
        <f t="array" ref="D29">_xlfn.LET(_xlpm.val,IF(AND(INDEX('Full Traits'!$A$2:$B$1000,MATCH(Spec2MajorGrandmaster,'Full Traits'!$A$2:$A$1000,0),2)=Class,VLOOKUP(Spec2MajorGrandmaster,'Full Traits'!$A$2:$C$1000,3,0)=Spec2),1,0),IF(ISNA(_xlpm.val),IF(OR(Spec2MajorGrandmaster=0,Spec2MajorGrandmaster="(Select)"),1,0),_xlpm.val))</f>
        <v>1</v>
      </c>
      <c r="E29" s="254" cm="1">
        <f t="array" ref="E29">_xlfn.LET(_xlpm.check,IF(INDEX(TraitStats,MATCH(Spec2MajorGrandmaster,TraitStatsTable[Name],0),8)="Stacking",1,0),IF(ISNA(_xlpm.check),0,_xlpm.check))</f>
        <v>0</v>
      </c>
      <c r="F29" s="255" cm="1">
        <f t="array" ref="F29">_xlfn.LET(_xlpm.check,IF(COUNTIFS(TraitStatsTable[Name],Spec2MajorGrandmaster,TraitStatsTable[Conditional?],"Yes")&gt;0,1,0),IF(ISNA(_xlpm.check),0,_xlpm.check))</f>
        <v>0</v>
      </c>
      <c r="J29" s="235" t="s">
        <v>573</v>
      </c>
      <c r="K29" s="229" t="s">
        <v>726</v>
      </c>
      <c r="L29" s="218" t="s">
        <v>3536</v>
      </c>
      <c r="M29" s="230" t="str" cm="1">
        <f t="array" ref="M29">_xlfn.LET(_xlpm.EliteList,_xlfn._xlws.FILTER($K$2:$K$85,$L$2:$L$85="Elite"),IF($J29=Class,IF(COUNTIF(ChosenSpecs,$K29)=0,IF(AND($L29="Elite",SUM(COUNTIF(ChosenSpecs,_xlpm.EliteList))&gt;0),"",$K29),""),""))</f>
        <v/>
      </c>
      <c r="Q29" s="272" t="str" cm="1">
        <f t="array" ref="Q29">_xlfn.LET(_xlpm.filter,_xlfn._xlws.FILTER('Trait Stats'!$J:$J,'Trait Stats'!$A:$A=Spec3MinorAdept,""),IF(_xlpm.filter=0,"",_xlpm.filter))</f>
        <v/>
      </c>
      <c r="R29" s="218" t="str" cm="1">
        <f t="array" ref="R29">_xlfn.LET(_xlpm.filter,_xlfn._xlws.FILTER('Trait Stats'!$J:$J,'Trait Stats'!$A:$A=Spec3MajorAdept,""),IF(_xlpm.filter=0,"",_xlpm.filter))</f>
        <v/>
      </c>
      <c r="S29" s="218" t="str" cm="1">
        <f t="array" ref="S29">_xlfn.LET(_xlpm.filter,_xlfn._xlws.FILTER('Trait Stats'!$J:$J,'Trait Stats'!$A:$A=Spec3MinorMaster,""),IF(_xlpm.filter=0,"",_xlpm.filter))</f>
        <v>Lute playing in background</v>
      </c>
      <c r="T29" s="218" t="str" cm="1">
        <f t="array" ref="T29">_xlfn.LET(_xlpm.filter,_xlfn._xlws.FILTER('Trait Stats'!$J:$J,'Trait Stats'!$A:$A=Spec3MajorMaster,""),IF(_xlpm.filter=0,"",_xlpm.filter))</f>
        <v/>
      </c>
      <c r="U29" s="218" t="str" cm="1">
        <f t="array" ref="U29">_xlfn.LET(_xlpm.filter,_xlfn._xlws.FILTER('Trait Stats'!$J:$J,'Trait Stats'!$A:$A=Spec3MinorGrandmaster,""),IF(_xlpm.filter=0,"",_xlpm.filter))</f>
        <v/>
      </c>
      <c r="V29" s="230" t="str" cm="1">
        <f t="array" ref="V29">_xlfn.LET(_xlpm.filter,_xlfn._xlws.FILTER('Trait Stats'!$J:$J,'Trait Stats'!$A:$A=Spec3MajorGrandmaster,""),IF(_xlpm.filter=0,"",_xlpm.filter))</f>
        <v/>
      </c>
    </row>
    <row r="30" spans="1:51" ht="15" customHeight="1">
      <c r="A30" s="586" t="str">
        <f>IF(Spec3 = 0,"(Select)",Spec3)</f>
        <v>Troubadour</v>
      </c>
      <c r="B30" s="259" t="s">
        <v>94</v>
      </c>
      <c r="C30" s="203" t="str">
        <f>Spec3MinorAdept</f>
        <v>Wandering Minstrel</v>
      </c>
      <c r="D30" s="247" t="s">
        <v>3541</v>
      </c>
      <c r="E30" s="248" cm="1">
        <f t="array" ref="E30">_xlfn.LET(_xlpm.check,IF(INDEX(TraitStats,MATCH(Spec3MinorAdept,TraitStatsTable[Name],0),8)="Stacking",1,0),IF(ISNA(_xlpm.check),0,_xlpm.check))</f>
        <v>0</v>
      </c>
      <c r="F30" s="249" cm="1">
        <f t="array" ref="F30">_xlfn.LET(_xlpm.check,IF(COUNTIFS(TraitStatsTable[Name],Spec3MinorAdept,TraitStatsTable[Conditional?],"Yes")&gt;0,1,0),IF(ISNA(_xlpm.check),0,_xlpm.check))</f>
        <v>0</v>
      </c>
      <c r="J30" s="235" t="s">
        <v>573</v>
      </c>
      <c r="K30" s="229" t="s">
        <v>753</v>
      </c>
      <c r="L30" s="218" t="s">
        <v>3536</v>
      </c>
      <c r="M30" s="230" t="str" cm="1">
        <f t="array" ref="M30">_xlfn.LET(_xlpm.EliteList,_xlfn._xlws.FILTER($K$2:$K$85,$L$2:$L$85="Elite"),IF($J30=Class,IF(COUNTIF(ChosenSpecs,$K30)=0,IF(AND($L30="Elite",SUM(COUNTIF(ChosenSpecs,_xlpm.EliteList))&gt;0),"",$K30),""),""))</f>
        <v/>
      </c>
      <c r="Q30" s="272"/>
      <c r="R30" s="218"/>
      <c r="S30" s="218"/>
      <c r="T30" s="218"/>
      <c r="U30" s="218"/>
      <c r="V30" s="230"/>
    </row>
    <row r="31" spans="1:51" ht="15" customHeight="1">
      <c r="A31" s="587"/>
      <c r="B31" s="260" t="s">
        <v>19</v>
      </c>
      <c r="C31" s="195" t="str">
        <f>Spec3MajorAdept</f>
        <v>Illusionary Defense</v>
      </c>
      <c r="D31" s="248" cm="1">
        <f t="array" ref="D31">_xlfn.LET(_xlpm.val,IF(AND(INDEX('Full Traits'!$A$2:$B$1000,MATCH(Spec3MajorAdept,'Full Traits'!$A$2:$A$1000,0),2)=Class,VLOOKUP(Spec3MajorAdept,'Full Traits'!$A$2:$C$1000,3,0)=Spec3),1,0),IF(ISNA(_xlpm.val),IF(OR(Spec3MajorAdept=0,Spec3MajorAdept="(Select)"),1,0),_xlpm.val))</f>
        <v>0</v>
      </c>
      <c r="E31" s="248" cm="1">
        <f t="array" ref="E31">_xlfn.LET(_xlpm.check,IF(INDEX(TraitStats,MATCH(Spec3MajorAdept,TraitStatsTable[Name],0),8)="Stacking",1,0),IF(ISNA(_xlpm.check),0,_xlpm.check))</f>
        <v>0</v>
      </c>
      <c r="F31" s="249" cm="1">
        <f t="array" ref="F31">_xlfn.LET(_xlpm.check,IF(COUNTIFS(TraitStatsTable[Name],Spec3MajorAdept,TraitStatsTable[Conditional?],"Yes")&gt;0,1,0),IF(ISNA(_xlpm.check),0,_xlpm.check))</f>
        <v>0</v>
      </c>
      <c r="J31" s="235" t="s">
        <v>573</v>
      </c>
      <c r="K31" s="229" t="s">
        <v>780</v>
      </c>
      <c r="L31" s="218" t="s">
        <v>3536</v>
      </c>
      <c r="M31" s="230" t="str" cm="1">
        <f t="array" ref="M31">_xlfn.LET(_xlpm.EliteList,_xlfn._xlws.FILTER($K$2:$K$85,$L$2:$L$85="Elite"),IF($J31=Class,IF(COUNTIF(ChosenSpecs,$K31)=0,IF(AND($L31="Elite",SUM(COUNTIF(ChosenSpecs,_xlpm.EliteList))&gt;0),"",$K31),""),""))</f>
        <v/>
      </c>
      <c r="Q31" s="272"/>
      <c r="R31" s="218"/>
      <c r="S31" s="218"/>
      <c r="T31" s="218"/>
      <c r="U31" s="218"/>
      <c r="V31" s="230"/>
    </row>
    <row r="32" spans="1:51" ht="15" customHeight="1">
      <c r="A32" s="587"/>
      <c r="B32" s="260" t="s">
        <v>95</v>
      </c>
      <c r="C32" s="195" t="str">
        <f>Spec3MinorMaster</f>
        <v>Symphonic Resonance</v>
      </c>
      <c r="D32" s="252" t="s">
        <v>3541</v>
      </c>
      <c r="E32" s="250" cm="1">
        <f t="array" ref="E32">_xlfn.LET(_xlpm.check,IF(INDEX(TraitStats,MATCH(Spec3MinorMaster,TraitStatsTable[Name],0),8)="Stacking",1,0),IF(ISNA(_xlpm.check),0,_xlpm.check))</f>
        <v>0</v>
      </c>
      <c r="F32" s="251" cm="1">
        <f t="array" ref="F32">_xlfn.LET(_xlpm.check,IF(COUNTIFS(TraitStatsTable[Name],Spec3MinorMaster,TraitStatsTable[Conditional?],"Yes")&gt;0,1,0),IF(ISNA(_xlpm.check),0,_xlpm.check))</f>
        <v>1</v>
      </c>
      <c r="J32" s="235" t="s">
        <v>3</v>
      </c>
      <c r="K32" s="229" t="s">
        <v>805</v>
      </c>
      <c r="L32" s="218" t="s">
        <v>3535</v>
      </c>
      <c r="M32" s="230" t="str" cm="1">
        <f t="array" ref="M32">_xlfn.LET(_xlpm.EliteList,_xlfn._xlws.FILTER($K$2:$K$85,$L$2:$L$85="Elite"),IF($J32=Class,IF(COUNTIF(ChosenSpecs,$K32)=0,IF(AND($L32="Elite",SUM(COUNTIF(ChosenSpecs,_xlpm.EliteList))&gt;0),"",$K32),""),""))</f>
        <v>Explosives</v>
      </c>
      <c r="Q32" s="272"/>
      <c r="R32" s="218"/>
      <c r="S32" s="218"/>
      <c r="T32" s="218"/>
      <c r="U32" s="218"/>
      <c r="V32" s="230"/>
    </row>
    <row r="33" spans="1:22" ht="15" customHeight="1">
      <c r="A33" s="587"/>
      <c r="B33" s="260" t="s">
        <v>22</v>
      </c>
      <c r="C33" s="195" t="str">
        <f>Spec3MajorMaster</f>
        <v>(Select)</v>
      </c>
      <c r="D33" s="252" cm="1">
        <f t="array" ref="D33">_xlfn.LET(_xlpm.val,IF(AND(INDEX('Full Traits'!$A$2:$B$1000,MATCH(Spec3MajorMaster,'Full Traits'!$A$2:$A$1000,0),2)=Class,VLOOKUP(Spec3MajorMaster,'Full Traits'!$A$2:$C$1000,3,0)=Spec3),1,0),IF(ISNA(_xlpm.val),IF(OR(Spec3MajorMaster=0,Spec3MajorMaster="(Select)"),1,0),_xlpm.val))</f>
        <v>1</v>
      </c>
      <c r="E33" s="250" cm="1">
        <f t="array" ref="E33">_xlfn.LET(_xlpm.check,IF(INDEX(TraitStats,MATCH(Spec3MajorMaster,TraitStatsTable[Name],0),8)="Stacking",1,0),IF(ISNA(_xlpm.check),0,_xlpm.check))</f>
        <v>0</v>
      </c>
      <c r="F33" s="251" cm="1">
        <f t="array" ref="F33">_xlfn.LET(_xlpm.check,IF(COUNTIFS(TraitStatsTable[Name],Spec3MajorMaster,TraitStatsTable[Conditional?],"Yes")&gt;0,1,0),IF(ISNA(_xlpm.check),0,_xlpm.check))</f>
        <v>0</v>
      </c>
      <c r="J33" s="235" t="s">
        <v>3</v>
      </c>
      <c r="K33" s="229" t="s">
        <v>830</v>
      </c>
      <c r="L33" s="218" t="s">
        <v>3535</v>
      </c>
      <c r="M33" s="230" t="str" cm="1">
        <f t="array" ref="M33">_xlfn.LET(_xlpm.EliteList,_xlfn._xlws.FILTER($K$2:$K$85,$L$2:$L$85="Elite"),IF($J33=Class,IF(COUNTIF(ChosenSpecs,$K33)=0,IF(AND($L33="Elite",SUM(COUNTIF(ChosenSpecs,_xlpm.EliteList))&gt;0),"",$K33),""),""))</f>
        <v>Firearms</v>
      </c>
      <c r="Q33" s="272"/>
      <c r="R33" s="218"/>
      <c r="S33" s="218"/>
      <c r="T33" s="218"/>
      <c r="U33" s="218"/>
      <c r="V33" s="230"/>
    </row>
    <row r="34" spans="1:22" ht="15" customHeight="1">
      <c r="A34" s="587"/>
      <c r="B34" s="260" t="s">
        <v>98</v>
      </c>
      <c r="C34" s="195" t="str">
        <f>Spec3MinorGrandmaster</f>
        <v>Harmonize</v>
      </c>
      <c r="D34" s="252" t="s">
        <v>3541</v>
      </c>
      <c r="E34" s="250" cm="1">
        <f t="array" ref="E34">_xlfn.LET(_xlpm.check,IF(INDEX(TraitStats,MATCH(Spec3MinorGrandmaster,TraitStatsTable[Name],0),8)="Stacking",1,0),IF(ISNA(_xlpm.check),0,_xlpm.check))</f>
        <v>0</v>
      </c>
      <c r="F34" s="251" cm="1">
        <f t="array" ref="F34">_xlfn.LET(_xlpm.check,IF(COUNTIFS(TraitStatsTable[Name],Spec3MinorGrandmaster,TraitStatsTable[Conditional?],"Yes")&gt;0,1,0),IF(ISNA(_xlpm.check),0,_xlpm.check))</f>
        <v>0</v>
      </c>
      <c r="J34" s="235" t="s">
        <v>3</v>
      </c>
      <c r="K34" s="229" t="s">
        <v>855</v>
      </c>
      <c r="L34" s="218" t="s">
        <v>3535</v>
      </c>
      <c r="M34" s="230" t="str" cm="1">
        <f t="array" ref="M34">_xlfn.LET(_xlpm.EliteList,_xlfn._xlws.FILTER($K$2:$K$85,$L$2:$L$85="Elite"),IF($J34=Class,IF(COUNTIF(ChosenSpecs,$K34)=0,IF(AND($L34="Elite",SUM(COUNTIF(ChosenSpecs,_xlpm.EliteList))&gt;0),"",$K34),""),""))</f>
        <v>Inventions</v>
      </c>
      <c r="Q34" s="272"/>
      <c r="R34" s="218"/>
      <c r="S34" s="218"/>
      <c r="T34" s="218"/>
      <c r="U34" s="218"/>
      <c r="V34" s="230"/>
    </row>
    <row r="35" spans="1:22">
      <c r="A35" s="588"/>
      <c r="B35" s="261" t="s">
        <v>24</v>
      </c>
      <c r="C35" s="262" t="str">
        <f>Spec3MajorGrandmaster</f>
        <v>(Select)</v>
      </c>
      <c r="D35" s="256" cm="1">
        <f t="array" ref="D35">_xlfn.LET(_xlpm.val,IF(AND(INDEX('Full Traits'!$A$2:$B$1000,MATCH(Spec3MajorGrandmaster,'Full Traits'!$A$2:$A$1000,0),2)=Class,VLOOKUP(Spec3MajorGrandmaster,'Full Traits'!$A$2:$C$1000,3,0)=Spec3),1,0),IF(ISNA(_xlpm.val),IF(OR(Spec3MajorGrandmaster=0,Spec3MajorGrandmaster="(Select)"),1,0),_xlpm.val))</f>
        <v>1</v>
      </c>
      <c r="E35" s="257" cm="1">
        <f t="array" ref="E35">_xlfn.LET(_xlpm.check,IF(INDEX(TraitStats,MATCH(Spec3MajorGrandmaster,TraitStatsTable[Name],0),8)="Stacking",1,0),IF(ISNA(_xlpm.check),0,_xlpm.check))</f>
        <v>0</v>
      </c>
      <c r="F35" s="258" cm="1">
        <f t="array" ref="F35">_xlfn.LET(_xlpm.check,IF(COUNTIFS(TraitStatsTable[Name],Spec3MajorGrandmaster,TraitStatsTable[Conditional?],"Yes")&gt;0,1,0),IF(ISNA(_xlpm.check),0,_xlpm.check))</f>
        <v>0</v>
      </c>
      <c r="J35" s="235" t="s">
        <v>3</v>
      </c>
      <c r="K35" s="229" t="s">
        <v>879</v>
      </c>
      <c r="L35" s="218" t="s">
        <v>3535</v>
      </c>
      <c r="M35" s="230" t="str" cm="1">
        <f t="array" ref="M35">_xlfn.LET(_xlpm.EliteList,_xlfn._xlws.FILTER($K$2:$K$85,$L$2:$L$85="Elite"),IF($J35=Class,IF(COUNTIF(ChosenSpecs,$K35)=0,IF(AND($L35="Elite",SUM(COUNTIF(ChosenSpecs,_xlpm.EliteList))&gt;0),"",$K35),""),""))</f>
        <v>Alchemy</v>
      </c>
      <c r="Q35" s="272"/>
      <c r="R35" s="218"/>
      <c r="S35" s="218"/>
      <c r="T35" s="218"/>
      <c r="U35" s="218"/>
      <c r="V35" s="230"/>
    </row>
    <row r="36" spans="1:22">
      <c r="A36" s="4"/>
      <c r="B36" s="11"/>
      <c r="C36" s="11"/>
      <c r="D36" s="11"/>
      <c r="E36" s="11"/>
      <c r="F36" s="11"/>
      <c r="G36" s="11"/>
      <c r="H36" s="12"/>
      <c r="J36" s="235" t="s">
        <v>3</v>
      </c>
      <c r="K36" s="229" t="s">
        <v>904</v>
      </c>
      <c r="L36" s="218" t="s">
        <v>3535</v>
      </c>
      <c r="M36" s="230" t="str" cm="1">
        <f t="array" ref="M36">_xlfn.LET(_xlpm.EliteList,_xlfn._xlws.FILTER($K$2:$K$85,$L$2:$L$85="Elite"),IF($J36=Class,IF(COUNTIF(ChosenSpecs,$K36)=0,IF(AND($L36="Elite",SUM(COUNTIF(ChosenSpecs,_xlpm.EliteList))&gt;0),"",$K36),""),""))</f>
        <v>Tools</v>
      </c>
      <c r="Q36" s="272"/>
      <c r="R36" s="218"/>
      <c r="S36" s="218"/>
      <c r="T36" s="218"/>
      <c r="U36" s="218"/>
      <c r="V36" s="230"/>
    </row>
    <row r="37" spans="1:22" ht="15.75">
      <c r="A37" s="23"/>
      <c r="B37" s="24"/>
      <c r="C37" s="24"/>
      <c r="D37" s="24"/>
      <c r="E37" s="24"/>
      <c r="F37" s="24"/>
      <c r="G37" s="24"/>
      <c r="H37" s="25"/>
      <c r="J37" s="235" t="s">
        <v>3</v>
      </c>
      <c r="K37" s="229" t="s">
        <v>929</v>
      </c>
      <c r="L37" s="218" t="s">
        <v>3536</v>
      </c>
      <c r="M37" s="230" t="str" cm="1">
        <f t="array" ref="M37">_xlfn.LET(_xlpm.EliteList,_xlfn._xlws.FILTER($K$2:$K$85,$L$2:$L$85="Elite"),IF($J37=Class,IF(COUNTIF(ChosenSpecs,$K37)=0,IF(AND($L37="Elite",SUM(COUNTIF(ChosenSpecs,_xlpm.EliteList))&gt;0),"",$K37),""),""))</f>
        <v/>
      </c>
      <c r="Q37" s="273"/>
      <c r="R37" s="232"/>
      <c r="S37" s="232"/>
      <c r="T37" s="232"/>
      <c r="U37" s="232"/>
      <c r="V37" s="233"/>
    </row>
    <row r="38" spans="1:22" ht="15" customHeight="1">
      <c r="A38" s="22"/>
      <c r="B38" s="18"/>
      <c r="C38" s="18"/>
      <c r="D38" s="18"/>
      <c r="E38" s="18"/>
      <c r="F38" s="18"/>
      <c r="G38" s="18"/>
      <c r="H38" s="19"/>
      <c r="J38" s="235" t="s">
        <v>3</v>
      </c>
      <c r="K38" s="229" t="s">
        <v>955</v>
      </c>
      <c r="L38" s="218" t="s">
        <v>3536</v>
      </c>
      <c r="M38" s="230" t="str" cm="1">
        <f t="array" ref="M38">_xlfn.LET(_xlpm.EliteList,_xlfn._xlws.FILTER($K$2:$K$85,$L$2:$L$85="Elite"),IF($J38=Class,IF(COUNTIF(ChosenSpecs,$K38)=0,IF(AND($L38="Elite",SUM(COUNTIF(ChosenSpecs,_xlpm.EliteList))&gt;0),"",$K38),""),""))</f>
        <v/>
      </c>
    </row>
    <row r="39" spans="1:22" ht="15" customHeight="1">
      <c r="A39" s="22"/>
      <c r="B39" s="18"/>
      <c r="C39" s="18"/>
      <c r="D39" s="18"/>
      <c r="E39" s="18"/>
      <c r="F39" s="18"/>
      <c r="G39" s="18"/>
      <c r="H39" s="19"/>
      <c r="J39" s="235" t="s">
        <v>3</v>
      </c>
      <c r="K39" s="229" t="s">
        <v>982</v>
      </c>
      <c r="L39" s="218" t="s">
        <v>3536</v>
      </c>
      <c r="M39" s="230" t="str" cm="1">
        <f t="array" ref="M39">_xlfn.LET(_xlpm.EliteList,_xlfn._xlws.FILTER($K$2:$K$85,$L$2:$L$85="Elite"),IF($J39=Class,IF(COUNTIF(ChosenSpecs,$K39)=0,IF(AND($L39="Elite",SUM(COUNTIF(ChosenSpecs,_xlpm.EliteList))&gt;0),"",$K39),""),""))</f>
        <v/>
      </c>
    </row>
    <row r="40" spans="1:22" ht="15" customHeight="1">
      <c r="A40" s="22"/>
      <c r="B40" s="18"/>
      <c r="C40" s="18"/>
      <c r="D40" s="18"/>
      <c r="E40" s="18"/>
      <c r="F40" s="18"/>
      <c r="G40" s="18"/>
      <c r="H40" s="19"/>
      <c r="J40" s="235" t="s">
        <v>3</v>
      </c>
      <c r="K40" s="229" t="s">
        <v>1009</v>
      </c>
      <c r="L40" s="218" t="s">
        <v>3536</v>
      </c>
      <c r="M40" s="230" t="str" cm="1">
        <f t="array" ref="M40">_xlfn.LET(_xlpm.EliteList,_xlfn._xlws.FILTER($K$2:$K$85,$L$2:$L$85="Elite"),IF($J40=Class,IF(COUNTIF(ChosenSpecs,$K40)=0,IF(AND($L40="Elite",SUM(COUNTIF(ChosenSpecs,_xlpm.EliteList))&gt;0),"",$K40),""),""))</f>
        <v/>
      </c>
    </row>
    <row r="41" spans="1:22" ht="15" customHeight="1">
      <c r="A41" s="22"/>
      <c r="B41" s="18"/>
      <c r="C41" s="18"/>
      <c r="D41" s="18"/>
      <c r="E41" s="18"/>
      <c r="F41" s="18"/>
      <c r="G41" s="18"/>
      <c r="H41" s="19"/>
      <c r="J41" s="235" t="s">
        <v>1034</v>
      </c>
      <c r="K41" s="229" t="s">
        <v>1035</v>
      </c>
      <c r="L41" s="218" t="s">
        <v>3535</v>
      </c>
      <c r="M41" s="230" t="str" cm="1">
        <f t="array" ref="M41">_xlfn.LET(_xlpm.EliteList,_xlfn._xlws.FILTER($K$2:$K$85,$L$2:$L$85="Elite"),IF($J41=Class,IF(COUNTIF(ChosenSpecs,$K41)=0,IF(AND($L41="Elite",SUM(COUNTIF(ChosenSpecs,_xlpm.EliteList))&gt;0),"",$K41),""),""))</f>
        <v/>
      </c>
    </row>
    <row r="42" spans="1:22" ht="15" customHeight="1">
      <c r="A42" s="22"/>
      <c r="B42" s="18"/>
      <c r="C42" s="18"/>
      <c r="D42" s="18"/>
      <c r="E42" s="18"/>
      <c r="F42" s="18"/>
      <c r="G42" s="18"/>
      <c r="H42" s="19"/>
      <c r="J42" s="235" t="s">
        <v>1034</v>
      </c>
      <c r="K42" s="229" t="s">
        <v>1060</v>
      </c>
      <c r="L42" s="218" t="s">
        <v>3535</v>
      </c>
      <c r="M42" s="230" t="str" cm="1">
        <f t="array" ref="M42">_xlfn.LET(_xlpm.EliteList,_xlfn._xlws.FILTER($K$2:$K$85,$L$2:$L$85="Elite"),IF($J42=Class,IF(COUNTIF(ChosenSpecs,$K42)=0,IF(AND($L42="Elite",SUM(COUNTIF(ChosenSpecs,_xlpm.EliteList))&gt;0),"",$K42),""),""))</f>
        <v/>
      </c>
    </row>
    <row r="43" spans="1:22" ht="15" customHeight="1">
      <c r="A43" s="22"/>
      <c r="B43" s="18"/>
      <c r="C43" s="18"/>
      <c r="D43" s="18"/>
      <c r="E43" s="18"/>
      <c r="F43" s="18"/>
      <c r="G43" s="18"/>
      <c r="H43" s="19"/>
      <c r="J43" s="235" t="s">
        <v>1034</v>
      </c>
      <c r="K43" s="229" t="s">
        <v>1085</v>
      </c>
      <c r="L43" s="218" t="s">
        <v>3535</v>
      </c>
      <c r="M43" s="230" t="str" cm="1">
        <f t="array" ref="M43">_xlfn.LET(_xlpm.EliteList,_xlfn._xlws.FILTER($K$2:$K$85,$L$2:$L$85="Elite"),IF($J43=Class,IF(COUNTIF(ChosenSpecs,$K43)=0,IF(AND($L43="Elite",SUM(COUNTIF(ChosenSpecs,_xlpm.EliteList))&gt;0),"",$K43),""),""))</f>
        <v/>
      </c>
    </row>
    <row r="44" spans="1:22" ht="15" customHeight="1">
      <c r="A44" s="22"/>
      <c r="B44" s="18"/>
      <c r="C44" s="18"/>
      <c r="D44" s="18"/>
      <c r="E44" s="18"/>
      <c r="F44" s="18"/>
      <c r="G44" s="18"/>
      <c r="H44" s="19"/>
      <c r="J44" s="235" t="s">
        <v>1034</v>
      </c>
      <c r="K44" s="229" t="s">
        <v>1110</v>
      </c>
      <c r="L44" s="218" t="s">
        <v>3535</v>
      </c>
      <c r="M44" s="230" t="str" cm="1">
        <f t="array" ref="M44">_xlfn.LET(_xlpm.EliteList,_xlfn._xlws.FILTER($K$2:$K$85,$L$2:$L$85="Elite"),IF($J44=Class,IF(COUNTIF(ChosenSpecs,$K44)=0,IF(AND($L44="Elite",SUM(COUNTIF(ChosenSpecs,_xlpm.EliteList))&gt;0),"",$K44),""),""))</f>
        <v/>
      </c>
    </row>
    <row r="45" spans="1:22" ht="15" customHeight="1">
      <c r="A45" s="22"/>
      <c r="B45" s="18"/>
      <c r="C45" s="18"/>
      <c r="D45" s="18"/>
      <c r="E45" s="18"/>
      <c r="F45" s="18"/>
      <c r="G45" s="18"/>
      <c r="H45" s="19"/>
      <c r="J45" s="235" t="s">
        <v>1034</v>
      </c>
      <c r="K45" s="229" t="s">
        <v>1135</v>
      </c>
      <c r="L45" s="218" t="s">
        <v>3535</v>
      </c>
      <c r="M45" s="230" t="str" cm="1">
        <f t="array" ref="M45">_xlfn.LET(_xlpm.EliteList,_xlfn._xlws.FILTER($K$2:$K$85,$L$2:$L$85="Elite"),IF($J45=Class,IF(COUNTIF(ChosenSpecs,$K45)=0,IF(AND($L45="Elite",SUM(COUNTIF(ChosenSpecs,_xlpm.EliteList))&gt;0),"",$K45),""),""))</f>
        <v/>
      </c>
    </row>
    <row r="46" spans="1:22" ht="15" customHeight="1">
      <c r="A46" s="22"/>
      <c r="B46" s="18"/>
      <c r="C46" s="18"/>
      <c r="D46" s="18"/>
      <c r="E46" s="18"/>
      <c r="F46" s="18"/>
      <c r="G46" s="18"/>
      <c r="H46" s="19"/>
      <c r="J46" s="235" t="s">
        <v>1034</v>
      </c>
      <c r="K46" s="229" t="s">
        <v>1160</v>
      </c>
      <c r="L46" s="218" t="s">
        <v>3536</v>
      </c>
      <c r="M46" s="230" t="str" cm="1">
        <f t="array" ref="M46">_xlfn.LET(_xlpm.EliteList,_xlfn._xlws.FILTER($K$2:$K$85,$L$2:$L$85="Elite"),IF($J46=Class,IF(COUNTIF(ChosenSpecs,$K46)=0,IF(AND($L46="Elite",SUM(COUNTIF(ChosenSpecs,_xlpm.EliteList))&gt;0),"",$K46),""),""))</f>
        <v/>
      </c>
    </row>
    <row r="47" spans="1:22" ht="15" customHeight="1">
      <c r="A47" s="22"/>
      <c r="B47" s="18"/>
      <c r="C47" s="18"/>
      <c r="D47" s="18"/>
      <c r="E47" s="18"/>
      <c r="F47" s="18"/>
      <c r="G47" s="18"/>
      <c r="H47" s="19"/>
      <c r="J47" s="235" t="s">
        <v>1034</v>
      </c>
      <c r="K47" s="229" t="s">
        <v>1186</v>
      </c>
      <c r="L47" s="218" t="s">
        <v>3536</v>
      </c>
      <c r="M47" s="230" t="str" cm="1">
        <f t="array" ref="M47">_xlfn.LET(_xlpm.EliteList,_xlfn._xlws.FILTER($K$2:$K$85,$L$2:$L$85="Elite"),IF($J47=Class,IF(COUNTIF(ChosenSpecs,$K47)=0,IF(AND($L47="Elite",SUM(COUNTIF(ChosenSpecs,_xlpm.EliteList))&gt;0),"",$K47),""),""))</f>
        <v/>
      </c>
    </row>
    <row r="48" spans="1:22" ht="15" customHeight="1">
      <c r="A48" s="22"/>
      <c r="B48" s="18"/>
      <c r="C48" s="18"/>
      <c r="D48" s="18"/>
      <c r="E48" s="18"/>
      <c r="F48" s="18"/>
      <c r="G48" s="18"/>
      <c r="H48" s="19"/>
      <c r="J48" s="235" t="s">
        <v>1034</v>
      </c>
      <c r="K48" s="229" t="s">
        <v>1212</v>
      </c>
      <c r="L48" s="218" t="s">
        <v>3536</v>
      </c>
      <c r="M48" s="230" t="str" cm="1">
        <f t="array" ref="M48">_xlfn.LET(_xlpm.EliteList,_xlfn._xlws.FILTER($K$2:$K$85,$L$2:$L$85="Elite"),IF($J48=Class,IF(COUNTIF(ChosenSpecs,$K48)=0,IF(AND($L48="Elite",SUM(COUNTIF(ChosenSpecs,_xlpm.EliteList))&gt;0),"",$K48),""),""))</f>
        <v/>
      </c>
    </row>
    <row r="49" spans="1:13" ht="15" customHeight="1">
      <c r="A49" s="22"/>
      <c r="B49" s="18"/>
      <c r="C49" s="18"/>
      <c r="D49" s="18"/>
      <c r="E49" s="18"/>
      <c r="F49" s="18"/>
      <c r="G49" s="18"/>
      <c r="H49" s="19"/>
      <c r="J49" s="235" t="s">
        <v>1034</v>
      </c>
      <c r="K49" s="229" t="s">
        <v>1238</v>
      </c>
      <c r="L49" s="218" t="s">
        <v>3536</v>
      </c>
      <c r="M49" s="230" t="str" cm="1">
        <f t="array" ref="M49">_xlfn.LET(_xlpm.EliteList,_xlfn._xlws.FILTER($K$2:$K$85,$L$2:$L$85="Elite"),IF($J49=Class,IF(COUNTIF(ChosenSpecs,$K49)=0,IF(AND($L49="Elite",SUM(COUNTIF(ChosenSpecs,_xlpm.EliteList))&gt;0),"",$K49),""),""))</f>
        <v/>
      </c>
    </row>
    <row r="50" spans="1:13" ht="15" customHeight="1">
      <c r="A50" s="22"/>
      <c r="B50" s="18"/>
      <c r="C50" s="18"/>
      <c r="D50" s="18"/>
      <c r="E50" s="18"/>
      <c r="F50" s="18"/>
      <c r="G50" s="18"/>
      <c r="H50" s="19"/>
      <c r="J50" s="235" t="s">
        <v>1263</v>
      </c>
      <c r="K50" s="229" t="s">
        <v>1264</v>
      </c>
      <c r="L50" s="218" t="s">
        <v>3535</v>
      </c>
      <c r="M50" s="230" t="str" cm="1">
        <f t="array" ref="M50">_xlfn.LET(_xlpm.EliteList,_xlfn._xlws.FILTER($K$2:$K$85,$L$2:$L$85="Elite"),IF($J50=Class,IF(COUNTIF(ChosenSpecs,$K50)=0,IF(AND($L50="Elite",SUM(COUNTIF(ChosenSpecs,_xlpm.EliteList))&gt;0),"",$K50),""),""))</f>
        <v/>
      </c>
    </row>
    <row r="51" spans="1:13" ht="15" customHeight="1">
      <c r="A51" s="22"/>
      <c r="B51" s="18"/>
      <c r="C51" s="18"/>
      <c r="D51" s="18"/>
      <c r="E51" s="18"/>
      <c r="F51" s="18"/>
      <c r="G51" s="18"/>
      <c r="H51" s="19"/>
      <c r="J51" s="235" t="s">
        <v>1263</v>
      </c>
      <c r="K51" s="229" t="s">
        <v>1289</v>
      </c>
      <c r="L51" s="218" t="s">
        <v>3535</v>
      </c>
      <c r="M51" s="230" t="str" cm="1">
        <f t="array" ref="M51">_xlfn.LET(_xlpm.EliteList,_xlfn._xlws.FILTER($K$2:$K$85,$L$2:$L$85="Elite"),IF($J51=Class,IF(COUNTIF(ChosenSpecs,$K51)=0,IF(AND($L51="Elite",SUM(COUNTIF(ChosenSpecs,_xlpm.EliteList))&gt;0),"",$K51),""),""))</f>
        <v/>
      </c>
    </row>
    <row r="52" spans="1:13" ht="15" customHeight="1">
      <c r="A52" s="22"/>
      <c r="B52" s="18"/>
      <c r="C52" s="18"/>
      <c r="D52" s="18"/>
      <c r="E52" s="18"/>
      <c r="F52" s="18"/>
      <c r="G52" s="18"/>
      <c r="H52" s="19"/>
      <c r="J52" s="235" t="s">
        <v>1263</v>
      </c>
      <c r="K52" s="229" t="s">
        <v>1314</v>
      </c>
      <c r="L52" s="218" t="s">
        <v>3535</v>
      </c>
      <c r="M52" s="230" t="str" cm="1">
        <f t="array" ref="M52">_xlfn.LET(_xlpm.EliteList,_xlfn._xlws.FILTER($K$2:$K$85,$L$2:$L$85="Elite"),IF($J52=Class,IF(COUNTIF(ChosenSpecs,$K52)=0,IF(AND($L52="Elite",SUM(COUNTIF(ChosenSpecs,_xlpm.EliteList))&gt;0),"",$K52),""),""))</f>
        <v/>
      </c>
    </row>
    <row r="53" spans="1:13" ht="15" customHeight="1">
      <c r="A53" s="22"/>
      <c r="B53" s="18"/>
      <c r="C53" s="18"/>
      <c r="D53" s="18"/>
      <c r="E53" s="18"/>
      <c r="F53" s="18"/>
      <c r="G53" s="18"/>
      <c r="H53" s="19"/>
      <c r="J53" s="235" t="s">
        <v>1263</v>
      </c>
      <c r="K53" s="229" t="s">
        <v>1339</v>
      </c>
      <c r="L53" s="218" t="s">
        <v>3535</v>
      </c>
      <c r="M53" s="230" t="str" cm="1">
        <f t="array" ref="M53">_xlfn.LET(_xlpm.EliteList,_xlfn._xlws.FILTER($K$2:$K$85,$L$2:$L$85="Elite"),IF($J53=Class,IF(COUNTIF(ChosenSpecs,$K53)=0,IF(AND($L53="Elite",SUM(COUNTIF(ChosenSpecs,_xlpm.EliteList))&gt;0),"",$K53),""),""))</f>
        <v/>
      </c>
    </row>
    <row r="54" spans="1:13" ht="15" customHeight="1">
      <c r="A54" s="22"/>
      <c r="B54" s="18"/>
      <c r="C54" s="18"/>
      <c r="D54" s="18"/>
      <c r="E54" s="18"/>
      <c r="F54" s="18"/>
      <c r="G54" s="18"/>
      <c r="H54" s="19"/>
      <c r="J54" s="235" t="s">
        <v>1263</v>
      </c>
      <c r="K54" s="229" t="s">
        <v>1364</v>
      </c>
      <c r="L54" s="218" t="s">
        <v>3535</v>
      </c>
      <c r="M54" s="230" t="str" cm="1">
        <f t="array" ref="M54">_xlfn.LET(_xlpm.EliteList,_xlfn._xlws.FILTER($K$2:$K$85,$L$2:$L$85="Elite"),IF($J54=Class,IF(COUNTIF(ChosenSpecs,$K54)=0,IF(AND($L54="Elite",SUM(COUNTIF(ChosenSpecs,_xlpm.EliteList))&gt;0),"",$K54),""),""))</f>
        <v/>
      </c>
    </row>
    <row r="55" spans="1:13" ht="15" customHeight="1">
      <c r="A55" s="22"/>
      <c r="B55" s="18"/>
      <c r="C55" s="18"/>
      <c r="D55" s="18"/>
      <c r="E55" s="18"/>
      <c r="F55" s="18"/>
      <c r="G55" s="18"/>
      <c r="H55" s="19"/>
      <c r="J55" s="235" t="s">
        <v>1263</v>
      </c>
      <c r="K55" s="229" t="s">
        <v>1388</v>
      </c>
      <c r="L55" s="218" t="s">
        <v>3536</v>
      </c>
      <c r="M55" s="230" t="str" cm="1">
        <f t="array" ref="M55">_xlfn.LET(_xlpm.EliteList,_xlfn._xlws.FILTER($K$2:$K$85,$L$2:$L$85="Elite"),IF($J55=Class,IF(COUNTIF(ChosenSpecs,$K55)=0,IF(AND($L55="Elite",SUM(COUNTIF(ChosenSpecs,_xlpm.EliteList))&gt;0),"",$K55),""),""))</f>
        <v/>
      </c>
    </row>
    <row r="56" spans="1:13">
      <c r="A56" s="20"/>
      <c r="B56" s="2"/>
      <c r="C56" s="2"/>
      <c r="D56" s="2"/>
      <c r="E56" s="2"/>
      <c r="F56" s="2"/>
      <c r="G56" s="2"/>
      <c r="H56" s="7"/>
      <c r="J56" s="235" t="s">
        <v>1263</v>
      </c>
      <c r="K56" s="229" t="s">
        <v>1414</v>
      </c>
      <c r="L56" s="218" t="s">
        <v>3536</v>
      </c>
      <c r="M56" s="230" t="str" cm="1">
        <f t="array" ref="M56">_xlfn.LET(_xlpm.EliteList,_xlfn._xlws.FILTER($K$2:$K$85,$L$2:$L$85="Elite"),IF($J56=Class,IF(COUNTIF(ChosenSpecs,$K56)=0,IF(AND($L56="Elite",SUM(COUNTIF(ChosenSpecs,_xlpm.EliteList))&gt;0),"",$K56),""),""))</f>
        <v/>
      </c>
    </row>
    <row r="57" spans="1:13">
      <c r="A57" s="3"/>
      <c r="B57" s="21"/>
      <c r="C57" s="21"/>
      <c r="D57" s="21"/>
      <c r="E57" s="21"/>
      <c r="F57" s="21"/>
      <c r="G57" s="21"/>
      <c r="H57" s="6"/>
      <c r="J57" s="235" t="s">
        <v>1263</v>
      </c>
      <c r="K57" s="229" t="s">
        <v>1441</v>
      </c>
      <c r="L57" s="218" t="s">
        <v>3536</v>
      </c>
      <c r="M57" s="230" t="str" cm="1">
        <f t="array" ref="M57">_xlfn.LET(_xlpm.EliteList,_xlfn._xlws.FILTER($K$2:$K$85,$L$2:$L$85="Elite"),IF($J57=Class,IF(COUNTIF(ChosenSpecs,$K57)=0,IF(AND($L57="Elite",SUM(COUNTIF(ChosenSpecs,_xlpm.EliteList))&gt;0),"",$K57),""),""))</f>
        <v/>
      </c>
    </row>
    <row r="58" spans="1:13">
      <c r="J58" s="235" t="s">
        <v>1263</v>
      </c>
      <c r="K58" s="229" t="s">
        <v>1467</v>
      </c>
      <c r="L58" s="218" t="s">
        <v>3536</v>
      </c>
      <c r="M58" s="230" t="str" cm="1">
        <f t="array" ref="M58">_xlfn.LET(_xlpm.EliteList,_xlfn._xlws.FILTER($K$2:$K$85,$L$2:$L$85="Elite"),IF($J58=Class,IF(COUNTIF(ChosenSpecs,$K58)=0,IF(AND($L58="Elite",SUM(COUNTIF(ChosenSpecs,_xlpm.EliteList))&gt;0),"",$K58),""),""))</f>
        <v/>
      </c>
    </row>
    <row r="59" spans="1:13">
      <c r="J59" s="235" t="s">
        <v>1492</v>
      </c>
      <c r="K59" s="229" t="s">
        <v>1493</v>
      </c>
      <c r="L59" s="218" t="s">
        <v>3535</v>
      </c>
      <c r="M59" s="230" t="str" cm="1">
        <f t="array" ref="M59">_xlfn.LET(_xlpm.EliteList,_xlfn._xlws.FILTER($K$2:$K$85,$L$2:$L$85="Elite"),IF($J59=Class,IF(COUNTIF(ChosenSpecs,$K59)=0,IF(AND($L59="Elite",SUM(COUNTIF(ChosenSpecs,_xlpm.EliteList))&gt;0),"",$K59),""),""))</f>
        <v/>
      </c>
    </row>
    <row r="60" spans="1:13">
      <c r="J60" s="235" t="s">
        <v>1492</v>
      </c>
      <c r="K60" s="229" t="s">
        <v>1517</v>
      </c>
      <c r="L60" s="218" t="s">
        <v>3535</v>
      </c>
      <c r="M60" s="230" t="str" cm="1">
        <f t="array" ref="M60">_xlfn.LET(_xlpm.EliteList,_xlfn._xlws.FILTER($K$2:$K$85,$L$2:$L$85="Elite"),IF($J60=Class,IF(COUNTIF(ChosenSpecs,$K60)=0,IF(AND($L60="Elite",SUM(COUNTIF(ChosenSpecs,_xlpm.EliteList))&gt;0),"",$K60),""),""))</f>
        <v/>
      </c>
    </row>
    <row r="61" spans="1:13">
      <c r="J61" s="235" t="s">
        <v>1492</v>
      </c>
      <c r="K61" s="229" t="s">
        <v>1541</v>
      </c>
      <c r="L61" s="218" t="s">
        <v>3535</v>
      </c>
      <c r="M61" s="230" t="str" cm="1">
        <f t="array" ref="M61">_xlfn.LET(_xlpm.EliteList,_xlfn._xlws.FILTER($K$2:$K$85,$L$2:$L$85="Elite"),IF($J61=Class,IF(COUNTIF(ChosenSpecs,$K61)=0,IF(AND($L61="Elite",SUM(COUNTIF(ChosenSpecs,_xlpm.EliteList))&gt;0),"",$K61),""),""))</f>
        <v/>
      </c>
    </row>
    <row r="62" spans="1:13">
      <c r="J62" s="235" t="s">
        <v>1492</v>
      </c>
      <c r="K62" s="229" t="s">
        <v>1566</v>
      </c>
      <c r="L62" s="218" t="s">
        <v>3535</v>
      </c>
      <c r="M62" s="230" t="str" cm="1">
        <f t="array" ref="M62">_xlfn.LET(_xlpm.EliteList,_xlfn._xlws.FILTER($K$2:$K$85,$L$2:$L$85="Elite"),IF($J62=Class,IF(COUNTIF(ChosenSpecs,$K62)=0,IF(AND($L62="Elite",SUM(COUNTIF(ChosenSpecs,_xlpm.EliteList))&gt;0),"",$K62),""),""))</f>
        <v/>
      </c>
    </row>
    <row r="63" spans="1:13">
      <c r="J63" s="235" t="s">
        <v>1492</v>
      </c>
      <c r="K63" s="229" t="s">
        <v>1591</v>
      </c>
      <c r="L63" s="218" t="s">
        <v>3535</v>
      </c>
      <c r="M63" s="230" t="str" cm="1">
        <f t="array" ref="M63">_xlfn.LET(_xlpm.EliteList,_xlfn._xlws.FILTER($K$2:$K$85,$L$2:$L$85="Elite"),IF($J63=Class,IF(COUNTIF(ChosenSpecs,$K63)=0,IF(AND($L63="Elite",SUM(COUNTIF(ChosenSpecs,_xlpm.EliteList))&gt;0),"",$K63),""),""))</f>
        <v/>
      </c>
    </row>
    <row r="64" spans="1:13">
      <c r="J64" s="235" t="s">
        <v>1492</v>
      </c>
      <c r="K64" s="229" t="s">
        <v>1616</v>
      </c>
      <c r="L64" s="218" t="s">
        <v>3536</v>
      </c>
      <c r="M64" s="230" t="str" cm="1">
        <f t="array" ref="M64">_xlfn.LET(_xlpm.EliteList,_xlfn._xlws.FILTER($K$2:$K$85,$L$2:$L$85="Elite"),IF($J64=Class,IF(COUNTIF(ChosenSpecs,$K64)=0,IF(AND($L64="Elite",SUM(COUNTIF(ChosenSpecs,_xlpm.EliteList))&gt;0),"",$K64),""),""))</f>
        <v/>
      </c>
    </row>
    <row r="65" spans="10:13">
      <c r="J65" s="235" t="s">
        <v>1492</v>
      </c>
      <c r="K65" s="229" t="s">
        <v>1642</v>
      </c>
      <c r="L65" s="218" t="s">
        <v>3536</v>
      </c>
      <c r="M65" s="230" t="str" cm="1">
        <f t="array" ref="M65">_xlfn.LET(_xlpm.EliteList,_xlfn._xlws.FILTER($K$2:$K$85,$L$2:$L$85="Elite"),IF($J65=Class,IF(COUNTIF(ChosenSpecs,$K65)=0,IF(AND($L65="Elite",SUM(COUNTIF(ChosenSpecs,_xlpm.EliteList))&gt;0),"",$K65),""),""))</f>
        <v/>
      </c>
    </row>
    <row r="66" spans="10:13">
      <c r="J66" s="235" t="s">
        <v>1492</v>
      </c>
      <c r="K66" s="229" t="s">
        <v>1666</v>
      </c>
      <c r="L66" s="218" t="s">
        <v>3536</v>
      </c>
      <c r="M66" s="230" t="str" cm="1">
        <f t="array" ref="M66">_xlfn.LET(_xlpm.EliteList,_xlfn._xlws.FILTER($K$2:$K$85,$L$2:$L$85="Elite"),IF($J66=Class,IF(COUNTIF(ChosenSpecs,$K66)=0,IF(AND($L66="Elite",SUM(COUNTIF(ChosenSpecs,_xlpm.EliteList))&gt;0),"",$K66),""),""))</f>
        <v/>
      </c>
    </row>
    <row r="67" spans="10:13">
      <c r="J67" s="235" t="s">
        <v>1492</v>
      </c>
      <c r="K67" s="229" t="s">
        <v>1692</v>
      </c>
      <c r="L67" s="218" t="s">
        <v>3536</v>
      </c>
      <c r="M67" s="230" t="str" cm="1">
        <f t="array" ref="M67">_xlfn.LET(_xlpm.EliteList,_xlfn._xlws.FILTER($K$2:$K$85,$L$2:$L$85="Elite"),IF($J67=Class,IF(COUNTIF(ChosenSpecs,$K67)=0,IF(AND($L67="Elite",SUM(COUNTIF(ChosenSpecs,_xlpm.EliteList))&gt;0),"",$K67),""),""))</f>
        <v/>
      </c>
    </row>
    <row r="68" spans="10:13">
      <c r="J68" s="235" t="s">
        <v>1717</v>
      </c>
      <c r="K68" s="229" t="s">
        <v>1718</v>
      </c>
      <c r="L68" s="218" t="s">
        <v>3535</v>
      </c>
      <c r="M68" s="230" t="str" cm="1">
        <f t="array" ref="M68">_xlfn.LET(_xlpm.EliteList,_xlfn._xlws.FILTER($K$2:$K$85,$L$2:$L$85="Elite"),IF($J68=Class,IF(COUNTIF(ChosenSpecs,$K68)=0,IF(AND($L68="Elite",SUM(COUNTIF(ChosenSpecs,_xlpm.EliteList))&gt;0),"",$K68),""),""))</f>
        <v/>
      </c>
    </row>
    <row r="69" spans="10:13">
      <c r="J69" s="235" t="s">
        <v>1717</v>
      </c>
      <c r="K69" s="229" t="s">
        <v>1742</v>
      </c>
      <c r="L69" s="218" t="s">
        <v>3535</v>
      </c>
      <c r="M69" s="230" t="str" cm="1">
        <f t="array" ref="M69">_xlfn.LET(_xlpm.EliteList,_xlfn._xlws.FILTER($K$2:$K$85,$L$2:$L$85="Elite"),IF($J69=Class,IF(COUNTIF(ChosenSpecs,$K69)=0,IF(AND($L69="Elite",SUM(COUNTIF(ChosenSpecs,_xlpm.EliteList))&gt;0),"",$K69),""),""))</f>
        <v/>
      </c>
    </row>
    <row r="70" spans="10:13">
      <c r="J70" s="235" t="s">
        <v>1717</v>
      </c>
      <c r="K70" s="229" t="s">
        <v>1765</v>
      </c>
      <c r="L70" s="218" t="s">
        <v>3535</v>
      </c>
      <c r="M70" s="230" t="str" cm="1">
        <f t="array" ref="M70">_xlfn.LET(_xlpm.EliteList,_xlfn._xlws.FILTER($K$2:$K$85,$L$2:$L$85="Elite"),IF($J70=Class,IF(COUNTIF(ChosenSpecs,$K70)=0,IF(AND($L70="Elite",SUM(COUNTIF(ChosenSpecs,_xlpm.EliteList))&gt;0),"",$K70),""),""))</f>
        <v/>
      </c>
    </row>
    <row r="71" spans="10:13">
      <c r="J71" s="235" t="s">
        <v>1717</v>
      </c>
      <c r="K71" s="229" t="s">
        <v>27</v>
      </c>
      <c r="L71" s="218" t="s">
        <v>3535</v>
      </c>
      <c r="M71" s="230" t="str" cm="1">
        <f t="array" ref="M71">_xlfn.LET(_xlpm.EliteList,_xlfn._xlws.FILTER($K$2:$K$85,$L$2:$L$85="Elite"),IF($J71=Class,IF(COUNTIF(ChosenSpecs,$K71)=0,IF(AND($L71="Elite",SUM(COUNTIF(ChosenSpecs,_xlpm.EliteList))&gt;0),"",$K71),""),""))</f>
        <v/>
      </c>
    </row>
    <row r="72" spans="10:13">
      <c r="J72" s="235" t="s">
        <v>1717</v>
      </c>
      <c r="K72" s="229" t="s">
        <v>17</v>
      </c>
      <c r="L72" s="218" t="s">
        <v>3535</v>
      </c>
      <c r="M72" s="230" t="str" cm="1">
        <f t="array" ref="M72">_xlfn.LET(_xlpm.EliteList,_xlfn._xlws.FILTER($K$2:$K$85,$L$2:$L$85="Elite"),IF($J72=Class,IF(COUNTIF(ChosenSpecs,$K72)=0,IF(AND($L72="Elite",SUM(COUNTIF(ChosenSpecs,_xlpm.EliteList))&gt;0),"",$K72),""),""))</f>
        <v/>
      </c>
    </row>
    <row r="73" spans="10:13">
      <c r="J73" s="235" t="s">
        <v>1717</v>
      </c>
      <c r="K73" s="229" t="s">
        <v>1834</v>
      </c>
      <c r="L73" s="218" t="s">
        <v>3536</v>
      </c>
      <c r="M73" s="230" t="str" cm="1">
        <f t="array" ref="M73">_xlfn.LET(_xlpm.EliteList,_xlfn._xlws.FILTER($K$2:$K$85,$L$2:$L$85="Elite"),IF($J73=Class,IF(COUNTIF(ChosenSpecs,$K73)=0,IF(AND($L73="Elite",SUM(COUNTIF(ChosenSpecs,_xlpm.EliteList))&gt;0),"",$K73),""),""))</f>
        <v/>
      </c>
    </row>
    <row r="74" spans="10:13">
      <c r="J74" s="235" t="s">
        <v>1717</v>
      </c>
      <c r="K74" s="229" t="s">
        <v>1860</v>
      </c>
      <c r="L74" s="218" t="s">
        <v>3536</v>
      </c>
      <c r="M74" s="230" t="str" cm="1">
        <f t="array" ref="M74">_xlfn.LET(_xlpm.EliteList,_xlfn._xlws.FILTER($K$2:$K$85,$L$2:$L$85="Elite"),IF($J74=Class,IF(COUNTIF(ChosenSpecs,$K74)=0,IF(AND($L74="Elite",SUM(COUNTIF(ChosenSpecs,_xlpm.EliteList))&gt;0),"",$K74),""),""))</f>
        <v/>
      </c>
    </row>
    <row r="75" spans="10:13">
      <c r="J75" s="235" t="s">
        <v>1717</v>
      </c>
      <c r="K75" s="229" t="s">
        <v>1886</v>
      </c>
      <c r="L75" s="218" t="s">
        <v>3536</v>
      </c>
      <c r="M75" s="230" t="str" cm="1">
        <f t="array" ref="M75">_xlfn.LET(_xlpm.EliteList,_xlfn._xlws.FILTER($K$2:$K$85,$L$2:$L$85="Elite"),IF($J75=Class,IF(COUNTIF(ChosenSpecs,$K75)=0,IF(AND($L75="Elite",SUM(COUNTIF(ChosenSpecs,_xlpm.EliteList))&gt;0),"",$K75),""),""))</f>
        <v/>
      </c>
    </row>
    <row r="76" spans="10:13">
      <c r="J76" s="235" t="s">
        <v>1717</v>
      </c>
      <c r="K76" s="229" t="s">
        <v>34</v>
      </c>
      <c r="L76" s="218" t="s">
        <v>3536</v>
      </c>
      <c r="M76" s="230" t="str" cm="1">
        <f t="array" ref="M76">_xlfn.LET(_xlpm.EliteList,_xlfn._xlws.FILTER($K$2:$K$85,$L$2:$L$85="Elite"),IF($J76=Class,IF(COUNTIF(ChosenSpecs,$K76)=0,IF(AND($L76="Elite",SUM(COUNTIF(ChosenSpecs,_xlpm.EliteList))&gt;0),"",$K76),""),""))</f>
        <v/>
      </c>
    </row>
    <row r="77" spans="10:13">
      <c r="J77" s="235" t="s">
        <v>1937</v>
      </c>
      <c r="K77" s="229" t="s">
        <v>1938</v>
      </c>
      <c r="L77" s="218" t="s">
        <v>3535</v>
      </c>
      <c r="M77" s="230" t="str" cm="1">
        <f t="array" ref="M77">_xlfn.LET(_xlpm.EliteList,_xlfn._xlws.FILTER($K$2:$K$85,$L$2:$L$85="Elite"),IF($J77=Class,IF(COUNTIF(ChosenSpecs,$K77)=0,IF(AND($L77="Elite",SUM(COUNTIF(ChosenSpecs,_xlpm.EliteList))&gt;0),"",$K77),""),""))</f>
        <v/>
      </c>
    </row>
    <row r="78" spans="10:13">
      <c r="J78" s="235" t="s">
        <v>1937</v>
      </c>
      <c r="K78" s="229" t="s">
        <v>1962</v>
      </c>
      <c r="L78" s="218" t="s">
        <v>3535</v>
      </c>
      <c r="M78" s="230" t="str" cm="1">
        <f t="array" ref="M78">_xlfn.LET(_xlpm.EliteList,_xlfn._xlws.FILTER($K$2:$K$85,$L$2:$L$85="Elite"),IF($J78=Class,IF(COUNTIF(ChosenSpecs,$K78)=0,IF(AND($L78="Elite",SUM(COUNTIF(ChosenSpecs,_xlpm.EliteList))&gt;0),"",$K78),""),""))</f>
        <v/>
      </c>
    </row>
    <row r="79" spans="10:13">
      <c r="J79" s="235" t="s">
        <v>1937</v>
      </c>
      <c r="K79" s="229" t="s">
        <v>1987</v>
      </c>
      <c r="L79" s="218" t="s">
        <v>3535</v>
      </c>
      <c r="M79" s="230" t="str" cm="1">
        <f t="array" ref="M79">_xlfn.LET(_xlpm.EliteList,_xlfn._xlws.FILTER($K$2:$K$85,$L$2:$L$85="Elite"),IF($J79=Class,IF(COUNTIF(ChosenSpecs,$K79)=0,IF(AND($L79="Elite",SUM(COUNTIF(ChosenSpecs,_xlpm.EliteList))&gt;0),"",$K79),""),""))</f>
        <v/>
      </c>
    </row>
    <row r="80" spans="10:13">
      <c r="J80" s="235" t="s">
        <v>1937</v>
      </c>
      <c r="K80" s="229" t="s">
        <v>2012</v>
      </c>
      <c r="L80" s="218" t="s">
        <v>3535</v>
      </c>
      <c r="M80" s="230" t="str" cm="1">
        <f t="array" ref="M80">_xlfn.LET(_xlpm.EliteList,_xlfn._xlws.FILTER($K$2:$K$85,$L$2:$L$85="Elite"),IF($J80=Class,IF(COUNTIF(ChosenSpecs,$K80)=0,IF(AND($L80="Elite",SUM(COUNTIF(ChosenSpecs,_xlpm.EliteList))&gt;0),"",$K80),""),""))</f>
        <v/>
      </c>
    </row>
    <row r="81" spans="10:13">
      <c r="J81" s="235" t="s">
        <v>1937</v>
      </c>
      <c r="K81" s="229" t="s">
        <v>2037</v>
      </c>
      <c r="L81" s="218" t="s">
        <v>3535</v>
      </c>
      <c r="M81" s="230" t="str" cm="1">
        <f t="array" ref="M81">_xlfn.LET(_xlpm.EliteList,_xlfn._xlws.FILTER($K$2:$K$85,$L$2:$L$85="Elite"),IF($J81=Class,IF(COUNTIF(ChosenSpecs,$K81)=0,IF(AND($L81="Elite",SUM(COUNTIF(ChosenSpecs,_xlpm.EliteList))&gt;0),"",$K81),""),""))</f>
        <v/>
      </c>
    </row>
    <row r="82" spans="10:13">
      <c r="J82" s="235" t="s">
        <v>1937</v>
      </c>
      <c r="K82" s="229" t="s">
        <v>2061</v>
      </c>
      <c r="L82" s="218" t="s">
        <v>3536</v>
      </c>
      <c r="M82" s="230" t="str" cm="1">
        <f t="array" ref="M82">_xlfn.LET(_xlpm.EliteList,_xlfn._xlws.FILTER($K$2:$K$85,$L$2:$L$85="Elite"),IF($J82=Class,IF(COUNTIF(ChosenSpecs,$K82)=0,IF(AND($L82="Elite",SUM(COUNTIF(ChosenSpecs,_xlpm.EliteList))&gt;0),"",$K82),""),""))</f>
        <v/>
      </c>
    </row>
    <row r="83" spans="10:13">
      <c r="J83" s="235" t="s">
        <v>1937</v>
      </c>
      <c r="K83" s="229" t="s">
        <v>2086</v>
      </c>
      <c r="L83" s="218" t="s">
        <v>3536</v>
      </c>
      <c r="M83" s="230" t="str" cm="1">
        <f t="array" ref="M83">_xlfn.LET(_xlpm.EliteList,_xlfn._xlws.FILTER($K$2:$K$85,$L$2:$L$85="Elite"),IF($J83=Class,IF(COUNTIF(ChosenSpecs,$K83)=0,IF(AND($L83="Elite",SUM(COUNTIF(ChosenSpecs,_xlpm.EliteList))&gt;0),"",$K83),""),""))</f>
        <v/>
      </c>
    </row>
    <row r="84" spans="10:13">
      <c r="J84" s="235" t="s">
        <v>1937</v>
      </c>
      <c r="K84" s="229" t="s">
        <v>2112</v>
      </c>
      <c r="L84" s="218" t="s">
        <v>3536</v>
      </c>
      <c r="M84" s="230" t="str" cm="1">
        <f t="array" ref="M84">_xlfn.LET(_xlpm.EliteList,_xlfn._xlws.FILTER($K$2:$K$85,$L$2:$L$85="Elite"),IF($J84=Class,IF(COUNTIF(ChosenSpecs,$K84)=0,IF(AND($L84="Elite",SUM(COUNTIF(ChosenSpecs,_xlpm.EliteList))&gt;0),"",$K84),""),""))</f>
        <v/>
      </c>
    </row>
    <row r="85" spans="10:13">
      <c r="J85" s="236" t="s">
        <v>1937</v>
      </c>
      <c r="K85" s="231" t="s">
        <v>2138</v>
      </c>
      <c r="L85" s="232" t="s">
        <v>3536</v>
      </c>
      <c r="M85" s="233" t="str" cm="1">
        <f t="array" ref="M85">_xlfn.LET(_xlpm.EliteList,_xlfn._xlws.FILTER($K$2:$K$85,$L$2:$L$85="Elite"),IF($J85=Class,IF(COUNTIF(ChosenSpecs,$K85)=0,IF(AND($L85="Elite",SUM(COUNTIF(ChosenSpecs,_xlpm.EliteList))&gt;0),"",$K85),""),""))</f>
        <v/>
      </c>
    </row>
  </sheetData>
  <sheetProtection sheet="1" objects="1" scenarios="1"/>
  <mergeCells count="29">
    <mergeCell ref="Q14:V14"/>
    <mergeCell ref="X9:Y9"/>
    <mergeCell ref="J1:M1"/>
    <mergeCell ref="X2:Y2"/>
    <mergeCell ref="H3:H6"/>
    <mergeCell ref="H11:H14"/>
    <mergeCell ref="H7:H10"/>
    <mergeCell ref="D3:D6"/>
    <mergeCell ref="D7:D10"/>
    <mergeCell ref="B11:B14"/>
    <mergeCell ref="F3:F6"/>
    <mergeCell ref="F7:F10"/>
    <mergeCell ref="F11:F14"/>
    <mergeCell ref="A30:A35"/>
    <mergeCell ref="A16:F16"/>
    <mergeCell ref="D11:D14"/>
    <mergeCell ref="X1:Y1"/>
    <mergeCell ref="Q2:V2"/>
    <mergeCell ref="Q1:V1"/>
    <mergeCell ref="A18:A23"/>
    <mergeCell ref="A24:A29"/>
    <mergeCell ref="A1:G1"/>
    <mergeCell ref="X16:Y16"/>
    <mergeCell ref="Q26:V26"/>
    <mergeCell ref="A3:A6"/>
    <mergeCell ref="A7:A10"/>
    <mergeCell ref="A11:A14"/>
    <mergeCell ref="B3:B6"/>
    <mergeCell ref="B7:B10"/>
  </mergeCells>
  <conditionalFormatting sqref="C3:C6">
    <cfRule type="expression" dxfId="8" priority="18">
      <formula>$C3 = Spec1MajorAdept</formula>
    </cfRule>
  </conditionalFormatting>
  <conditionalFormatting sqref="C7:C10">
    <cfRule type="expression" dxfId="7" priority="17">
      <formula>$C7=Spec2MajorAdept</formula>
    </cfRule>
  </conditionalFormatting>
  <conditionalFormatting sqref="C11:C14">
    <cfRule type="expression" dxfId="6" priority="16">
      <formula>C11=Spec3MajorAdept</formula>
    </cfRule>
  </conditionalFormatting>
  <conditionalFormatting sqref="E3:E6">
    <cfRule type="expression" dxfId="5" priority="15">
      <formula>$E3=Spec1MajorMaster</formula>
    </cfRule>
  </conditionalFormatting>
  <conditionalFormatting sqref="E7:E10">
    <cfRule type="expression" dxfId="4" priority="14">
      <formula>$E7=Spec2MajorMaster</formula>
    </cfRule>
  </conditionalFormatting>
  <conditionalFormatting sqref="E11:E14">
    <cfRule type="expression" dxfId="3" priority="13">
      <formula>$E11=Spec3MajorMaster</formula>
    </cfRule>
  </conditionalFormatting>
  <conditionalFormatting sqref="G3:G6">
    <cfRule type="expression" dxfId="2" priority="12">
      <formula>$G3=Spec1MajorGrandmaster</formula>
    </cfRule>
  </conditionalFormatting>
  <conditionalFormatting sqref="G7:G10">
    <cfRule type="expression" dxfId="1" priority="11">
      <formula>$G7=Spec2MajorGrandmaster</formula>
    </cfRule>
  </conditionalFormatting>
  <conditionalFormatting sqref="G11:G14">
    <cfRule type="expression" dxfId="0" priority="10">
      <formula>$G11=Spec3MajorGrandmaster</formula>
    </cfRule>
  </conditionalFormatting>
  <dataValidations count="5">
    <dataValidation allowBlank="1" showInputMessage="1" showErrorMessage="1" promptTitle="Filter &amp; Conditional Formatting" prompt="Trait filtering based on selected Specialisations and alerts for mismatching Specialisation and Class." sqref="A1:G1" xr:uid="{4163BEB1-9C9E-4195-A400-8FF8A411A6FE}"/>
    <dataValidation allowBlank="1" showInputMessage="1" showErrorMessage="1" promptTitle="Conditional Formatting" prompt="Controls alerts for mismatching Traits and Specialisations and enables/disables stacking and combat condition controls in Traits interface." sqref="A16:F16" xr:uid="{2EAF4F20-EEBC-417E-A865-CF020796BD98}"/>
    <dataValidation allowBlank="1" showInputMessage="1" showErrorMessage="1" promptTitle="Filter" prompt="Filters available Specialisations for selection based on Class and what is not already selected, and limits Elite Specialisation to a single selection." sqref="J1:M1" xr:uid="{B2987BBC-C8D1-4EA8-AA43-019F0345E9EF}"/>
    <dataValidation allowBlank="1" showInputMessage="1" showErrorMessage="1" promptTitle="Filter" prompt="Creates lists for use in Trait Selection where Trait effects are conditional." sqref="Q1:V1" xr:uid="{5E6B144C-4F30-4058-91F0-01A3950C88CD}"/>
    <dataValidation allowBlank="1" showInputMessage="1" showErrorMessage="1" promptTitle="Filter" prompt="Creates stack lists for Stacking Traits up to assigned maximum." sqref="X1:Y1" xr:uid="{A3CA69B8-4410-45F9-85F1-A2AA705ACE23}"/>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4813-4EB0-463D-B88D-008C8847C521}">
  <dimension ref="A1:B83"/>
  <sheetViews>
    <sheetView workbookViewId="0">
      <selection activeCell="B64" sqref="B64"/>
    </sheetView>
  </sheetViews>
  <sheetFormatPr defaultRowHeight="15"/>
  <cols>
    <col min="1" max="1" width="29.7109375" style="279" bestFit="1" customWidth="1"/>
    <col min="2" max="2" width="191.7109375" style="286" bestFit="1" customWidth="1"/>
  </cols>
  <sheetData>
    <row r="1" spans="1:2" ht="18.75">
      <c r="A1" s="348" t="s">
        <v>90</v>
      </c>
      <c r="B1" s="612" t="s">
        <v>3496</v>
      </c>
    </row>
    <row r="2" spans="1:2">
      <c r="A2" s="278" t="s">
        <v>4</v>
      </c>
      <c r="B2" s="613"/>
    </row>
    <row r="3" spans="1:2">
      <c r="A3" s="279" t="s">
        <v>3542</v>
      </c>
      <c r="B3" s="286" t="s">
        <v>3543</v>
      </c>
    </row>
    <row r="4" spans="1:2">
      <c r="A4" s="279" t="s">
        <v>3544</v>
      </c>
      <c r="B4" s="286" t="s">
        <v>3545</v>
      </c>
    </row>
    <row r="5" spans="1:2">
      <c r="A5" s="279" t="s">
        <v>3546</v>
      </c>
      <c r="B5" s="286" t="s">
        <v>3547</v>
      </c>
    </row>
    <row r="6" spans="1:2">
      <c r="A6" s="279" t="s">
        <v>3548</v>
      </c>
      <c r="B6" s="286" t="s">
        <v>3549</v>
      </c>
    </row>
    <row r="7" spans="1:2">
      <c r="A7" s="279" t="s">
        <v>3550</v>
      </c>
      <c r="B7" s="286" t="s">
        <v>3551</v>
      </c>
    </row>
    <row r="8" spans="1:2">
      <c r="A8" s="279" t="s">
        <v>3552</v>
      </c>
      <c r="B8" s="286" t="s">
        <v>3553</v>
      </c>
    </row>
    <row r="9" spans="1:2">
      <c r="A9" s="279" t="s">
        <v>3554</v>
      </c>
      <c r="B9" s="286" t="s">
        <v>3555</v>
      </c>
    </row>
    <row r="10" spans="1:2">
      <c r="A10" s="279" t="s">
        <v>3556</v>
      </c>
      <c r="B10" s="286" t="s">
        <v>3557</v>
      </c>
    </row>
    <row r="11" spans="1:2">
      <c r="A11" s="279" t="s">
        <v>3558</v>
      </c>
      <c r="B11" s="286" t="s">
        <v>3559</v>
      </c>
    </row>
    <row r="12" spans="1:2">
      <c r="A12" s="279" t="s">
        <v>3560</v>
      </c>
      <c r="B12" s="286" t="s">
        <v>3561</v>
      </c>
    </row>
    <row r="13" spans="1:2">
      <c r="A13" s="279" t="s">
        <v>3562</v>
      </c>
      <c r="B13" s="286" t="s">
        <v>3563</v>
      </c>
    </row>
    <row r="14" spans="1:2">
      <c r="A14" s="279" t="s">
        <v>3564</v>
      </c>
      <c r="B14" s="286" t="s">
        <v>3565</v>
      </c>
    </row>
    <row r="15" spans="1:2">
      <c r="A15" s="279" t="s">
        <v>3566</v>
      </c>
      <c r="B15" s="286" t="s">
        <v>3567</v>
      </c>
    </row>
    <row r="16" spans="1:2">
      <c r="A16" s="279" t="s">
        <v>3568</v>
      </c>
      <c r="B16" s="286" t="s">
        <v>3569</v>
      </c>
    </row>
    <row r="17" spans="1:2">
      <c r="A17" s="279" t="s">
        <v>3570</v>
      </c>
      <c r="B17" s="286" t="s">
        <v>3571</v>
      </c>
    </row>
    <row r="18" spans="1:2">
      <c r="A18" s="279" t="s">
        <v>3572</v>
      </c>
      <c r="B18" s="286" t="s">
        <v>3573</v>
      </c>
    </row>
    <row r="19" spans="1:2">
      <c r="A19" s="279" t="s">
        <v>3574</v>
      </c>
      <c r="B19" s="286" t="s">
        <v>3575</v>
      </c>
    </row>
    <row r="20" spans="1:2">
      <c r="A20" s="279" t="s">
        <v>3576</v>
      </c>
      <c r="B20" s="286" t="s">
        <v>3577</v>
      </c>
    </row>
    <row r="21" spans="1:2">
      <c r="A21" s="279" t="s">
        <v>3578</v>
      </c>
      <c r="B21" s="286" t="s">
        <v>3579</v>
      </c>
    </row>
    <row r="22" spans="1:2">
      <c r="A22" s="279" t="s">
        <v>3580</v>
      </c>
      <c r="B22" s="286" t="s">
        <v>3581</v>
      </c>
    </row>
    <row r="23" spans="1:2">
      <c r="A23" s="279" t="s">
        <v>3582</v>
      </c>
      <c r="B23" s="286" t="s">
        <v>3583</v>
      </c>
    </row>
    <row r="24" spans="1:2">
      <c r="A24" s="279" t="s">
        <v>3584</v>
      </c>
      <c r="B24" s="286" t="s">
        <v>3585</v>
      </c>
    </row>
    <row r="25" spans="1:2">
      <c r="A25" s="279" t="s">
        <v>3586</v>
      </c>
      <c r="B25" s="286" t="s">
        <v>3587</v>
      </c>
    </row>
    <row r="26" spans="1:2">
      <c r="A26" s="279" t="s">
        <v>3588</v>
      </c>
      <c r="B26" s="286" t="s">
        <v>3589</v>
      </c>
    </row>
    <row r="27" spans="1:2">
      <c r="A27" s="279" t="s">
        <v>3590</v>
      </c>
      <c r="B27" s="286" t="s">
        <v>3591</v>
      </c>
    </row>
    <row r="28" spans="1:2">
      <c r="A28" s="279" t="s">
        <v>3592</v>
      </c>
      <c r="B28" s="286" t="s">
        <v>3593</v>
      </c>
    </row>
    <row r="29" spans="1:2">
      <c r="A29" s="279" t="s">
        <v>3594</v>
      </c>
      <c r="B29" s="286" t="s">
        <v>3595</v>
      </c>
    </row>
    <row r="30" spans="1:2">
      <c r="A30" s="279" t="s">
        <v>3596</v>
      </c>
      <c r="B30" s="286" t="s">
        <v>3597</v>
      </c>
    </row>
    <row r="31" spans="1:2">
      <c r="A31" s="279" t="s">
        <v>3598</v>
      </c>
      <c r="B31" s="286" t="s">
        <v>3599</v>
      </c>
    </row>
    <row r="32" spans="1:2">
      <c r="A32" s="279" t="s">
        <v>3600</v>
      </c>
      <c r="B32" s="286" t="s">
        <v>3601</v>
      </c>
    </row>
    <row r="33" spans="1:2">
      <c r="A33" s="279" t="s">
        <v>3602</v>
      </c>
      <c r="B33" s="286" t="s">
        <v>3603</v>
      </c>
    </row>
    <row r="34" spans="1:2">
      <c r="A34" s="279" t="s">
        <v>3604</v>
      </c>
      <c r="B34" s="286" t="s">
        <v>3605</v>
      </c>
    </row>
    <row r="35" spans="1:2">
      <c r="A35" s="279" t="s">
        <v>3606</v>
      </c>
      <c r="B35" s="286" t="s">
        <v>3607</v>
      </c>
    </row>
    <row r="36" spans="1:2">
      <c r="A36" s="279" t="s">
        <v>3608</v>
      </c>
      <c r="B36" s="286" t="s">
        <v>3609</v>
      </c>
    </row>
    <row r="37" spans="1:2">
      <c r="A37" s="279" t="s">
        <v>3610</v>
      </c>
      <c r="B37" s="286" t="s">
        <v>3611</v>
      </c>
    </row>
    <row r="38" spans="1:2">
      <c r="A38" s="279" t="s">
        <v>3612</v>
      </c>
      <c r="B38" s="286" t="s">
        <v>3613</v>
      </c>
    </row>
    <row r="39" spans="1:2">
      <c r="A39" s="279" t="s">
        <v>3614</v>
      </c>
      <c r="B39" s="286" t="s">
        <v>3615</v>
      </c>
    </row>
    <row r="40" spans="1:2">
      <c r="A40" s="279" t="s">
        <v>3616</v>
      </c>
      <c r="B40" s="286" t="s">
        <v>3617</v>
      </c>
    </row>
    <row r="41" spans="1:2">
      <c r="A41" s="279" t="s">
        <v>3618</v>
      </c>
      <c r="B41" s="286" t="s">
        <v>3619</v>
      </c>
    </row>
    <row r="42" spans="1:2">
      <c r="A42" s="279" t="s">
        <v>3620</v>
      </c>
      <c r="B42" s="286" t="s">
        <v>3621</v>
      </c>
    </row>
    <row r="43" spans="1:2">
      <c r="A43" s="279" t="s">
        <v>3622</v>
      </c>
      <c r="B43" s="286" t="s">
        <v>3623</v>
      </c>
    </row>
    <row r="44" spans="1:2">
      <c r="A44" s="279" t="s">
        <v>3624</v>
      </c>
      <c r="B44" s="286" t="s">
        <v>3625</v>
      </c>
    </row>
    <row r="45" spans="1:2">
      <c r="A45" s="279" t="s">
        <v>3626</v>
      </c>
      <c r="B45" s="286" t="s">
        <v>3627</v>
      </c>
    </row>
    <row r="46" spans="1:2">
      <c r="A46" s="279" t="s">
        <v>3628</v>
      </c>
      <c r="B46" s="286" t="s">
        <v>3629</v>
      </c>
    </row>
    <row r="47" spans="1:2">
      <c r="A47" s="279" t="s">
        <v>3630</v>
      </c>
      <c r="B47" s="286" t="s">
        <v>3631</v>
      </c>
    </row>
    <row r="48" spans="1:2">
      <c r="A48" s="279" t="s">
        <v>3632</v>
      </c>
      <c r="B48" s="286" t="s">
        <v>3633</v>
      </c>
    </row>
    <row r="49" spans="1:2">
      <c r="A49" s="279" t="s">
        <v>3634</v>
      </c>
      <c r="B49" s="286" t="s">
        <v>3635</v>
      </c>
    </row>
    <row r="50" spans="1:2">
      <c r="A50" s="279" t="s">
        <v>3636</v>
      </c>
      <c r="B50" s="286" t="s">
        <v>3637</v>
      </c>
    </row>
    <row r="51" spans="1:2">
      <c r="A51" s="279" t="s">
        <v>3638</v>
      </c>
      <c r="B51" s="286" t="s">
        <v>3639</v>
      </c>
    </row>
    <row r="52" spans="1:2">
      <c r="A52" s="279" t="s">
        <v>3640</v>
      </c>
      <c r="B52" s="286" t="s">
        <v>3641</v>
      </c>
    </row>
    <row r="53" spans="1:2">
      <c r="A53" s="279" t="s">
        <v>3642</v>
      </c>
      <c r="B53" s="286" t="s">
        <v>3643</v>
      </c>
    </row>
    <row r="54" spans="1:2">
      <c r="A54" s="279" t="s">
        <v>3644</v>
      </c>
      <c r="B54" s="286" t="s">
        <v>3645</v>
      </c>
    </row>
    <row r="55" spans="1:2">
      <c r="A55" s="279" t="s">
        <v>3646</v>
      </c>
      <c r="B55" s="286" t="s">
        <v>3647</v>
      </c>
    </row>
    <row r="56" spans="1:2">
      <c r="A56" s="279" t="s">
        <v>3648</v>
      </c>
      <c r="B56" s="286" t="s">
        <v>3649</v>
      </c>
    </row>
    <row r="57" spans="1:2">
      <c r="A57" s="279" t="s">
        <v>3650</v>
      </c>
      <c r="B57" s="286" t="s">
        <v>3651</v>
      </c>
    </row>
    <row r="58" spans="1:2">
      <c r="A58" s="279" t="s">
        <v>3652</v>
      </c>
      <c r="B58" s="286" t="s">
        <v>3653</v>
      </c>
    </row>
    <row r="59" spans="1:2">
      <c r="A59" s="279" t="s">
        <v>3654</v>
      </c>
      <c r="B59" s="286" t="s">
        <v>3655</v>
      </c>
    </row>
    <row r="60" spans="1:2">
      <c r="A60" s="279" t="s">
        <v>3656</v>
      </c>
      <c r="B60" s="286" t="s">
        <v>3657</v>
      </c>
    </row>
    <row r="61" spans="1:2">
      <c r="A61" s="279" t="s">
        <v>3658</v>
      </c>
      <c r="B61" s="286" t="s">
        <v>3659</v>
      </c>
    </row>
    <row r="62" spans="1:2">
      <c r="A62" s="279" t="s">
        <v>3660</v>
      </c>
      <c r="B62" s="286" t="s">
        <v>3661</v>
      </c>
    </row>
    <row r="63" spans="1:2">
      <c r="A63" s="279" t="s">
        <v>3662</v>
      </c>
      <c r="B63" s="286" t="s">
        <v>3663</v>
      </c>
    </row>
    <row r="64" spans="1:2">
      <c r="A64" s="279" t="s">
        <v>3664</v>
      </c>
      <c r="B64" s="286" t="s">
        <v>3665</v>
      </c>
    </row>
    <row r="65" spans="1:2">
      <c r="A65" s="279" t="s">
        <v>3666</v>
      </c>
      <c r="B65" s="286" t="s">
        <v>3667</v>
      </c>
    </row>
    <row r="66" spans="1:2">
      <c r="A66" s="279" t="s">
        <v>3668</v>
      </c>
      <c r="B66" s="286" t="s">
        <v>3669</v>
      </c>
    </row>
    <row r="67" spans="1:2">
      <c r="A67" s="279" t="s">
        <v>3670</v>
      </c>
      <c r="B67" s="286" t="s">
        <v>3671</v>
      </c>
    </row>
    <row r="68" spans="1:2">
      <c r="A68" s="279" t="s">
        <v>3672</v>
      </c>
      <c r="B68" s="286" t="s">
        <v>3673</v>
      </c>
    </row>
    <row r="69" spans="1:2">
      <c r="A69" s="279" t="s">
        <v>3674</v>
      </c>
      <c r="B69" s="286" t="s">
        <v>3675</v>
      </c>
    </row>
    <row r="70" spans="1:2">
      <c r="A70" s="279" t="s">
        <v>3676</v>
      </c>
      <c r="B70" s="286" t="s">
        <v>3677</v>
      </c>
    </row>
    <row r="71" spans="1:2">
      <c r="A71" s="279" t="s">
        <v>3678</v>
      </c>
      <c r="B71" s="286" t="s">
        <v>3679</v>
      </c>
    </row>
    <row r="72" spans="1:2">
      <c r="A72" s="279" t="s">
        <v>3680</v>
      </c>
      <c r="B72" s="286" t="s">
        <v>3681</v>
      </c>
    </row>
    <row r="73" spans="1:2">
      <c r="A73" s="279" t="s">
        <v>3682</v>
      </c>
      <c r="B73" s="286" t="s">
        <v>3683</v>
      </c>
    </row>
    <row r="74" spans="1:2">
      <c r="A74" s="279" t="s">
        <v>3684</v>
      </c>
      <c r="B74" s="286" t="s">
        <v>3685</v>
      </c>
    </row>
    <row r="75" spans="1:2">
      <c r="A75" s="279" t="s">
        <v>3686</v>
      </c>
      <c r="B75" s="286" t="s">
        <v>3687</v>
      </c>
    </row>
    <row r="76" spans="1:2">
      <c r="A76" s="279" t="s">
        <v>3688</v>
      </c>
      <c r="B76" s="286" t="s">
        <v>3689</v>
      </c>
    </row>
    <row r="77" spans="1:2">
      <c r="A77" s="279" t="s">
        <v>3690</v>
      </c>
      <c r="B77" s="286" t="s">
        <v>3691</v>
      </c>
    </row>
    <row r="78" spans="1:2">
      <c r="A78" s="279" t="s">
        <v>3692</v>
      </c>
      <c r="B78" s="286" t="s">
        <v>3693</v>
      </c>
    </row>
    <row r="79" spans="1:2">
      <c r="A79" s="279" t="s">
        <v>3694</v>
      </c>
      <c r="B79" s="286" t="s">
        <v>3695</v>
      </c>
    </row>
    <row r="80" spans="1:2">
      <c r="A80" s="279" t="s">
        <v>3696</v>
      </c>
      <c r="B80" s="286" t="s">
        <v>3697</v>
      </c>
    </row>
    <row r="81" spans="1:2">
      <c r="A81" s="279" t="s">
        <v>3698</v>
      </c>
      <c r="B81" s="286" t="s">
        <v>3699</v>
      </c>
    </row>
    <row r="82" spans="1:2">
      <c r="A82" s="279" t="s">
        <v>3700</v>
      </c>
      <c r="B82" s="320" t="s">
        <v>3701</v>
      </c>
    </row>
    <row r="83" spans="1:2">
      <c r="A83" s="279" t="s">
        <v>3702</v>
      </c>
      <c r="B83" s="286" t="s">
        <v>3703</v>
      </c>
    </row>
  </sheetData>
  <sheetProtection sheet="1" objects="1" scenarios="1"/>
  <mergeCells count="1">
    <mergeCell ref="B1:B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9A5C-2F4D-4343-AC53-6C18EF679089}">
  <dimension ref="A1:R28"/>
  <sheetViews>
    <sheetView workbookViewId="0">
      <selection activeCell="A8" sqref="A8"/>
    </sheetView>
  </sheetViews>
  <sheetFormatPr defaultRowHeight="15"/>
  <cols>
    <col min="1" max="2" width="36.5703125" bestFit="1" customWidth="1"/>
    <col min="7" max="7" width="36.5703125" bestFit="1" customWidth="1"/>
  </cols>
  <sheetData>
    <row r="1" spans="1:18" ht="15" customHeight="1">
      <c r="A1" s="15" t="s">
        <v>3704</v>
      </c>
      <c r="B1" s="16" t="s">
        <v>3705</v>
      </c>
      <c r="C1" s="14"/>
      <c r="D1" s="14"/>
      <c r="E1" s="14"/>
      <c r="G1" s="618" t="s">
        <v>3505</v>
      </c>
      <c r="H1" s="619"/>
      <c r="I1" s="614" t="s">
        <v>93</v>
      </c>
      <c r="J1" s="614"/>
      <c r="K1" s="614"/>
      <c r="L1" s="614"/>
      <c r="M1" s="614"/>
      <c r="N1" s="614"/>
      <c r="O1" s="614"/>
      <c r="P1" s="614"/>
      <c r="Q1" s="614"/>
      <c r="R1" s="615"/>
    </row>
    <row r="2" spans="1:18" ht="15" customHeight="1">
      <c r="A2" s="8"/>
      <c r="B2" s="8" t="s">
        <v>3706</v>
      </c>
      <c r="C2" s="14"/>
      <c r="D2" s="14"/>
      <c r="E2" s="14"/>
      <c r="G2" s="545" t="s">
        <v>3707</v>
      </c>
      <c r="H2" s="541"/>
      <c r="I2" s="616" t="str">
        <f>IF(AND(COUNTBLANK(G2)=0,NOT(G2="None")),VLOOKUP(G2,SigilTable,2,0),"")</f>
        <v/>
      </c>
      <c r="J2" s="616"/>
      <c r="K2" s="616"/>
      <c r="L2" s="616"/>
      <c r="M2" s="616"/>
      <c r="N2" s="616"/>
      <c r="O2" s="616"/>
      <c r="P2" s="616"/>
      <c r="Q2" s="616"/>
      <c r="R2" s="617"/>
    </row>
    <row r="3" spans="1:18" ht="36.75" customHeight="1">
      <c r="A3" s="5"/>
      <c r="B3" s="8" t="s">
        <v>3708</v>
      </c>
      <c r="C3" s="14"/>
      <c r="D3" s="14"/>
      <c r="E3" s="14"/>
      <c r="G3" s="545" t="s">
        <v>3707</v>
      </c>
      <c r="H3" s="541"/>
      <c r="I3" s="620" t="str">
        <f>IF(AND(COUNTBLANK(G3)=0,NOT(G3="None")),VLOOKUP(G3,SigilTable,2,0),"")</f>
        <v/>
      </c>
      <c r="J3" s="620"/>
      <c r="K3" s="620"/>
      <c r="L3" s="620"/>
      <c r="M3" s="620"/>
      <c r="N3" s="620"/>
      <c r="O3" s="620"/>
      <c r="P3" s="620"/>
      <c r="Q3" s="620"/>
      <c r="R3" s="621"/>
    </row>
    <row r="4" spans="1:18" ht="30.75" customHeight="1">
      <c r="A4" s="8" t="s">
        <v>3709</v>
      </c>
      <c r="B4" s="5" t="s">
        <v>3710</v>
      </c>
      <c r="C4" s="14"/>
      <c r="D4" s="14"/>
      <c r="E4" s="14"/>
    </row>
    <row r="5" spans="1:18">
      <c r="A5" s="8" t="s">
        <v>3711</v>
      </c>
      <c r="B5" s="8" t="s">
        <v>3712</v>
      </c>
      <c r="C5" s="8"/>
      <c r="D5" s="8"/>
      <c r="E5" s="8"/>
    </row>
    <row r="6" spans="1:18">
      <c r="A6" s="8"/>
      <c r="B6" s="8" t="s">
        <v>3713</v>
      </c>
      <c r="C6" s="8"/>
      <c r="D6" s="8"/>
      <c r="E6" s="8"/>
    </row>
    <row r="7" spans="1:18" ht="29.25">
      <c r="A7" s="8"/>
      <c r="B7" s="8" t="s">
        <v>3714</v>
      </c>
      <c r="C7" s="8"/>
      <c r="D7" s="8"/>
      <c r="E7" s="8"/>
    </row>
    <row r="8" spans="1:18" ht="15" customHeight="1">
      <c r="A8" s="8"/>
      <c r="B8" s="8" t="s">
        <v>3715</v>
      </c>
      <c r="C8" s="8"/>
      <c r="D8" s="8"/>
      <c r="E8" s="8"/>
    </row>
    <row r="9" spans="1:18" ht="29.25">
      <c r="A9" s="8" t="s">
        <v>3716</v>
      </c>
      <c r="B9" s="8" t="s">
        <v>3717</v>
      </c>
      <c r="C9" s="8"/>
      <c r="D9" s="8"/>
      <c r="E9" s="8"/>
    </row>
    <row r="10" spans="1:18" ht="43.5">
      <c r="A10" s="8"/>
      <c r="B10" s="8" t="s">
        <v>3718</v>
      </c>
      <c r="C10" s="8"/>
      <c r="D10" s="8"/>
      <c r="E10" s="8"/>
    </row>
    <row r="11" spans="1:18" ht="15" customHeight="1">
      <c r="A11" s="8"/>
      <c r="B11" s="8"/>
      <c r="C11" s="8"/>
      <c r="D11" s="8"/>
      <c r="E11" s="8"/>
    </row>
    <row r="12" spans="1:18" ht="15" customHeight="1">
      <c r="A12" s="8"/>
      <c r="B12" s="8"/>
      <c r="C12" s="8"/>
      <c r="D12" s="8"/>
      <c r="E12" s="8"/>
    </row>
    <row r="13" spans="1:18" ht="15" customHeight="1">
      <c r="A13" s="8"/>
      <c r="B13" s="8"/>
      <c r="C13" s="8"/>
      <c r="D13" s="8"/>
      <c r="E13" s="8"/>
    </row>
    <row r="14" spans="1:18" ht="15" customHeight="1">
      <c r="A14" s="8"/>
      <c r="B14" s="8"/>
      <c r="C14" s="8"/>
      <c r="D14" s="8"/>
      <c r="E14" s="8"/>
    </row>
    <row r="15" spans="1:18" ht="15" customHeight="1">
      <c r="A15" s="8"/>
      <c r="B15" s="8"/>
      <c r="C15" s="8"/>
      <c r="D15" s="8"/>
      <c r="E15" s="8"/>
    </row>
    <row r="16" spans="1:18" ht="15" customHeight="1">
      <c r="A16" s="8"/>
      <c r="B16" s="8"/>
      <c r="C16" s="8"/>
      <c r="D16" s="8"/>
      <c r="E16" s="8"/>
    </row>
    <row r="17" spans="1:5" ht="15" customHeight="1">
      <c r="A17" s="8"/>
      <c r="B17" s="8"/>
      <c r="C17" s="8"/>
      <c r="D17" s="8"/>
      <c r="E17" s="8"/>
    </row>
    <row r="18" spans="1:5" ht="15" customHeight="1">
      <c r="A18" s="8"/>
      <c r="B18" s="8"/>
      <c r="C18" s="8"/>
      <c r="D18" s="8"/>
      <c r="E18" s="8"/>
    </row>
    <row r="19" spans="1:5" ht="15" customHeight="1">
      <c r="A19" s="8"/>
      <c r="B19" s="8"/>
      <c r="C19" s="8"/>
      <c r="D19" s="8"/>
      <c r="E19" s="8"/>
    </row>
    <row r="20" spans="1:5" ht="15" customHeight="1">
      <c r="A20" s="8"/>
      <c r="B20" s="8"/>
      <c r="C20" s="8"/>
      <c r="D20" s="8"/>
      <c r="E20" s="8"/>
    </row>
    <row r="21" spans="1:5" ht="15" customHeight="1">
      <c r="A21" s="8"/>
      <c r="B21" s="8"/>
      <c r="C21" s="8"/>
      <c r="D21" s="8"/>
      <c r="E21" s="8"/>
    </row>
    <row r="22" spans="1:5" ht="15" customHeight="1">
      <c r="A22" s="8"/>
      <c r="B22" s="8"/>
      <c r="C22" s="8"/>
      <c r="D22" s="8"/>
      <c r="E22" s="8"/>
    </row>
    <row r="23" spans="1:5" ht="15" customHeight="1">
      <c r="A23" s="8"/>
      <c r="B23" s="8"/>
      <c r="C23" s="8"/>
      <c r="D23" s="8"/>
      <c r="E23" s="8"/>
    </row>
    <row r="24" spans="1:5" ht="15" customHeight="1">
      <c r="A24" s="8"/>
      <c r="B24" s="8"/>
      <c r="C24" s="8"/>
      <c r="D24" s="8"/>
      <c r="E24" s="8"/>
    </row>
    <row r="25" spans="1:5" ht="15" customHeight="1">
      <c r="A25" s="8"/>
      <c r="B25" s="8"/>
      <c r="C25" s="8"/>
      <c r="D25" s="8"/>
      <c r="E25" s="8"/>
    </row>
    <row r="26" spans="1:5" ht="15" customHeight="1">
      <c r="A26" s="8"/>
      <c r="B26" s="8"/>
      <c r="C26" s="8"/>
      <c r="D26" s="8"/>
      <c r="E26" s="8"/>
    </row>
    <row r="27" spans="1:5" ht="15" customHeight="1">
      <c r="A27" s="8"/>
      <c r="B27" s="8"/>
      <c r="C27" s="8"/>
      <c r="D27" s="8"/>
      <c r="E27" s="8"/>
    </row>
    <row r="28" spans="1:5" ht="15" customHeight="1">
      <c r="A28" s="8"/>
      <c r="B28" s="8"/>
      <c r="C28" s="8"/>
      <c r="D28" s="8"/>
      <c r="E28" s="8"/>
    </row>
  </sheetData>
  <sheetProtection algorithmName="SHA-512" hashValue="A+YHYMRHUcyp4yyhfNIe31GdaDnuRYXFg8c+FDlRdoZ15L2MokB8YTTCax5VXQ6jBtHVSbTwotiVsdnURtLPqg==" saltValue="babRu5ByPrICZOZFxG1YYg==" spinCount="100000" sheet="1" objects="1" scenarios="1"/>
  <protectedRanges>
    <protectedRange sqref="G2:H3" name="Sigils"/>
  </protectedRanges>
  <mergeCells count="6">
    <mergeCell ref="I1:R1"/>
    <mergeCell ref="I2:R2"/>
    <mergeCell ref="G3:H3"/>
    <mergeCell ref="G2:H2"/>
    <mergeCell ref="G1:H1"/>
    <mergeCell ref="I3:R3"/>
  </mergeCells>
  <dataValidations count="1">
    <dataValidation allowBlank="1" showInputMessage="1" showErrorMessage="1" prompt="Provide additional effects to a weapon with the appropriate upgrade slot. No attribute bonuses." sqref="G1" xr:uid="{A74734AC-4F3B-402E-9924-490B48408E39}"/>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CF4C799-2DC5-4A22-9BF7-B583BFD1966C}">
          <x14:formula1>
            <xm:f>Sigils!$A$2:$A$83</xm:f>
          </x14:formula1>
          <xm:sqref>G2:G3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09DEB-5B72-4C8C-B364-6F9A36FE51C7}">
  <dimension ref="A1:M23"/>
  <sheetViews>
    <sheetView workbookViewId="0">
      <selection activeCell="I12" sqref="I12"/>
    </sheetView>
  </sheetViews>
  <sheetFormatPr defaultRowHeight="15"/>
  <cols>
    <col min="1" max="1" width="12.42578125" bestFit="1" customWidth="1"/>
    <col min="2" max="2" width="16" bestFit="1" customWidth="1"/>
    <col min="3" max="3" width="17" bestFit="1" customWidth="1"/>
    <col min="4" max="4" width="16.140625" bestFit="1" customWidth="1"/>
    <col min="5" max="6" width="17.140625" bestFit="1" customWidth="1"/>
    <col min="12" max="12" width="14" bestFit="1" customWidth="1"/>
  </cols>
  <sheetData>
    <row r="1" spans="1:13">
      <c r="A1" s="349" t="s">
        <v>2432</v>
      </c>
      <c r="B1" s="350" t="s">
        <v>3719</v>
      </c>
      <c r="C1" s="350" t="s">
        <v>3720</v>
      </c>
      <c r="D1" s="350" t="s">
        <v>3721</v>
      </c>
      <c r="E1" s="350" t="s">
        <v>3722</v>
      </c>
      <c r="F1" s="351" t="s">
        <v>2438</v>
      </c>
      <c r="G1" s="1"/>
      <c r="H1" s="1"/>
      <c r="I1" s="1"/>
      <c r="J1" s="1"/>
      <c r="K1" s="1"/>
      <c r="L1" s="1"/>
      <c r="M1" s="2"/>
    </row>
    <row r="2" spans="1:13">
      <c r="A2" s="355" t="s">
        <v>37</v>
      </c>
      <c r="B2" s="218">
        <v>120</v>
      </c>
      <c r="C2" s="218">
        <v>102</v>
      </c>
      <c r="D2" s="218">
        <v>85</v>
      </c>
      <c r="E2" s="218">
        <v>56</v>
      </c>
      <c r="F2" s="230">
        <v>56</v>
      </c>
    </row>
    <row r="3" spans="1:13">
      <c r="A3" s="355" t="s">
        <v>39</v>
      </c>
      <c r="B3" s="218">
        <v>239</v>
      </c>
      <c r="C3" s="218">
        <v>205</v>
      </c>
      <c r="D3" s="218">
        <v>171</v>
      </c>
      <c r="E3" s="218">
        <v>113</v>
      </c>
      <c r="F3" s="230">
        <v>113</v>
      </c>
    </row>
    <row r="4" spans="1:13">
      <c r="A4" s="355" t="s">
        <v>40</v>
      </c>
      <c r="B4" s="218">
        <v>60</v>
      </c>
      <c r="C4" s="218">
        <v>51</v>
      </c>
      <c r="D4" s="218">
        <v>43</v>
      </c>
      <c r="E4" s="218">
        <v>28</v>
      </c>
      <c r="F4" s="230">
        <v>28</v>
      </c>
    </row>
    <row r="5" spans="1:13">
      <c r="A5" s="355" t="s">
        <v>42</v>
      </c>
      <c r="B5" s="218">
        <v>45</v>
      </c>
      <c r="C5" s="218">
        <v>38</v>
      </c>
      <c r="D5" s="218">
        <v>32</v>
      </c>
      <c r="E5" s="218">
        <v>21</v>
      </c>
      <c r="F5" s="230">
        <v>21</v>
      </c>
    </row>
    <row r="6" spans="1:13">
      <c r="A6" s="355" t="s">
        <v>44</v>
      </c>
      <c r="B6" s="218">
        <v>134</v>
      </c>
      <c r="C6" s="218">
        <v>115</v>
      </c>
      <c r="D6" s="218">
        <v>96</v>
      </c>
      <c r="E6" s="218">
        <v>63</v>
      </c>
      <c r="F6" s="230">
        <v>63</v>
      </c>
    </row>
    <row r="7" spans="1:13">
      <c r="A7" s="356" t="s">
        <v>45</v>
      </c>
      <c r="B7" s="218">
        <v>45</v>
      </c>
      <c r="C7" s="218">
        <v>38</v>
      </c>
      <c r="D7" s="218">
        <v>32</v>
      </c>
      <c r="E7" s="218">
        <v>21</v>
      </c>
      <c r="F7" s="230">
        <v>21</v>
      </c>
    </row>
    <row r="8" spans="1:13">
      <c r="A8" s="284" t="s">
        <v>47</v>
      </c>
      <c r="B8" s="218">
        <v>90</v>
      </c>
      <c r="C8" s="218">
        <v>77</v>
      </c>
      <c r="D8" s="218">
        <v>64</v>
      </c>
      <c r="E8" s="218">
        <v>42</v>
      </c>
      <c r="F8" s="230">
        <v>42</v>
      </c>
    </row>
    <row r="9" spans="1:13">
      <c r="A9" s="284" t="s">
        <v>48</v>
      </c>
      <c r="B9" s="218">
        <v>45</v>
      </c>
      <c r="C9" s="218">
        <v>38</v>
      </c>
      <c r="D9" s="218">
        <v>32</v>
      </c>
      <c r="E9" s="218">
        <v>21</v>
      </c>
      <c r="F9" s="230">
        <v>21</v>
      </c>
    </row>
    <row r="10" spans="1:13">
      <c r="A10" s="284" t="s">
        <v>49</v>
      </c>
      <c r="B10" s="218">
        <v>75</v>
      </c>
      <c r="C10" s="218">
        <v>64</v>
      </c>
      <c r="D10" s="218">
        <v>53</v>
      </c>
      <c r="E10" s="218">
        <v>35</v>
      </c>
      <c r="F10" s="230">
        <v>35</v>
      </c>
    </row>
    <row r="11" spans="1:13">
      <c r="A11" s="284" t="s">
        <v>51</v>
      </c>
      <c r="B11" s="218">
        <v>90</v>
      </c>
      <c r="C11" s="218">
        <v>77</v>
      </c>
      <c r="D11" s="218">
        <v>64</v>
      </c>
      <c r="E11" s="218">
        <v>42</v>
      </c>
      <c r="F11" s="230">
        <v>42</v>
      </c>
    </row>
    <row r="12" spans="1:13">
      <c r="A12" s="284" t="s">
        <v>52</v>
      </c>
      <c r="B12" s="218">
        <v>120</v>
      </c>
      <c r="C12" s="218">
        <v>102</v>
      </c>
      <c r="D12" s="218">
        <v>85</v>
      </c>
      <c r="E12" s="218">
        <v>56</v>
      </c>
      <c r="F12" s="230">
        <v>56</v>
      </c>
    </row>
    <row r="13" spans="1:13">
      <c r="A13" s="284" t="s">
        <v>53</v>
      </c>
      <c r="B13" s="218">
        <v>32</v>
      </c>
      <c r="C13" s="357" t="s">
        <v>3522</v>
      </c>
      <c r="D13" s="218">
        <v>18</v>
      </c>
      <c r="E13" s="357" t="s">
        <v>3522</v>
      </c>
      <c r="F13" s="358" t="s">
        <v>3522</v>
      </c>
    </row>
    <row r="14" spans="1:13">
      <c r="A14" s="359" t="s">
        <v>3723</v>
      </c>
      <c r="B14" s="232">
        <v>25</v>
      </c>
      <c r="C14" s="232">
        <v>20</v>
      </c>
      <c r="D14" s="232">
        <v>15</v>
      </c>
      <c r="E14" s="232">
        <v>10</v>
      </c>
      <c r="F14" s="233">
        <v>12</v>
      </c>
    </row>
    <row r="16" spans="1:13">
      <c r="A16" s="352" t="s">
        <v>2432</v>
      </c>
      <c r="B16" s="353" t="s">
        <v>3528</v>
      </c>
      <c r="C16" s="353" t="s">
        <v>3526</v>
      </c>
      <c r="D16" s="354" t="s">
        <v>3525</v>
      </c>
    </row>
    <row r="17" spans="1:4">
      <c r="A17" s="284" t="s">
        <v>3724</v>
      </c>
      <c r="B17" s="218">
        <v>61</v>
      </c>
      <c r="C17" s="218">
        <v>61</v>
      </c>
      <c r="D17" s="230">
        <v>61</v>
      </c>
    </row>
    <row r="18" spans="1:4">
      <c r="A18" s="284" t="s">
        <v>40</v>
      </c>
      <c r="B18" s="218">
        <v>73</v>
      </c>
      <c r="C18" s="218">
        <v>97</v>
      </c>
      <c r="D18" s="230">
        <v>121</v>
      </c>
    </row>
    <row r="19" spans="1:4">
      <c r="A19" s="284" t="s">
        <v>42</v>
      </c>
      <c r="B19" s="218">
        <v>73</v>
      </c>
      <c r="C19" s="218">
        <v>97</v>
      </c>
      <c r="D19" s="230">
        <v>121</v>
      </c>
    </row>
    <row r="20" spans="1:4">
      <c r="A20" s="284" t="s">
        <v>44</v>
      </c>
      <c r="B20" s="218">
        <v>314</v>
      </c>
      <c r="C20" s="218">
        <v>338</v>
      </c>
      <c r="D20" s="230">
        <v>363</v>
      </c>
    </row>
    <row r="21" spans="1:4">
      <c r="A21" s="356" t="s">
        <v>45</v>
      </c>
      <c r="B21" s="218">
        <v>133</v>
      </c>
      <c r="C21" s="218">
        <v>157</v>
      </c>
      <c r="D21" s="230">
        <v>182</v>
      </c>
    </row>
    <row r="22" spans="1:4">
      <c r="A22" s="284" t="s">
        <v>47</v>
      </c>
      <c r="B22" s="218">
        <v>194</v>
      </c>
      <c r="C22" s="218">
        <v>218</v>
      </c>
      <c r="D22" s="230">
        <v>242</v>
      </c>
    </row>
    <row r="23" spans="1:4">
      <c r="A23" s="285" t="s">
        <v>48</v>
      </c>
      <c r="B23" s="232">
        <v>133</v>
      </c>
      <c r="C23" s="232">
        <v>157</v>
      </c>
      <c r="D23" s="233">
        <v>182</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2024-08-13T11:50:07Z</dcterms:created>
  <dcterms:modified xsi:type="dcterms:W3CDTF">2026-09-16T01:15:58Z</dcterms:modified>
  <cp:category/>
  <cp:contentStatus/>
</cp:coreProperties>
</file>